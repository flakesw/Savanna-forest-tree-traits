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\Documents\Research\Savanna traits\raw data\"/>
    </mc:Choice>
  </mc:AlternateContent>
  <xr:revisionPtr revIDLastSave="0" documentId="13_ncr:1_{3D0B5872-7F03-46F2-849B-CF1B4367397A}" xr6:coauthVersionLast="43" xr6:coauthVersionMax="43" xr10:uidLastSave="{00000000-0000-0000-0000-000000000000}"/>
  <bookViews>
    <workbookView xWindow="-120" yWindow="-120" windowWidth="24240" windowHeight="13140" xr2:uid="{00000000-000D-0000-FFFF-FFFF00000000}"/>
  </bookViews>
  <sheets>
    <sheet name="leaf_traits" sheetId="1" r:id="rId1"/>
    <sheet name="twig_traits" sheetId="3" r:id="rId2"/>
    <sheet name="field_data" sheetId="4" r:id="rId3"/>
    <sheet name="Leaf dimensions" sheetId="6" r:id="rId4"/>
  </sheets>
  <definedNames>
    <definedName name="_xlnm._FilterDatabase" localSheetId="2" hidden="1">field_data!$A$1:$R$545</definedName>
    <definedName name="_xlnm._FilterDatabase" localSheetId="0" hidden="1">leaf_traits!$A$1:$AC$472</definedName>
    <definedName name="_xlnm._FilterDatabase" localSheetId="1" hidden="1">twig_traits!$A$1:$T$474</definedName>
    <definedName name="_xlnm.Print_Titles" localSheetId="1">twig_traits!$1:$1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" i="1" l="1"/>
  <c r="AB3" i="1"/>
  <c r="AB4" i="1"/>
  <c r="AB5" i="1"/>
  <c r="AB6" i="1"/>
  <c r="AB7" i="1"/>
  <c r="AB8" i="1"/>
  <c r="Q11" i="1"/>
  <c r="Q9" i="1"/>
  <c r="Q10" i="1"/>
  <c r="AB9" i="1"/>
  <c r="Q306" i="1"/>
  <c r="AB306" i="1" s="1"/>
  <c r="Q800" i="1"/>
  <c r="AB800" i="1" s="1"/>
  <c r="Q801" i="1"/>
  <c r="AB801" i="1" s="1"/>
  <c r="Q802" i="1"/>
  <c r="AB802" i="1" s="1"/>
  <c r="Q625" i="1"/>
  <c r="AB625" i="1" s="1"/>
  <c r="Q608" i="1"/>
  <c r="AB608" i="1" s="1"/>
  <c r="Q403" i="1"/>
  <c r="AB403" i="1" s="1"/>
  <c r="Q103" i="1"/>
  <c r="AB103" i="1" s="1"/>
  <c r="Q642" i="1"/>
  <c r="Q803" i="1"/>
  <c r="AB803" i="1" s="1"/>
  <c r="Q505" i="1"/>
  <c r="Q716" i="1"/>
  <c r="AB716" i="1" s="1"/>
  <c r="Q718" i="1"/>
  <c r="AB718" i="1" s="1"/>
  <c r="Q724" i="1"/>
  <c r="AB724" i="1" s="1"/>
  <c r="Q702" i="1"/>
  <c r="Q707" i="1"/>
  <c r="AB707" i="1" s="1"/>
  <c r="Q534" i="1"/>
  <c r="AB534" i="1" s="1"/>
  <c r="Q444" i="1"/>
  <c r="AB444" i="1" s="1"/>
  <c r="Q18" i="1"/>
  <c r="AB18" i="1" s="1"/>
  <c r="Q256" i="1"/>
  <c r="AB256" i="1" s="1"/>
  <c r="Q271" i="1"/>
  <c r="AB271" i="1" s="1"/>
  <c r="Q727" i="1"/>
  <c r="AB727" i="1" s="1"/>
  <c r="Q550" i="1"/>
  <c r="AB550" i="1" s="1"/>
  <c r="Q394" i="1"/>
  <c r="AB394" i="1" s="1"/>
  <c r="Q512" i="1"/>
  <c r="AB512" i="1" s="1"/>
  <c r="Q500" i="1"/>
  <c r="AB500" i="1" s="1"/>
  <c r="Q399" i="1"/>
  <c r="AB399" i="1" s="1"/>
  <c r="Q622" i="1"/>
  <c r="AB622" i="1" s="1"/>
  <c r="Q804" i="1"/>
  <c r="AB804" i="1" s="1"/>
  <c r="Q614" i="1"/>
  <c r="AB614" i="1" s="1"/>
  <c r="Q225" i="1"/>
  <c r="Q664" i="1"/>
  <c r="AB664" i="1" s="1"/>
  <c r="Q712" i="1"/>
  <c r="AB712" i="1" s="1"/>
  <c r="Q587" i="1"/>
  <c r="AB587" i="1" s="1"/>
  <c r="Q648" i="1"/>
  <c r="Q690" i="1"/>
  <c r="AB690" i="1" s="1"/>
  <c r="Q586" i="1"/>
  <c r="AB586" i="1" s="1"/>
  <c r="Q597" i="1"/>
  <c r="AB597" i="1" s="1"/>
  <c r="Q114" i="1"/>
  <c r="AB114" i="1" s="1"/>
  <c r="Q619" i="1"/>
  <c r="AB619" i="1" s="1"/>
  <c r="Q435" i="1"/>
  <c r="AB435" i="1" s="1"/>
  <c r="Q531" i="1"/>
  <c r="AB531" i="1" s="1"/>
  <c r="Q448" i="1"/>
  <c r="AB448" i="1" s="1"/>
  <c r="Q526" i="1"/>
  <c r="AB526" i="1" s="1"/>
  <c r="Q495" i="1"/>
  <c r="AB495" i="1" s="1"/>
  <c r="Q433" i="1"/>
  <c r="AB433" i="1" s="1"/>
  <c r="Q305" i="1"/>
  <c r="Q284" i="1"/>
  <c r="AB284" i="1" s="1"/>
  <c r="Q472" i="1"/>
  <c r="AB472" i="1" s="1"/>
  <c r="Q407" i="1"/>
  <c r="AB407" i="1" s="1"/>
  <c r="Q569" i="1"/>
  <c r="AB569" i="1" s="1"/>
  <c r="Q153" i="1"/>
  <c r="AB153" i="1" s="1"/>
  <c r="Q127" i="1"/>
  <c r="AB127" i="1" s="1"/>
  <c r="Q603" i="1"/>
  <c r="AB603" i="1" s="1"/>
  <c r="Q508" i="1"/>
  <c r="AB508" i="1" s="1"/>
  <c r="Q510" i="1"/>
  <c r="AB510" i="1" s="1"/>
  <c r="Q641" i="1"/>
  <c r="AB641" i="1" s="1"/>
  <c r="Q368" i="1"/>
  <c r="AB368" i="1" s="1"/>
  <c r="Q258" i="1"/>
  <c r="Q684" i="1"/>
  <c r="Q464" i="1"/>
  <c r="AB464" i="1" s="1"/>
  <c r="Q438" i="1"/>
  <c r="AB438" i="1" s="1"/>
  <c r="Q453" i="1"/>
  <c r="AB453" i="1" s="1"/>
  <c r="Q455" i="1"/>
  <c r="AB455" i="1" s="1"/>
  <c r="Q578" i="1"/>
  <c r="AB578" i="1" s="1"/>
  <c r="Q581" i="1"/>
  <c r="AB581" i="1" s="1"/>
  <c r="Q507" i="1"/>
  <c r="AB507" i="1" s="1"/>
  <c r="Q487" i="1"/>
  <c r="AB487" i="1" s="1"/>
  <c r="Q511" i="1"/>
  <c r="AB511" i="1" s="1"/>
  <c r="Q378" i="1"/>
  <c r="AB378" i="1" s="1"/>
  <c r="Q670" i="1"/>
  <c r="AB670" i="1" s="1"/>
  <c r="Q178" i="1"/>
  <c r="AB178" i="1" s="1"/>
  <c r="Q785" i="1"/>
  <c r="Q297" i="1"/>
  <c r="AB297" i="1" s="1"/>
  <c r="Q5" i="1"/>
  <c r="Q324" i="1"/>
  <c r="AB324" i="1" s="1"/>
  <c r="Q574" i="1"/>
  <c r="Q583" i="1"/>
  <c r="Q592" i="1"/>
  <c r="Q584" i="1"/>
  <c r="Q646" i="1"/>
  <c r="Q106" i="1"/>
  <c r="Q575" i="1"/>
  <c r="Q96" i="1"/>
  <c r="Q67" i="1"/>
  <c r="Q545" i="1"/>
  <c r="Q652" i="1"/>
  <c r="Q713" i="1"/>
  <c r="Q618" i="1"/>
  <c r="Q706" i="1"/>
  <c r="Q735" i="1"/>
  <c r="Q195" i="1"/>
  <c r="Q663" i="1"/>
  <c r="Q695" i="1"/>
  <c r="Q669" i="1"/>
  <c r="Q736" i="1"/>
  <c r="Q692" i="1"/>
  <c r="Q461" i="1"/>
  <c r="Q722" i="1"/>
  <c r="Q685" i="1"/>
  <c r="Q517" i="1"/>
  <c r="Q218" i="1"/>
  <c r="Q266" i="1"/>
  <c r="Q564" i="1"/>
  <c r="Q146" i="1"/>
  <c r="Q723" i="1"/>
  <c r="Q159" i="1"/>
  <c r="Q503" i="1"/>
  <c r="Q107" i="1"/>
  <c r="Q374" i="1"/>
  <c r="Q666" i="1"/>
  <c r="Q249" i="1"/>
  <c r="Q196" i="1"/>
  <c r="Q121" i="1"/>
  <c r="Q675" i="1"/>
  <c r="Q354" i="1"/>
  <c r="Q414" i="1"/>
  <c r="Q3" i="1"/>
  <c r="Q4" i="1"/>
  <c r="Q576" i="1"/>
  <c r="Q548" i="1"/>
  <c r="Q653" i="1"/>
  <c r="Q696" i="1"/>
  <c r="Q682" i="1"/>
  <c r="Q631" i="1"/>
  <c r="Q593" i="1"/>
  <c r="Q301" i="1"/>
  <c r="Q442" i="1"/>
  <c r="Q529" i="1"/>
  <c r="Q322" i="1"/>
  <c r="Q560" i="1"/>
  <c r="Q537" i="1"/>
  <c r="Q530" i="1"/>
  <c r="Q283" i="1"/>
  <c r="Q419" i="1"/>
  <c r="Q647" i="1"/>
  <c r="Q397" i="1"/>
  <c r="Q265" i="1"/>
  <c r="Q786" i="1"/>
  <c r="Q599" i="1"/>
  <c r="Q314" i="1"/>
  <c r="Q379" i="1"/>
  <c r="Q205" i="1"/>
  <c r="Q476" i="1"/>
  <c r="Q78" i="1"/>
  <c r="Q117" i="1"/>
  <c r="Q219" i="1"/>
  <c r="Q147" i="1"/>
  <c r="Q104" i="1"/>
  <c r="Q787" i="1"/>
  <c r="Q788" i="1"/>
  <c r="Q361" i="1"/>
  <c r="Q222" i="1"/>
  <c r="Q141" i="1"/>
  <c r="Q789" i="1"/>
  <c r="Q790" i="1"/>
  <c r="Q307" i="1"/>
  <c r="Q791" i="1"/>
  <c r="Q160" i="1"/>
  <c r="Q95" i="1"/>
  <c r="Q46" i="1"/>
  <c r="Q291" i="1"/>
  <c r="Q241" i="1"/>
  <c r="Q211" i="1"/>
  <c r="Q170" i="1"/>
  <c r="Q285" i="1"/>
  <c r="Q179" i="1"/>
  <c r="Q335" i="1"/>
  <c r="Q497" i="1"/>
  <c r="Q492" i="1"/>
  <c r="Q392" i="1"/>
  <c r="Q236" i="1"/>
  <c r="Q491" i="1"/>
  <c r="Q267" i="1"/>
  <c r="Q235" i="1"/>
  <c r="Q174" i="1"/>
  <c r="Q338" i="1"/>
  <c r="Q214" i="1"/>
  <c r="Q192" i="1"/>
  <c r="Q77" i="1"/>
  <c r="Q108" i="1"/>
  <c r="Q80" i="1"/>
  <c r="Q206" i="1"/>
  <c r="Q81" i="1"/>
  <c r="Q538" i="1"/>
  <c r="Q413" i="1"/>
  <c r="Q417" i="1"/>
  <c r="Q527" i="1"/>
  <c r="Q470" i="1"/>
  <c r="Q737" i="1"/>
  <c r="Q120" i="1"/>
  <c r="Q71" i="1"/>
  <c r="Q126" i="1"/>
  <c r="Q144" i="1"/>
  <c r="Q91" i="1"/>
  <c r="Q738" i="1"/>
  <c r="Q60" i="1"/>
  <c r="Q64" i="1"/>
  <c r="Q128" i="1"/>
  <c r="Q109" i="1"/>
  <c r="Q145" i="1"/>
  <c r="Q101" i="1"/>
  <c r="Q113" i="1"/>
  <c r="Q99" i="1"/>
  <c r="Q620" i="1"/>
  <c r="Q739" i="1"/>
  <c r="Q332" i="1"/>
  <c r="Q740" i="1"/>
  <c r="Q741" i="1"/>
  <c r="Q742" i="1"/>
  <c r="Q119" i="1"/>
  <c r="Q62" i="1"/>
  <c r="Q208" i="1"/>
  <c r="Q172" i="1"/>
  <c r="Q390" i="1"/>
  <c r="Q339" i="1"/>
  <c r="Q743" i="1"/>
  <c r="Q320" i="1"/>
  <c r="Q168" i="1"/>
  <c r="Q268" i="1"/>
  <c r="Q310" i="1"/>
  <c r="Q744" i="1"/>
  <c r="Q745" i="1"/>
  <c r="Q746" i="1"/>
  <c r="Q747" i="1"/>
  <c r="Q340" i="1"/>
  <c r="Q449" i="1"/>
  <c r="Q336" i="1"/>
  <c r="Q468" i="1"/>
  <c r="Q447" i="1"/>
  <c r="Q197" i="1"/>
  <c r="Q286" i="1"/>
  <c r="Q337" i="1"/>
  <c r="Q171" i="1"/>
  <c r="Q311" i="1"/>
  <c r="Q36" i="1"/>
  <c r="Q40" i="1"/>
  <c r="Q41" i="1"/>
  <c r="Q82" i="1"/>
  <c r="Q748" i="1"/>
  <c r="Q405" i="1"/>
  <c r="Q554" i="1"/>
  <c r="Q308" i="1"/>
  <c r="Q398" i="1"/>
  <c r="Q287" i="1"/>
  <c r="Q749" i="1"/>
  <c r="Q750" i="1"/>
  <c r="Q751" i="1"/>
  <c r="Q752" i="1"/>
  <c r="Q370" i="1"/>
  <c r="Q312" i="1"/>
  <c r="Q753" i="1"/>
  <c r="Q437" i="1"/>
  <c r="Q333" i="1"/>
  <c r="Q754" i="1"/>
  <c r="Q238" i="1"/>
  <c r="Q755" i="1"/>
  <c r="Q72" i="1"/>
  <c r="Q391" i="1"/>
  <c r="Q183" i="1"/>
  <c r="Q164" i="1"/>
  <c r="Q756" i="1"/>
  <c r="Q757" i="1"/>
  <c r="Q70" i="1"/>
  <c r="Q124" i="1"/>
  <c r="Q190" i="1"/>
  <c r="Q115" i="1"/>
  <c r="Q758" i="1"/>
  <c r="Q759" i="1"/>
  <c r="Q760" i="1"/>
  <c r="Q761" i="1"/>
  <c r="Q150" i="1"/>
  <c r="Q129" i="1"/>
  <c r="Q93" i="1"/>
  <c r="Q166" i="1"/>
  <c r="Q181" i="1"/>
  <c r="Q16" i="1"/>
  <c r="Q38" i="1"/>
  <c r="Q20" i="1"/>
  <c r="Q23" i="1"/>
  <c r="Q25" i="1"/>
  <c r="Q762" i="1"/>
  <c r="Q763" i="1"/>
  <c r="Q471" i="1"/>
  <c r="Q486" i="1"/>
  <c r="Q323" i="1"/>
  <c r="Q731" i="1"/>
  <c r="Q393" i="1"/>
  <c r="Q764" i="1"/>
  <c r="Q765" i="1"/>
  <c r="Q425" i="1"/>
  <c r="Q426" i="1"/>
  <c r="Q474" i="1"/>
  <c r="Q551" i="1"/>
  <c r="Q509" i="1"/>
  <c r="Q282" i="1"/>
  <c r="Q766" i="1"/>
  <c r="Q231" i="1"/>
  <c r="Q254" i="1"/>
  <c r="Q223" i="1"/>
  <c r="Q217" i="1"/>
  <c r="Q418" i="1"/>
  <c r="Q439" i="1"/>
  <c r="Q355" i="1"/>
  <c r="Q432" i="1"/>
  <c r="Q463" i="1"/>
  <c r="Q440" i="1"/>
  <c r="Q84" i="1"/>
  <c r="Q66" i="1"/>
  <c r="Q767" i="1"/>
  <c r="Q22" i="1"/>
  <c r="Q47" i="1"/>
  <c r="Q58" i="1"/>
  <c r="Q768" i="1"/>
  <c r="Q769" i="1"/>
  <c r="Q770" i="1"/>
  <c r="Q771" i="1"/>
  <c r="Q772" i="1"/>
  <c r="Q32" i="1"/>
  <c r="Q97" i="1"/>
  <c r="Q191" i="1"/>
  <c r="Q75" i="1"/>
  <c r="Q201" i="1"/>
  <c r="Q506" i="1"/>
  <c r="Q539" i="1"/>
  <c r="Q627" i="1"/>
  <c r="Q567" i="1"/>
  <c r="Q588" i="1"/>
  <c r="Q360" i="1"/>
  <c r="Q358" i="1"/>
  <c r="Q261" i="1"/>
  <c r="Q180" i="1"/>
  <c r="Q244" i="1"/>
  <c r="Q454" i="1"/>
  <c r="Q773" i="1"/>
  <c r="Q8" i="1"/>
  <c r="Q89" i="1"/>
  <c r="Q606" i="1"/>
  <c r="Q88" i="1"/>
  <c r="Q774" i="1"/>
  <c r="Q775" i="1"/>
  <c r="Q776" i="1"/>
  <c r="Q777" i="1"/>
  <c r="Q329" i="1"/>
  <c r="Q315" i="1"/>
  <c r="Q309" i="1"/>
  <c r="Q422" i="1"/>
  <c r="Q347" i="1"/>
  <c r="Q420" i="1"/>
  <c r="Q579" i="1"/>
  <c r="Q590" i="1"/>
  <c r="Q589" i="1"/>
  <c r="Q536" i="1"/>
  <c r="Q319" i="1"/>
  <c r="Q102" i="1"/>
  <c r="Q371" i="1"/>
  <c r="Q85" i="1"/>
  <c r="Q281" i="1"/>
  <c r="Q778" i="1"/>
  <c r="Q255" i="1"/>
  <c r="Q779" i="1"/>
  <c r="Q100" i="1"/>
  <c r="Q546" i="1"/>
  <c r="Q780" i="1"/>
  <c r="Q262" i="1"/>
  <c r="Q295" i="1"/>
  <c r="Q264" i="1"/>
  <c r="Q296" i="1"/>
  <c r="Q781" i="1"/>
  <c r="Q782" i="1"/>
  <c r="Q783" i="1"/>
  <c r="Q784" i="1"/>
  <c r="Q792" i="1"/>
  <c r="AB792" i="1" s="1"/>
  <c r="Q793" i="1"/>
  <c r="AB793" i="1" s="1"/>
  <c r="Q794" i="1"/>
  <c r="AB794" i="1" s="1"/>
  <c r="Q795" i="1"/>
  <c r="AB795" i="1" s="1"/>
  <c r="Q796" i="1"/>
  <c r="AB796" i="1" s="1"/>
  <c r="Q797" i="1"/>
  <c r="Q798" i="1"/>
  <c r="AB798" i="1" s="1"/>
  <c r="Q799" i="1"/>
  <c r="AB799" i="1" s="1"/>
  <c r="Q734" i="1"/>
  <c r="AB734" i="1" s="1"/>
  <c r="Q733" i="1"/>
  <c r="AB733" i="1" s="1"/>
  <c r="Q555" i="1"/>
  <c r="AB555" i="1" s="1"/>
  <c r="Q710" i="1"/>
  <c r="Q637" i="1"/>
  <c r="Q130" i="1"/>
  <c r="Q547" i="1"/>
  <c r="Q386" i="1"/>
  <c r="Q233" i="1"/>
  <c r="Q705" i="1"/>
  <c r="Q617" i="1"/>
  <c r="Q636" i="1"/>
  <c r="Q717" i="1"/>
  <c r="Q139" i="1"/>
  <c r="Q711" i="1"/>
  <c r="Q514" i="1"/>
  <c r="Q638" i="1"/>
  <c r="Q279" i="1"/>
  <c r="Q131" i="1"/>
  <c r="Q650" i="1"/>
  <c r="Q49" i="1"/>
  <c r="Q367" i="1"/>
  <c r="Q721" i="1"/>
  <c r="Q701" i="1"/>
  <c r="Q621" i="1"/>
  <c r="Q683" i="1"/>
  <c r="Q720" i="1"/>
  <c r="Q700" i="1"/>
  <c r="Q714" i="1"/>
  <c r="Q729" i="1"/>
  <c r="Q585" i="1"/>
  <c r="Q697" i="1"/>
  <c r="Q698" i="1"/>
  <c r="Q591" i="1"/>
  <c r="Q605" i="1"/>
  <c r="Q678" i="1"/>
  <c r="Q572" i="1"/>
  <c r="Q632" i="1"/>
  <c r="Q613" i="1"/>
  <c r="Q624" i="1"/>
  <c r="Q524" i="1"/>
  <c r="Q629" i="1"/>
  <c r="Q616" i="1"/>
  <c r="Q595" i="1"/>
  <c r="Q655" i="1"/>
  <c r="Q580" i="1"/>
  <c r="Q644" i="1"/>
  <c r="Q609" i="1"/>
  <c r="Q611" i="1"/>
  <c r="Q630" i="1"/>
  <c r="Q525" i="1"/>
  <c r="Q389" i="1"/>
  <c r="Q484" i="1"/>
  <c r="Q715" i="1"/>
  <c r="Q56" i="1"/>
  <c r="Q665" i="1"/>
  <c r="Q485" i="1"/>
  <c r="Q719" i="1"/>
  <c r="Q635" i="1"/>
  <c r="Q519" i="1"/>
  <c r="Q375" i="1"/>
  <c r="Q661" i="1"/>
  <c r="Q709" i="1"/>
  <c r="Q615" i="1"/>
  <c r="Q518" i="1"/>
  <c r="Q645" i="1"/>
  <c r="Q460" i="1"/>
  <c r="Q651" i="1"/>
  <c r="Q662" i="1"/>
  <c r="Q726" i="1"/>
  <c r="Q366" i="1"/>
  <c r="Q515" i="1"/>
  <c r="Q626" i="1"/>
  <c r="Q248" i="1"/>
  <c r="Q704" i="1"/>
  <c r="Q563" i="1"/>
  <c r="Q556" i="1"/>
  <c r="Q369" i="1"/>
  <c r="Q52" i="1"/>
  <c r="Q73" i="1"/>
  <c r="Q596" i="1"/>
  <c r="Q688" i="1"/>
  <c r="Q175" i="1"/>
  <c r="Q224" i="1"/>
  <c r="Q516" i="1"/>
  <c r="Q400" i="1"/>
  <c r="Q465" i="1"/>
  <c r="Q35" i="1"/>
  <c r="Q15" i="1"/>
  <c r="Q26" i="1"/>
  <c r="Q270" i="1"/>
  <c r="Q154" i="1"/>
  <c r="Q598" i="1"/>
  <c r="Q356" i="1"/>
  <c r="Q520" i="1"/>
  <c r="Q558" i="1"/>
  <c r="Q42" i="1"/>
  <c r="Q251" i="1"/>
  <c r="Q411" i="1"/>
  <c r="Q54" i="1"/>
  <c r="Q528" i="1"/>
  <c r="Q478" i="1"/>
  <c r="Q346" i="1"/>
  <c r="Q215" i="1"/>
  <c r="Q133" i="1"/>
  <c r="Q395" i="1"/>
  <c r="Q74" i="1"/>
  <c r="Q373" i="1"/>
  <c r="Q83" i="1"/>
  <c r="Q216" i="1"/>
  <c r="Q65" i="1"/>
  <c r="Q162" i="1"/>
  <c r="Q44" i="1"/>
  <c r="Q451" i="1"/>
  <c r="Q384" i="1"/>
  <c r="Q489" i="1"/>
  <c r="Q671" i="1"/>
  <c r="Q376" i="1"/>
  <c r="Q274" i="1"/>
  <c r="Q479" i="1"/>
  <c r="Q212" i="1"/>
  <c r="Q535" i="1"/>
  <c r="Q490" i="1"/>
  <c r="Q409" i="1"/>
  <c r="Q480" i="1"/>
  <c r="Q213" i="1"/>
  <c r="Q600" i="1"/>
  <c r="Q204" i="1"/>
  <c r="Q342" i="1"/>
  <c r="Q501" i="1"/>
  <c r="Q402" i="1"/>
  <c r="Q55" i="1"/>
  <c r="Q521" i="1"/>
  <c r="Q327" i="1"/>
  <c r="Q275" i="1"/>
  <c r="Q693" i="1"/>
  <c r="Q290" i="1"/>
  <c r="Q68" i="1"/>
  <c r="Q321" i="1"/>
  <c r="Q502" i="1"/>
  <c r="Q568" i="1"/>
  <c r="Q381" i="1"/>
  <c r="Q549" i="1"/>
  <c r="Q221" i="1"/>
  <c r="Q300" i="1"/>
  <c r="Q416" i="1"/>
  <c r="Q388" i="1"/>
  <c r="Q228" i="1"/>
  <c r="Q243" i="1"/>
  <c r="Q185" i="1"/>
  <c r="Q276" i="1"/>
  <c r="Q134" i="1"/>
  <c r="Q353" i="1"/>
  <c r="Q667" i="1"/>
  <c r="Q298" i="1"/>
  <c r="Q467" i="1"/>
  <c r="Q594" i="1"/>
  <c r="Q277" i="1"/>
  <c r="Q247" i="1"/>
  <c r="Q481" i="1"/>
  <c r="Q562" i="1"/>
  <c r="Q194" i="1"/>
  <c r="Q34" i="1"/>
  <c r="Q21" i="1"/>
  <c r="Q601" i="1"/>
  <c r="Q48" i="1"/>
  <c r="Q155" i="1"/>
  <c r="Q385" i="1"/>
  <c r="Q482" i="1"/>
  <c r="Q90" i="1"/>
  <c r="Q408" i="1"/>
  <c r="Q396" i="1"/>
  <c r="Q24" i="1"/>
  <c r="Q656" i="1"/>
  <c r="Q229" i="1"/>
  <c r="Q227" i="1"/>
  <c r="Q138" i="1"/>
  <c r="Q475" i="1"/>
  <c r="Q343" i="1"/>
  <c r="Q317" i="1"/>
  <c r="Q278" i="1"/>
  <c r="Q122" i="1"/>
  <c r="Q363" i="1"/>
  <c r="Q364" i="1"/>
  <c r="Q365" i="1"/>
  <c r="Q640" i="1"/>
  <c r="Q686" i="1"/>
  <c r="Q152" i="1"/>
  <c r="Q462" i="1"/>
  <c r="Q293" i="1"/>
  <c r="Q242" i="1"/>
  <c r="Q135" i="1"/>
  <c r="Q157" i="1"/>
  <c r="Q457" i="1"/>
  <c r="Q189" i="1"/>
  <c r="Q136" i="1"/>
  <c r="Q427" i="1"/>
  <c r="Q654" i="1"/>
  <c r="Q76" i="1"/>
  <c r="Q344" i="1"/>
  <c r="Q657" i="1"/>
  <c r="Q522" i="1"/>
  <c r="Q445" i="1"/>
  <c r="Q430" i="1"/>
  <c r="Q431" i="1"/>
  <c r="Q176" i="1"/>
  <c r="Q328" i="1"/>
  <c r="Q452" i="1"/>
  <c r="Q345" i="1"/>
  <c r="Q158" i="1"/>
  <c r="Q423" i="1"/>
  <c r="Q458" i="1"/>
  <c r="Q428" i="1"/>
  <c r="Q708" i="1"/>
  <c r="Q633" i="1"/>
  <c r="Q498" i="1"/>
  <c r="Q694" i="1"/>
  <c r="Q680" i="1"/>
  <c r="Q658" i="1"/>
  <c r="Q699" i="1"/>
  <c r="Q610" i="1"/>
  <c r="Q677" i="1"/>
  <c r="Q730" i="1"/>
  <c r="Q681" i="1"/>
  <c r="Q446" i="1"/>
  <c r="Q659" i="1"/>
  <c r="Q634" i="1"/>
  <c r="Q169" i="1"/>
  <c r="Q424" i="1"/>
  <c r="Q602" i="1"/>
  <c r="Q459" i="1"/>
  <c r="Q483" i="1"/>
  <c r="Q523" i="1"/>
  <c r="Q660" i="1"/>
  <c r="Q557" i="1"/>
  <c r="Q674" i="1"/>
  <c r="Q628" i="1"/>
  <c r="Q289" i="1"/>
  <c r="Q334" i="1"/>
  <c r="Q230" i="1"/>
  <c r="Q273" i="1"/>
  <c r="Q193" i="1"/>
  <c r="Q182" i="1"/>
  <c r="Q111" i="1"/>
  <c r="Q203" i="1"/>
  <c r="Q234" i="1"/>
  <c r="Q415" i="1"/>
  <c r="Q116" i="1"/>
  <c r="Q541" i="1"/>
  <c r="Q239" i="1"/>
  <c r="Q245" i="1"/>
  <c r="Q50" i="1"/>
  <c r="Q57" i="1"/>
  <c r="Q357" i="1"/>
  <c r="Q318" i="1"/>
  <c r="Q552" i="1"/>
  <c r="Q173" i="1"/>
  <c r="Q436" i="1"/>
  <c r="Q493" i="1"/>
  <c r="Q387" i="1"/>
  <c r="Q118" i="1"/>
  <c r="Q533" i="1"/>
  <c r="Q359" i="1"/>
  <c r="Q299" i="1"/>
  <c r="Q351" i="1"/>
  <c r="Q689" i="1"/>
  <c r="Q132" i="1"/>
  <c r="Q421" i="1"/>
  <c r="Q53" i="1"/>
  <c r="Q639" i="1"/>
  <c r="Q542" i="1"/>
  <c r="Q513" i="1"/>
  <c r="Q316" i="1"/>
  <c r="Q92" i="1"/>
  <c r="Q544" i="1"/>
  <c r="Q604" i="1"/>
  <c r="Q494" i="1"/>
  <c r="Q165" i="1"/>
  <c r="Q687" i="1"/>
  <c r="Q466" i="1"/>
  <c r="Q280" i="1"/>
  <c r="Q94" i="1"/>
  <c r="Q27" i="1"/>
  <c r="Q676" i="1"/>
  <c r="Q177" i="1"/>
  <c r="Q45" i="1"/>
  <c r="Q543" i="1"/>
  <c r="Q188" i="1"/>
  <c r="Q469" i="1"/>
  <c r="Q232" i="1"/>
  <c r="Q59" i="1"/>
  <c r="Q250" i="1"/>
  <c r="Q87" i="1"/>
  <c r="Q167" i="1"/>
  <c r="Q163" i="1"/>
  <c r="Q151" i="1"/>
  <c r="Q477" i="1"/>
  <c r="Q263" i="1"/>
  <c r="Q643" i="1"/>
  <c r="Q679" i="1"/>
  <c r="Q240" i="1"/>
  <c r="Q51" i="1"/>
  <c r="Q226" i="1"/>
  <c r="Q110" i="1"/>
  <c r="Q429" i="1"/>
  <c r="Q186" i="1"/>
  <c r="Q488" i="1"/>
  <c r="Q456" i="1"/>
  <c r="Q292" i="1"/>
  <c r="Q410" i="1"/>
  <c r="Q673" i="1"/>
  <c r="Q691" i="1"/>
  <c r="Q553" i="1"/>
  <c r="Q288" i="1"/>
  <c r="Q39" i="1"/>
  <c r="Q253" i="1"/>
  <c r="Q565" i="1"/>
  <c r="Q668" i="1"/>
  <c r="Q349" i="1"/>
  <c r="Q260" i="1"/>
  <c r="Q443" i="1"/>
  <c r="Q246" i="1"/>
  <c r="Q577" i="1"/>
  <c r="Q125" i="1"/>
  <c r="Q202" i="1"/>
  <c r="Q37" i="1"/>
  <c r="Q28" i="1"/>
  <c r="Q326" i="1"/>
  <c r="Q672" i="1"/>
  <c r="Q450" i="1"/>
  <c r="Q143" i="1"/>
  <c r="Q294" i="1"/>
  <c r="Q380" i="1"/>
  <c r="Q112" i="1"/>
  <c r="AB684" i="1"/>
  <c r="AB642" i="1"/>
  <c r="AB797" i="1"/>
  <c r="AB505" i="1"/>
  <c r="AB702" i="1"/>
  <c r="AB225" i="1"/>
  <c r="AB648" i="1"/>
  <c r="AB305" i="1"/>
  <c r="AB258" i="1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8" i="3"/>
  <c r="R529" i="3"/>
  <c r="R531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8" i="3"/>
  <c r="P529" i="3"/>
  <c r="P531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L565" i="3"/>
  <c r="M565" i="3" s="1"/>
  <c r="L564" i="3"/>
  <c r="M564" i="3"/>
  <c r="L563" i="3"/>
  <c r="M563" i="3"/>
  <c r="L562" i="3"/>
  <c r="M562" i="3"/>
  <c r="L561" i="3"/>
  <c r="M561" i="3"/>
  <c r="L560" i="3"/>
  <c r="M560" i="3"/>
  <c r="L559" i="3"/>
  <c r="M559" i="3"/>
  <c r="L558" i="3"/>
  <c r="M558" i="3"/>
  <c r="L557" i="3"/>
  <c r="M557" i="3"/>
  <c r="L556" i="3"/>
  <c r="M556" i="3"/>
  <c r="L555" i="3"/>
  <c r="M555" i="3" s="1"/>
  <c r="L554" i="3"/>
  <c r="M554" i="3"/>
  <c r="L553" i="3"/>
  <c r="M553" i="3" s="1"/>
  <c r="L552" i="3"/>
  <c r="M552" i="3"/>
  <c r="L551" i="3"/>
  <c r="M551" i="3" s="1"/>
  <c r="L550" i="3"/>
  <c r="M550" i="3" s="1"/>
  <c r="L528" i="3"/>
  <c r="M528" i="3"/>
  <c r="L529" i="3"/>
  <c r="M529" i="3" s="1"/>
  <c r="L531" i="3"/>
  <c r="M531" i="3"/>
  <c r="L533" i="3"/>
  <c r="M533" i="3" s="1"/>
  <c r="L534" i="3"/>
  <c r="M534" i="3"/>
  <c r="L535" i="3"/>
  <c r="M535" i="3" s="1"/>
  <c r="L536" i="3"/>
  <c r="M536" i="3"/>
  <c r="L537" i="3"/>
  <c r="M537" i="3" s="1"/>
  <c r="L538" i="3"/>
  <c r="M538" i="3"/>
  <c r="L539" i="3"/>
  <c r="M539" i="3" s="1"/>
  <c r="L540" i="3"/>
  <c r="M540" i="3"/>
  <c r="L541" i="3"/>
  <c r="M541" i="3" s="1"/>
  <c r="L542" i="3"/>
  <c r="M542" i="3"/>
  <c r="L543" i="3"/>
  <c r="M543" i="3" s="1"/>
  <c r="L544" i="3"/>
  <c r="M544" i="3"/>
  <c r="L545" i="3"/>
  <c r="M545" i="3" s="1"/>
  <c r="L547" i="3"/>
  <c r="M547" i="3"/>
  <c r="L548" i="3"/>
  <c r="M548" i="3" s="1"/>
  <c r="L549" i="3"/>
  <c r="M549" i="3"/>
  <c r="L526" i="3"/>
  <c r="M526" i="3" s="1"/>
  <c r="L525" i="3"/>
  <c r="M525" i="3"/>
  <c r="L524" i="3"/>
  <c r="M524" i="3" s="1"/>
  <c r="L523" i="3"/>
  <c r="M523" i="3" s="1"/>
  <c r="L522" i="3"/>
  <c r="M522" i="3"/>
  <c r="L521" i="3"/>
  <c r="M521" i="3"/>
  <c r="L520" i="3"/>
  <c r="M520" i="3"/>
  <c r="L519" i="3"/>
  <c r="M519" i="3"/>
  <c r="L518" i="3"/>
  <c r="M518" i="3" s="1"/>
  <c r="L517" i="3"/>
  <c r="M517" i="3" s="1"/>
  <c r="L516" i="3"/>
  <c r="M516" i="3" s="1"/>
  <c r="L515" i="3"/>
  <c r="M515" i="3"/>
  <c r="L514" i="3"/>
  <c r="M514" i="3"/>
  <c r="P513" i="3" l="1"/>
  <c r="R513" i="3" s="1"/>
  <c r="L513" i="3"/>
  <c r="M513" i="3"/>
  <c r="P512" i="3"/>
  <c r="R512" i="3" s="1"/>
  <c r="L512" i="3"/>
  <c r="M512" i="3" s="1"/>
  <c r="R511" i="3"/>
  <c r="P511" i="3"/>
  <c r="L511" i="3"/>
  <c r="M511" i="3" s="1"/>
  <c r="P510" i="3"/>
  <c r="R510" i="3" s="1"/>
  <c r="L510" i="3"/>
  <c r="M510" i="3"/>
  <c r="P500" i="3"/>
  <c r="R500" i="3" s="1"/>
  <c r="P501" i="3"/>
  <c r="R501" i="3" s="1"/>
  <c r="P498" i="3"/>
  <c r="R498" i="3" s="1"/>
  <c r="P499" i="3"/>
  <c r="R499" i="3" s="1"/>
  <c r="P502" i="3"/>
  <c r="R502" i="3" s="1"/>
  <c r="P503" i="3"/>
  <c r="R503" i="3" s="1"/>
  <c r="P504" i="3"/>
  <c r="R504" i="3" s="1"/>
  <c r="P505" i="3"/>
  <c r="R505" i="3" s="1"/>
  <c r="P506" i="3"/>
  <c r="R506" i="3" s="1"/>
  <c r="P507" i="3"/>
  <c r="R507" i="3" s="1"/>
  <c r="P508" i="3"/>
  <c r="R508" i="3" s="1"/>
  <c r="P509" i="3"/>
  <c r="R509" i="3" s="1"/>
  <c r="L498" i="3"/>
  <c r="M498" i="3" s="1"/>
  <c r="L499" i="3"/>
  <c r="M499" i="3" s="1"/>
  <c r="L500" i="3"/>
  <c r="M500" i="3" s="1"/>
  <c r="L501" i="3"/>
  <c r="M501" i="3" s="1"/>
  <c r="L502" i="3"/>
  <c r="M502" i="3" s="1"/>
  <c r="L503" i="3"/>
  <c r="M503" i="3" s="1"/>
  <c r="L504" i="3"/>
  <c r="M504" i="3" s="1"/>
  <c r="L505" i="3"/>
  <c r="M505" i="3" s="1"/>
  <c r="L506" i="3"/>
  <c r="M506" i="3" s="1"/>
  <c r="L507" i="3"/>
  <c r="M507" i="3" s="1"/>
  <c r="L508" i="3"/>
  <c r="M508" i="3" s="1"/>
  <c r="L509" i="3"/>
  <c r="M509" i="3" s="1"/>
  <c r="P492" i="3"/>
  <c r="R492" i="3" s="1"/>
  <c r="P493" i="3"/>
  <c r="R493" i="3" s="1"/>
  <c r="P494" i="3"/>
  <c r="R494" i="3" s="1"/>
  <c r="P495" i="3"/>
  <c r="R495" i="3" s="1"/>
  <c r="P496" i="3"/>
  <c r="R496" i="3" s="1"/>
  <c r="P474" i="3"/>
  <c r="P475" i="3"/>
  <c r="R475" i="3" s="1"/>
  <c r="P476" i="3"/>
  <c r="R476" i="3" s="1"/>
  <c r="P477" i="3"/>
  <c r="P478" i="3"/>
  <c r="P479" i="3"/>
  <c r="R479" i="3" s="1"/>
  <c r="P480" i="3"/>
  <c r="R480" i="3" s="1"/>
  <c r="P481" i="3"/>
  <c r="R481" i="3" s="1"/>
  <c r="P482" i="3"/>
  <c r="P483" i="3"/>
  <c r="R483" i="3" s="1"/>
  <c r="P484" i="3"/>
  <c r="R484" i="3" s="1"/>
  <c r="P485" i="3"/>
  <c r="P486" i="3"/>
  <c r="R486" i="3" s="1"/>
  <c r="P487" i="3"/>
  <c r="R487" i="3" s="1"/>
  <c r="P488" i="3"/>
  <c r="R488" i="3" s="1"/>
  <c r="P489" i="3"/>
  <c r="R489" i="3" s="1"/>
  <c r="P490" i="3"/>
  <c r="R490" i="3" s="1"/>
  <c r="P491" i="3"/>
  <c r="R491" i="3" s="1"/>
  <c r="L496" i="3"/>
  <c r="M496" i="3" s="1"/>
  <c r="L495" i="3"/>
  <c r="M495" i="3" s="1"/>
  <c r="M494" i="3"/>
  <c r="L494" i="3"/>
  <c r="L493" i="3"/>
  <c r="M493" i="3" s="1"/>
  <c r="L492" i="3"/>
  <c r="M492" i="3" s="1"/>
  <c r="R485" i="3"/>
  <c r="R482" i="3"/>
  <c r="R478" i="3"/>
  <c r="R477" i="3"/>
  <c r="M442" i="1" l="1"/>
  <c r="M301" i="1"/>
  <c r="L140" i="3" l="1"/>
  <c r="M140" i="3" s="1"/>
  <c r="L141" i="3"/>
  <c r="M141" i="3" s="1"/>
  <c r="L142" i="3"/>
  <c r="M142" i="3" s="1"/>
  <c r="L143" i="3"/>
  <c r="M143" i="3" s="1"/>
  <c r="L144" i="3"/>
  <c r="M144" i="3" s="1"/>
  <c r="L145" i="3"/>
  <c r="M145" i="3" s="1"/>
  <c r="L146" i="3"/>
  <c r="M146" i="3" s="1"/>
  <c r="L147" i="3"/>
  <c r="M147" i="3" s="1"/>
  <c r="L148" i="3"/>
  <c r="M148" i="3" s="1"/>
  <c r="L114" i="3"/>
  <c r="M114" i="3" s="1"/>
  <c r="L115" i="3"/>
  <c r="M115" i="3" s="1"/>
  <c r="L116" i="3"/>
  <c r="M116" i="3" s="1"/>
  <c r="L117" i="3"/>
  <c r="M117" i="3" s="1"/>
  <c r="L118" i="3"/>
  <c r="M118" i="3" s="1"/>
  <c r="L119" i="3"/>
  <c r="M119" i="3" s="1"/>
  <c r="L120" i="3"/>
  <c r="M120" i="3" s="1"/>
  <c r="L121" i="3"/>
  <c r="M121" i="3" s="1"/>
  <c r="L122" i="3"/>
  <c r="M122" i="3" s="1"/>
  <c r="L2" i="3"/>
  <c r="M2" i="3" s="1"/>
  <c r="L3" i="3"/>
  <c r="M3" i="3" s="1"/>
  <c r="L4" i="3"/>
  <c r="M4" i="3" s="1"/>
  <c r="L5" i="3"/>
  <c r="M5" i="3" s="1"/>
  <c r="L6" i="3"/>
  <c r="M6" i="3" s="1"/>
  <c r="L7" i="3"/>
  <c r="M7" i="3" s="1"/>
  <c r="L8" i="3"/>
  <c r="M8" i="3" s="1"/>
  <c r="L9" i="3"/>
  <c r="M9" i="3" s="1"/>
  <c r="L10" i="3"/>
  <c r="M10" i="3" s="1"/>
  <c r="L11" i="3"/>
  <c r="M11" i="3" s="1"/>
  <c r="L12" i="3"/>
  <c r="M12" i="3" s="1"/>
  <c r="L13" i="3"/>
  <c r="M13" i="3" s="1"/>
  <c r="L14" i="3"/>
  <c r="M14" i="3" s="1"/>
  <c r="L15" i="3"/>
  <c r="M15" i="3" s="1"/>
  <c r="L16" i="3"/>
  <c r="M16" i="3" s="1"/>
  <c r="L17" i="3"/>
  <c r="M17" i="3" s="1"/>
  <c r="L18" i="3"/>
  <c r="M18" i="3" s="1"/>
  <c r="R474" i="3"/>
  <c r="P473" i="3"/>
  <c r="R473" i="3" s="1"/>
  <c r="L474" i="3"/>
  <c r="M474" i="3" s="1"/>
  <c r="L473" i="3"/>
  <c r="M473" i="3" s="1"/>
  <c r="AB442" i="1"/>
  <c r="W442" i="1"/>
  <c r="X442" i="1" s="1"/>
  <c r="AB301" i="1"/>
  <c r="W301" i="1"/>
  <c r="X301" i="1" s="1"/>
  <c r="M628" i="1" l="1"/>
  <c r="AB628" i="1" s="1"/>
  <c r="M375" i="1"/>
  <c r="AB375" i="1" s="1"/>
  <c r="M276" i="1"/>
  <c r="M479" i="1"/>
  <c r="M544" i="1"/>
  <c r="M354" i="1"/>
  <c r="AB354" i="1" s="1"/>
  <c r="M736" i="1"/>
  <c r="AB736" i="1" s="1"/>
  <c r="M669" i="1"/>
  <c r="M692" i="1"/>
  <c r="M461" i="1"/>
  <c r="M722" i="1"/>
  <c r="AB722" i="1" s="1"/>
  <c r="M685" i="1"/>
  <c r="AB685" i="1" s="1"/>
  <c r="M517" i="1"/>
  <c r="AB517" i="1" s="1"/>
  <c r="M218" i="1"/>
  <c r="AB218" i="1" s="1"/>
  <c r="M266" i="1"/>
  <c r="AB266" i="1" s="1"/>
  <c r="M564" i="1"/>
  <c r="AB564" i="1" s="1"/>
  <c r="M146" i="1"/>
  <c r="AB146" i="1" s="1"/>
  <c r="M723" i="1"/>
  <c r="AB723" i="1" s="1"/>
  <c r="M159" i="1"/>
  <c r="AB159" i="1" s="1"/>
  <c r="M503" i="1"/>
  <c r="AB503" i="1" s="1"/>
  <c r="M107" i="1"/>
  <c r="AB107" i="1" s="1"/>
  <c r="M374" i="1"/>
  <c r="AB374" i="1" s="1"/>
  <c r="M666" i="1"/>
  <c r="AB666" i="1" s="1"/>
  <c r="M249" i="1"/>
  <c r="AB249" i="1" s="1"/>
  <c r="M196" i="1"/>
  <c r="AB196" i="1" s="1"/>
  <c r="M121" i="1"/>
  <c r="AB121" i="1" s="1"/>
  <c r="M675" i="1"/>
  <c r="AB675" i="1" s="1"/>
  <c r="M414" i="1"/>
  <c r="AB414" i="1" s="1"/>
  <c r="M576" i="1"/>
  <c r="AB576" i="1" s="1"/>
  <c r="M548" i="1"/>
  <c r="AB548" i="1" s="1"/>
  <c r="M653" i="1"/>
  <c r="AB653" i="1" s="1"/>
  <c r="M696" i="1"/>
  <c r="AB696" i="1" s="1"/>
  <c r="M682" i="1"/>
  <c r="AB682" i="1" s="1"/>
  <c r="M631" i="1"/>
  <c r="AB631" i="1" s="1"/>
  <c r="M593" i="1"/>
  <c r="AB593" i="1" s="1"/>
  <c r="U593" i="1"/>
  <c r="W593" i="1" s="1"/>
  <c r="X593" i="1" s="1"/>
  <c r="U631" i="1"/>
  <c r="W631" i="1" s="1"/>
  <c r="X631" i="1" s="1"/>
  <c r="U682" i="1"/>
  <c r="W682" i="1" s="1"/>
  <c r="X682" i="1" s="1"/>
  <c r="U696" i="1"/>
  <c r="W696" i="1" s="1"/>
  <c r="X696" i="1" s="1"/>
  <c r="U653" i="1"/>
  <c r="W653" i="1" s="1"/>
  <c r="X653" i="1" s="1"/>
  <c r="W548" i="1"/>
  <c r="X548" i="1" s="1"/>
  <c r="W576" i="1"/>
  <c r="X576" i="1" s="1"/>
  <c r="E451" i="4" l="1"/>
  <c r="E450" i="4"/>
  <c r="E449" i="4"/>
  <c r="E448" i="4"/>
  <c r="E447" i="4"/>
  <c r="E446" i="4"/>
  <c r="E445" i="4"/>
  <c r="E444" i="4"/>
  <c r="E443" i="4"/>
  <c r="E442" i="4"/>
  <c r="E441" i="4"/>
  <c r="P15" i="3"/>
  <c r="P12" i="3"/>
  <c r="P13" i="3"/>
  <c r="P146" i="3"/>
  <c r="P472" i="3"/>
  <c r="R472" i="3" s="1"/>
  <c r="L472" i="3"/>
  <c r="M472" i="3" s="1"/>
  <c r="P471" i="3"/>
  <c r="R471" i="3" s="1"/>
  <c r="L471" i="3"/>
  <c r="M471" i="3" s="1"/>
  <c r="P470" i="3"/>
  <c r="R470" i="3" s="1"/>
  <c r="L470" i="3"/>
  <c r="M470" i="3" s="1"/>
  <c r="P469" i="3"/>
  <c r="R469" i="3" s="1"/>
  <c r="L469" i="3"/>
  <c r="M469" i="3" s="1"/>
  <c r="P468" i="3"/>
  <c r="R468" i="3" s="1"/>
  <c r="L468" i="3"/>
  <c r="M468" i="3" s="1"/>
  <c r="P467" i="3"/>
  <c r="R467" i="3" s="1"/>
  <c r="L467" i="3"/>
  <c r="M467" i="3" s="1"/>
  <c r="P466" i="3"/>
  <c r="R466" i="3" s="1"/>
  <c r="L466" i="3"/>
  <c r="M466" i="3" s="1"/>
  <c r="P465" i="3"/>
  <c r="R465" i="3" s="1"/>
  <c r="L465" i="3"/>
  <c r="M465" i="3" s="1"/>
  <c r="P464" i="3"/>
  <c r="R464" i="3" s="1"/>
  <c r="L464" i="3"/>
  <c r="M464" i="3" s="1"/>
  <c r="P463" i="3"/>
  <c r="R463" i="3" s="1"/>
  <c r="L463" i="3"/>
  <c r="M463" i="3" s="1"/>
  <c r="P462" i="3"/>
  <c r="R462" i="3" s="1"/>
  <c r="L462" i="3"/>
  <c r="M462" i="3" s="1"/>
  <c r="P461" i="3"/>
  <c r="R461" i="3" s="1"/>
  <c r="L461" i="3"/>
  <c r="M461" i="3" s="1"/>
  <c r="P460" i="3"/>
  <c r="R460" i="3" s="1"/>
  <c r="L460" i="3"/>
  <c r="M460" i="3" s="1"/>
  <c r="P459" i="3"/>
  <c r="R459" i="3" s="1"/>
  <c r="L459" i="3"/>
  <c r="M459" i="3" s="1"/>
  <c r="P458" i="3"/>
  <c r="R458" i="3" s="1"/>
  <c r="L458" i="3"/>
  <c r="M458" i="3" s="1"/>
  <c r="P457" i="3"/>
  <c r="R457" i="3" s="1"/>
  <c r="L457" i="3"/>
  <c r="M457" i="3" s="1"/>
  <c r="P456" i="3"/>
  <c r="R456" i="3" s="1"/>
  <c r="L456" i="3"/>
  <c r="M456" i="3" s="1"/>
  <c r="P455" i="3"/>
  <c r="R455" i="3" s="1"/>
  <c r="L455" i="3"/>
  <c r="M455" i="3" s="1"/>
  <c r="P454" i="3"/>
  <c r="R454" i="3" s="1"/>
  <c r="L454" i="3"/>
  <c r="M454" i="3" s="1"/>
  <c r="P453" i="3"/>
  <c r="R453" i="3" s="1"/>
  <c r="L453" i="3"/>
  <c r="M453" i="3" s="1"/>
  <c r="W4" i="1" l="1"/>
  <c r="X4" i="1" s="1"/>
  <c r="W3" i="1"/>
  <c r="X3" i="1" s="1"/>
  <c r="W414" i="1"/>
  <c r="X414" i="1" s="1"/>
  <c r="W354" i="1"/>
  <c r="X354" i="1" s="1"/>
  <c r="W675" i="1"/>
  <c r="X675" i="1" s="1"/>
  <c r="W121" i="1"/>
  <c r="X121" i="1" s="1"/>
  <c r="W196" i="1"/>
  <c r="X196" i="1" s="1"/>
  <c r="W249" i="1"/>
  <c r="X249" i="1" s="1"/>
  <c r="W666" i="1"/>
  <c r="X666" i="1" s="1"/>
  <c r="W374" i="1"/>
  <c r="X374" i="1" s="1"/>
  <c r="W107" i="1"/>
  <c r="X107" i="1" s="1"/>
  <c r="P439" i="3" l="1"/>
  <c r="R439" i="3" s="1"/>
  <c r="P440" i="3"/>
  <c r="R440" i="3" s="1"/>
  <c r="P441" i="3"/>
  <c r="R441" i="3" s="1"/>
  <c r="P442" i="3"/>
  <c r="R442" i="3" s="1"/>
  <c r="P443" i="3"/>
  <c r="R443" i="3" s="1"/>
  <c r="P444" i="3"/>
  <c r="R444" i="3" s="1"/>
  <c r="P445" i="3"/>
  <c r="R445" i="3" s="1"/>
  <c r="P446" i="3"/>
  <c r="R446" i="3" s="1"/>
  <c r="P447" i="3"/>
  <c r="R447" i="3" s="1"/>
  <c r="P448" i="3"/>
  <c r="R448" i="3" s="1"/>
  <c r="P449" i="3"/>
  <c r="R449" i="3" s="1"/>
  <c r="P450" i="3"/>
  <c r="R450" i="3" s="1"/>
  <c r="P451" i="3"/>
  <c r="R451" i="3" s="1"/>
  <c r="P452" i="3"/>
  <c r="R452" i="3" s="1"/>
  <c r="L452" i="3"/>
  <c r="M452" i="3" s="1"/>
  <c r="L451" i="3"/>
  <c r="M451" i="3" s="1"/>
  <c r="L450" i="3"/>
  <c r="M450" i="3" s="1"/>
  <c r="L449" i="3"/>
  <c r="M449" i="3" s="1"/>
  <c r="L448" i="3"/>
  <c r="M448" i="3" s="1"/>
  <c r="L447" i="3"/>
  <c r="M447" i="3" s="1"/>
  <c r="L446" i="3"/>
  <c r="M446" i="3" s="1"/>
  <c r="L445" i="3"/>
  <c r="M445" i="3" s="1"/>
  <c r="L444" i="3"/>
  <c r="M444" i="3" s="1"/>
  <c r="L443" i="3"/>
  <c r="M443" i="3" s="1"/>
  <c r="L442" i="3"/>
  <c r="M442" i="3" s="1"/>
  <c r="L441" i="3"/>
  <c r="M441" i="3" s="1"/>
  <c r="L440" i="3"/>
  <c r="M440" i="3" s="1"/>
  <c r="L439" i="3"/>
  <c r="M439" i="3" s="1"/>
  <c r="W503" i="1"/>
  <c r="X503" i="1" s="1"/>
  <c r="W159" i="1"/>
  <c r="X159" i="1" s="1"/>
  <c r="W723" i="1"/>
  <c r="X723" i="1" s="1"/>
  <c r="W146" i="1"/>
  <c r="X146" i="1" s="1"/>
  <c r="W564" i="1"/>
  <c r="X564" i="1" s="1"/>
  <c r="W266" i="1"/>
  <c r="X266" i="1" s="1"/>
  <c r="W218" i="1"/>
  <c r="X218" i="1" s="1"/>
  <c r="W517" i="1"/>
  <c r="X517" i="1" s="1"/>
  <c r="W685" i="1"/>
  <c r="X685" i="1" s="1"/>
  <c r="W722" i="1"/>
  <c r="X722" i="1" s="1"/>
  <c r="AB461" i="1"/>
  <c r="AB692" i="1"/>
  <c r="W461" i="1"/>
  <c r="X461" i="1" s="1"/>
  <c r="V692" i="1"/>
  <c r="U692" i="1"/>
  <c r="W736" i="1"/>
  <c r="X736" i="1" s="1"/>
  <c r="AB669" i="1"/>
  <c r="U669" i="1"/>
  <c r="W669" i="1" s="1"/>
  <c r="X669" i="1" s="1"/>
  <c r="W692" i="1" l="1"/>
  <c r="X692" i="1" s="1"/>
  <c r="E71" i="4"/>
  <c r="E40" i="4" l="1"/>
  <c r="E41" i="4"/>
  <c r="E42" i="4"/>
  <c r="E43" i="4"/>
  <c r="E44" i="4"/>
  <c r="E45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4" i="4"/>
  <c r="E95" i="4"/>
  <c r="E96" i="4"/>
  <c r="E97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4" i="4"/>
  <c r="E115" i="4"/>
  <c r="E116" i="4"/>
  <c r="E117" i="4"/>
  <c r="E119" i="4"/>
  <c r="E120" i="4"/>
  <c r="E122" i="4"/>
  <c r="E123" i="4"/>
  <c r="E125" i="4"/>
  <c r="E126" i="4"/>
  <c r="E128" i="4"/>
  <c r="E129" i="4"/>
  <c r="E130" i="4"/>
  <c r="E131" i="4"/>
  <c r="E132" i="4"/>
  <c r="E134" i="4"/>
  <c r="E136" i="4"/>
  <c r="E137" i="4"/>
  <c r="E138" i="4"/>
  <c r="E139" i="4"/>
  <c r="E141" i="4"/>
  <c r="E142" i="4"/>
  <c r="E143" i="4"/>
  <c r="E144" i="4"/>
  <c r="E145" i="4"/>
  <c r="E146" i="4"/>
  <c r="E148" i="4"/>
  <c r="E149" i="4"/>
  <c r="E151" i="4"/>
  <c r="E152" i="4"/>
  <c r="E153" i="4"/>
  <c r="E154" i="4"/>
  <c r="E155" i="4"/>
  <c r="E157" i="4"/>
  <c r="E158" i="4"/>
  <c r="E159" i="4"/>
  <c r="E160" i="4"/>
  <c r="E161" i="4"/>
  <c r="E162" i="4"/>
  <c r="E165" i="4"/>
  <c r="E166" i="4"/>
  <c r="E167" i="4"/>
  <c r="E168" i="4"/>
  <c r="E169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9" i="4"/>
  <c r="E280" i="4"/>
  <c r="E281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39" i="4"/>
  <c r="E38" i="4"/>
  <c r="E37" i="4"/>
  <c r="E36" i="4"/>
  <c r="E35" i="4"/>
  <c r="E34" i="4"/>
  <c r="E33" i="4"/>
  <c r="E32" i="4"/>
  <c r="E30" i="4"/>
  <c r="E29" i="4"/>
  <c r="E28" i="4"/>
  <c r="E27" i="4"/>
  <c r="E26" i="4"/>
  <c r="E25" i="4"/>
  <c r="E24" i="4"/>
  <c r="E23" i="4"/>
  <c r="E16" i="4"/>
  <c r="E17" i="4"/>
  <c r="E18" i="4"/>
  <c r="E19" i="4"/>
  <c r="E20" i="4"/>
  <c r="E21" i="4"/>
  <c r="E22" i="4"/>
  <c r="E9" i="4"/>
  <c r="E10" i="4"/>
  <c r="E11" i="4"/>
  <c r="E12" i="4"/>
  <c r="E13" i="4"/>
  <c r="E14" i="4"/>
  <c r="E15" i="4"/>
  <c r="E8" i="4"/>
  <c r="L240" i="4" l="1"/>
  <c r="P438" i="3" l="1"/>
  <c r="R438" i="3" s="1"/>
  <c r="L438" i="3"/>
  <c r="M438" i="3" s="1"/>
  <c r="P437" i="3"/>
  <c r="R437" i="3" s="1"/>
  <c r="L437" i="3"/>
  <c r="M437" i="3" s="1"/>
  <c r="P436" i="3"/>
  <c r="R436" i="3" s="1"/>
  <c r="L436" i="3"/>
  <c r="M436" i="3" s="1"/>
  <c r="P435" i="3"/>
  <c r="R435" i="3" s="1"/>
  <c r="L435" i="3"/>
  <c r="M435" i="3" s="1"/>
  <c r="P434" i="3"/>
  <c r="R434" i="3" s="1"/>
  <c r="P433" i="3"/>
  <c r="R433" i="3" s="1"/>
  <c r="L434" i="3"/>
  <c r="M434" i="3" s="1"/>
  <c r="L433" i="3"/>
  <c r="M433" i="3" s="1"/>
  <c r="P432" i="3"/>
  <c r="R432" i="3" s="1"/>
  <c r="P431" i="3"/>
  <c r="R431" i="3" s="1"/>
  <c r="L432" i="3"/>
  <c r="M432" i="3" s="1"/>
  <c r="P430" i="3"/>
  <c r="R430" i="3" s="1"/>
  <c r="L431" i="3"/>
  <c r="M431" i="3" s="1"/>
  <c r="L430" i="3"/>
  <c r="M430" i="3" s="1"/>
  <c r="P429" i="3"/>
  <c r="R429" i="3" s="1"/>
  <c r="P428" i="3"/>
  <c r="R428" i="3" s="1"/>
  <c r="L429" i="3"/>
  <c r="M429" i="3" s="1"/>
  <c r="L428" i="3"/>
  <c r="M428" i="3" s="1"/>
  <c r="P427" i="3"/>
  <c r="R427" i="3" s="1"/>
  <c r="L427" i="3"/>
  <c r="M427" i="3" s="1"/>
  <c r="P426" i="3"/>
  <c r="R426" i="3" s="1"/>
  <c r="P425" i="3"/>
  <c r="R425" i="3" s="1"/>
  <c r="L426" i="3"/>
  <c r="M426" i="3" s="1"/>
  <c r="L425" i="3"/>
  <c r="M425" i="3" s="1"/>
  <c r="P424" i="3"/>
  <c r="R424" i="3" s="1"/>
  <c r="L424" i="3"/>
  <c r="M424" i="3" s="1"/>
  <c r="P423" i="3"/>
  <c r="R423" i="3" s="1"/>
  <c r="P422" i="3"/>
  <c r="R422" i="3" s="1"/>
  <c r="L423" i="3"/>
  <c r="M423" i="3" s="1"/>
  <c r="L422" i="3"/>
  <c r="M422" i="3" s="1"/>
  <c r="P421" i="3"/>
  <c r="R421" i="3" s="1"/>
  <c r="L421" i="3"/>
  <c r="M421" i="3" s="1"/>
  <c r="P420" i="3"/>
  <c r="R420" i="3" s="1"/>
  <c r="P419" i="3"/>
  <c r="R419" i="3" s="1"/>
  <c r="L420" i="3"/>
  <c r="M420" i="3" s="1"/>
  <c r="L419" i="3"/>
  <c r="M419" i="3" s="1"/>
  <c r="M515" i="1"/>
  <c r="AB515" i="1" s="1"/>
  <c r="M710" i="1"/>
  <c r="AB710" i="1" s="1"/>
  <c r="K572" i="1"/>
  <c r="M583" i="1"/>
  <c r="AB583" i="1" s="1"/>
  <c r="M592" i="1"/>
  <c r="AB592" i="1" s="1"/>
  <c r="M584" i="1"/>
  <c r="AB584" i="1" s="1"/>
  <c r="M646" i="1"/>
  <c r="AB646" i="1" s="1"/>
  <c r="M106" i="1"/>
  <c r="AB106" i="1" s="1"/>
  <c r="M575" i="1"/>
  <c r="AB575" i="1" s="1"/>
  <c r="M96" i="1"/>
  <c r="AB96" i="1" s="1"/>
  <c r="M67" i="1"/>
  <c r="AB67" i="1" s="1"/>
  <c r="M545" i="1"/>
  <c r="AB545" i="1" s="1"/>
  <c r="M652" i="1"/>
  <c r="AB652" i="1" s="1"/>
  <c r="M713" i="1"/>
  <c r="AB713" i="1" s="1"/>
  <c r="M618" i="1"/>
  <c r="AB618" i="1" s="1"/>
  <c r="M706" i="1"/>
  <c r="AB706" i="1" s="1"/>
  <c r="M735" i="1"/>
  <c r="AB735" i="1" s="1"/>
  <c r="M195" i="1"/>
  <c r="AB195" i="1" s="1"/>
  <c r="M663" i="1"/>
  <c r="AB663" i="1" s="1"/>
  <c r="M695" i="1"/>
  <c r="AB695" i="1" s="1"/>
  <c r="M574" i="1"/>
  <c r="AB574" i="1" s="1"/>
  <c r="M629" i="1"/>
  <c r="AB629" i="1" s="1"/>
  <c r="M616" i="1"/>
  <c r="AB616" i="1" s="1"/>
  <c r="M595" i="1"/>
  <c r="AB595" i="1" s="1"/>
  <c r="M655" i="1"/>
  <c r="AB655" i="1" s="1"/>
  <c r="M580" i="1"/>
  <c r="AB580" i="1" s="1"/>
  <c r="M644" i="1"/>
  <c r="AB644" i="1" s="1"/>
  <c r="M609" i="1"/>
  <c r="AB609" i="1" s="1"/>
  <c r="M611" i="1"/>
  <c r="AB611" i="1" s="1"/>
  <c r="M630" i="1"/>
  <c r="AB630" i="1" s="1"/>
  <c r="M525" i="1"/>
  <c r="AB525" i="1" s="1"/>
  <c r="M389" i="1"/>
  <c r="AB389" i="1" s="1"/>
  <c r="M484" i="1"/>
  <c r="AB484" i="1" s="1"/>
  <c r="M715" i="1"/>
  <c r="AB715" i="1" s="1"/>
  <c r="M56" i="1"/>
  <c r="AB56" i="1" s="1"/>
  <c r="M665" i="1"/>
  <c r="AB665" i="1" s="1"/>
  <c r="M485" i="1"/>
  <c r="AB485" i="1" s="1"/>
  <c r="M719" i="1"/>
  <c r="AB719" i="1" s="1"/>
  <c r="M635" i="1"/>
  <c r="AB635" i="1" s="1"/>
  <c r="M519" i="1"/>
  <c r="AB519" i="1" s="1"/>
  <c r="M637" i="1"/>
  <c r="AB637" i="1" s="1"/>
  <c r="M130" i="1"/>
  <c r="AB130" i="1" s="1"/>
  <c r="M547" i="1"/>
  <c r="AB547" i="1" s="1"/>
  <c r="M386" i="1"/>
  <c r="AB386" i="1" s="1"/>
  <c r="M233" i="1"/>
  <c r="AB233" i="1" s="1"/>
  <c r="M705" i="1"/>
  <c r="AB705" i="1" s="1"/>
  <c r="M617" i="1"/>
  <c r="AB617" i="1" s="1"/>
  <c r="M636" i="1"/>
  <c r="AB636" i="1" s="1"/>
  <c r="M717" i="1"/>
  <c r="AB717" i="1" s="1"/>
  <c r="M139" i="1"/>
  <c r="AB139" i="1" s="1"/>
  <c r="M711" i="1"/>
  <c r="AB711" i="1" s="1"/>
  <c r="M514" i="1"/>
  <c r="AB514" i="1" s="1"/>
  <c r="M638" i="1"/>
  <c r="AB638" i="1" s="1"/>
  <c r="M279" i="1"/>
  <c r="AB279" i="1" s="1"/>
  <c r="M131" i="1"/>
  <c r="AB131" i="1" s="1"/>
  <c r="M650" i="1"/>
  <c r="AB650" i="1" s="1"/>
  <c r="M49" i="1"/>
  <c r="AB49" i="1" s="1"/>
  <c r="M367" i="1"/>
  <c r="AB367" i="1" s="1"/>
  <c r="M721" i="1"/>
  <c r="AB721" i="1" s="1"/>
  <c r="M701" i="1"/>
  <c r="AB701" i="1" s="1"/>
  <c r="M621" i="1"/>
  <c r="AB621" i="1" s="1"/>
  <c r="M585" i="1"/>
  <c r="AB585" i="1" s="1"/>
  <c r="M524" i="1"/>
  <c r="AB524" i="1" s="1"/>
  <c r="M489" i="1"/>
  <c r="M671" i="1"/>
  <c r="M376" i="1"/>
  <c r="M274" i="1"/>
  <c r="M212" i="1"/>
  <c r="M535" i="1"/>
  <c r="M490" i="1"/>
  <c r="M409" i="1"/>
  <c r="M480" i="1"/>
  <c r="M213" i="1"/>
  <c r="M600" i="1"/>
  <c r="M204" i="1"/>
  <c r="M342" i="1"/>
  <c r="M501" i="1"/>
  <c r="M402" i="1"/>
  <c r="M55" i="1"/>
  <c r="M521" i="1"/>
  <c r="M327" i="1"/>
  <c r="M275" i="1"/>
  <c r="M693" i="1"/>
  <c r="M290" i="1"/>
  <c r="M68" i="1"/>
  <c r="M321" i="1"/>
  <c r="M502" i="1"/>
  <c r="M568" i="1"/>
  <c r="M381" i="1"/>
  <c r="M549" i="1"/>
  <c r="M221" i="1"/>
  <c r="M300" i="1"/>
  <c r="M416" i="1"/>
  <c r="M388" i="1"/>
  <c r="M228" i="1"/>
  <c r="M243" i="1"/>
  <c r="M185" i="1"/>
  <c r="M134" i="1"/>
  <c r="M353" i="1"/>
  <c r="M667" i="1"/>
  <c r="M298" i="1"/>
  <c r="M467" i="1"/>
  <c r="M594" i="1"/>
  <c r="M277" i="1"/>
  <c r="M247" i="1"/>
  <c r="M481" i="1"/>
  <c r="M562" i="1"/>
  <c r="M194" i="1"/>
  <c r="M34" i="1"/>
  <c r="M21" i="1"/>
  <c r="M601" i="1"/>
  <c r="M48" i="1"/>
  <c r="M155" i="1"/>
  <c r="M385" i="1"/>
  <c r="M482" i="1"/>
  <c r="M90" i="1"/>
  <c r="M408" i="1"/>
  <c r="M396" i="1"/>
  <c r="M24" i="1"/>
  <c r="M656" i="1"/>
  <c r="M229" i="1"/>
  <c r="M227" i="1"/>
  <c r="M138" i="1"/>
  <c r="M475" i="1"/>
  <c r="M343" i="1"/>
  <c r="M317" i="1"/>
  <c r="M278" i="1"/>
  <c r="M122" i="1"/>
  <c r="M363" i="1"/>
  <c r="M364" i="1"/>
  <c r="M365" i="1"/>
  <c r="M135" i="1"/>
  <c r="M157" i="1"/>
  <c r="M457" i="1"/>
  <c r="M189" i="1"/>
  <c r="M136" i="1"/>
  <c r="M427" i="1"/>
  <c r="M76" i="1"/>
  <c r="M344" i="1"/>
  <c r="M657" i="1"/>
  <c r="M522" i="1"/>
  <c r="M445" i="1"/>
  <c r="M430" i="1"/>
  <c r="M431" i="1"/>
  <c r="M176" i="1"/>
  <c r="M328" i="1"/>
  <c r="M452" i="1"/>
  <c r="M345" i="1"/>
  <c r="M158" i="1"/>
  <c r="M423" i="1"/>
  <c r="M458" i="1"/>
  <c r="M428" i="1"/>
  <c r="M708" i="1"/>
  <c r="M633" i="1"/>
  <c r="M498" i="1"/>
  <c r="M694" i="1"/>
  <c r="M680" i="1"/>
  <c r="M658" i="1"/>
  <c r="M699" i="1"/>
  <c r="M610" i="1"/>
  <c r="M677" i="1"/>
  <c r="M730" i="1"/>
  <c r="M681" i="1"/>
  <c r="M446" i="1"/>
  <c r="M659" i="1"/>
  <c r="M634" i="1"/>
  <c r="M169" i="1"/>
  <c r="AB169" i="1" s="1"/>
  <c r="M424" i="1"/>
  <c r="AB424" i="1" s="1"/>
  <c r="M602" i="1"/>
  <c r="AB602" i="1" s="1"/>
  <c r="M459" i="1"/>
  <c r="AB459" i="1" s="1"/>
  <c r="M483" i="1"/>
  <c r="AB483" i="1" s="1"/>
  <c r="M523" i="1"/>
  <c r="AB523" i="1" s="1"/>
  <c r="M660" i="1"/>
  <c r="AB660" i="1" s="1"/>
  <c r="M557" i="1"/>
  <c r="AB557" i="1" s="1"/>
  <c r="M674" i="1"/>
  <c r="AB674" i="1" s="1"/>
  <c r="M661" i="1"/>
  <c r="AB661" i="1" s="1"/>
  <c r="M709" i="1"/>
  <c r="AB709" i="1" s="1"/>
  <c r="M615" i="1"/>
  <c r="AB615" i="1" s="1"/>
  <c r="M518" i="1"/>
  <c r="AB518" i="1" s="1"/>
  <c r="M645" i="1"/>
  <c r="AB645" i="1" s="1"/>
  <c r="M460" i="1"/>
  <c r="AB460" i="1" s="1"/>
  <c r="M651" i="1"/>
  <c r="AB651" i="1" s="1"/>
  <c r="M662" i="1"/>
  <c r="AB662" i="1" s="1"/>
  <c r="M726" i="1"/>
  <c r="AB726" i="1" s="1"/>
  <c r="M366" i="1"/>
  <c r="AB366" i="1" s="1"/>
  <c r="M626" i="1"/>
  <c r="AB626" i="1" s="1"/>
  <c r="M248" i="1"/>
  <c r="AB248" i="1" s="1"/>
  <c r="M704" i="1"/>
  <c r="AB704" i="1" s="1"/>
  <c r="M563" i="1"/>
  <c r="AB563" i="1" s="1"/>
  <c r="M683" i="1"/>
  <c r="AB683" i="1" s="1"/>
  <c r="M700" i="1"/>
  <c r="AB700" i="1" s="1"/>
  <c r="M729" i="1"/>
  <c r="AB729" i="1" s="1"/>
  <c r="U695" i="1"/>
  <c r="W695" i="1" s="1"/>
  <c r="X695" i="1" s="1"/>
  <c r="W663" i="1"/>
  <c r="X663" i="1" s="1"/>
  <c r="W195" i="1"/>
  <c r="X195" i="1" s="1"/>
  <c r="W735" i="1"/>
  <c r="X735" i="1" s="1"/>
  <c r="W706" i="1"/>
  <c r="X706" i="1" s="1"/>
  <c r="W618" i="1"/>
  <c r="X618" i="1" s="1"/>
  <c r="W713" i="1"/>
  <c r="X713" i="1" s="1"/>
  <c r="W652" i="1"/>
  <c r="X652" i="1" s="1"/>
  <c r="W545" i="1"/>
  <c r="X545" i="1" s="1"/>
  <c r="W67" i="1" l="1"/>
  <c r="X67" i="1" s="1"/>
  <c r="U96" i="1"/>
  <c r="W96" i="1" s="1"/>
  <c r="X96" i="1" s="1"/>
  <c r="W575" i="1"/>
  <c r="X575" i="1" s="1"/>
  <c r="W106" i="1"/>
  <c r="X106" i="1" s="1"/>
  <c r="W646" i="1"/>
  <c r="X646" i="1" s="1"/>
  <c r="W584" i="1"/>
  <c r="X584" i="1" s="1"/>
  <c r="W592" i="1"/>
  <c r="X592" i="1" s="1"/>
  <c r="W583" i="1"/>
  <c r="X583" i="1" s="1"/>
  <c r="W574" i="1"/>
  <c r="X574" i="1" s="1"/>
  <c r="W555" i="1"/>
  <c r="X555" i="1" s="1"/>
  <c r="W621" i="1"/>
  <c r="X621" i="1" s="1"/>
  <c r="P418" i="3" l="1"/>
  <c r="R418" i="3" s="1"/>
  <c r="L418" i="3"/>
  <c r="M418" i="3" s="1"/>
  <c r="P417" i="3"/>
  <c r="R417" i="3" s="1"/>
  <c r="L417" i="3"/>
  <c r="M417" i="3" s="1"/>
  <c r="P416" i="3"/>
  <c r="R416" i="3" s="1"/>
  <c r="L416" i="3"/>
  <c r="M416" i="3" s="1"/>
  <c r="P415" i="3"/>
  <c r="R415" i="3" s="1"/>
  <c r="L415" i="3"/>
  <c r="M415" i="3" s="1"/>
  <c r="P414" i="3"/>
  <c r="R414" i="3" s="1"/>
  <c r="L414" i="3"/>
  <c r="M414" i="3" s="1"/>
  <c r="P413" i="3"/>
  <c r="R413" i="3" s="1"/>
  <c r="L413" i="3"/>
  <c r="M413" i="3" s="1"/>
  <c r="P412" i="3"/>
  <c r="R412" i="3" s="1"/>
  <c r="L412" i="3"/>
  <c r="M412" i="3" s="1"/>
  <c r="P411" i="3"/>
  <c r="R411" i="3" s="1"/>
  <c r="L411" i="3"/>
  <c r="M411" i="3" s="1"/>
  <c r="P410" i="3"/>
  <c r="R410" i="3" s="1"/>
  <c r="L410" i="3"/>
  <c r="M410" i="3" s="1"/>
  <c r="P409" i="3"/>
  <c r="R409" i="3" s="1"/>
  <c r="L409" i="3"/>
  <c r="M409" i="3" s="1"/>
  <c r="P408" i="3"/>
  <c r="R408" i="3" s="1"/>
  <c r="L408" i="3"/>
  <c r="M408" i="3" s="1"/>
  <c r="P407" i="3"/>
  <c r="R407" i="3" s="1"/>
  <c r="L407" i="3"/>
  <c r="M407" i="3" s="1"/>
  <c r="P406" i="3"/>
  <c r="R406" i="3" s="1"/>
  <c r="L406" i="3"/>
  <c r="M406" i="3" s="1"/>
  <c r="P405" i="3"/>
  <c r="R405" i="3" s="1"/>
  <c r="L405" i="3"/>
  <c r="M405" i="3" s="1"/>
  <c r="P404" i="3"/>
  <c r="R404" i="3" s="1"/>
  <c r="L404" i="3"/>
  <c r="M404" i="3" s="1"/>
  <c r="P403" i="3"/>
  <c r="R403" i="3" s="1"/>
  <c r="L403" i="3"/>
  <c r="M403" i="3" s="1"/>
  <c r="P402" i="3"/>
  <c r="R402" i="3" s="1"/>
  <c r="L402" i="3"/>
  <c r="M402" i="3" s="1"/>
  <c r="P401" i="3"/>
  <c r="R401" i="3" s="1"/>
  <c r="L401" i="3"/>
  <c r="M401" i="3" s="1"/>
  <c r="P400" i="3"/>
  <c r="R400" i="3" s="1"/>
  <c r="L400" i="3"/>
  <c r="M400" i="3" s="1"/>
  <c r="P399" i="3"/>
  <c r="R399" i="3" s="1"/>
  <c r="L399" i="3"/>
  <c r="M399" i="3" s="1"/>
  <c r="P398" i="3"/>
  <c r="R398" i="3" s="1"/>
  <c r="L398" i="3"/>
  <c r="M398" i="3" s="1"/>
  <c r="P397" i="3"/>
  <c r="R397" i="3" s="1"/>
  <c r="L397" i="3"/>
  <c r="M397" i="3" s="1"/>
  <c r="P396" i="3"/>
  <c r="R396" i="3" s="1"/>
  <c r="L396" i="3"/>
  <c r="M396" i="3" s="1"/>
  <c r="P395" i="3"/>
  <c r="R395" i="3" s="1"/>
  <c r="L395" i="3"/>
  <c r="M395" i="3" s="1"/>
  <c r="P394" i="3"/>
  <c r="R394" i="3" s="1"/>
  <c r="L394" i="3"/>
  <c r="M394" i="3" s="1"/>
  <c r="P393" i="3"/>
  <c r="R393" i="3" s="1"/>
  <c r="L393" i="3"/>
  <c r="M393" i="3" s="1"/>
  <c r="P392" i="3"/>
  <c r="R392" i="3" s="1"/>
  <c r="L392" i="3"/>
  <c r="M392" i="3" s="1"/>
  <c r="P391" i="3"/>
  <c r="R391" i="3" s="1"/>
  <c r="L391" i="3"/>
  <c r="M391" i="3" s="1"/>
  <c r="P390" i="3"/>
  <c r="R390" i="3" s="1"/>
  <c r="L390" i="3"/>
  <c r="M390" i="3" s="1"/>
  <c r="P389" i="3"/>
  <c r="R389" i="3" s="1"/>
  <c r="L389" i="3"/>
  <c r="M389" i="3" s="1"/>
  <c r="P388" i="3"/>
  <c r="R388" i="3" s="1"/>
  <c r="L388" i="3"/>
  <c r="M388" i="3" s="1"/>
  <c r="P387" i="3"/>
  <c r="R387" i="3" s="1"/>
  <c r="L387" i="3"/>
  <c r="M387" i="3" s="1"/>
  <c r="P386" i="3"/>
  <c r="R386" i="3" s="1"/>
  <c r="L386" i="3"/>
  <c r="M386" i="3" s="1"/>
  <c r="P385" i="3"/>
  <c r="R385" i="3" s="1"/>
  <c r="L385" i="3"/>
  <c r="M385" i="3" s="1"/>
  <c r="P384" i="3"/>
  <c r="R384" i="3" s="1"/>
  <c r="L384" i="3"/>
  <c r="M384" i="3" s="1"/>
  <c r="L383" i="3"/>
  <c r="M383" i="3" s="1"/>
  <c r="P383" i="3"/>
  <c r="R383" i="3" s="1"/>
  <c r="P382" i="3"/>
  <c r="R382" i="3" s="1"/>
  <c r="L382" i="3"/>
  <c r="M382" i="3" s="1"/>
  <c r="P381" i="3"/>
  <c r="R381" i="3" s="1"/>
  <c r="L381" i="3"/>
  <c r="M381" i="3" s="1"/>
  <c r="P380" i="3"/>
  <c r="R380" i="3" s="1"/>
  <c r="L380" i="3"/>
  <c r="M380" i="3" s="1"/>
  <c r="P379" i="3"/>
  <c r="R379" i="3" s="1"/>
  <c r="L379" i="3"/>
  <c r="M379" i="3" s="1"/>
  <c r="P378" i="3"/>
  <c r="R378" i="3" s="1"/>
  <c r="L378" i="3"/>
  <c r="M378" i="3" s="1"/>
  <c r="P377" i="3"/>
  <c r="R377" i="3" s="1"/>
  <c r="L377" i="3"/>
  <c r="M377" i="3" s="1"/>
  <c r="P376" i="3"/>
  <c r="R376" i="3" s="1"/>
  <c r="L376" i="3"/>
  <c r="M376" i="3" s="1"/>
  <c r="P375" i="3"/>
  <c r="R375" i="3" s="1"/>
  <c r="L375" i="3"/>
  <c r="M375" i="3" s="1"/>
  <c r="P374" i="3"/>
  <c r="R374" i="3" s="1"/>
  <c r="L374" i="3"/>
  <c r="M374" i="3" s="1"/>
  <c r="P373" i="3"/>
  <c r="R373" i="3" s="1"/>
  <c r="L373" i="3"/>
  <c r="M373" i="3" s="1"/>
  <c r="P372" i="3"/>
  <c r="R372" i="3" s="1"/>
  <c r="L372" i="3"/>
  <c r="M372" i="3" s="1"/>
  <c r="W701" i="1"/>
  <c r="X701" i="1" s="1"/>
  <c r="W721" i="1"/>
  <c r="X721" i="1" s="1"/>
  <c r="W367" i="1"/>
  <c r="X367" i="1" s="1"/>
  <c r="W49" i="1"/>
  <c r="X49" i="1" s="1"/>
  <c r="W650" i="1"/>
  <c r="X650" i="1" s="1"/>
  <c r="W131" i="1"/>
  <c r="X131" i="1" s="1"/>
  <c r="W279" i="1"/>
  <c r="X279" i="1" s="1"/>
  <c r="W638" i="1"/>
  <c r="X638" i="1" s="1"/>
  <c r="W514" i="1"/>
  <c r="X514" i="1" s="1"/>
  <c r="W711" i="1"/>
  <c r="X711" i="1" s="1"/>
  <c r="W139" i="1"/>
  <c r="X139" i="1" s="1"/>
  <c r="W717" i="1"/>
  <c r="X717" i="1" s="1"/>
  <c r="W636" i="1"/>
  <c r="X636" i="1" s="1"/>
  <c r="W617" i="1"/>
  <c r="X617" i="1" s="1"/>
  <c r="W705" i="1"/>
  <c r="X705" i="1" s="1"/>
  <c r="W233" i="1"/>
  <c r="X233" i="1" s="1"/>
  <c r="W386" i="1"/>
  <c r="X386" i="1" s="1"/>
  <c r="W547" i="1"/>
  <c r="X547" i="1" s="1"/>
  <c r="W130" i="1"/>
  <c r="X130" i="1" s="1"/>
  <c r="W637" i="1"/>
  <c r="X637" i="1" s="1"/>
  <c r="W710" i="1"/>
  <c r="X710" i="1" s="1"/>
  <c r="P6" i="1" l="1"/>
  <c r="Q6" i="1" s="1"/>
  <c r="P352" i="1"/>
  <c r="Q352" i="1" s="1"/>
  <c r="P210" i="1"/>
  <c r="Q210" i="1" s="1"/>
  <c r="T573" i="1"/>
  <c r="P98" i="1"/>
  <c r="Q98" i="1" s="1"/>
  <c r="AB98" i="1" s="1"/>
  <c r="P732" i="1"/>
  <c r="Q732" i="1" s="1"/>
  <c r="AB732" i="1" s="1"/>
  <c r="P570" i="1"/>
  <c r="Q570" i="1" s="1"/>
  <c r="AB570" i="1" s="1"/>
  <c r="P623" i="1"/>
  <c r="Q623" i="1" s="1"/>
  <c r="P252" i="1"/>
  <c r="Q252" i="1" s="1"/>
  <c r="P325" i="1"/>
  <c r="T325" i="1"/>
  <c r="T330" i="1"/>
  <c r="P330" i="1"/>
  <c r="Q330" i="1" s="1"/>
  <c r="AB330" i="1" s="1"/>
  <c r="P29" i="1"/>
  <c r="Q29" i="1" s="1"/>
  <c r="AB29" i="1" s="1"/>
  <c r="P13" i="1"/>
  <c r="Q13" i="1" s="1"/>
  <c r="AB13" i="1" s="1"/>
  <c r="P137" i="1"/>
  <c r="Q137" i="1" s="1"/>
  <c r="AB137" i="1" s="1"/>
  <c r="Q404" i="1"/>
  <c r="AB404" i="1" s="1"/>
  <c r="Q302" i="1"/>
  <c r="AB302" i="1" s="1"/>
  <c r="Q61" i="1"/>
  <c r="AB61" i="1" s="1"/>
  <c r="Q79" i="1"/>
  <c r="W79" i="1" s="1"/>
  <c r="X79" i="1" s="1"/>
  <c r="Q30" i="1"/>
  <c r="AB30" i="1" s="1"/>
  <c r="Q582" i="1"/>
  <c r="AB582" i="1" s="1"/>
  <c r="Q728" i="1"/>
  <c r="AB728" i="1" s="1"/>
  <c r="Q313" i="1"/>
  <c r="Q725" i="1"/>
  <c r="AB725" i="1" s="1"/>
  <c r="Q209" i="1"/>
  <c r="AB209" i="1" s="1"/>
  <c r="Q571" i="1"/>
  <c r="AB571" i="1" s="1"/>
  <c r="Q63" i="1"/>
  <c r="W63" i="1" s="1"/>
  <c r="X63" i="1" s="1"/>
  <c r="Q434" i="1"/>
  <c r="AB434" i="1" s="1"/>
  <c r="Q198" i="1"/>
  <c r="AB198" i="1" s="1"/>
  <c r="Q14" i="1"/>
  <c r="AB14" i="1" s="1"/>
  <c r="Q142" i="1"/>
  <c r="AB142" i="1" s="1"/>
  <c r="Q441" i="1"/>
  <c r="AB441" i="1" s="1"/>
  <c r="Q473" i="1"/>
  <c r="AB473" i="1" s="1"/>
  <c r="Q200" i="1"/>
  <c r="AB200" i="1" s="1"/>
  <c r="Q612" i="1"/>
  <c r="AB612" i="1" s="1"/>
  <c r="Q412" i="1"/>
  <c r="AB412" i="1" s="1"/>
  <c r="Q31" i="1"/>
  <c r="W31" i="1" s="1"/>
  <c r="X31" i="1" s="1"/>
  <c r="Q303" i="1"/>
  <c r="AB303" i="1" s="1"/>
  <c r="Q372" i="1"/>
  <c r="AB372" i="1" s="1"/>
  <c r="Q149" i="1"/>
  <c r="W149" i="1" s="1"/>
  <c r="Q220" i="1"/>
  <c r="AB220" i="1" s="1"/>
  <c r="Q499" i="1"/>
  <c r="AB499" i="1" s="1"/>
  <c r="Q257" i="1"/>
  <c r="AB257" i="1" s="1"/>
  <c r="Q105" i="1"/>
  <c r="AB105" i="1" s="1"/>
  <c r="Q187" i="1"/>
  <c r="AB187" i="1" s="1"/>
  <c r="Q259" i="1"/>
  <c r="AB259" i="1" s="1"/>
  <c r="Q540" i="1"/>
  <c r="AB540" i="1" s="1"/>
  <c r="Q207" i="1"/>
  <c r="AB207" i="1" s="1"/>
  <c r="Q649" i="1"/>
  <c r="AB649" i="1" s="1"/>
  <c r="Q401" i="1"/>
  <c r="AB401" i="1" s="1"/>
  <c r="AB112" i="1"/>
  <c r="Q43" i="1"/>
  <c r="X43" i="1" s="1"/>
  <c r="Q703" i="1"/>
  <c r="AB703" i="1" s="1"/>
  <c r="Q69" i="1"/>
  <c r="W69" i="1" s="1"/>
  <c r="X69" i="1" s="1"/>
  <c r="Q184" i="1"/>
  <c r="AB184" i="1" s="1"/>
  <c r="Q559" i="1"/>
  <c r="AB559" i="1" s="1"/>
  <c r="Q140" i="1"/>
  <c r="W140" i="1" s="1"/>
  <c r="X140" i="1" s="1"/>
  <c r="Q573" i="1"/>
  <c r="AB573" i="1" s="1"/>
  <c r="Q566" i="1"/>
  <c r="AB566" i="1" s="1"/>
  <c r="Q19" i="1"/>
  <c r="AB19" i="1" s="1"/>
  <c r="Q350" i="1"/>
  <c r="AB350" i="1" s="1"/>
  <c r="Q269" i="1"/>
  <c r="AB269" i="1" s="1"/>
  <c r="Q33" i="1"/>
  <c r="AB33" i="1" s="1"/>
  <c r="Q377" i="1"/>
  <c r="AB377" i="1" s="1"/>
  <c r="Q341" i="1"/>
  <c r="AB341" i="1" s="1"/>
  <c r="Q348" i="1"/>
  <c r="AB348" i="1" s="1"/>
  <c r="Q504" i="1"/>
  <c r="AB504" i="1" s="1"/>
  <c r="Q199" i="1"/>
  <c r="AB199" i="1" s="1"/>
  <c r="Q17" i="1"/>
  <c r="AB17" i="1" s="1"/>
  <c r="Q12" i="1"/>
  <c r="AB12" i="1" s="1"/>
  <c r="Q123" i="1"/>
  <c r="W123" i="1" s="1"/>
  <c r="X123" i="1" s="1"/>
  <c r="Q156" i="1"/>
  <c r="W156" i="1" s="1"/>
  <c r="X156" i="1" s="1"/>
  <c r="Q237" i="1"/>
  <c r="W237" i="1" s="1"/>
  <c r="X237" i="1" s="1"/>
  <c r="Q406" i="1"/>
  <c r="AB406" i="1" s="1"/>
  <c r="Q382" i="1"/>
  <c r="AB382" i="1" s="1"/>
  <c r="Q161" i="1"/>
  <c r="AB161" i="1" s="1"/>
  <c r="Q532" i="1"/>
  <c r="AB532" i="1" s="1"/>
  <c r="Q607" i="1"/>
  <c r="AB607" i="1" s="1"/>
  <c r="Q331" i="1"/>
  <c r="AB331" i="1" s="1"/>
  <c r="Q148" i="1"/>
  <c r="AB148" i="1" s="1"/>
  <c r="Q86" i="1"/>
  <c r="AB86" i="1" s="1"/>
  <c r="Q362" i="1"/>
  <c r="AB362" i="1" s="1"/>
  <c r="Q272" i="1"/>
  <c r="AB272" i="1" s="1"/>
  <c r="Q383" i="1"/>
  <c r="AB383" i="1" s="1"/>
  <c r="Q304" i="1"/>
  <c r="AB304" i="1" s="1"/>
  <c r="AB2" i="1"/>
  <c r="Q7" i="1"/>
  <c r="Q496" i="1"/>
  <c r="AB496" i="1" s="1"/>
  <c r="W697" i="1"/>
  <c r="W542" i="1"/>
  <c r="AB640" i="1"/>
  <c r="AB686" i="1"/>
  <c r="W152" i="1"/>
  <c r="AB462" i="1"/>
  <c r="AB293" i="1"/>
  <c r="AB242" i="1"/>
  <c r="AB654" i="1"/>
  <c r="AB556" i="1"/>
  <c r="AB720" i="1"/>
  <c r="AB714" i="1"/>
  <c r="AB697" i="1"/>
  <c r="AB698" i="1"/>
  <c r="AB591" i="1"/>
  <c r="P561" i="1"/>
  <c r="Q561" i="1" s="1"/>
  <c r="AB561" i="1" s="1"/>
  <c r="W519" i="1"/>
  <c r="X519" i="1" s="1"/>
  <c r="W635" i="1"/>
  <c r="X635" i="1" s="1"/>
  <c r="W719" i="1"/>
  <c r="X719" i="1" s="1"/>
  <c r="W485" i="1"/>
  <c r="X485" i="1" s="1"/>
  <c r="W665" i="1"/>
  <c r="X665" i="1" s="1"/>
  <c r="W56" i="1"/>
  <c r="X56" i="1" s="1"/>
  <c r="W715" i="1"/>
  <c r="X715" i="1" s="1"/>
  <c r="W484" i="1"/>
  <c r="X484" i="1" s="1"/>
  <c r="W389" i="1"/>
  <c r="X389" i="1" s="1"/>
  <c r="W525" i="1"/>
  <c r="X525" i="1" s="1"/>
  <c r="W630" i="1"/>
  <c r="X630" i="1" s="1"/>
  <c r="W611" i="1"/>
  <c r="X611" i="1" s="1"/>
  <c r="U609" i="1"/>
  <c r="W609" i="1" s="1"/>
  <c r="X609" i="1" s="1"/>
  <c r="W644" i="1"/>
  <c r="X644" i="1" s="1"/>
  <c r="W580" i="1"/>
  <c r="X580" i="1" s="1"/>
  <c r="W655" i="1"/>
  <c r="X655" i="1" s="1"/>
  <c r="W595" i="1"/>
  <c r="X595" i="1" s="1"/>
  <c r="W616" i="1"/>
  <c r="X616" i="1" s="1"/>
  <c r="U629" i="1"/>
  <c r="W629" i="1" s="1"/>
  <c r="X629" i="1" s="1"/>
  <c r="W524" i="1"/>
  <c r="X524" i="1" s="1"/>
  <c r="W624" i="1"/>
  <c r="X624" i="1" s="1"/>
  <c r="AB624" i="1"/>
  <c r="W613" i="1"/>
  <c r="T613" i="1"/>
  <c r="AB613" i="1"/>
  <c r="W632" i="1"/>
  <c r="T632" i="1"/>
  <c r="AB632" i="1"/>
  <c r="W572" i="1"/>
  <c r="T572" i="1"/>
  <c r="AB572" i="1"/>
  <c r="W678" i="1"/>
  <c r="T678" i="1"/>
  <c r="AB678" i="1"/>
  <c r="W605" i="1"/>
  <c r="T605" i="1"/>
  <c r="AB605" i="1"/>
  <c r="Q325" i="1" l="1"/>
  <c r="AB325" i="1" s="1"/>
  <c r="AB313" i="1"/>
  <c r="W313" i="1"/>
  <c r="X313" i="1" s="1"/>
  <c r="AB10" i="1"/>
  <c r="W10" i="1"/>
  <c r="X10" i="1" s="1"/>
  <c r="W561" i="1"/>
  <c r="X561" i="1" s="1"/>
  <c r="W161" i="1"/>
  <c r="X161" i="1" s="1"/>
  <c r="W112" i="1"/>
  <c r="X112" i="1" s="1"/>
  <c r="W331" i="1"/>
  <c r="X331" i="1" s="1"/>
  <c r="X210" i="1"/>
  <c r="W259" i="1"/>
  <c r="X259" i="1" s="1"/>
  <c r="W504" i="1"/>
  <c r="W98" i="1"/>
  <c r="X152" i="1"/>
  <c r="W382" i="1"/>
  <c r="W304" i="1"/>
  <c r="X304" i="1" s="1"/>
  <c r="W499" i="1"/>
  <c r="X499" i="1" s="1"/>
  <c r="W571" i="1"/>
  <c r="X571" i="1" s="1"/>
  <c r="W540" i="1"/>
  <c r="X540" i="1" s="1"/>
  <c r="W198" i="1"/>
  <c r="X198" i="1" s="1"/>
  <c r="W732" i="1"/>
  <c r="W187" i="1"/>
  <c r="X187" i="1" s="1"/>
  <c r="X732" i="1"/>
  <c r="W9" i="1"/>
  <c r="X9" i="1" s="1"/>
  <c r="W209" i="1"/>
  <c r="X209" i="1" s="1"/>
  <c r="W377" i="1"/>
  <c r="X377" i="1" s="1"/>
  <c r="W252" i="1"/>
  <c r="W272" i="1"/>
  <c r="X272" i="1" s="1"/>
  <c r="W200" i="1"/>
  <c r="X200" i="1" s="1"/>
  <c r="W257" i="1"/>
  <c r="X257" i="1" s="1"/>
  <c r="W352" i="1"/>
  <c r="W362" i="1"/>
  <c r="W532" i="1"/>
  <c r="X532" i="1" s="1"/>
  <c r="W496" i="1"/>
  <c r="X496" i="1" s="1"/>
  <c r="W649" i="1"/>
  <c r="X649" i="1" s="1"/>
  <c r="W559" i="1"/>
  <c r="X559" i="1" s="1"/>
  <c r="X570" i="1"/>
  <c r="X406" i="1"/>
  <c r="X404" i="1"/>
  <c r="X383" i="1"/>
  <c r="W582" i="1"/>
  <c r="X582" i="1" s="1"/>
  <c r="W573" i="1"/>
  <c r="W210" i="1"/>
  <c r="X7" i="1"/>
  <c r="W293" i="1"/>
  <c r="X293" i="1" s="1"/>
  <c r="X573" i="1"/>
  <c r="X252" i="1"/>
  <c r="W269" i="1"/>
  <c r="X269" i="1" s="1"/>
  <c r="W566" i="1"/>
  <c r="X566" i="1" s="1"/>
  <c r="X504" i="1"/>
  <c r="X382" i="1"/>
  <c r="W372" i="1"/>
  <c r="X98" i="1"/>
  <c r="W184" i="1"/>
  <c r="X184" i="1" s="1"/>
  <c r="W303" i="1"/>
  <c r="X352" i="1"/>
  <c r="X362" i="1"/>
  <c r="W242" i="1"/>
  <c r="X242" i="1" s="1"/>
  <c r="AB152" i="1"/>
  <c r="X462" i="1"/>
  <c r="W341" i="1"/>
  <c r="X341" i="1" s="1"/>
  <c r="W612" i="1"/>
  <c r="X612" i="1" s="1"/>
  <c r="W348" i="1"/>
  <c r="X348" i="1" s="1"/>
  <c r="W401" i="1"/>
  <c r="X401" i="1" s="1"/>
  <c r="W570" i="1"/>
  <c r="W406" i="1"/>
  <c r="W404" i="1"/>
  <c r="W383" i="1"/>
  <c r="X372" i="1"/>
  <c r="W33" i="1"/>
  <c r="X33" i="1" s="1"/>
  <c r="W302" i="1"/>
  <c r="X302" i="1" s="1"/>
  <c r="W148" i="1"/>
  <c r="X148" i="1" s="1"/>
  <c r="W350" i="1"/>
  <c r="X350" i="1" s="1"/>
  <c r="W412" i="1"/>
  <c r="X412" i="1" s="1"/>
  <c r="W12" i="1"/>
  <c r="X12" i="1" s="1"/>
  <c r="W220" i="1"/>
  <c r="X220" i="1" s="1"/>
  <c r="X303" i="1"/>
  <c r="W473" i="1"/>
  <c r="X473" i="1" s="1"/>
  <c r="W607" i="1"/>
  <c r="X607" i="1" s="1"/>
  <c r="W199" i="1"/>
  <c r="X199" i="1" s="1"/>
  <c r="W703" i="1"/>
  <c r="X703" i="1" s="1"/>
  <c r="W207" i="1"/>
  <c r="X207" i="1" s="1"/>
  <c r="W7" i="1"/>
  <c r="W462" i="1"/>
  <c r="X14" i="1"/>
  <c r="W14" i="1"/>
  <c r="X6" i="1"/>
  <c r="W725" i="1"/>
  <c r="X725" i="1" s="1"/>
  <c r="W6" i="1"/>
  <c r="AB623" i="1"/>
  <c r="W623" i="1"/>
  <c r="X623" i="1"/>
  <c r="W17" i="1"/>
  <c r="X17" i="1" s="1"/>
  <c r="W86" i="1"/>
  <c r="X86" i="1" s="1"/>
  <c r="W61" i="1"/>
  <c r="X61" i="1" s="1"/>
  <c r="W434" i="1"/>
  <c r="X434" i="1" s="1"/>
  <c r="W19" i="1"/>
  <c r="X19" i="1" s="1"/>
  <c r="W142" i="1"/>
  <c r="X142" i="1" s="1"/>
  <c r="W105" i="1"/>
  <c r="X105" i="1" s="1"/>
  <c r="W30" i="1"/>
  <c r="X30" i="1" s="1"/>
  <c r="AB63" i="1"/>
  <c r="AB123" i="1"/>
  <c r="AB140" i="1"/>
  <c r="AB69" i="1"/>
  <c r="X330" i="1"/>
  <c r="X605" i="1"/>
  <c r="X613" i="1"/>
  <c r="W441" i="1"/>
  <c r="X441" i="1" s="1"/>
  <c r="W13" i="1"/>
  <c r="X13" i="1" s="1"/>
  <c r="AB79" i="1"/>
  <c r="W728" i="1"/>
  <c r="X728" i="1" s="1"/>
  <c r="AB43" i="1"/>
  <c r="AB149" i="1"/>
  <c r="AB31" i="1"/>
  <c r="AB237" i="1"/>
  <c r="X149" i="1"/>
  <c r="W137" i="1"/>
  <c r="X137" i="1" s="1"/>
  <c r="AB156" i="1"/>
  <c r="W29" i="1"/>
  <c r="X29" i="1" s="1"/>
  <c r="W330" i="1"/>
  <c r="W43" i="1"/>
  <c r="X632" i="1"/>
  <c r="X678" i="1"/>
  <c r="X572" i="1"/>
  <c r="P364" i="3"/>
  <c r="R364" i="3" s="1"/>
  <c r="P365" i="3"/>
  <c r="R365" i="3" s="1"/>
  <c r="P366" i="3"/>
  <c r="R366" i="3" s="1"/>
  <c r="P367" i="3"/>
  <c r="R367" i="3" s="1"/>
  <c r="P368" i="3"/>
  <c r="R368" i="3" s="1"/>
  <c r="P369" i="3"/>
  <c r="R369" i="3" s="1"/>
  <c r="P370" i="3"/>
  <c r="R370" i="3" s="1"/>
  <c r="P371" i="3"/>
  <c r="R371" i="3" s="1"/>
  <c r="L371" i="3"/>
  <c r="M371" i="3" s="1"/>
  <c r="L370" i="3"/>
  <c r="M370" i="3" s="1"/>
  <c r="L369" i="3"/>
  <c r="M369" i="3" s="1"/>
  <c r="L368" i="3"/>
  <c r="M368" i="3" s="1"/>
  <c r="L367" i="3"/>
  <c r="M367" i="3" s="1"/>
  <c r="L366" i="3"/>
  <c r="M366" i="3" s="1"/>
  <c r="L365" i="3"/>
  <c r="M365" i="3" s="1"/>
  <c r="L364" i="3"/>
  <c r="M364" i="3" s="1"/>
  <c r="L363" i="3"/>
  <c r="M363" i="3" s="1"/>
  <c r="P360" i="3"/>
  <c r="R360" i="3" s="1"/>
  <c r="P361" i="3"/>
  <c r="R361" i="3" s="1"/>
  <c r="P362" i="3"/>
  <c r="R362" i="3" s="1"/>
  <c r="P363" i="3"/>
  <c r="R363" i="3" s="1"/>
  <c r="L362" i="3"/>
  <c r="M362" i="3" s="1"/>
  <c r="L361" i="3"/>
  <c r="M361" i="3" s="1"/>
  <c r="L360" i="3"/>
  <c r="M360" i="3" s="1"/>
  <c r="P359" i="3"/>
  <c r="R359" i="3" s="1"/>
  <c r="P358" i="3"/>
  <c r="R358" i="3" s="1"/>
  <c r="L359" i="3"/>
  <c r="M359" i="3" s="1"/>
  <c r="L358" i="3"/>
  <c r="M358" i="3" s="1"/>
  <c r="P357" i="3"/>
  <c r="R357" i="3" s="1"/>
  <c r="P356" i="3"/>
  <c r="R356" i="3" s="1"/>
  <c r="L357" i="3"/>
  <c r="M357" i="3" s="1"/>
  <c r="L356" i="3"/>
  <c r="M356" i="3" s="1"/>
  <c r="P355" i="3"/>
  <c r="R355" i="3" s="1"/>
  <c r="L355" i="3"/>
  <c r="M355" i="3" s="1"/>
  <c r="P354" i="3"/>
  <c r="R354" i="3" s="1"/>
  <c r="L354" i="3"/>
  <c r="M354" i="3" s="1"/>
  <c r="P353" i="3"/>
  <c r="R353" i="3" s="1"/>
  <c r="L353" i="3"/>
  <c r="M353" i="3" s="1"/>
  <c r="P352" i="3"/>
  <c r="R352" i="3" s="1"/>
  <c r="L352" i="3"/>
  <c r="M352" i="3" s="1"/>
  <c r="P351" i="3"/>
  <c r="R351" i="3" s="1"/>
  <c r="L351" i="3"/>
  <c r="M351" i="3" s="1"/>
  <c r="P350" i="3"/>
  <c r="R350" i="3" s="1"/>
  <c r="L350" i="3"/>
  <c r="M350" i="3" s="1"/>
  <c r="P349" i="3"/>
  <c r="R349" i="3" s="1"/>
  <c r="L349" i="3"/>
  <c r="M349" i="3" s="1"/>
  <c r="P348" i="3"/>
  <c r="R348" i="3" s="1"/>
  <c r="L348" i="3"/>
  <c r="M348" i="3" s="1"/>
  <c r="P347" i="3"/>
  <c r="R347" i="3" s="1"/>
  <c r="L347" i="3"/>
  <c r="M347" i="3" s="1"/>
  <c r="P346" i="3"/>
  <c r="R346" i="3" s="1"/>
  <c r="L346" i="3"/>
  <c r="M346" i="3" s="1"/>
  <c r="P345" i="3"/>
  <c r="R345" i="3" s="1"/>
  <c r="L345" i="3"/>
  <c r="M345" i="3" s="1"/>
  <c r="P344" i="3"/>
  <c r="R344" i="3" s="1"/>
  <c r="L344" i="3"/>
  <c r="M344" i="3" s="1"/>
  <c r="P343" i="3"/>
  <c r="R343" i="3" s="1"/>
  <c r="L343" i="3"/>
  <c r="M343" i="3" s="1"/>
  <c r="P342" i="3"/>
  <c r="R342" i="3" s="1"/>
  <c r="L342" i="3"/>
  <c r="M342" i="3" s="1"/>
  <c r="P341" i="3"/>
  <c r="R341" i="3" s="1"/>
  <c r="L341" i="3"/>
  <c r="M341" i="3" s="1"/>
  <c r="P340" i="3"/>
  <c r="R340" i="3" s="1"/>
  <c r="L340" i="3"/>
  <c r="M340" i="3" s="1"/>
  <c r="P339" i="3"/>
  <c r="R339" i="3" s="1"/>
  <c r="L339" i="3"/>
  <c r="M339" i="3" s="1"/>
  <c r="P338" i="3"/>
  <c r="R338" i="3" s="1"/>
  <c r="L338" i="3"/>
  <c r="M338" i="3" s="1"/>
  <c r="P337" i="3"/>
  <c r="R337" i="3" s="1"/>
  <c r="L337" i="3"/>
  <c r="M337" i="3" s="1"/>
  <c r="P336" i="3"/>
  <c r="R336" i="3" s="1"/>
  <c r="L336" i="3"/>
  <c r="M336" i="3" s="1"/>
  <c r="P335" i="3"/>
  <c r="R335" i="3" s="1"/>
  <c r="L335" i="3"/>
  <c r="M335" i="3" s="1"/>
  <c r="P334" i="3"/>
  <c r="R334" i="3" s="1"/>
  <c r="L334" i="3"/>
  <c r="M334" i="3" s="1"/>
  <c r="P333" i="3"/>
  <c r="R333" i="3" s="1"/>
  <c r="L333" i="3"/>
  <c r="M333" i="3" s="1"/>
  <c r="P332" i="3"/>
  <c r="R332" i="3" s="1"/>
  <c r="L332" i="3"/>
  <c r="M332" i="3" s="1"/>
  <c r="P331" i="3"/>
  <c r="R331" i="3" s="1"/>
  <c r="L331" i="3"/>
  <c r="M331" i="3" s="1"/>
  <c r="P330" i="3"/>
  <c r="R330" i="3" s="1"/>
  <c r="L330" i="3"/>
  <c r="M330" i="3" s="1"/>
  <c r="P329" i="3"/>
  <c r="R329" i="3" s="1"/>
  <c r="L329" i="3"/>
  <c r="M329" i="3" s="1"/>
  <c r="P328" i="3"/>
  <c r="R328" i="3" s="1"/>
  <c r="L328" i="3"/>
  <c r="M328" i="3" s="1"/>
  <c r="P327" i="3"/>
  <c r="R327" i="3" s="1"/>
  <c r="L327" i="3"/>
  <c r="M327" i="3" s="1"/>
  <c r="P326" i="3"/>
  <c r="R326" i="3" s="1"/>
  <c r="L326" i="3"/>
  <c r="M326" i="3" s="1"/>
  <c r="P325" i="3"/>
  <c r="R325" i="3" s="1"/>
  <c r="L325" i="3"/>
  <c r="M325" i="3" s="1"/>
  <c r="P324" i="3"/>
  <c r="R324" i="3" s="1"/>
  <c r="L324" i="3"/>
  <c r="M324" i="3" s="1"/>
  <c r="P323" i="3"/>
  <c r="R323" i="3" s="1"/>
  <c r="L323" i="3"/>
  <c r="M323" i="3" s="1"/>
  <c r="P322" i="3"/>
  <c r="R322" i="3" s="1"/>
  <c r="L322" i="3"/>
  <c r="M322" i="3" s="1"/>
  <c r="P321" i="3"/>
  <c r="R321" i="3" s="1"/>
  <c r="L321" i="3"/>
  <c r="M321" i="3" s="1"/>
  <c r="X325" i="1" l="1"/>
  <c r="W325" i="1"/>
  <c r="W591" i="1"/>
  <c r="X591" i="1" s="1"/>
  <c r="W698" i="1"/>
  <c r="X698" i="1" s="1"/>
  <c r="X697" i="1"/>
  <c r="W585" i="1"/>
  <c r="X585" i="1" s="1"/>
  <c r="W729" i="1"/>
  <c r="X729" i="1" s="1"/>
  <c r="W714" i="1"/>
  <c r="X714" i="1" s="1"/>
  <c r="W700" i="1"/>
  <c r="X700" i="1" s="1"/>
  <c r="W720" i="1"/>
  <c r="X720" i="1" s="1"/>
  <c r="W683" i="1"/>
  <c r="X683" i="1" s="1"/>
  <c r="W556" i="1"/>
  <c r="X556" i="1" s="1"/>
  <c r="W563" i="1"/>
  <c r="X563" i="1" s="1"/>
  <c r="U704" i="1"/>
  <c r="W704" i="1" s="1"/>
  <c r="X704" i="1" s="1"/>
  <c r="W248" i="1"/>
  <c r="X248" i="1" s="1"/>
  <c r="W626" i="1" l="1"/>
  <c r="X626" i="1" s="1"/>
  <c r="W366" i="1"/>
  <c r="X366" i="1" s="1"/>
  <c r="U726" i="1"/>
  <c r="W726" i="1" s="1"/>
  <c r="X726" i="1" s="1"/>
  <c r="W662" i="1"/>
  <c r="X662" i="1" s="1"/>
  <c r="W651" i="1"/>
  <c r="X651" i="1" s="1"/>
  <c r="W460" i="1"/>
  <c r="X460" i="1" s="1"/>
  <c r="W645" i="1"/>
  <c r="X645" i="1" s="1"/>
  <c r="W518" i="1"/>
  <c r="X518" i="1" s="1"/>
  <c r="W615" i="1"/>
  <c r="X615" i="1" s="1"/>
  <c r="W709" i="1"/>
  <c r="X709" i="1" s="1"/>
  <c r="W661" i="1"/>
  <c r="X661" i="1" s="1"/>
  <c r="W674" i="1"/>
  <c r="X674" i="1" s="1"/>
  <c r="W557" i="1"/>
  <c r="X557" i="1" s="1"/>
  <c r="W660" i="1"/>
  <c r="X660" i="1" s="1"/>
  <c r="W523" i="1"/>
  <c r="X523" i="1" s="1"/>
  <c r="W483" i="1"/>
  <c r="X483" i="1" s="1"/>
  <c r="W459" i="1"/>
  <c r="X459" i="1" s="1"/>
  <c r="W602" i="1"/>
  <c r="X602" i="1" s="1"/>
  <c r="W424" i="1"/>
  <c r="X424" i="1" s="1"/>
  <c r="W169" i="1"/>
  <c r="X169" i="1" s="1"/>
  <c r="AB634" i="1"/>
  <c r="W634" i="1"/>
  <c r="X634" i="1" s="1"/>
  <c r="AB659" i="1"/>
  <c r="W659" i="1"/>
  <c r="X659" i="1" s="1"/>
  <c r="AB446" i="1"/>
  <c r="W446" i="1"/>
  <c r="X446" i="1" s="1"/>
  <c r="AB681" i="1"/>
  <c r="U681" i="1"/>
  <c r="W681" i="1" s="1"/>
  <c r="X681" i="1" s="1"/>
  <c r="AB730" i="1"/>
  <c r="W730" i="1"/>
  <c r="X730" i="1" s="1"/>
  <c r="AB677" i="1"/>
  <c r="W677" i="1"/>
  <c r="X677" i="1" s="1"/>
  <c r="AB610" i="1"/>
  <c r="W610" i="1"/>
  <c r="X610" i="1" s="1"/>
  <c r="AB699" i="1"/>
  <c r="U699" i="1"/>
  <c r="W699" i="1" s="1"/>
  <c r="X699" i="1" s="1"/>
  <c r="AB658" i="1"/>
  <c r="W658" i="1"/>
  <c r="X658" i="1" s="1"/>
  <c r="AB680" i="1"/>
  <c r="W680" i="1"/>
  <c r="X680" i="1" s="1"/>
  <c r="AB694" i="1"/>
  <c r="U694" i="1"/>
  <c r="W694" i="1" s="1"/>
  <c r="X694" i="1" s="1"/>
  <c r="AB498" i="1"/>
  <c r="W498" i="1"/>
  <c r="X498" i="1" s="1"/>
  <c r="AB633" i="1"/>
  <c r="W633" i="1"/>
  <c r="X633" i="1" s="1"/>
  <c r="AB708" i="1"/>
  <c r="W708" i="1"/>
  <c r="X708" i="1" s="1"/>
  <c r="AB428" i="1"/>
  <c r="W428" i="1"/>
  <c r="X428" i="1" s="1"/>
  <c r="AB458" i="1"/>
  <c r="W458" i="1"/>
  <c r="X458" i="1" s="1"/>
  <c r="P320" i="3" l="1"/>
  <c r="R320" i="3" s="1"/>
  <c r="L320" i="3"/>
  <c r="M320" i="3" s="1"/>
  <c r="P319" i="3"/>
  <c r="R319" i="3" s="1"/>
  <c r="L319" i="3"/>
  <c r="M319" i="3" s="1"/>
  <c r="P318" i="3"/>
  <c r="R318" i="3" s="1"/>
  <c r="L318" i="3"/>
  <c r="M318" i="3" s="1"/>
  <c r="P317" i="3"/>
  <c r="R317" i="3" s="1"/>
  <c r="L317" i="3"/>
  <c r="M317" i="3" s="1"/>
  <c r="P316" i="3"/>
  <c r="R316" i="3" s="1"/>
  <c r="L316" i="3"/>
  <c r="M316" i="3" s="1"/>
  <c r="P315" i="3"/>
  <c r="R315" i="3" s="1"/>
  <c r="L315" i="3"/>
  <c r="M315" i="3" s="1"/>
  <c r="P314" i="3"/>
  <c r="R314" i="3" s="1"/>
  <c r="L314" i="3"/>
  <c r="M314" i="3" s="1"/>
  <c r="P313" i="3"/>
  <c r="R313" i="3" s="1"/>
  <c r="L313" i="3"/>
  <c r="M313" i="3" s="1"/>
  <c r="N312" i="3"/>
  <c r="P312" i="3" s="1"/>
  <c r="R312" i="3" s="1"/>
  <c r="L312" i="3"/>
  <c r="M312" i="3" s="1"/>
  <c r="P311" i="3"/>
  <c r="R311" i="3" s="1"/>
  <c r="L311" i="3"/>
  <c r="M311" i="3" s="1"/>
  <c r="P310" i="3"/>
  <c r="R310" i="3" s="1"/>
  <c r="L310" i="3"/>
  <c r="M310" i="3" s="1"/>
  <c r="P309" i="3"/>
  <c r="R309" i="3" s="1"/>
  <c r="L309" i="3"/>
  <c r="M309" i="3" s="1"/>
  <c r="P308" i="3"/>
  <c r="R308" i="3" s="1"/>
  <c r="L308" i="3"/>
  <c r="M308" i="3" s="1"/>
  <c r="P307" i="3"/>
  <c r="R307" i="3" s="1"/>
  <c r="L307" i="3"/>
  <c r="M307" i="3" s="1"/>
  <c r="P306" i="3"/>
  <c r="R306" i="3" s="1"/>
  <c r="L306" i="3"/>
  <c r="M306" i="3" s="1"/>
  <c r="P305" i="3"/>
  <c r="R305" i="3" s="1"/>
  <c r="L305" i="3"/>
  <c r="M305" i="3" s="1"/>
  <c r="P304" i="3"/>
  <c r="R304" i="3" s="1"/>
  <c r="L304" i="3"/>
  <c r="M304" i="3" s="1"/>
  <c r="P303" i="3"/>
  <c r="R303" i="3" s="1"/>
  <c r="L303" i="3"/>
  <c r="M303" i="3" s="1"/>
  <c r="P302" i="3"/>
  <c r="R302" i="3" s="1"/>
  <c r="L302" i="3"/>
  <c r="M302" i="3" s="1"/>
  <c r="P301" i="3"/>
  <c r="R301" i="3" s="1"/>
  <c r="L301" i="3"/>
  <c r="M301" i="3" s="1"/>
  <c r="P300" i="3"/>
  <c r="R300" i="3" s="1"/>
  <c r="L300" i="3"/>
  <c r="M300" i="3" s="1"/>
  <c r="P299" i="3"/>
  <c r="R299" i="3" s="1"/>
  <c r="L299" i="3"/>
  <c r="M299" i="3" s="1"/>
  <c r="P298" i="3"/>
  <c r="R298" i="3" s="1"/>
  <c r="L298" i="3"/>
  <c r="M298" i="3" s="1"/>
  <c r="P297" i="3"/>
  <c r="R297" i="3" s="1"/>
  <c r="L297" i="3"/>
  <c r="M297" i="3" s="1"/>
  <c r="P296" i="3"/>
  <c r="R296" i="3" s="1"/>
  <c r="L296" i="3"/>
  <c r="M296" i="3" s="1"/>
  <c r="P295" i="3"/>
  <c r="R295" i="3" s="1"/>
  <c r="L295" i="3"/>
  <c r="M295" i="3" s="1"/>
  <c r="P294" i="3"/>
  <c r="R294" i="3" s="1"/>
  <c r="L294" i="3"/>
  <c r="M294" i="3" s="1"/>
  <c r="P293" i="3"/>
  <c r="R293" i="3" s="1"/>
  <c r="L293" i="3"/>
  <c r="M293" i="3" s="1"/>
  <c r="P292" i="3"/>
  <c r="R292" i="3" s="1"/>
  <c r="L292" i="3"/>
  <c r="M292" i="3" s="1"/>
  <c r="P291" i="3"/>
  <c r="R291" i="3" s="1"/>
  <c r="L291" i="3"/>
  <c r="M291" i="3" s="1"/>
  <c r="P290" i="3"/>
  <c r="R290" i="3" s="1"/>
  <c r="L290" i="3"/>
  <c r="M290" i="3" s="1"/>
  <c r="P289" i="3"/>
  <c r="R289" i="3" s="1"/>
  <c r="L289" i="3"/>
  <c r="M289" i="3" s="1"/>
  <c r="P288" i="3"/>
  <c r="R288" i="3" s="1"/>
  <c r="L288" i="3"/>
  <c r="M288" i="3" s="1"/>
  <c r="P287" i="3"/>
  <c r="R287" i="3" s="1"/>
  <c r="L287" i="3"/>
  <c r="M287" i="3" s="1"/>
  <c r="P286" i="3"/>
  <c r="R286" i="3" s="1"/>
  <c r="L286" i="3"/>
  <c r="M286" i="3" s="1"/>
  <c r="P285" i="3"/>
  <c r="R285" i="3" s="1"/>
  <c r="L285" i="3"/>
  <c r="M285" i="3" s="1"/>
  <c r="P284" i="3"/>
  <c r="R284" i="3" s="1"/>
  <c r="L284" i="3"/>
  <c r="M284" i="3" s="1"/>
  <c r="P283" i="3"/>
  <c r="R283" i="3" s="1"/>
  <c r="L283" i="3"/>
  <c r="M283" i="3" s="1"/>
  <c r="P282" i="3"/>
  <c r="R282" i="3" s="1"/>
  <c r="L282" i="3"/>
  <c r="M282" i="3" s="1"/>
  <c r="AB423" i="1"/>
  <c r="W423" i="1"/>
  <c r="X423" i="1" s="1"/>
  <c r="AB158" i="1"/>
  <c r="W158" i="1"/>
  <c r="X158" i="1" s="1"/>
  <c r="AB345" i="1"/>
  <c r="W345" i="1"/>
  <c r="X345" i="1" s="1"/>
  <c r="AB452" i="1"/>
  <c r="W452" i="1"/>
  <c r="X452" i="1" s="1"/>
  <c r="AB328" i="1"/>
  <c r="W328" i="1"/>
  <c r="X328" i="1" s="1"/>
  <c r="AB176" i="1"/>
  <c r="W176" i="1"/>
  <c r="X176" i="1" s="1"/>
  <c r="AB431" i="1"/>
  <c r="W431" i="1"/>
  <c r="X431" i="1" s="1"/>
  <c r="AB430" i="1"/>
  <c r="W430" i="1"/>
  <c r="X430" i="1" s="1"/>
  <c r="AB445" i="1"/>
  <c r="W445" i="1"/>
  <c r="X445" i="1" s="1"/>
  <c r="AB522" i="1"/>
  <c r="W522" i="1"/>
  <c r="X522" i="1" s="1"/>
  <c r="AB657" i="1"/>
  <c r="W657" i="1"/>
  <c r="X657" i="1" s="1"/>
  <c r="AB344" i="1"/>
  <c r="W344" i="1"/>
  <c r="X344" i="1" s="1"/>
  <c r="AB76" i="1"/>
  <c r="W76" i="1"/>
  <c r="X76" i="1" s="1"/>
  <c r="W654" i="1"/>
  <c r="X654" i="1" s="1"/>
  <c r="AB427" i="1"/>
  <c r="W427" i="1"/>
  <c r="X427" i="1" s="1"/>
  <c r="AB136" i="1"/>
  <c r="W136" i="1"/>
  <c r="X136" i="1" s="1"/>
  <c r="AB189" i="1"/>
  <c r="W189" i="1"/>
  <c r="X189" i="1" s="1"/>
  <c r="AB457" i="1"/>
  <c r="W457" i="1"/>
  <c r="X457" i="1" s="1"/>
  <c r="AB157" i="1"/>
  <c r="W157" i="1"/>
  <c r="X157" i="1" s="1"/>
  <c r="AB135" i="1"/>
  <c r="W135" i="1"/>
  <c r="X135" i="1" s="1"/>
  <c r="W686" i="1" l="1"/>
  <c r="X686" i="1" s="1"/>
  <c r="W640" i="1"/>
  <c r="X640" i="1" s="1"/>
  <c r="AB365" i="1"/>
  <c r="W365" i="1"/>
  <c r="X365" i="1" s="1"/>
  <c r="AB364" i="1" l="1"/>
  <c r="W364" i="1"/>
  <c r="X364" i="1" s="1"/>
  <c r="AB363" i="1"/>
  <c r="W363" i="1"/>
  <c r="X363" i="1" s="1"/>
  <c r="AB122" i="1"/>
  <c r="W122" i="1"/>
  <c r="X122" i="1" s="1"/>
  <c r="AB278" i="1"/>
  <c r="W278" i="1"/>
  <c r="X278" i="1" s="1"/>
  <c r="AB317" i="1"/>
  <c r="W317" i="1"/>
  <c r="X317" i="1" s="1"/>
  <c r="AB343" i="1"/>
  <c r="W343" i="1"/>
  <c r="X343" i="1" s="1"/>
  <c r="AB475" i="1"/>
  <c r="W475" i="1"/>
  <c r="X475" i="1" s="1"/>
  <c r="AB138" i="1"/>
  <c r="W138" i="1"/>
  <c r="X138" i="1" s="1"/>
  <c r="AB227" i="1"/>
  <c r="W227" i="1"/>
  <c r="X227" i="1" s="1"/>
  <c r="AB229" i="1"/>
  <c r="W229" i="1"/>
  <c r="X229" i="1" s="1"/>
  <c r="AB656" i="1"/>
  <c r="W656" i="1"/>
  <c r="X656" i="1" s="1"/>
  <c r="AB24" i="1"/>
  <c r="AB396" i="1"/>
  <c r="W24" i="1"/>
  <c r="X24" i="1" s="1"/>
  <c r="W396" i="1"/>
  <c r="X396" i="1" s="1"/>
  <c r="AB408" i="1"/>
  <c r="W408" i="1"/>
  <c r="X408" i="1" s="1"/>
  <c r="AB90" i="1"/>
  <c r="W90" i="1"/>
  <c r="X90" i="1" s="1"/>
  <c r="AB482" i="1"/>
  <c r="W482" i="1"/>
  <c r="X482" i="1" s="1"/>
  <c r="P151" i="3" l="1"/>
  <c r="R151" i="3" s="1"/>
  <c r="P152" i="3"/>
  <c r="R152" i="3" s="1"/>
  <c r="P153" i="3"/>
  <c r="R153" i="3" s="1"/>
  <c r="P154" i="3"/>
  <c r="R154" i="3" s="1"/>
  <c r="P155" i="3"/>
  <c r="R155" i="3" s="1"/>
  <c r="P156" i="3"/>
  <c r="R156" i="3" s="1"/>
  <c r="P157" i="3"/>
  <c r="R157" i="3" s="1"/>
  <c r="P158" i="3"/>
  <c r="R158" i="3" s="1"/>
  <c r="P159" i="3"/>
  <c r="R159" i="3" s="1"/>
  <c r="P160" i="3"/>
  <c r="R160" i="3" s="1"/>
  <c r="P161" i="3"/>
  <c r="R161" i="3" s="1"/>
  <c r="P162" i="3"/>
  <c r="R162" i="3" s="1"/>
  <c r="P163" i="3"/>
  <c r="R163" i="3" s="1"/>
  <c r="P164" i="3"/>
  <c r="R164" i="3" s="1"/>
  <c r="P165" i="3"/>
  <c r="R165" i="3" s="1"/>
  <c r="P166" i="3"/>
  <c r="R166" i="3" s="1"/>
  <c r="P167" i="3"/>
  <c r="R167" i="3" s="1"/>
  <c r="P168" i="3"/>
  <c r="R168" i="3" s="1"/>
  <c r="P169" i="3"/>
  <c r="R169" i="3" s="1"/>
  <c r="P170" i="3"/>
  <c r="R170" i="3" s="1"/>
  <c r="P171" i="3"/>
  <c r="R171" i="3" s="1"/>
  <c r="P172" i="3"/>
  <c r="R172" i="3" s="1"/>
  <c r="P173" i="3"/>
  <c r="R173" i="3" s="1"/>
  <c r="P174" i="3"/>
  <c r="R174" i="3" s="1"/>
  <c r="P175" i="3"/>
  <c r="R175" i="3" s="1"/>
  <c r="P176" i="3"/>
  <c r="R176" i="3" s="1"/>
  <c r="P177" i="3"/>
  <c r="R177" i="3" s="1"/>
  <c r="P178" i="3"/>
  <c r="R178" i="3" s="1"/>
  <c r="P179" i="3"/>
  <c r="R179" i="3" s="1"/>
  <c r="P180" i="3"/>
  <c r="R180" i="3" s="1"/>
  <c r="P181" i="3"/>
  <c r="R181" i="3" s="1"/>
  <c r="P182" i="3"/>
  <c r="R182" i="3" s="1"/>
  <c r="P183" i="3"/>
  <c r="R183" i="3" s="1"/>
  <c r="P184" i="3"/>
  <c r="R184" i="3" s="1"/>
  <c r="P185" i="3"/>
  <c r="R185" i="3" s="1"/>
  <c r="P186" i="3"/>
  <c r="R186" i="3" s="1"/>
  <c r="P187" i="3"/>
  <c r="R187" i="3" s="1"/>
  <c r="P188" i="3"/>
  <c r="R188" i="3" s="1"/>
  <c r="P189" i="3"/>
  <c r="R189" i="3" s="1"/>
  <c r="P190" i="3"/>
  <c r="R190" i="3" s="1"/>
  <c r="P191" i="3"/>
  <c r="R191" i="3" s="1"/>
  <c r="P192" i="3"/>
  <c r="R192" i="3" s="1"/>
  <c r="P193" i="3"/>
  <c r="R193" i="3" s="1"/>
  <c r="P194" i="3"/>
  <c r="R194" i="3" s="1"/>
  <c r="P195" i="3"/>
  <c r="R195" i="3" s="1"/>
  <c r="P196" i="3"/>
  <c r="R196" i="3" s="1"/>
  <c r="P197" i="3"/>
  <c r="R197" i="3" s="1"/>
  <c r="P198" i="3"/>
  <c r="R198" i="3" s="1"/>
  <c r="P199" i="3"/>
  <c r="R199" i="3" s="1"/>
  <c r="P200" i="3"/>
  <c r="R200" i="3" s="1"/>
  <c r="P201" i="3"/>
  <c r="R201" i="3" s="1"/>
  <c r="P202" i="3"/>
  <c r="R202" i="3" s="1"/>
  <c r="P203" i="3"/>
  <c r="R203" i="3" s="1"/>
  <c r="P204" i="3"/>
  <c r="R204" i="3" s="1"/>
  <c r="P205" i="3"/>
  <c r="R205" i="3" s="1"/>
  <c r="P206" i="3"/>
  <c r="R206" i="3" s="1"/>
  <c r="P207" i="3"/>
  <c r="R207" i="3" s="1"/>
  <c r="P208" i="3"/>
  <c r="R208" i="3" s="1"/>
  <c r="P209" i="3"/>
  <c r="R209" i="3" s="1"/>
  <c r="P210" i="3"/>
  <c r="R210" i="3" s="1"/>
  <c r="P211" i="3"/>
  <c r="R211" i="3" s="1"/>
  <c r="P212" i="3"/>
  <c r="R212" i="3" s="1"/>
  <c r="P213" i="3"/>
  <c r="R213" i="3" s="1"/>
  <c r="P214" i="3"/>
  <c r="R214" i="3" s="1"/>
  <c r="P215" i="3"/>
  <c r="R215" i="3" s="1"/>
  <c r="P216" i="3"/>
  <c r="R216" i="3" s="1"/>
  <c r="P217" i="3"/>
  <c r="R217" i="3" s="1"/>
  <c r="P218" i="3"/>
  <c r="R218" i="3" s="1"/>
  <c r="P219" i="3"/>
  <c r="R219" i="3" s="1"/>
  <c r="P220" i="3"/>
  <c r="R220" i="3" s="1"/>
  <c r="P221" i="3"/>
  <c r="R221" i="3" s="1"/>
  <c r="P222" i="3"/>
  <c r="R222" i="3" s="1"/>
  <c r="P223" i="3"/>
  <c r="R223" i="3" s="1"/>
  <c r="P224" i="3"/>
  <c r="R224" i="3" s="1"/>
  <c r="P225" i="3"/>
  <c r="R225" i="3" s="1"/>
  <c r="P226" i="3"/>
  <c r="R226" i="3" s="1"/>
  <c r="P227" i="3"/>
  <c r="R227" i="3" s="1"/>
  <c r="P228" i="3"/>
  <c r="R228" i="3" s="1"/>
  <c r="P229" i="3"/>
  <c r="R229" i="3" s="1"/>
  <c r="P230" i="3"/>
  <c r="R230" i="3" s="1"/>
  <c r="P231" i="3"/>
  <c r="R231" i="3" s="1"/>
  <c r="P232" i="3"/>
  <c r="R232" i="3" s="1"/>
  <c r="P233" i="3"/>
  <c r="R233" i="3" s="1"/>
  <c r="P234" i="3"/>
  <c r="R234" i="3" s="1"/>
  <c r="P235" i="3"/>
  <c r="R235" i="3" s="1"/>
  <c r="P236" i="3"/>
  <c r="R236" i="3" s="1"/>
  <c r="P237" i="3"/>
  <c r="R237" i="3" s="1"/>
  <c r="P238" i="3"/>
  <c r="R238" i="3" s="1"/>
  <c r="P239" i="3"/>
  <c r="R239" i="3" s="1"/>
  <c r="P240" i="3"/>
  <c r="R240" i="3" s="1"/>
  <c r="P241" i="3"/>
  <c r="R241" i="3" s="1"/>
  <c r="P242" i="3"/>
  <c r="R242" i="3" s="1"/>
  <c r="P243" i="3"/>
  <c r="R243" i="3" s="1"/>
  <c r="P244" i="3"/>
  <c r="R244" i="3" s="1"/>
  <c r="P245" i="3"/>
  <c r="R245" i="3" s="1"/>
  <c r="P246" i="3"/>
  <c r="R246" i="3" s="1"/>
  <c r="P247" i="3"/>
  <c r="R247" i="3" s="1"/>
  <c r="P248" i="3"/>
  <c r="R248" i="3" s="1"/>
  <c r="P249" i="3"/>
  <c r="R249" i="3" s="1"/>
  <c r="P250" i="3"/>
  <c r="R250" i="3" s="1"/>
  <c r="P251" i="3"/>
  <c r="R251" i="3" s="1"/>
  <c r="P252" i="3"/>
  <c r="R252" i="3" s="1"/>
  <c r="P253" i="3"/>
  <c r="R253" i="3" s="1"/>
  <c r="P254" i="3"/>
  <c r="R254" i="3" s="1"/>
  <c r="P255" i="3"/>
  <c r="R255" i="3" s="1"/>
  <c r="P256" i="3"/>
  <c r="R256" i="3" s="1"/>
  <c r="P257" i="3"/>
  <c r="R257" i="3" s="1"/>
  <c r="P258" i="3"/>
  <c r="R258" i="3" s="1"/>
  <c r="P259" i="3"/>
  <c r="R259" i="3" s="1"/>
  <c r="P260" i="3"/>
  <c r="R260" i="3" s="1"/>
  <c r="P261" i="3"/>
  <c r="R261" i="3" s="1"/>
  <c r="P262" i="3"/>
  <c r="R262" i="3" s="1"/>
  <c r="P263" i="3"/>
  <c r="R263" i="3" s="1"/>
  <c r="P264" i="3"/>
  <c r="R264" i="3" s="1"/>
  <c r="P265" i="3"/>
  <c r="R265" i="3" s="1"/>
  <c r="P266" i="3"/>
  <c r="R266" i="3" s="1"/>
  <c r="P267" i="3"/>
  <c r="R267" i="3" s="1"/>
  <c r="P268" i="3"/>
  <c r="R268" i="3" s="1"/>
  <c r="P269" i="3"/>
  <c r="R269" i="3" s="1"/>
  <c r="P270" i="3"/>
  <c r="R270" i="3" s="1"/>
  <c r="P271" i="3"/>
  <c r="R271" i="3" s="1"/>
  <c r="P272" i="3"/>
  <c r="R272" i="3" s="1"/>
  <c r="P273" i="3"/>
  <c r="R273" i="3" s="1"/>
  <c r="P274" i="3"/>
  <c r="R274" i="3" s="1"/>
  <c r="P275" i="3"/>
  <c r="R275" i="3" s="1"/>
  <c r="P276" i="3"/>
  <c r="R276" i="3" s="1"/>
  <c r="P277" i="3"/>
  <c r="R277" i="3" s="1"/>
  <c r="P278" i="3"/>
  <c r="R278" i="3" s="1"/>
  <c r="P279" i="3"/>
  <c r="R279" i="3" s="1"/>
  <c r="P281" i="3"/>
  <c r="R281" i="3" s="1"/>
  <c r="P20" i="3"/>
  <c r="P21" i="3"/>
  <c r="P22" i="3"/>
  <c r="R22" i="3" s="1"/>
  <c r="P23" i="3"/>
  <c r="R23" i="3" s="1"/>
  <c r="P24" i="3"/>
  <c r="R24" i="3" s="1"/>
  <c r="P25" i="3"/>
  <c r="R25" i="3" s="1"/>
  <c r="P26" i="3"/>
  <c r="R26" i="3" s="1"/>
  <c r="P27" i="3"/>
  <c r="R27" i="3" s="1"/>
  <c r="P28" i="3"/>
  <c r="R28" i="3" s="1"/>
  <c r="P29" i="3"/>
  <c r="R29" i="3" s="1"/>
  <c r="P30" i="3"/>
  <c r="R30" i="3" s="1"/>
  <c r="P31" i="3"/>
  <c r="R31" i="3" s="1"/>
  <c r="P32" i="3"/>
  <c r="R32" i="3" s="1"/>
  <c r="P33" i="3"/>
  <c r="R33" i="3" s="1"/>
  <c r="P34" i="3"/>
  <c r="R34" i="3" s="1"/>
  <c r="P35" i="3"/>
  <c r="R35" i="3" s="1"/>
  <c r="P36" i="3"/>
  <c r="R36" i="3" s="1"/>
  <c r="P37" i="3"/>
  <c r="R37" i="3" s="1"/>
  <c r="P38" i="3"/>
  <c r="R38" i="3" s="1"/>
  <c r="P39" i="3"/>
  <c r="R39" i="3" s="1"/>
  <c r="P40" i="3"/>
  <c r="R40" i="3" s="1"/>
  <c r="P41" i="3"/>
  <c r="R41" i="3" s="1"/>
  <c r="P42" i="3"/>
  <c r="R42" i="3" s="1"/>
  <c r="P43" i="3"/>
  <c r="R43" i="3" s="1"/>
  <c r="P44" i="3"/>
  <c r="R44" i="3" s="1"/>
  <c r="P45" i="3"/>
  <c r="R45" i="3" s="1"/>
  <c r="P46" i="3"/>
  <c r="R46" i="3" s="1"/>
  <c r="P47" i="3"/>
  <c r="R47" i="3" s="1"/>
  <c r="P48" i="3"/>
  <c r="R48" i="3" s="1"/>
  <c r="P49" i="3"/>
  <c r="R49" i="3" s="1"/>
  <c r="P50" i="3"/>
  <c r="R50" i="3" s="1"/>
  <c r="P51" i="3"/>
  <c r="R51" i="3" s="1"/>
  <c r="P52" i="3"/>
  <c r="R52" i="3" s="1"/>
  <c r="P53" i="3"/>
  <c r="R53" i="3" s="1"/>
  <c r="P54" i="3"/>
  <c r="R54" i="3" s="1"/>
  <c r="P55" i="3"/>
  <c r="R55" i="3" s="1"/>
  <c r="P56" i="3"/>
  <c r="R56" i="3" s="1"/>
  <c r="P57" i="3"/>
  <c r="R57" i="3" s="1"/>
  <c r="P58" i="3"/>
  <c r="R58" i="3" s="1"/>
  <c r="P59" i="3"/>
  <c r="R59" i="3" s="1"/>
  <c r="P60" i="3"/>
  <c r="R60" i="3" s="1"/>
  <c r="P61" i="3"/>
  <c r="R61" i="3" s="1"/>
  <c r="P62" i="3"/>
  <c r="R62" i="3" s="1"/>
  <c r="P63" i="3"/>
  <c r="R63" i="3" s="1"/>
  <c r="P64" i="3"/>
  <c r="R64" i="3" s="1"/>
  <c r="P65" i="3"/>
  <c r="R65" i="3" s="1"/>
  <c r="P66" i="3"/>
  <c r="R66" i="3" s="1"/>
  <c r="P67" i="3"/>
  <c r="R67" i="3" s="1"/>
  <c r="P68" i="3"/>
  <c r="R68" i="3" s="1"/>
  <c r="P69" i="3"/>
  <c r="R69" i="3" s="1"/>
  <c r="P70" i="3"/>
  <c r="R70" i="3" s="1"/>
  <c r="P71" i="3"/>
  <c r="R71" i="3" s="1"/>
  <c r="P72" i="3"/>
  <c r="R72" i="3" s="1"/>
  <c r="P73" i="3"/>
  <c r="R73" i="3" s="1"/>
  <c r="P74" i="3"/>
  <c r="R74" i="3" s="1"/>
  <c r="P75" i="3"/>
  <c r="R75" i="3" s="1"/>
  <c r="P76" i="3"/>
  <c r="R76" i="3" s="1"/>
  <c r="P77" i="3"/>
  <c r="R77" i="3" s="1"/>
  <c r="P78" i="3"/>
  <c r="R78" i="3" s="1"/>
  <c r="P79" i="3"/>
  <c r="R79" i="3" s="1"/>
  <c r="P80" i="3"/>
  <c r="R80" i="3" s="1"/>
  <c r="P81" i="3"/>
  <c r="R81" i="3" s="1"/>
  <c r="P82" i="3"/>
  <c r="R82" i="3" s="1"/>
  <c r="P83" i="3"/>
  <c r="R83" i="3" s="1"/>
  <c r="P84" i="3"/>
  <c r="R84" i="3" s="1"/>
  <c r="P85" i="3"/>
  <c r="R85" i="3" s="1"/>
  <c r="P86" i="3"/>
  <c r="R86" i="3" s="1"/>
  <c r="P87" i="3"/>
  <c r="R87" i="3" s="1"/>
  <c r="P88" i="3"/>
  <c r="R88" i="3" s="1"/>
  <c r="P89" i="3"/>
  <c r="R89" i="3" s="1"/>
  <c r="P90" i="3"/>
  <c r="R90" i="3" s="1"/>
  <c r="P91" i="3"/>
  <c r="R91" i="3" s="1"/>
  <c r="P92" i="3"/>
  <c r="R92" i="3" s="1"/>
  <c r="P93" i="3"/>
  <c r="R93" i="3" s="1"/>
  <c r="P94" i="3"/>
  <c r="R94" i="3" s="1"/>
  <c r="P95" i="3"/>
  <c r="R95" i="3" s="1"/>
  <c r="P96" i="3"/>
  <c r="R96" i="3" s="1"/>
  <c r="P97" i="3"/>
  <c r="R97" i="3" s="1"/>
  <c r="P98" i="3"/>
  <c r="R98" i="3" s="1"/>
  <c r="P99" i="3"/>
  <c r="R99" i="3" s="1"/>
  <c r="P100" i="3"/>
  <c r="R100" i="3" s="1"/>
  <c r="P101" i="3"/>
  <c r="R101" i="3" s="1"/>
  <c r="P102" i="3"/>
  <c r="R102" i="3" s="1"/>
  <c r="P103" i="3"/>
  <c r="R103" i="3" s="1"/>
  <c r="P104" i="3"/>
  <c r="R104" i="3" s="1"/>
  <c r="P105" i="3"/>
  <c r="R105" i="3" s="1"/>
  <c r="P106" i="3"/>
  <c r="R106" i="3" s="1"/>
  <c r="P107" i="3"/>
  <c r="R107" i="3" s="1"/>
  <c r="P108" i="3"/>
  <c r="R108" i="3" s="1"/>
  <c r="P109" i="3"/>
  <c r="R109" i="3" s="1"/>
  <c r="P110" i="3"/>
  <c r="R110" i="3" s="1"/>
  <c r="P111" i="3"/>
  <c r="R111" i="3" s="1"/>
  <c r="P112" i="3"/>
  <c r="R112" i="3" s="1"/>
  <c r="P113" i="3"/>
  <c r="R113" i="3" s="1"/>
  <c r="P114" i="3"/>
  <c r="R114" i="3" s="1"/>
  <c r="P115" i="3"/>
  <c r="R115" i="3" s="1"/>
  <c r="P116" i="3"/>
  <c r="R116" i="3" s="1"/>
  <c r="P117" i="3"/>
  <c r="R117" i="3" s="1"/>
  <c r="P118" i="3"/>
  <c r="R118" i="3" s="1"/>
  <c r="P119" i="3"/>
  <c r="R119" i="3" s="1"/>
  <c r="P120" i="3"/>
  <c r="R120" i="3" s="1"/>
  <c r="P121" i="3"/>
  <c r="R121" i="3" s="1"/>
  <c r="P122" i="3"/>
  <c r="R122" i="3" s="1"/>
  <c r="P123" i="3"/>
  <c r="R123" i="3" s="1"/>
  <c r="P124" i="3"/>
  <c r="R124" i="3" s="1"/>
  <c r="P125" i="3"/>
  <c r="R125" i="3" s="1"/>
  <c r="P126" i="3"/>
  <c r="R126" i="3" s="1"/>
  <c r="P127" i="3"/>
  <c r="R127" i="3" s="1"/>
  <c r="P128" i="3"/>
  <c r="R128" i="3" s="1"/>
  <c r="P129" i="3"/>
  <c r="R129" i="3" s="1"/>
  <c r="P130" i="3"/>
  <c r="R130" i="3" s="1"/>
  <c r="P131" i="3"/>
  <c r="R131" i="3" s="1"/>
  <c r="P132" i="3"/>
  <c r="R132" i="3" s="1"/>
  <c r="P133" i="3"/>
  <c r="R133" i="3" s="1"/>
  <c r="P134" i="3"/>
  <c r="R134" i="3" s="1"/>
  <c r="P135" i="3"/>
  <c r="R135" i="3" s="1"/>
  <c r="P136" i="3"/>
  <c r="R136" i="3" s="1"/>
  <c r="P137" i="3"/>
  <c r="R137" i="3" s="1"/>
  <c r="P138" i="3"/>
  <c r="R138" i="3" s="1"/>
  <c r="P139" i="3"/>
  <c r="R139" i="3" s="1"/>
  <c r="P140" i="3"/>
  <c r="R140" i="3" s="1"/>
  <c r="P141" i="3"/>
  <c r="R141" i="3" s="1"/>
  <c r="P142" i="3"/>
  <c r="R142" i="3" s="1"/>
  <c r="P143" i="3"/>
  <c r="R143" i="3" s="1"/>
  <c r="P144" i="3"/>
  <c r="R144" i="3" s="1"/>
  <c r="P145" i="3"/>
  <c r="R145" i="3" s="1"/>
  <c r="R146" i="3"/>
  <c r="P147" i="3"/>
  <c r="R147" i="3" s="1"/>
  <c r="P148" i="3"/>
  <c r="R148" i="3" s="1"/>
  <c r="P149" i="3"/>
  <c r="R149" i="3" s="1"/>
  <c r="P150" i="3"/>
  <c r="R150" i="3" s="1"/>
  <c r="P19" i="3"/>
  <c r="R19" i="3" s="1"/>
  <c r="R20" i="3"/>
  <c r="R21" i="3"/>
  <c r="L281" i="3" l="1"/>
  <c r="M281" i="3" s="1"/>
  <c r="N280" i="3"/>
  <c r="P280" i="3" s="1"/>
  <c r="R280" i="3" s="1"/>
  <c r="L280" i="3"/>
  <c r="M280" i="3" s="1"/>
  <c r="L279" i="3"/>
  <c r="M279" i="3" s="1"/>
  <c r="L278" i="3"/>
  <c r="M278" i="3" s="1"/>
  <c r="L277" i="3"/>
  <c r="M277" i="3" s="1"/>
  <c r="L276" i="3"/>
  <c r="M276" i="3" s="1"/>
  <c r="L275" i="3"/>
  <c r="M275" i="3" s="1"/>
  <c r="L274" i="3"/>
  <c r="M274" i="3" s="1"/>
  <c r="L273" i="3"/>
  <c r="M273" i="3" s="1"/>
  <c r="L272" i="3"/>
  <c r="M272" i="3" s="1"/>
  <c r="L271" i="3"/>
  <c r="M271" i="3" s="1"/>
  <c r="L270" i="3"/>
  <c r="M270" i="3" s="1"/>
  <c r="L269" i="3"/>
  <c r="M269" i="3" s="1"/>
  <c r="L268" i="3"/>
  <c r="M268" i="3" s="1"/>
  <c r="L267" i="3"/>
  <c r="M267" i="3" s="1"/>
  <c r="L266" i="3"/>
  <c r="M266" i="3" s="1"/>
  <c r="L265" i="3"/>
  <c r="M265" i="3" s="1"/>
  <c r="L264" i="3"/>
  <c r="M264" i="3" s="1"/>
  <c r="L263" i="3"/>
  <c r="M263" i="3" s="1"/>
  <c r="L262" i="3"/>
  <c r="M262" i="3" s="1"/>
  <c r="AB385" i="1"/>
  <c r="W385" i="1"/>
  <c r="X385" i="1" s="1"/>
  <c r="AB155" i="1"/>
  <c r="W155" i="1"/>
  <c r="X155" i="1" s="1"/>
  <c r="AB48" i="1"/>
  <c r="W48" i="1"/>
  <c r="X48" i="1" s="1"/>
  <c r="AB601" i="1"/>
  <c r="W601" i="1"/>
  <c r="X601" i="1" s="1"/>
  <c r="AB21" i="1"/>
  <c r="W21" i="1"/>
  <c r="X21" i="1" s="1"/>
  <c r="AB34" i="1"/>
  <c r="W34" i="1"/>
  <c r="X34" i="1" s="1"/>
  <c r="AB194" i="1"/>
  <c r="W194" i="1"/>
  <c r="X194" i="1" s="1"/>
  <c r="AB562" i="1"/>
  <c r="W562" i="1"/>
  <c r="X562" i="1" s="1"/>
  <c r="AB481" i="1"/>
  <c r="W481" i="1"/>
  <c r="X481" i="1" s="1"/>
  <c r="AB247" i="1"/>
  <c r="W247" i="1"/>
  <c r="X247" i="1" s="1"/>
  <c r="AB277" i="1"/>
  <c r="W277" i="1"/>
  <c r="X277" i="1" s="1"/>
  <c r="AB594" i="1"/>
  <c r="W594" i="1"/>
  <c r="X594" i="1" s="1"/>
  <c r="L261" i="3"/>
  <c r="M261" i="3" s="1"/>
  <c r="L260" i="3"/>
  <c r="M260" i="3" s="1"/>
  <c r="L259" i="3"/>
  <c r="M259" i="3" s="1"/>
  <c r="L258" i="3"/>
  <c r="M258" i="3" s="1"/>
  <c r="L257" i="3"/>
  <c r="M257" i="3" s="1"/>
  <c r="L256" i="3"/>
  <c r="M256" i="3" s="1"/>
  <c r="L255" i="3"/>
  <c r="M255" i="3" s="1"/>
  <c r="L254" i="3"/>
  <c r="M254" i="3" s="1"/>
  <c r="L253" i="3"/>
  <c r="M253" i="3" s="1"/>
  <c r="L252" i="3"/>
  <c r="M252" i="3" s="1"/>
  <c r="L251" i="3"/>
  <c r="M251" i="3" s="1"/>
  <c r="L250" i="3"/>
  <c r="M250" i="3" s="1"/>
  <c r="L249" i="3"/>
  <c r="M249" i="3" s="1"/>
  <c r="L248" i="3"/>
  <c r="M248" i="3" s="1"/>
  <c r="L247" i="3"/>
  <c r="M247" i="3" s="1"/>
  <c r="L246" i="3"/>
  <c r="M246" i="3" s="1"/>
  <c r="L245" i="3"/>
  <c r="M245" i="3" s="1"/>
  <c r="L244" i="3"/>
  <c r="M244" i="3" s="1"/>
  <c r="L243" i="3"/>
  <c r="M243" i="3" s="1"/>
  <c r="L242" i="3"/>
  <c r="M242" i="3" s="1"/>
  <c r="L241" i="3"/>
  <c r="M241" i="3" s="1"/>
  <c r="L240" i="3"/>
  <c r="M240" i="3" s="1"/>
  <c r="L239" i="3"/>
  <c r="M239" i="3" s="1"/>
  <c r="L238" i="3"/>
  <c r="M238" i="3" s="1"/>
  <c r="L237" i="3"/>
  <c r="M237" i="3" s="1"/>
  <c r="L236" i="3"/>
  <c r="M236" i="3" s="1"/>
  <c r="L235" i="3"/>
  <c r="M235" i="3" s="1"/>
  <c r="L234" i="3"/>
  <c r="M234" i="3" s="1"/>
  <c r="L233" i="3"/>
  <c r="M233" i="3" s="1"/>
  <c r="L232" i="3"/>
  <c r="M232" i="3" s="1"/>
  <c r="L231" i="3"/>
  <c r="M231" i="3" s="1"/>
  <c r="L230" i="3"/>
  <c r="M230" i="3" s="1"/>
  <c r="L229" i="3"/>
  <c r="M229" i="3" s="1"/>
  <c r="AB489" i="1" l="1"/>
  <c r="AB671" i="1"/>
  <c r="AB376" i="1"/>
  <c r="AB274" i="1"/>
  <c r="AB479" i="1"/>
  <c r="AB212" i="1"/>
  <c r="AB535" i="1"/>
  <c r="AB490" i="1"/>
  <c r="AB409" i="1"/>
  <c r="AB480" i="1"/>
  <c r="AB213" i="1"/>
  <c r="AB600" i="1"/>
  <c r="AB204" i="1"/>
  <c r="AB342" i="1"/>
  <c r="AB501" i="1"/>
  <c r="AB402" i="1"/>
  <c r="AB55" i="1"/>
  <c r="AB521" i="1"/>
  <c r="AB327" i="1"/>
  <c r="AB275" i="1"/>
  <c r="AB693" i="1"/>
  <c r="AB290" i="1"/>
  <c r="AB68" i="1"/>
  <c r="AB321" i="1"/>
  <c r="AB502" i="1"/>
  <c r="AB568" i="1"/>
  <c r="AB381" i="1"/>
  <c r="AB549" i="1"/>
  <c r="AB221" i="1"/>
  <c r="AB300" i="1"/>
  <c r="AB416" i="1"/>
  <c r="AB388" i="1"/>
  <c r="AB228" i="1"/>
  <c r="AB243" i="1"/>
  <c r="AB185" i="1"/>
  <c r="AB276" i="1"/>
  <c r="AB134" i="1"/>
  <c r="AB353" i="1"/>
  <c r="AB667" i="1"/>
  <c r="AB298" i="1"/>
  <c r="AB467" i="1"/>
  <c r="W467" i="1" l="1"/>
  <c r="X467" i="1" s="1"/>
  <c r="W298" i="1"/>
  <c r="X298" i="1" s="1"/>
  <c r="W667" i="1"/>
  <c r="X667" i="1" s="1"/>
  <c r="W353" i="1"/>
  <c r="X353" i="1" s="1"/>
  <c r="W134" i="1"/>
  <c r="X134" i="1" s="1"/>
  <c r="W276" i="1"/>
  <c r="X276" i="1" s="1"/>
  <c r="W185" i="1"/>
  <c r="X185" i="1" s="1"/>
  <c r="W243" i="1"/>
  <c r="X243" i="1" s="1"/>
  <c r="W228" i="1"/>
  <c r="X228" i="1" s="1"/>
  <c r="W388" i="1"/>
  <c r="X388" i="1" s="1"/>
  <c r="W416" i="1"/>
  <c r="X416" i="1" s="1"/>
  <c r="W300" i="1"/>
  <c r="X300" i="1" s="1"/>
  <c r="W221" i="1"/>
  <c r="X221" i="1" s="1"/>
  <c r="W549" i="1"/>
  <c r="X549" i="1" s="1"/>
  <c r="W381" i="1"/>
  <c r="X381" i="1" s="1"/>
  <c r="W568" i="1"/>
  <c r="X568" i="1" s="1"/>
  <c r="W502" i="1"/>
  <c r="X502" i="1" s="1"/>
  <c r="W321" i="1"/>
  <c r="X321" i="1" s="1"/>
  <c r="W68" i="1"/>
  <c r="X68" i="1" s="1"/>
  <c r="W290" i="1"/>
  <c r="X290" i="1" s="1"/>
  <c r="W693" i="1"/>
  <c r="X693" i="1" s="1"/>
  <c r="W275" i="1"/>
  <c r="X275" i="1" s="1"/>
  <c r="W327" i="1"/>
  <c r="X327" i="1" s="1"/>
  <c r="W521" i="1"/>
  <c r="X521" i="1" s="1"/>
  <c r="W55" i="1"/>
  <c r="X55" i="1" s="1"/>
  <c r="W402" i="1"/>
  <c r="X402" i="1" s="1"/>
  <c r="W501" i="1"/>
  <c r="X501" i="1" s="1"/>
  <c r="W342" i="1"/>
  <c r="X342" i="1" s="1"/>
  <c r="W204" i="1"/>
  <c r="X204" i="1" s="1"/>
  <c r="W600" i="1"/>
  <c r="X600" i="1" s="1"/>
  <c r="W213" i="1"/>
  <c r="X213" i="1" s="1"/>
  <c r="W480" i="1"/>
  <c r="X480" i="1" s="1"/>
  <c r="W409" i="1"/>
  <c r="X409" i="1" s="1"/>
  <c r="W490" i="1"/>
  <c r="X490" i="1" s="1"/>
  <c r="W535" i="1"/>
  <c r="X535" i="1" s="1"/>
  <c r="W212" i="1"/>
  <c r="X212" i="1" s="1"/>
  <c r="W479" i="1"/>
  <c r="X479" i="1" s="1"/>
  <c r="W274" i="1"/>
  <c r="X274" i="1" s="1"/>
  <c r="W376" i="1"/>
  <c r="X376" i="1" s="1"/>
  <c r="W671" i="1"/>
  <c r="X671" i="1" s="1"/>
  <c r="W489" i="1"/>
  <c r="X489" i="1" s="1"/>
  <c r="M52" i="1" l="1"/>
  <c r="AB52" i="1" s="1"/>
  <c r="M384" i="1"/>
  <c r="AB384" i="1" s="1"/>
  <c r="M380" i="1"/>
  <c r="AB380" i="1" s="1"/>
  <c r="M234" i="1"/>
  <c r="AB234" i="1" s="1"/>
  <c r="M415" i="1"/>
  <c r="AB415" i="1" s="1"/>
  <c r="M116" i="1"/>
  <c r="AB116" i="1" s="1"/>
  <c r="M541" i="1"/>
  <c r="AB541" i="1" s="1"/>
  <c r="M239" i="1"/>
  <c r="AB239" i="1" s="1"/>
  <c r="M245" i="1"/>
  <c r="AB245" i="1" s="1"/>
  <c r="M50" i="1"/>
  <c r="AB50" i="1" s="1"/>
  <c r="M57" i="1"/>
  <c r="AB57" i="1" s="1"/>
  <c r="M357" i="1"/>
  <c r="AB357" i="1" s="1"/>
  <c r="M318" i="1"/>
  <c r="AB318" i="1" s="1"/>
  <c r="M552" i="1"/>
  <c r="AB552" i="1" s="1"/>
  <c r="M173" i="1"/>
  <c r="AB173" i="1" s="1"/>
  <c r="M436" i="1"/>
  <c r="AB436" i="1" s="1"/>
  <c r="M493" i="1"/>
  <c r="AB493" i="1" s="1"/>
  <c r="M387" i="1"/>
  <c r="AB387" i="1" s="1"/>
  <c r="M118" i="1"/>
  <c r="AB118" i="1" s="1"/>
  <c r="M533" i="1"/>
  <c r="AB533" i="1" s="1"/>
  <c r="M359" i="1"/>
  <c r="AB359" i="1" s="1"/>
  <c r="M299" i="1"/>
  <c r="AB299" i="1" s="1"/>
  <c r="M351" i="1"/>
  <c r="AB351" i="1" s="1"/>
  <c r="M689" i="1"/>
  <c r="AB689" i="1" s="1"/>
  <c r="M132" i="1"/>
  <c r="AB132" i="1" s="1"/>
  <c r="M421" i="1"/>
  <c r="AB421" i="1" s="1"/>
  <c r="M53" i="1"/>
  <c r="AB53" i="1" s="1"/>
  <c r="M639" i="1"/>
  <c r="AB639" i="1" s="1"/>
  <c r="M542" i="1"/>
  <c r="AB542" i="1" s="1"/>
  <c r="M513" i="1"/>
  <c r="AB513" i="1" s="1"/>
  <c r="M316" i="1"/>
  <c r="AB316" i="1" s="1"/>
  <c r="M92" i="1"/>
  <c r="AB92" i="1" s="1"/>
  <c r="AB544" i="1"/>
  <c r="M604" i="1"/>
  <c r="AB604" i="1" s="1"/>
  <c r="M494" i="1"/>
  <c r="AB494" i="1" s="1"/>
  <c r="M165" i="1"/>
  <c r="AB165" i="1" s="1"/>
  <c r="M687" i="1"/>
  <c r="AB687" i="1" s="1"/>
  <c r="M466" i="1"/>
  <c r="AB466" i="1" s="1"/>
  <c r="M280" i="1"/>
  <c r="AB280" i="1" s="1"/>
  <c r="M94" i="1"/>
  <c r="AB94" i="1" s="1"/>
  <c r="M27" i="1"/>
  <c r="AB27" i="1" s="1"/>
  <c r="M676" i="1"/>
  <c r="AB676" i="1" s="1"/>
  <c r="M177" i="1"/>
  <c r="AB177" i="1" s="1"/>
  <c r="M45" i="1"/>
  <c r="AB45" i="1" s="1"/>
  <c r="M543" i="1"/>
  <c r="AB543" i="1" s="1"/>
  <c r="M188" i="1"/>
  <c r="AB188" i="1" s="1"/>
  <c r="M469" i="1"/>
  <c r="AB469" i="1" s="1"/>
  <c r="M232" i="1"/>
  <c r="AB232" i="1" s="1"/>
  <c r="M59" i="1"/>
  <c r="AB59" i="1" s="1"/>
  <c r="M250" i="1"/>
  <c r="AB250" i="1" s="1"/>
  <c r="M87" i="1"/>
  <c r="AB87" i="1" s="1"/>
  <c r="M167" i="1"/>
  <c r="AB167" i="1" s="1"/>
  <c r="M163" i="1"/>
  <c r="AB163" i="1" s="1"/>
  <c r="M151" i="1"/>
  <c r="AB151" i="1" s="1"/>
  <c r="M477" i="1"/>
  <c r="AB477" i="1" s="1"/>
  <c r="M263" i="1"/>
  <c r="AB263" i="1" s="1"/>
  <c r="M643" i="1"/>
  <c r="AB643" i="1" s="1"/>
  <c r="M679" i="1"/>
  <c r="AB679" i="1" s="1"/>
  <c r="M240" i="1"/>
  <c r="AB240" i="1" s="1"/>
  <c r="M51" i="1"/>
  <c r="AB51" i="1" s="1"/>
  <c r="M226" i="1"/>
  <c r="AB226" i="1" s="1"/>
  <c r="M110" i="1"/>
  <c r="AB110" i="1" s="1"/>
  <c r="M429" i="1"/>
  <c r="AB429" i="1" s="1"/>
  <c r="M186" i="1"/>
  <c r="AB186" i="1" s="1"/>
  <c r="M488" i="1"/>
  <c r="AB488" i="1" s="1"/>
  <c r="M456" i="1"/>
  <c r="AB456" i="1" s="1"/>
  <c r="M292" i="1"/>
  <c r="AB292" i="1" s="1"/>
  <c r="M410" i="1"/>
  <c r="AB410" i="1" s="1"/>
  <c r="M673" i="1"/>
  <c r="AB673" i="1" s="1"/>
  <c r="M691" i="1"/>
  <c r="AB691" i="1" s="1"/>
  <c r="M553" i="1"/>
  <c r="AB553" i="1" s="1"/>
  <c r="M288" i="1"/>
  <c r="AB288" i="1" s="1"/>
  <c r="M39" i="1"/>
  <c r="AB39" i="1" s="1"/>
  <c r="M253" i="1"/>
  <c r="AB253" i="1" s="1"/>
  <c r="M565" i="1"/>
  <c r="AB565" i="1" s="1"/>
  <c r="M668" i="1"/>
  <c r="AB668" i="1" s="1"/>
  <c r="M349" i="1"/>
  <c r="AB349" i="1" s="1"/>
  <c r="M260" i="1"/>
  <c r="AB260" i="1" s="1"/>
  <c r="M443" i="1"/>
  <c r="AB443" i="1" s="1"/>
  <c r="M246" i="1"/>
  <c r="AB246" i="1" s="1"/>
  <c r="M125" i="1"/>
  <c r="AB125" i="1" s="1"/>
  <c r="M202" i="1"/>
  <c r="AB202" i="1" s="1"/>
  <c r="M37" i="1"/>
  <c r="AB37" i="1" s="1"/>
  <c r="M28" i="1"/>
  <c r="AB28" i="1" s="1"/>
  <c r="M326" i="1"/>
  <c r="AB326" i="1" s="1"/>
  <c r="M672" i="1"/>
  <c r="AB672" i="1" s="1"/>
  <c r="M450" i="1"/>
  <c r="AB450" i="1" s="1"/>
  <c r="M143" i="1"/>
  <c r="AB143" i="1" s="1"/>
  <c r="M294" i="1"/>
  <c r="AB294" i="1" s="1"/>
  <c r="M577" i="1"/>
  <c r="AB577" i="1" s="1"/>
  <c r="M289" i="1"/>
  <c r="AB289" i="1" s="1"/>
  <c r="M334" i="1"/>
  <c r="AB334" i="1" s="1"/>
  <c r="M230" i="1"/>
  <c r="AB230" i="1" s="1"/>
  <c r="M273" i="1"/>
  <c r="AB273" i="1" s="1"/>
  <c r="M193" i="1"/>
  <c r="AB193" i="1" s="1"/>
  <c r="M182" i="1"/>
  <c r="AB182" i="1" s="1"/>
  <c r="M111" i="1"/>
  <c r="AB111" i="1" s="1"/>
  <c r="M203" i="1"/>
  <c r="AB203" i="1" s="1"/>
  <c r="M369" i="1"/>
  <c r="AB369" i="1" s="1"/>
  <c r="M73" i="1"/>
  <c r="AB73" i="1" s="1"/>
  <c r="M596" i="1"/>
  <c r="AB596" i="1" s="1"/>
  <c r="M688" i="1"/>
  <c r="AB688" i="1" s="1"/>
  <c r="M175" i="1"/>
  <c r="AB175" i="1" s="1"/>
  <c r="M224" i="1"/>
  <c r="AB224" i="1" s="1"/>
  <c r="M516" i="1"/>
  <c r="AB516" i="1" s="1"/>
  <c r="M400" i="1"/>
  <c r="AB400" i="1" s="1"/>
  <c r="M465" i="1"/>
  <c r="AB465" i="1" s="1"/>
  <c r="M35" i="1"/>
  <c r="AB35" i="1" s="1"/>
  <c r="M15" i="1"/>
  <c r="AB15" i="1" s="1"/>
  <c r="M26" i="1"/>
  <c r="AB26" i="1" s="1"/>
  <c r="M270" i="1"/>
  <c r="AB270" i="1" s="1"/>
  <c r="M154" i="1"/>
  <c r="AB154" i="1" s="1"/>
  <c r="M598" i="1"/>
  <c r="AB598" i="1" s="1"/>
  <c r="M356" i="1"/>
  <c r="AB356" i="1" s="1"/>
  <c r="M520" i="1"/>
  <c r="AB520" i="1" s="1"/>
  <c r="M558" i="1"/>
  <c r="AB558" i="1" s="1"/>
  <c r="M42" i="1"/>
  <c r="AB42" i="1" s="1"/>
  <c r="M251" i="1"/>
  <c r="AB251" i="1" s="1"/>
  <c r="M411" i="1"/>
  <c r="AB411" i="1" s="1"/>
  <c r="M54" i="1"/>
  <c r="AB54" i="1" s="1"/>
  <c r="M528" i="1"/>
  <c r="AB528" i="1" s="1"/>
  <c r="M478" i="1"/>
  <c r="AB478" i="1" s="1"/>
  <c r="M346" i="1"/>
  <c r="AB346" i="1" s="1"/>
  <c r="M215" i="1"/>
  <c r="AB215" i="1" s="1"/>
  <c r="M133" i="1"/>
  <c r="AB133" i="1" s="1"/>
  <c r="M395" i="1"/>
  <c r="AB395" i="1" s="1"/>
  <c r="M74" i="1"/>
  <c r="AB74" i="1" s="1"/>
  <c r="M373" i="1"/>
  <c r="AB373" i="1" s="1"/>
  <c r="M83" i="1"/>
  <c r="AB83" i="1" s="1"/>
  <c r="M216" i="1"/>
  <c r="AB216" i="1" s="1"/>
  <c r="M65" i="1"/>
  <c r="AB65" i="1" s="1"/>
  <c r="M162" i="1"/>
  <c r="AB162" i="1" s="1"/>
  <c r="M44" i="1"/>
  <c r="AB44" i="1" s="1"/>
  <c r="M451" i="1"/>
  <c r="AB451" i="1" s="1"/>
  <c r="L228" i="3" l="1"/>
  <c r="M228" i="3" s="1"/>
  <c r="L227" i="3"/>
  <c r="M227" i="3" s="1"/>
  <c r="L226" i="3"/>
  <c r="M226" i="3" s="1"/>
  <c r="L225" i="3"/>
  <c r="M225" i="3" s="1"/>
  <c r="L224" i="3"/>
  <c r="M224" i="3" s="1"/>
  <c r="L223" i="3"/>
  <c r="M223" i="3" s="1"/>
  <c r="L222" i="3"/>
  <c r="M222" i="3" s="1"/>
  <c r="L221" i="3"/>
  <c r="M221" i="3" s="1"/>
  <c r="L220" i="3"/>
  <c r="M220" i="3" s="1"/>
  <c r="L219" i="3"/>
  <c r="M219" i="3" s="1"/>
  <c r="L218" i="3"/>
  <c r="M218" i="3" s="1"/>
  <c r="L217" i="3"/>
  <c r="M217" i="3" s="1"/>
  <c r="L216" i="3"/>
  <c r="M216" i="3" s="1"/>
  <c r="L215" i="3"/>
  <c r="M215" i="3" s="1"/>
  <c r="L214" i="3"/>
  <c r="M214" i="3" s="1"/>
  <c r="L213" i="3"/>
  <c r="M213" i="3" s="1"/>
  <c r="L212" i="3"/>
  <c r="M212" i="3" s="1"/>
  <c r="L211" i="3"/>
  <c r="M211" i="3" s="1"/>
  <c r="L210" i="3"/>
  <c r="M210" i="3" s="1"/>
  <c r="L209" i="3"/>
  <c r="M209" i="3" s="1"/>
  <c r="L208" i="3"/>
  <c r="M208" i="3" s="1"/>
  <c r="L207" i="3"/>
  <c r="M207" i="3" s="1"/>
  <c r="L206" i="3"/>
  <c r="M206" i="3" s="1"/>
  <c r="L205" i="3"/>
  <c r="M205" i="3" s="1"/>
  <c r="L204" i="3"/>
  <c r="M204" i="3" s="1"/>
  <c r="L203" i="3"/>
  <c r="M203" i="3" s="1"/>
  <c r="L202" i="3"/>
  <c r="M202" i="3" s="1"/>
  <c r="L201" i="3"/>
  <c r="M201" i="3" s="1"/>
  <c r="L200" i="3"/>
  <c r="M200" i="3" s="1"/>
  <c r="L199" i="3"/>
  <c r="M199" i="3" s="1"/>
  <c r="L198" i="3"/>
  <c r="M198" i="3" s="1"/>
  <c r="L197" i="3"/>
  <c r="M197" i="3" s="1"/>
  <c r="L196" i="3"/>
  <c r="M196" i="3" s="1"/>
  <c r="L195" i="3"/>
  <c r="M195" i="3" s="1"/>
  <c r="L194" i="3"/>
  <c r="M194" i="3" s="1"/>
  <c r="L193" i="3"/>
  <c r="M193" i="3" s="1"/>
  <c r="L192" i="3"/>
  <c r="M192" i="3" s="1"/>
  <c r="L191" i="3"/>
  <c r="M191" i="3" s="1"/>
  <c r="L190" i="3"/>
  <c r="M190" i="3" s="1"/>
  <c r="L189" i="3"/>
  <c r="M189" i="3" s="1"/>
  <c r="L188" i="3"/>
  <c r="M188" i="3" s="1"/>
  <c r="L187" i="3"/>
  <c r="M187" i="3" s="1"/>
  <c r="L186" i="3"/>
  <c r="M186" i="3" s="1"/>
  <c r="L185" i="3"/>
  <c r="M185" i="3" s="1"/>
  <c r="L184" i="3"/>
  <c r="M184" i="3" s="1"/>
  <c r="L183" i="3"/>
  <c r="M183" i="3" s="1"/>
  <c r="L182" i="3"/>
  <c r="M182" i="3" s="1"/>
  <c r="L181" i="3"/>
  <c r="M181" i="3" s="1"/>
  <c r="L180" i="3"/>
  <c r="M180" i="3" s="1"/>
  <c r="L179" i="3"/>
  <c r="M179" i="3" s="1"/>
  <c r="L178" i="3"/>
  <c r="M178" i="3" s="1"/>
  <c r="L177" i="3"/>
  <c r="M177" i="3" s="1"/>
  <c r="L176" i="3"/>
  <c r="M176" i="3" s="1"/>
  <c r="L175" i="3"/>
  <c r="M175" i="3" s="1"/>
  <c r="L174" i="3"/>
  <c r="M174" i="3" s="1"/>
  <c r="L173" i="3"/>
  <c r="M173" i="3" s="1"/>
  <c r="L172" i="3"/>
  <c r="M172" i="3" s="1"/>
  <c r="L171" i="3"/>
  <c r="M171" i="3" s="1"/>
  <c r="L170" i="3"/>
  <c r="M170" i="3" s="1"/>
  <c r="L169" i="3"/>
  <c r="M169" i="3" s="1"/>
  <c r="L168" i="3"/>
  <c r="M168" i="3" s="1"/>
  <c r="L167" i="3"/>
  <c r="M167" i="3" s="1"/>
  <c r="L166" i="3"/>
  <c r="M166" i="3" s="1"/>
  <c r="L165" i="3"/>
  <c r="M165" i="3" s="1"/>
  <c r="L164" i="3"/>
  <c r="M164" i="3" s="1"/>
  <c r="L163" i="3"/>
  <c r="M163" i="3" s="1"/>
  <c r="L162" i="3"/>
  <c r="M162" i="3" s="1"/>
  <c r="L161" i="3"/>
  <c r="M161" i="3" s="1"/>
  <c r="L160" i="3"/>
  <c r="M160" i="3" s="1"/>
  <c r="L159" i="3"/>
  <c r="M159" i="3" s="1"/>
  <c r="L158" i="3"/>
  <c r="M158" i="3" s="1"/>
  <c r="L157" i="3"/>
  <c r="M157" i="3" s="1"/>
  <c r="L156" i="3"/>
  <c r="M156" i="3" s="1"/>
  <c r="L155" i="3"/>
  <c r="M155" i="3" s="1"/>
  <c r="L154" i="3"/>
  <c r="M154" i="3" s="1"/>
  <c r="L153" i="3"/>
  <c r="M153" i="3" s="1"/>
  <c r="L152" i="3"/>
  <c r="M152" i="3" s="1"/>
  <c r="L151" i="3"/>
  <c r="M151" i="3" s="1"/>
  <c r="L150" i="3"/>
  <c r="M150" i="3" s="1"/>
  <c r="L149" i="3"/>
  <c r="M149" i="3" s="1"/>
  <c r="W451" i="1" l="1"/>
  <c r="X451" i="1" s="1"/>
  <c r="W44" i="1"/>
  <c r="X44" i="1" s="1"/>
  <c r="W162" i="1"/>
  <c r="X162" i="1" s="1"/>
  <c r="W65" i="1"/>
  <c r="X65" i="1" s="1"/>
  <c r="W216" i="1"/>
  <c r="X216" i="1" s="1"/>
  <c r="W83" i="1"/>
  <c r="X83" i="1" s="1"/>
  <c r="W373" i="1"/>
  <c r="X373" i="1" s="1"/>
  <c r="W74" i="1"/>
  <c r="X74" i="1" s="1"/>
  <c r="W395" i="1"/>
  <c r="X395" i="1" s="1"/>
  <c r="W133" i="1"/>
  <c r="X133" i="1" s="1"/>
  <c r="W215" i="1"/>
  <c r="X215" i="1" s="1"/>
  <c r="W346" i="1"/>
  <c r="X346" i="1" s="1"/>
  <c r="W478" i="1"/>
  <c r="X478" i="1" s="1"/>
  <c r="W528" i="1"/>
  <c r="X528" i="1" s="1"/>
  <c r="W54" i="1"/>
  <c r="X54" i="1" s="1"/>
  <c r="W411" i="1"/>
  <c r="X411" i="1" s="1"/>
  <c r="W251" i="1"/>
  <c r="X251" i="1" s="1"/>
  <c r="W42" i="1"/>
  <c r="X42" i="1" s="1"/>
  <c r="W558" i="1"/>
  <c r="X558" i="1" s="1"/>
  <c r="W520" i="1"/>
  <c r="X520" i="1" s="1"/>
  <c r="W356" i="1"/>
  <c r="X356" i="1" s="1"/>
  <c r="W598" i="1"/>
  <c r="X598" i="1" s="1"/>
  <c r="W154" i="1"/>
  <c r="X154" i="1" s="1"/>
  <c r="W270" i="1"/>
  <c r="X270" i="1" s="1"/>
  <c r="W26" i="1"/>
  <c r="X26" i="1" s="1"/>
  <c r="W15" i="1"/>
  <c r="X15" i="1" s="1"/>
  <c r="W35" i="1"/>
  <c r="X35" i="1" s="1"/>
  <c r="W465" i="1"/>
  <c r="X465" i="1" s="1"/>
  <c r="L139" i="3" l="1"/>
  <c r="M139" i="3" s="1"/>
  <c r="L138" i="3"/>
  <c r="M138" i="3" s="1"/>
  <c r="L137" i="3"/>
  <c r="M137" i="3" s="1"/>
  <c r="L136" i="3"/>
  <c r="M136" i="3" s="1"/>
  <c r="L135" i="3"/>
  <c r="M135" i="3" s="1"/>
  <c r="L134" i="3"/>
  <c r="M134" i="3" s="1"/>
  <c r="L133" i="3"/>
  <c r="M133" i="3" s="1"/>
  <c r="L132" i="3"/>
  <c r="M132" i="3" s="1"/>
  <c r="L131" i="3"/>
  <c r="M131" i="3" s="1"/>
  <c r="L130" i="3"/>
  <c r="M130" i="3" s="1"/>
  <c r="L129" i="3"/>
  <c r="M129" i="3" s="1"/>
  <c r="L128" i="3"/>
  <c r="M128" i="3" s="1"/>
  <c r="L127" i="3"/>
  <c r="M127" i="3" s="1"/>
  <c r="L126" i="3"/>
  <c r="M126" i="3" s="1"/>
  <c r="L125" i="3"/>
  <c r="M125" i="3" s="1"/>
  <c r="L124" i="3"/>
  <c r="M124" i="3" s="1"/>
  <c r="L123" i="3"/>
  <c r="M123" i="3" s="1"/>
  <c r="L113" i="3"/>
  <c r="M113" i="3" s="1"/>
  <c r="L112" i="3"/>
  <c r="M112" i="3" s="1"/>
  <c r="L111" i="3"/>
  <c r="M111" i="3" s="1"/>
  <c r="L110" i="3"/>
  <c r="M110" i="3" s="1"/>
  <c r="L109" i="3"/>
  <c r="M109" i="3" s="1"/>
  <c r="L108" i="3"/>
  <c r="M108" i="3" s="1"/>
  <c r="L107" i="3"/>
  <c r="M107" i="3" s="1"/>
  <c r="L106" i="3"/>
  <c r="M106" i="3" s="1"/>
  <c r="L105" i="3"/>
  <c r="M105" i="3" s="1"/>
  <c r="L104" i="3"/>
  <c r="M104" i="3" s="1"/>
  <c r="L103" i="3"/>
  <c r="M103" i="3" s="1"/>
  <c r="L102" i="3"/>
  <c r="M102" i="3" s="1"/>
  <c r="L101" i="3"/>
  <c r="M101" i="3" s="1"/>
  <c r="L100" i="3"/>
  <c r="M100" i="3" s="1"/>
  <c r="L99" i="3"/>
  <c r="M99" i="3" s="1"/>
  <c r="L98" i="3"/>
  <c r="M98" i="3" s="1"/>
  <c r="L97" i="3"/>
  <c r="M97" i="3" s="1"/>
  <c r="L96" i="3"/>
  <c r="M96" i="3" s="1"/>
  <c r="L95" i="3"/>
  <c r="M95" i="3" s="1"/>
  <c r="L94" i="3"/>
  <c r="M94" i="3" s="1"/>
  <c r="L93" i="3"/>
  <c r="M93" i="3" s="1"/>
  <c r="L92" i="3"/>
  <c r="M92" i="3" s="1"/>
  <c r="L91" i="3"/>
  <c r="M91" i="3" s="1"/>
  <c r="L90" i="3"/>
  <c r="M90" i="3" s="1"/>
  <c r="W400" i="1" l="1"/>
  <c r="X400" i="1" s="1"/>
  <c r="W516" i="1"/>
  <c r="X516" i="1" s="1"/>
  <c r="W224" i="1"/>
  <c r="X224" i="1" s="1"/>
  <c r="W175" i="1"/>
  <c r="X175" i="1" s="1"/>
  <c r="W688" i="1"/>
  <c r="X688" i="1" s="1"/>
  <c r="W596" i="1"/>
  <c r="X596" i="1" s="1"/>
  <c r="W73" i="1"/>
  <c r="X73" i="1" s="1"/>
  <c r="W52" i="1"/>
  <c r="X52" i="1" s="1"/>
  <c r="W369" i="1"/>
  <c r="X369" i="1" s="1"/>
  <c r="W203" i="1"/>
  <c r="X203" i="1" s="1"/>
  <c r="W111" i="1"/>
  <c r="X111" i="1" s="1"/>
  <c r="W182" i="1"/>
  <c r="X182" i="1" s="1"/>
  <c r="W193" i="1"/>
  <c r="X193" i="1" s="1"/>
  <c r="W273" i="1"/>
  <c r="X273" i="1" s="1"/>
  <c r="W230" i="1"/>
  <c r="X230" i="1" s="1"/>
  <c r="W334" i="1"/>
  <c r="X334" i="1" s="1"/>
  <c r="W289" i="1"/>
  <c r="X289" i="1" s="1"/>
  <c r="U577" i="1"/>
  <c r="W577" i="1" s="1"/>
  <c r="X577" i="1" s="1"/>
  <c r="U294" i="1"/>
  <c r="W294" i="1" s="1"/>
  <c r="X294" i="1" s="1"/>
  <c r="W143" i="1"/>
  <c r="X143" i="1" s="1"/>
  <c r="W450" i="1"/>
  <c r="X450" i="1" s="1"/>
  <c r="U672" i="1"/>
  <c r="W672" i="1" s="1"/>
  <c r="X672" i="1" s="1"/>
  <c r="W326" i="1"/>
  <c r="X326" i="1" s="1"/>
  <c r="W28" i="1"/>
  <c r="X28" i="1" s="1"/>
  <c r="W37" i="1"/>
  <c r="X37" i="1" s="1"/>
  <c r="W202" i="1"/>
  <c r="X202" i="1" s="1"/>
  <c r="W125" i="1"/>
  <c r="X125" i="1" s="1"/>
  <c r="W246" i="1"/>
  <c r="X246" i="1" s="1"/>
  <c r="W443" i="1"/>
  <c r="X443" i="1" s="1"/>
  <c r="W260" i="1"/>
  <c r="X260" i="1" s="1"/>
  <c r="W349" i="1"/>
  <c r="X349" i="1" s="1"/>
  <c r="U668" i="1"/>
  <c r="W668" i="1" s="1"/>
  <c r="X668" i="1" s="1"/>
  <c r="W565" i="1"/>
  <c r="X565" i="1" s="1"/>
  <c r="W253" i="1"/>
  <c r="X253" i="1" s="1"/>
  <c r="W39" i="1"/>
  <c r="X39" i="1" s="1"/>
  <c r="W288" i="1"/>
  <c r="X288" i="1" s="1"/>
  <c r="W553" i="1"/>
  <c r="X553" i="1" s="1"/>
  <c r="U691" i="1"/>
  <c r="W691" i="1" s="1"/>
  <c r="X691" i="1" s="1"/>
  <c r="U673" i="1"/>
  <c r="W673" i="1" s="1"/>
  <c r="X673" i="1" s="1"/>
  <c r="W410" i="1"/>
  <c r="X410" i="1" s="1"/>
  <c r="W292" i="1"/>
  <c r="X292" i="1" s="1"/>
  <c r="W456" i="1"/>
  <c r="X456" i="1" s="1"/>
  <c r="W488" i="1"/>
  <c r="X488" i="1" s="1"/>
  <c r="W186" i="1"/>
  <c r="X186" i="1" s="1"/>
  <c r="W429" i="1"/>
  <c r="X429" i="1" s="1"/>
  <c r="W110" i="1"/>
  <c r="X110" i="1" s="1"/>
  <c r="W226" i="1"/>
  <c r="X226" i="1" s="1"/>
  <c r="W51" i="1"/>
  <c r="X51" i="1" s="1"/>
  <c r="W240" i="1"/>
  <c r="X240" i="1" s="1"/>
  <c r="W679" i="1"/>
  <c r="X679" i="1" s="1"/>
  <c r="U643" i="1"/>
  <c r="W643" i="1" s="1"/>
  <c r="X643" i="1" s="1"/>
  <c r="K252" i="1" l="1"/>
  <c r="AB252" i="1" s="1"/>
  <c r="K210" i="1"/>
  <c r="AB210" i="1" s="1"/>
  <c r="K352" i="1"/>
  <c r="AB352" i="1" s="1"/>
  <c r="N161" i="1" l="1"/>
  <c r="N532" i="1"/>
  <c r="N607" i="1"/>
  <c r="N331" i="1"/>
  <c r="N148" i="1"/>
  <c r="N86" i="1"/>
  <c r="N623" i="1"/>
  <c r="N362" i="1"/>
  <c r="N210" i="1"/>
  <c r="N272" i="1"/>
  <c r="N383" i="1"/>
  <c r="N570" i="1"/>
  <c r="N304" i="1"/>
  <c r="N496" i="1"/>
  <c r="N404" i="1"/>
  <c r="N98" i="1"/>
  <c r="N302" i="1"/>
  <c r="N61" i="1"/>
  <c r="N30" i="1"/>
  <c r="N582" i="1"/>
  <c r="N728" i="1"/>
  <c r="N732" i="1"/>
  <c r="N313" i="1"/>
  <c r="N725" i="1"/>
  <c r="N209" i="1"/>
  <c r="N571" i="1"/>
  <c r="N63" i="1"/>
  <c r="N434" i="1"/>
  <c r="N198" i="1"/>
  <c r="N14" i="1"/>
  <c r="N142" i="1"/>
  <c r="N441" i="1"/>
  <c r="N473" i="1"/>
  <c r="N200" i="1"/>
  <c r="N612" i="1"/>
  <c r="N412" i="1"/>
  <c r="N31" i="1"/>
  <c r="N303" i="1"/>
  <c r="N372" i="1"/>
  <c r="N352" i="1"/>
  <c r="N149" i="1"/>
  <c r="N220" i="1"/>
  <c r="N499" i="1"/>
  <c r="N257" i="1"/>
  <c r="N105" i="1"/>
  <c r="N252" i="1"/>
  <c r="N187" i="1"/>
  <c r="N259" i="1"/>
  <c r="N540" i="1"/>
  <c r="N207" i="1"/>
  <c r="N649" i="1"/>
  <c r="N401" i="1"/>
  <c r="N29" i="1"/>
  <c r="L89" i="3" l="1"/>
  <c r="M89" i="3" s="1"/>
  <c r="L88" i="3"/>
  <c r="M88" i="3" s="1"/>
  <c r="L87" i="3"/>
  <c r="M87" i="3" s="1"/>
  <c r="L86" i="3"/>
  <c r="M86" i="3" s="1"/>
  <c r="L85" i="3"/>
  <c r="M85" i="3" s="1"/>
  <c r="L84" i="3"/>
  <c r="M84" i="3" s="1"/>
  <c r="L83" i="3"/>
  <c r="M83" i="3" s="1"/>
  <c r="L82" i="3"/>
  <c r="M82" i="3" s="1"/>
  <c r="L81" i="3"/>
  <c r="M81" i="3" s="1"/>
  <c r="L80" i="3"/>
  <c r="M80" i="3" s="1"/>
  <c r="L79" i="3"/>
  <c r="M79" i="3" s="1"/>
  <c r="L78" i="3"/>
  <c r="M78" i="3" s="1"/>
  <c r="L77" i="3"/>
  <c r="M77" i="3" s="1"/>
  <c r="L76" i="3"/>
  <c r="M76" i="3" s="1"/>
  <c r="L75" i="3"/>
  <c r="M75" i="3" s="1"/>
  <c r="L74" i="3"/>
  <c r="M74" i="3" s="1"/>
  <c r="L73" i="3"/>
  <c r="M73" i="3" s="1"/>
  <c r="L72" i="3"/>
  <c r="M72" i="3" s="1"/>
  <c r="L71" i="3"/>
  <c r="M71" i="3" s="1"/>
  <c r="L70" i="3"/>
  <c r="M70" i="3" s="1"/>
  <c r="L69" i="3"/>
  <c r="M69" i="3" s="1"/>
  <c r="L68" i="3"/>
  <c r="M68" i="3" s="1"/>
  <c r="L67" i="3"/>
  <c r="M67" i="3" s="1"/>
  <c r="L66" i="3"/>
  <c r="M66" i="3" s="1"/>
  <c r="L65" i="3"/>
  <c r="M65" i="3" s="1"/>
  <c r="L64" i="3"/>
  <c r="M64" i="3" s="1"/>
  <c r="L63" i="3"/>
  <c r="M63" i="3" s="1"/>
  <c r="L62" i="3"/>
  <c r="M62" i="3" s="1"/>
  <c r="L61" i="3"/>
  <c r="M61" i="3" s="1"/>
  <c r="L60" i="3"/>
  <c r="M60" i="3" s="1"/>
  <c r="L59" i="3"/>
  <c r="M59" i="3" s="1"/>
  <c r="L58" i="3"/>
  <c r="M58" i="3" s="1"/>
  <c r="L57" i="3"/>
  <c r="M57" i="3" s="1"/>
  <c r="L56" i="3"/>
  <c r="M56" i="3" s="1"/>
  <c r="L55" i="3"/>
  <c r="M55" i="3" s="1"/>
  <c r="L54" i="3"/>
  <c r="M54" i="3" s="1"/>
  <c r="L53" i="3"/>
  <c r="M53" i="3" s="1"/>
  <c r="L52" i="3"/>
  <c r="M52" i="3" s="1"/>
  <c r="L51" i="3"/>
  <c r="M51" i="3" s="1"/>
  <c r="L50" i="3"/>
  <c r="M50" i="3" s="1"/>
  <c r="L49" i="3"/>
  <c r="M49" i="3" s="1"/>
  <c r="L41" i="3"/>
  <c r="M41" i="3" s="1"/>
  <c r="L42" i="3"/>
  <c r="M42" i="3" s="1"/>
  <c r="L43" i="3"/>
  <c r="M43" i="3" s="1"/>
  <c r="L44" i="3"/>
  <c r="M44" i="3" s="1"/>
  <c r="L45" i="3"/>
  <c r="M45" i="3" s="1"/>
  <c r="L46" i="3"/>
  <c r="M46" i="3" s="1"/>
  <c r="L47" i="3"/>
  <c r="M47" i="3" s="1"/>
  <c r="L48" i="3"/>
  <c r="M48" i="3" s="1"/>
  <c r="L40" i="3"/>
  <c r="M40" i="3" s="1"/>
  <c r="L39" i="3"/>
  <c r="M39" i="3" s="1"/>
  <c r="L38" i="3"/>
  <c r="M38" i="3" s="1"/>
  <c r="L37" i="3"/>
  <c r="M37" i="3" s="1"/>
  <c r="L36" i="3"/>
  <c r="M36" i="3" s="1"/>
  <c r="L35" i="3"/>
  <c r="M35" i="3" s="1"/>
  <c r="L34" i="3"/>
  <c r="M34" i="3" s="1"/>
  <c r="L33" i="3"/>
  <c r="M33" i="3" s="1"/>
  <c r="L21" i="3"/>
  <c r="M21" i="3" s="1"/>
  <c r="L22" i="3"/>
  <c r="M22" i="3" s="1"/>
  <c r="L23" i="3"/>
  <c r="M23" i="3" s="1"/>
  <c r="L24" i="3"/>
  <c r="M24" i="3" s="1"/>
  <c r="L25" i="3"/>
  <c r="M25" i="3" s="1"/>
  <c r="L26" i="3"/>
  <c r="M26" i="3" s="1"/>
  <c r="L27" i="3"/>
  <c r="M27" i="3" s="1"/>
  <c r="L28" i="3"/>
  <c r="M28" i="3" s="1"/>
  <c r="L29" i="3"/>
  <c r="M29" i="3" s="1"/>
  <c r="L30" i="3"/>
  <c r="M30" i="3" s="1"/>
  <c r="L31" i="3"/>
  <c r="M31" i="3" s="1"/>
  <c r="L32" i="3"/>
  <c r="M32" i="3" s="1"/>
  <c r="L20" i="3"/>
  <c r="M20" i="3" s="1"/>
  <c r="L19" i="3"/>
  <c r="M19" i="3" s="1"/>
  <c r="W263" i="1"/>
  <c r="X263" i="1" s="1"/>
  <c r="W477" i="1"/>
  <c r="X477" i="1" s="1"/>
  <c r="W151" i="1"/>
  <c r="X151" i="1" s="1"/>
  <c r="W163" i="1"/>
  <c r="X163" i="1" s="1"/>
  <c r="W167" i="1"/>
  <c r="X167" i="1" s="1"/>
  <c r="W87" i="1"/>
  <c r="X87" i="1" s="1"/>
  <c r="W250" i="1"/>
  <c r="X250" i="1" s="1"/>
  <c r="W59" i="1"/>
  <c r="X59" i="1" s="1"/>
  <c r="W232" i="1"/>
  <c r="X232" i="1" s="1"/>
  <c r="W469" i="1"/>
  <c r="X469" i="1" s="1"/>
  <c r="W188" i="1"/>
  <c r="X188" i="1" s="1"/>
  <c r="W543" i="1"/>
  <c r="X543" i="1" s="1"/>
  <c r="W45" i="1"/>
  <c r="X45" i="1" s="1"/>
  <c r="W177" i="1"/>
  <c r="X177" i="1" s="1"/>
  <c r="W676" i="1"/>
  <c r="X676" i="1" s="1"/>
  <c r="W27" i="1"/>
  <c r="X27" i="1" s="1"/>
  <c r="W94" i="1"/>
  <c r="X94" i="1" s="1"/>
  <c r="W280" i="1"/>
  <c r="X280" i="1" s="1"/>
  <c r="W466" i="1"/>
  <c r="X466" i="1" s="1"/>
  <c r="W687" i="1"/>
  <c r="X687" i="1" s="1"/>
  <c r="W165" i="1"/>
  <c r="X165" i="1" s="1"/>
  <c r="W494" i="1"/>
  <c r="X494" i="1" s="1"/>
  <c r="W604" i="1"/>
  <c r="X604" i="1" s="1"/>
  <c r="W544" i="1"/>
  <c r="X544" i="1" s="1"/>
  <c r="W92" i="1"/>
  <c r="X92" i="1" s="1"/>
  <c r="W316" i="1"/>
  <c r="X316" i="1" s="1"/>
  <c r="W513" i="1"/>
  <c r="X513" i="1" s="1"/>
  <c r="X542" i="1"/>
  <c r="W639" i="1"/>
  <c r="X639" i="1" s="1"/>
  <c r="W53" i="1"/>
  <c r="X53" i="1" s="1"/>
  <c r="W421" i="1"/>
  <c r="X421" i="1" s="1"/>
  <c r="W132" i="1"/>
  <c r="X132" i="1" s="1"/>
  <c r="W689" i="1"/>
  <c r="X689" i="1" s="1"/>
  <c r="W351" i="1"/>
  <c r="X351" i="1" s="1"/>
  <c r="W299" i="1"/>
  <c r="X299" i="1" s="1"/>
  <c r="W359" i="1"/>
  <c r="X359" i="1" s="1"/>
  <c r="W533" i="1"/>
  <c r="X533" i="1" s="1"/>
  <c r="W118" i="1"/>
  <c r="X118" i="1" s="1"/>
  <c r="W387" i="1"/>
  <c r="X387" i="1" s="1"/>
  <c r="W493" i="1"/>
  <c r="X493" i="1" s="1"/>
  <c r="W436" i="1"/>
  <c r="X436" i="1" s="1"/>
  <c r="W173" i="1"/>
  <c r="X173" i="1" s="1"/>
  <c r="W552" i="1"/>
  <c r="X552" i="1" s="1"/>
  <c r="W318" i="1"/>
  <c r="X318" i="1" s="1"/>
  <c r="W357" i="1"/>
  <c r="X357" i="1" s="1"/>
  <c r="W57" i="1"/>
  <c r="X57" i="1" s="1"/>
  <c r="W50" i="1"/>
  <c r="X50" i="1" s="1"/>
  <c r="W245" i="1"/>
  <c r="X245" i="1" s="1"/>
  <c r="W239" i="1"/>
  <c r="X239" i="1" s="1"/>
  <c r="W541" i="1"/>
  <c r="X541" i="1" s="1"/>
  <c r="W116" i="1"/>
  <c r="X116" i="1" s="1"/>
  <c r="W380" i="1"/>
  <c r="X380" i="1" s="1"/>
  <c r="W234" i="1"/>
  <c r="X234" i="1" s="1"/>
  <c r="W415" i="1"/>
  <c r="X415" i="1" s="1"/>
  <c r="R13" i="3"/>
  <c r="R12" i="3"/>
  <c r="P18" i="3"/>
  <c r="R18" i="3" s="1"/>
  <c r="P14" i="3"/>
  <c r="R14" i="3" s="1"/>
  <c r="R15" i="3"/>
  <c r="P16" i="3"/>
  <c r="R16" i="3" s="1"/>
  <c r="P17" i="3"/>
  <c r="R17" i="3" s="1"/>
  <c r="N9" i="1"/>
  <c r="N2" i="1"/>
  <c r="N7" i="1"/>
  <c r="N6" i="1"/>
  <c r="N10" i="1"/>
  <c r="N703" i="1"/>
  <c r="N69" i="1"/>
  <c r="N184" i="1"/>
  <c r="N13" i="1"/>
  <c r="N559" i="1"/>
  <c r="N140" i="1"/>
  <c r="N561" i="1"/>
  <c r="N573" i="1"/>
  <c r="N566" i="1"/>
  <c r="N330" i="1"/>
  <c r="N19" i="1"/>
  <c r="N350" i="1"/>
  <c r="N269" i="1"/>
  <c r="N33" i="1"/>
  <c r="N377" i="1"/>
  <c r="N341" i="1"/>
  <c r="N348" i="1"/>
  <c r="N137" i="1"/>
  <c r="N504" i="1"/>
  <c r="N199" i="1"/>
  <c r="N17" i="1"/>
  <c r="N12" i="1"/>
  <c r="N123" i="1"/>
  <c r="N156" i="1"/>
  <c r="N237" i="1"/>
  <c r="N406" i="1"/>
  <c r="N325" i="1"/>
  <c r="P11" i="3"/>
  <c r="R11" i="3" s="1"/>
  <c r="P2" i="3"/>
  <c r="R2" i="3" s="1"/>
  <c r="P3" i="3"/>
  <c r="R3" i="3" s="1"/>
  <c r="P4" i="3"/>
  <c r="R4" i="3" s="1"/>
  <c r="P7" i="3"/>
  <c r="R7" i="3" s="1"/>
  <c r="P5" i="3"/>
  <c r="R5" i="3" s="1"/>
  <c r="P6" i="3"/>
  <c r="R6" i="3" s="1"/>
  <c r="P8" i="3"/>
  <c r="R8" i="3" s="1"/>
  <c r="N10" i="3"/>
  <c r="P10" i="3" s="1"/>
  <c r="R10" i="3" s="1"/>
  <c r="N9" i="3"/>
  <c r="P9" i="3" s="1"/>
  <c r="R9" i="3" s="1"/>
</calcChain>
</file>

<file path=xl/sharedStrings.xml><?xml version="1.0" encoding="utf-8"?>
<sst xmlns="http://schemas.openxmlformats.org/spreadsheetml/2006/main" count="11891" uniqueCount="1788">
  <si>
    <t>Code</t>
  </si>
  <si>
    <t>Species</t>
  </si>
  <si>
    <t>Fresh Leaf Mass</t>
  </si>
  <si>
    <t>Scan image name</t>
  </si>
  <si>
    <t>PEOB1</t>
  </si>
  <si>
    <t>Pera obovata</t>
  </si>
  <si>
    <t>MABR1</t>
  </si>
  <si>
    <t>Leaf axis 1</t>
  </si>
  <si>
    <t>Leaf axis 2</t>
  </si>
  <si>
    <t>TAOC2</t>
  </si>
  <si>
    <t>TAOC1</t>
  </si>
  <si>
    <t>SOLY1</t>
  </si>
  <si>
    <t>MYTO?1</t>
  </si>
  <si>
    <t>DIBU2</t>
  </si>
  <si>
    <t>ERSU3</t>
  </si>
  <si>
    <t>Erythroxylem suberosum</t>
  </si>
  <si>
    <t>Annona3 2</t>
  </si>
  <si>
    <t>Annona2-1</t>
  </si>
  <si>
    <t>STRO1</t>
  </si>
  <si>
    <t>Stryphnodendron rotundifolium</t>
  </si>
  <si>
    <t>GOBA1</t>
  </si>
  <si>
    <t>DIMO1</t>
  </si>
  <si>
    <t>DUFU1</t>
  </si>
  <si>
    <t>OUSP1</t>
  </si>
  <si>
    <t>ERSU1</t>
  </si>
  <si>
    <t>MIAL1</t>
  </si>
  <si>
    <t>VOTU1</t>
  </si>
  <si>
    <t>KICO1</t>
  </si>
  <si>
    <t>ERSU2</t>
  </si>
  <si>
    <t>DIBU1</t>
  </si>
  <si>
    <t>MAAC1</t>
  </si>
  <si>
    <t>Dry leaf mass</t>
  </si>
  <si>
    <t>Vochysnia tucanorum</t>
  </si>
  <si>
    <t>DIMO2</t>
  </si>
  <si>
    <t>TOFO1</t>
  </si>
  <si>
    <t>DUFU2</t>
  </si>
  <si>
    <t>QUGR1</t>
  </si>
  <si>
    <t>Annona1 1</t>
  </si>
  <si>
    <t>Annona1 3</t>
  </si>
  <si>
    <t>Annona 1 2</t>
  </si>
  <si>
    <t>LEEL1</t>
  </si>
  <si>
    <t>2 images</t>
  </si>
  <si>
    <t>Annona 2-1 001.tif and Annona 2-1 002.tif</t>
  </si>
  <si>
    <t>3 leaves</t>
  </si>
  <si>
    <t>Annona 3-2 001.tif</t>
  </si>
  <si>
    <t>GOBA1 001.tif</t>
  </si>
  <si>
    <t>5 leaves</t>
  </si>
  <si>
    <t>PEOB1 001.tif</t>
  </si>
  <si>
    <t>TAOC1 001.tif</t>
  </si>
  <si>
    <t>SOLY1 001.tif</t>
  </si>
  <si>
    <t>Unk1-1 001.tif</t>
  </si>
  <si>
    <t>Annona 1-4 001.tif</t>
  </si>
  <si>
    <t>MYTOquestion1.tif</t>
  </si>
  <si>
    <t>STRO1.tif</t>
  </si>
  <si>
    <t>DIMO1 001.tif and DIMO1 002.tif and DIMO1 003.tif</t>
  </si>
  <si>
    <t>3 images</t>
  </si>
  <si>
    <t>DIMO2 001.tif and DIMO2 002.tif</t>
  </si>
  <si>
    <t>TAOC2.tif</t>
  </si>
  <si>
    <t>DIBU2 001.tif and DIBU2 002.tif</t>
  </si>
  <si>
    <t>Diospyros burchelli</t>
  </si>
  <si>
    <t>Dimorphandra mollis</t>
  </si>
  <si>
    <t>Macharium acutifolium</t>
  </si>
  <si>
    <t>1 compound leaf</t>
  </si>
  <si>
    <t>T2</t>
  </si>
  <si>
    <t>T4</t>
  </si>
  <si>
    <t>Myrica fallax</t>
  </si>
  <si>
    <t>T3</t>
  </si>
  <si>
    <t>T1</t>
  </si>
  <si>
    <t>Gochnesia polymorpha</t>
  </si>
  <si>
    <t>MAAC3</t>
  </si>
  <si>
    <t>OCCO3</t>
  </si>
  <si>
    <t>TACA3</t>
  </si>
  <si>
    <t>TACA4</t>
  </si>
  <si>
    <t>ERCU3</t>
  </si>
  <si>
    <t>OCCO2</t>
  </si>
  <si>
    <t>JACAR1-1</t>
  </si>
  <si>
    <t>ZARH1</t>
  </si>
  <si>
    <t>STRO3</t>
  </si>
  <si>
    <t>AEVE3</t>
  </si>
  <si>
    <t>MAAC4</t>
  </si>
  <si>
    <t>JACAR1-2</t>
  </si>
  <si>
    <t>MYFA1</t>
  </si>
  <si>
    <t>CASY1</t>
  </si>
  <si>
    <t>MAAC2</t>
  </si>
  <si>
    <t>MAEL2</t>
  </si>
  <si>
    <t>MYRCIA 1-1</t>
  </si>
  <si>
    <t>ANNONA3-1</t>
  </si>
  <si>
    <t>AEVE1</t>
  </si>
  <si>
    <t>DUFU3</t>
  </si>
  <si>
    <t>MYFE1</t>
  </si>
  <si>
    <t>BADR1</t>
  </si>
  <si>
    <t>STCA1</t>
  </si>
  <si>
    <t>Old name STFE?1</t>
  </si>
  <si>
    <t>Styrax camporum</t>
  </si>
  <si>
    <t>STCA4</t>
  </si>
  <si>
    <t>old name STFE4</t>
  </si>
  <si>
    <t>MYFE2</t>
  </si>
  <si>
    <t>Annona1 6</t>
  </si>
  <si>
    <t>Annona2 2</t>
  </si>
  <si>
    <t>OCCO1</t>
  </si>
  <si>
    <t>ERSU5</t>
  </si>
  <si>
    <t>ERSU4</t>
  </si>
  <si>
    <t>AEVE2</t>
  </si>
  <si>
    <t>TACA1</t>
  </si>
  <si>
    <t>MYTO?2</t>
  </si>
  <si>
    <t>ERCU1</t>
  </si>
  <si>
    <t>PEOB2</t>
  </si>
  <si>
    <t>CAAD1</t>
  </si>
  <si>
    <t>STRO2</t>
  </si>
  <si>
    <t>MAEL1</t>
  </si>
  <si>
    <t>STRO4</t>
  </si>
  <si>
    <t>CABR1</t>
  </si>
  <si>
    <t>STCA3</t>
  </si>
  <si>
    <t>Old name STFE3</t>
  </si>
  <si>
    <t>TACA2</t>
  </si>
  <si>
    <t>PEOB3</t>
  </si>
  <si>
    <t>Annona1 7</t>
  </si>
  <si>
    <t>DIMO3</t>
  </si>
  <si>
    <t>STCA2</t>
  </si>
  <si>
    <t>Old name STFE2</t>
  </si>
  <si>
    <t>labeled ERSU4</t>
  </si>
  <si>
    <t>bag labeled ERSU5? -- this must be an extra sample from ERSU5. Check in field for duplicate ERSU5</t>
  </si>
  <si>
    <t>VOTU2</t>
  </si>
  <si>
    <t>ERCU2</t>
  </si>
  <si>
    <t>GOBA2</t>
  </si>
  <si>
    <t>DIBU3</t>
  </si>
  <si>
    <t>labeled "DIBU3?"</t>
  </si>
  <si>
    <t>Type</t>
  </si>
  <si>
    <t>C</t>
  </si>
  <si>
    <t>T</t>
  </si>
  <si>
    <t>Volume (mL)</t>
  </si>
  <si>
    <t>Water displaced (g)</t>
  </si>
  <si>
    <t>TACA5</t>
  </si>
  <si>
    <t>Density (g/mL)</t>
  </si>
  <si>
    <t>Dry mass (g)</t>
  </si>
  <si>
    <t>NA</t>
  </si>
  <si>
    <t>Fresh Length</t>
  </si>
  <si>
    <t>Fresh Diameter</t>
  </si>
  <si>
    <t>Tweezer volume</t>
  </si>
  <si>
    <t>Water content</t>
  </si>
  <si>
    <t>2 images; leaf thickness recorded incorrectly</t>
  </si>
  <si>
    <t>Leaf thicknesses measured wrong</t>
  </si>
  <si>
    <t>5 leaves; leaf thickness measured wrong</t>
  </si>
  <si>
    <t>GOPO1</t>
  </si>
  <si>
    <t>Formerly labeled MABR1; now GOPO1</t>
  </si>
  <si>
    <t>MAEL2 image 1.tiff and MAEL2 image 2.tiff</t>
  </si>
  <si>
    <t>Number leaves</t>
  </si>
  <si>
    <t>Number leaflets</t>
  </si>
  <si>
    <t>Comments</t>
  </si>
  <si>
    <t>real</t>
  </si>
  <si>
    <t>ERSU5.tiff</t>
  </si>
  <si>
    <t>AEVE2.tiff</t>
  </si>
  <si>
    <t>ERCU1.tiff</t>
  </si>
  <si>
    <t>PEOB2.tiff</t>
  </si>
  <si>
    <t>CAAD1.tiff</t>
  </si>
  <si>
    <t>PEOB3.tiff</t>
  </si>
  <si>
    <t>MYTOquestion2.tif</t>
  </si>
  <si>
    <t>MAAC4.tif</t>
  </si>
  <si>
    <t>MYFA1.tif</t>
  </si>
  <si>
    <t>MABR1.tif</t>
  </si>
  <si>
    <t>MAAC3.tif</t>
  </si>
  <si>
    <t>ZARH1.tif</t>
  </si>
  <si>
    <t>JACAR1 2.tif</t>
  </si>
  <si>
    <t>STRO3 image 1.tif and STRO3 image 2.tif</t>
  </si>
  <si>
    <t>JACAR1 1.tif</t>
  </si>
  <si>
    <t>STCA3.tif</t>
  </si>
  <si>
    <t>ERSU5 dup.tif</t>
  </si>
  <si>
    <t>STCA4.tif</t>
  </si>
  <si>
    <t>CABR1.tif</t>
  </si>
  <si>
    <t>Unk1-2.tiff</t>
  </si>
  <si>
    <t>ERCU3.tiff</t>
  </si>
  <si>
    <t>ERSU4.tiff</t>
  </si>
  <si>
    <t>ERCU2.tiff</t>
  </si>
  <si>
    <t>MYFE1.tiff</t>
  </si>
  <si>
    <t>BADR1.tiff</t>
  </si>
  <si>
    <t>DUFU3.tiff</t>
  </si>
  <si>
    <t>STRO4 image 1.tiff STRO4 image 2.tiff</t>
  </si>
  <si>
    <t>DIBU3 image 1 and DIBU3 image 2</t>
  </si>
  <si>
    <t>GOBA2.tiff</t>
  </si>
  <si>
    <t>Annona1-7.tiff</t>
  </si>
  <si>
    <t>DIMO3 image 1.tiff and DIMO3 image 2.tiff</t>
  </si>
  <si>
    <t>AEVE1.tiff</t>
  </si>
  <si>
    <t>QUGR2</t>
  </si>
  <si>
    <t>QUGR2.tiff</t>
  </si>
  <si>
    <t>CABR2</t>
  </si>
  <si>
    <t>Caryocar brasiliensis</t>
  </si>
  <si>
    <t>CABR2.tif</t>
  </si>
  <si>
    <t>Tree 5075</t>
  </si>
  <si>
    <t>Rapanea lancifolia</t>
  </si>
  <si>
    <t>RALI-A</t>
  </si>
  <si>
    <t>Method</t>
  </si>
  <si>
    <t>Scan</t>
  </si>
  <si>
    <t>Punch</t>
  </si>
  <si>
    <t>Number of punches</t>
  </si>
  <si>
    <t>Compound?</t>
  </si>
  <si>
    <t>N</t>
  </si>
  <si>
    <t>GOPO-A</t>
  </si>
  <si>
    <t>Gochnetia polymorpha</t>
  </si>
  <si>
    <t>Tree 5101</t>
  </si>
  <si>
    <t>TAGU-A</t>
  </si>
  <si>
    <t>Taparira guianensis</t>
  </si>
  <si>
    <t>Y</t>
  </si>
  <si>
    <t>Tree 1243</t>
  </si>
  <si>
    <t>CAAD-A</t>
  </si>
  <si>
    <t>Campomanesia adamantium</t>
  </si>
  <si>
    <t>Tree 5155</t>
  </si>
  <si>
    <t>MAAC-A</t>
  </si>
  <si>
    <t>Tree 1159</t>
  </si>
  <si>
    <t>OCCO-A</t>
  </si>
  <si>
    <t>Ocotea corymbosa</t>
  </si>
  <si>
    <t>Tree 5108</t>
  </si>
  <si>
    <t>OCCO-B</t>
  </si>
  <si>
    <t>Tree 1215</t>
  </si>
  <si>
    <t>OUSP-A</t>
  </si>
  <si>
    <t>Ouratea spectabilis</t>
  </si>
  <si>
    <t>Tree 5068</t>
  </si>
  <si>
    <t>OUSP-B</t>
  </si>
  <si>
    <t>Tree 5135</t>
  </si>
  <si>
    <t>LEEL-A</t>
  </si>
  <si>
    <t>Leptolobium elegans</t>
  </si>
  <si>
    <t>Tree 1564</t>
  </si>
  <si>
    <t>PLPO-A</t>
  </si>
  <si>
    <t>Plenckia populnea</t>
  </si>
  <si>
    <t>Tree 1559</t>
  </si>
  <si>
    <t>TAGU-B</t>
  </si>
  <si>
    <t>Tree 1513</t>
  </si>
  <si>
    <t>OCPU-A</t>
  </si>
  <si>
    <t>Ocotea pulchella</t>
  </si>
  <si>
    <t>Tree 5177</t>
  </si>
  <si>
    <t>LEEL-B</t>
  </si>
  <si>
    <t>Tree 1173</t>
  </si>
  <si>
    <t>SCVI-A</t>
  </si>
  <si>
    <t>Schefflera vinosa</t>
  </si>
  <si>
    <t>MILI-A</t>
  </si>
  <si>
    <t>Miconia ligustroides</t>
  </si>
  <si>
    <t>Tree 1238</t>
  </si>
  <si>
    <t>MILI-B</t>
  </si>
  <si>
    <t>Tree 1620</t>
  </si>
  <si>
    <t>BYBA-A</t>
  </si>
  <si>
    <t>Byrsonima basiloba</t>
  </si>
  <si>
    <t>Tree 1052</t>
  </si>
  <si>
    <t>Tree 5091</t>
  </si>
  <si>
    <t>LEEL-C</t>
  </si>
  <si>
    <t>Tree 1565</t>
  </si>
  <si>
    <t>Tree 8330</t>
  </si>
  <si>
    <t>RAFE-A</t>
  </si>
  <si>
    <t>Rapanea ferruginea</t>
  </si>
  <si>
    <t>Tree 1195</t>
  </si>
  <si>
    <t>RAUM-A</t>
  </si>
  <si>
    <t>Rapanea umbellata</t>
  </si>
  <si>
    <t>Tree 5024</t>
  </si>
  <si>
    <t>ANCR-A</t>
  </si>
  <si>
    <t>Annona crassiflora</t>
  </si>
  <si>
    <t>RAUM-B</t>
  </si>
  <si>
    <t>ZEMO-A</t>
  </si>
  <si>
    <t>Zeyheria montana</t>
  </si>
  <si>
    <t>MYFA-A</t>
  </si>
  <si>
    <t>Myrcia fallax</t>
  </si>
  <si>
    <t>OCCO-C</t>
  </si>
  <si>
    <t>CALU-A</t>
  </si>
  <si>
    <t>Calyptranthes lucida</t>
  </si>
  <si>
    <t>Tree 5085</t>
  </si>
  <si>
    <t>Tree 5096</t>
  </si>
  <si>
    <t>Tree 1665</t>
  </si>
  <si>
    <t>Tree 1197</t>
  </si>
  <si>
    <t>Tree 8340</t>
  </si>
  <si>
    <t>Tree 1057</t>
  </si>
  <si>
    <t>Tree 1324</t>
  </si>
  <si>
    <t>MAEL-A</t>
  </si>
  <si>
    <t>Matayba eleagnoides</t>
  </si>
  <si>
    <t>Tree 1362</t>
  </si>
  <si>
    <t>AEVE-A</t>
  </si>
  <si>
    <t>Aegiphila verticillata</t>
  </si>
  <si>
    <t>Tree 5105</t>
  </si>
  <si>
    <t>MILI3</t>
  </si>
  <si>
    <t>TAGU-C</t>
  </si>
  <si>
    <t>Tree 1533</t>
  </si>
  <si>
    <t>VOTU-A</t>
  </si>
  <si>
    <t>Vochysia tucanorum</t>
  </si>
  <si>
    <t>PLPO-B</t>
  </si>
  <si>
    <t>MYMU1</t>
  </si>
  <si>
    <t>Myrcia multiflora</t>
  </si>
  <si>
    <t>TAGU3</t>
  </si>
  <si>
    <t>MYLI2</t>
  </si>
  <si>
    <t>Myrcia lingua</t>
  </si>
  <si>
    <t>MYLI3</t>
  </si>
  <si>
    <t>OCPU2</t>
  </si>
  <si>
    <t>MYLI1</t>
  </si>
  <si>
    <t>OCPU3</t>
  </si>
  <si>
    <t>COLA1</t>
  </si>
  <si>
    <t>Copaifera langsdorffi</t>
  </si>
  <si>
    <t>SCVI2</t>
  </si>
  <si>
    <t>MYMU2</t>
  </si>
  <si>
    <t>MYFA4</t>
  </si>
  <si>
    <t>LEEL5</t>
  </si>
  <si>
    <t>CABR3</t>
  </si>
  <si>
    <t>Labeled CABR2 in field (in square)</t>
  </si>
  <si>
    <t>STFE1</t>
  </si>
  <si>
    <t>Styrax ferrugineus</t>
  </si>
  <si>
    <t>RAUM3</t>
  </si>
  <si>
    <t>Punch diameter</t>
  </si>
  <si>
    <t>Looks like a different species?</t>
  </si>
  <si>
    <t>MYLI4</t>
  </si>
  <si>
    <t>OCPU1</t>
  </si>
  <si>
    <t>ERCU4</t>
  </si>
  <si>
    <t>Erythroxylem cuneifolium</t>
  </si>
  <si>
    <t>Tree 5131</t>
  </si>
  <si>
    <t>OUSP-C</t>
  </si>
  <si>
    <t>Tree 5086</t>
  </si>
  <si>
    <t>Outer diameter</t>
  </si>
  <si>
    <t>Wood diameter</t>
  </si>
  <si>
    <t>Twig bark thickness</t>
  </si>
  <si>
    <t>Tapirira guianensis</t>
  </si>
  <si>
    <t>Myrcine ferrugeneus</t>
  </si>
  <si>
    <t>Miconia lugustroides</t>
  </si>
  <si>
    <t>Rapanea ferrugeneus</t>
  </si>
  <si>
    <t>Camponomesia adamatium</t>
  </si>
  <si>
    <t>Copaifera langsdorfii</t>
  </si>
  <si>
    <t>Relative bark thickness</t>
  </si>
  <si>
    <t>Caryocar brasiliense</t>
  </si>
  <si>
    <t>Styrax ferrugeneus</t>
  </si>
  <si>
    <t>Duguetia furfuracea</t>
  </si>
  <si>
    <t>Machaerium brasiliense</t>
  </si>
  <si>
    <t>Miconia albicans</t>
  </si>
  <si>
    <t>Comment</t>
  </si>
  <si>
    <t>Labeled MIAL1 -- not sure if same as above?</t>
  </si>
  <si>
    <t>Gochnetia barrosii</t>
  </si>
  <si>
    <t>Annona 2-1</t>
  </si>
  <si>
    <t>Qualea grandiflora</t>
  </si>
  <si>
    <t>Individual</t>
  </si>
  <si>
    <t>Number</t>
  </si>
  <si>
    <t>PEOB</t>
  </si>
  <si>
    <t>GOPO</t>
  </si>
  <si>
    <t>TAOC</t>
  </si>
  <si>
    <t>SOLY</t>
  </si>
  <si>
    <t>MYTO</t>
  </si>
  <si>
    <t>DIBU</t>
  </si>
  <si>
    <t>ERSU</t>
  </si>
  <si>
    <t>STRO</t>
  </si>
  <si>
    <t>GOBA</t>
  </si>
  <si>
    <t>DIMO</t>
  </si>
  <si>
    <t>DUFU</t>
  </si>
  <si>
    <t>OUSP</t>
  </si>
  <si>
    <t>MIAL</t>
  </si>
  <si>
    <t>VOTU</t>
  </si>
  <si>
    <t>KICO</t>
  </si>
  <si>
    <t>MAAC</t>
  </si>
  <si>
    <t>TOFO</t>
  </si>
  <si>
    <t>QUGR</t>
  </si>
  <si>
    <t>Myrcia tomentosum</t>
  </si>
  <si>
    <t>Kielmera coriacea</t>
  </si>
  <si>
    <t>LEEL</t>
  </si>
  <si>
    <t>OCCO</t>
  </si>
  <si>
    <t>TACA</t>
  </si>
  <si>
    <t>Tabernaemontana catherinensis</t>
  </si>
  <si>
    <t>ERCU</t>
  </si>
  <si>
    <t>ZARH</t>
  </si>
  <si>
    <t>AEVE</t>
  </si>
  <si>
    <t>MYFA</t>
  </si>
  <si>
    <t>CASY</t>
  </si>
  <si>
    <t>Zanthoxylem rhoifolium</t>
  </si>
  <si>
    <t>Tocoyena formosa</t>
  </si>
  <si>
    <t>Gochnatia barrosii</t>
  </si>
  <si>
    <t>Gochnatia polymorpha</t>
  </si>
  <si>
    <t>Tabebuia ochracea</t>
  </si>
  <si>
    <t>Solanum lycocarpum</t>
  </si>
  <si>
    <t>MAEL</t>
  </si>
  <si>
    <t>BADR</t>
  </si>
  <si>
    <t>MABR</t>
  </si>
  <si>
    <t>STCA</t>
  </si>
  <si>
    <t>Casearia sylvestris</t>
  </si>
  <si>
    <t>Baccharis dracunculifolia</t>
  </si>
  <si>
    <t>Machaerium acutifolium</t>
  </si>
  <si>
    <t>CAAD</t>
  </si>
  <si>
    <t>CABR</t>
  </si>
  <si>
    <t>Myrcia tomensosa?</t>
  </si>
  <si>
    <t>TAGU</t>
  </si>
  <si>
    <t>PLPO</t>
  </si>
  <si>
    <t>OCPU</t>
  </si>
  <si>
    <t>MILI</t>
  </si>
  <si>
    <t>BYBA</t>
  </si>
  <si>
    <t>SCVI</t>
  </si>
  <si>
    <t>RAFE</t>
  </si>
  <si>
    <t>RAUM</t>
  </si>
  <si>
    <t>ANCR</t>
  </si>
  <si>
    <t>ZEMO</t>
  </si>
  <si>
    <t>CALU</t>
  </si>
  <si>
    <t>MYMU</t>
  </si>
  <si>
    <t>MYLI</t>
  </si>
  <si>
    <t>COLA</t>
  </si>
  <si>
    <t>STFE</t>
  </si>
  <si>
    <t>Duguettia furfurea</t>
  </si>
  <si>
    <t>Leaflet or leaf size (mm2)</t>
  </si>
  <si>
    <t>Total leaf size (mm2)</t>
  </si>
  <si>
    <t>Leaf thickness 1 (mm)</t>
  </si>
  <si>
    <t>Leaf thickness 2 (mm)</t>
  </si>
  <si>
    <t>Leaf thickness 3 (mm)</t>
  </si>
  <si>
    <t>SLA (cm2 g-1)</t>
  </si>
  <si>
    <t>bag labeled "STRO" with contents of 19.035 g of leaf, labeled with Seth's handwriting</t>
  </si>
  <si>
    <t>SIGU1</t>
  </si>
  <si>
    <t>SIGU</t>
  </si>
  <si>
    <t>Siparuna guanensis</t>
  </si>
  <si>
    <t>KICO4</t>
  </si>
  <si>
    <t>PLPO3</t>
  </si>
  <si>
    <t>SCVI4</t>
  </si>
  <si>
    <t>OCPU5</t>
  </si>
  <si>
    <t>ERCU5</t>
  </si>
  <si>
    <t>MILI4</t>
  </si>
  <si>
    <t>CABR5</t>
  </si>
  <si>
    <t>TOFO3</t>
  </si>
  <si>
    <t>BOVI2</t>
  </si>
  <si>
    <t>BOVI</t>
  </si>
  <si>
    <t>Bowdichia virgilioides</t>
  </si>
  <si>
    <t>SOLY3</t>
  </si>
  <si>
    <t>SOLY2</t>
  </si>
  <si>
    <t>AMIN3</t>
  </si>
  <si>
    <t>AMIN</t>
  </si>
  <si>
    <t>Amaioua intermedia</t>
  </si>
  <si>
    <t>Labeled FAMO1 in field</t>
  </si>
  <si>
    <t>ANCO3</t>
  </si>
  <si>
    <t>ANCO</t>
  </si>
  <si>
    <t>Annona coreacea</t>
  </si>
  <si>
    <t>STFE3</t>
  </si>
  <si>
    <t>STFE2</t>
  </si>
  <si>
    <t>CASY2</t>
  </si>
  <si>
    <t>PRHE1</t>
  </si>
  <si>
    <t>PRHE</t>
  </si>
  <si>
    <t>Protium heptaphyllum</t>
  </si>
  <si>
    <t>TOFO2</t>
  </si>
  <si>
    <t>RAGU1</t>
  </si>
  <si>
    <t>RAGU</t>
  </si>
  <si>
    <t>Rapanea guianensis</t>
  </si>
  <si>
    <t>BOVI1</t>
  </si>
  <si>
    <t>CABR4</t>
  </si>
  <si>
    <t>SOLY4</t>
  </si>
  <si>
    <t>PLPO4</t>
  </si>
  <si>
    <t>STFE4</t>
  </si>
  <si>
    <t>MYFA5</t>
  </si>
  <si>
    <t>MYMU3</t>
  </si>
  <si>
    <t>AMIN4</t>
  </si>
  <si>
    <t>SCVI3</t>
  </si>
  <si>
    <t>KICO2</t>
  </si>
  <si>
    <t>SOLY5</t>
  </si>
  <si>
    <t>KICO3</t>
  </si>
  <si>
    <t>TOFO4</t>
  </si>
  <si>
    <t>QUMU2</t>
  </si>
  <si>
    <t>QUMU</t>
  </si>
  <si>
    <t>Qualea multiflora</t>
  </si>
  <si>
    <t>POTO1</t>
  </si>
  <si>
    <t>POTO</t>
  </si>
  <si>
    <t>Pouteria torta</t>
  </si>
  <si>
    <t>Persea1-1</t>
  </si>
  <si>
    <t>STFE5</t>
  </si>
  <si>
    <t>POTO2</t>
  </si>
  <si>
    <t>RAGU3</t>
  </si>
  <si>
    <t>RAGU2</t>
  </si>
  <si>
    <t>OUSP5</t>
  </si>
  <si>
    <t>AMIN2</t>
  </si>
  <si>
    <t>AMIN1</t>
  </si>
  <si>
    <t>GOPO5</t>
  </si>
  <si>
    <t>QUGR3</t>
  </si>
  <si>
    <t>AEVE5</t>
  </si>
  <si>
    <t>QUMU1</t>
  </si>
  <si>
    <t>PRMY</t>
  </si>
  <si>
    <t>PRMY1</t>
  </si>
  <si>
    <t>Prunus myrtifolia</t>
  </si>
  <si>
    <t>Persea1</t>
  </si>
  <si>
    <t>Annona coriacea</t>
  </si>
  <si>
    <t>VOTU3</t>
  </si>
  <si>
    <t>Tree 8355 -- not labeled in field</t>
  </si>
  <si>
    <t>ANCR1</t>
  </si>
  <si>
    <t>ANCR4</t>
  </si>
  <si>
    <t>MYTO1</t>
  </si>
  <si>
    <t>Myrcia tomentosa</t>
  </si>
  <si>
    <t>Annona3-2</t>
  </si>
  <si>
    <t>Annona1-3</t>
  </si>
  <si>
    <t>Annona3-1</t>
  </si>
  <si>
    <t>BADR?1</t>
  </si>
  <si>
    <t>Annona1-6</t>
  </si>
  <si>
    <t>Zanthoxylem rhoifolia</t>
  </si>
  <si>
    <t>Matayba elegans</t>
  </si>
  <si>
    <t>MYTO2</t>
  </si>
  <si>
    <t>Annona 2-2</t>
  </si>
  <si>
    <t>Annona1-2</t>
  </si>
  <si>
    <t>MYRCIA1-1</t>
  </si>
  <si>
    <t>OUSP2</t>
  </si>
  <si>
    <t>Annona1-7</t>
  </si>
  <si>
    <t>TEGL1</t>
  </si>
  <si>
    <t>TEGL</t>
  </si>
  <si>
    <t>Terminalia glabrescens</t>
  </si>
  <si>
    <t>ALED2</t>
  </si>
  <si>
    <t>ALED</t>
  </si>
  <si>
    <t>Alibertia edulis</t>
  </si>
  <si>
    <t>ROMO3</t>
  </si>
  <si>
    <t>ROMO</t>
  </si>
  <si>
    <t>Roupala montana</t>
  </si>
  <si>
    <t>ROMO4</t>
  </si>
  <si>
    <t>BARU1</t>
  </si>
  <si>
    <t>BARU</t>
  </si>
  <si>
    <t>Bauhinia rufus</t>
  </si>
  <si>
    <t>MILI5</t>
  </si>
  <si>
    <t>LAHA1</t>
  </si>
  <si>
    <t>LAHA</t>
  </si>
  <si>
    <t>Lacistema hasserliana</t>
  </si>
  <si>
    <t>ANCO4</t>
  </si>
  <si>
    <t>CASY3</t>
  </si>
  <si>
    <t>BARU3</t>
  </si>
  <si>
    <t>PIRO1</t>
  </si>
  <si>
    <t>PIRO</t>
  </si>
  <si>
    <t>STAD1</t>
  </si>
  <si>
    <t>STAD</t>
  </si>
  <si>
    <t>Stryphnodendron adstringens</t>
  </si>
  <si>
    <t>DIBU4</t>
  </si>
  <si>
    <t>COSU1</t>
  </si>
  <si>
    <t>COSU</t>
  </si>
  <si>
    <t>Conneria suberosum</t>
  </si>
  <si>
    <t>MYLI5</t>
  </si>
  <si>
    <t>ZARH2</t>
  </si>
  <si>
    <t>MAEL5</t>
  </si>
  <si>
    <t>COSU2</t>
  </si>
  <si>
    <t>DARA1</t>
  </si>
  <si>
    <t>DARA</t>
  </si>
  <si>
    <t>ALED1</t>
  </si>
  <si>
    <t>COLA2</t>
  </si>
  <si>
    <t>ROMO2</t>
  </si>
  <si>
    <t>MAEL4</t>
  </si>
  <si>
    <t>ANCO5</t>
  </si>
  <si>
    <t>BARU2</t>
  </si>
  <si>
    <t>ROMO1</t>
  </si>
  <si>
    <t>PLPO5</t>
  </si>
  <si>
    <t>ANDI</t>
  </si>
  <si>
    <t>Annona dioica</t>
  </si>
  <si>
    <t>Connerus suberosum</t>
  </si>
  <si>
    <t>twig looks weird, like STRO? Brown and fuzzy, white pith</t>
  </si>
  <si>
    <t>Lacistema hasse</t>
  </si>
  <si>
    <t>Latex</t>
  </si>
  <si>
    <t>Yes</t>
  </si>
  <si>
    <t>No</t>
  </si>
  <si>
    <t>FAMO2</t>
  </si>
  <si>
    <t>Faramea motevidensis</t>
  </si>
  <si>
    <t>FAMO1</t>
  </si>
  <si>
    <t>Siparuna guianensis</t>
  </si>
  <si>
    <t>BARU? Named BARU3 on bag</t>
  </si>
  <si>
    <t>weird sample -- duplicate of baru3</t>
  </si>
  <si>
    <t>Leaf area disks cm2</t>
  </si>
  <si>
    <t>Pressed with fruit. Ficus sp? Not ficus. Smells good like vanilla. CHECK IF NAMED UNK2-1 in field</t>
  </si>
  <si>
    <t>D30</t>
  </si>
  <si>
    <t>DBH</t>
  </si>
  <si>
    <t>Ht</t>
  </si>
  <si>
    <t>Lower leaf</t>
  </si>
  <si>
    <t xml:space="preserve">Can 1 </t>
  </si>
  <si>
    <t>Can 2</t>
  </si>
  <si>
    <t xml:space="preserve">Light </t>
  </si>
  <si>
    <t>8, 6</t>
  </si>
  <si>
    <t>8.5, 13</t>
  </si>
  <si>
    <t>3.2, 4.6, 2.5, 3.5</t>
  </si>
  <si>
    <t>4.3, 4.8</t>
  </si>
  <si>
    <t>Bark1</t>
  </si>
  <si>
    <t>Bark2</t>
  </si>
  <si>
    <t>Bark3</t>
  </si>
  <si>
    <t>1.9, 1.8</t>
  </si>
  <si>
    <t>21.1, 8.2, 5.2 ,6.2</t>
  </si>
  <si>
    <t>1.961, 2.006, 1.945</t>
  </si>
  <si>
    <t>2.0, 2.2</t>
  </si>
  <si>
    <t>.8, .9</t>
  </si>
  <si>
    <t>.9, .86, 1</t>
  </si>
  <si>
    <t>7.5, 3.4</t>
  </si>
  <si>
    <t>6, 6.7</t>
  </si>
  <si>
    <t>4.2, 5, 8.2, 19.3</t>
  </si>
  <si>
    <t>.8, .8, .7</t>
  </si>
  <si>
    <t>.8, .7</t>
  </si>
  <si>
    <t>1.266, 1.033, .903, 1.272, 1.275</t>
  </si>
  <si>
    <t>1.9, 2</t>
  </si>
  <si>
    <t>3.1, 2.5</t>
  </si>
  <si>
    <t>CHMA3</t>
  </si>
  <si>
    <t>CHMA</t>
  </si>
  <si>
    <t>Chrysophyllum marginatum</t>
  </si>
  <si>
    <t>CHMA2</t>
  </si>
  <si>
    <t>TEGL2</t>
  </si>
  <si>
    <t>TEGL3</t>
  </si>
  <si>
    <t>LIMO1</t>
  </si>
  <si>
    <t>LIMO</t>
  </si>
  <si>
    <t>Lithraea molloides</t>
  </si>
  <si>
    <t>TEGL4</t>
  </si>
  <si>
    <t>COLA4</t>
  </si>
  <si>
    <t>LIMO3</t>
  </si>
  <si>
    <t>LIMO2</t>
  </si>
  <si>
    <t>ZARH3</t>
  </si>
  <si>
    <t>BOVI3</t>
  </si>
  <si>
    <t>COLA5</t>
  </si>
  <si>
    <t>BOVI5</t>
  </si>
  <si>
    <t>STAD3</t>
  </si>
  <si>
    <t>ERGR1</t>
  </si>
  <si>
    <t>ERGR</t>
  </si>
  <si>
    <t>CAAD3</t>
  </si>
  <si>
    <t>MABR2</t>
  </si>
  <si>
    <t>STCA5</t>
  </si>
  <si>
    <t>STAD2</t>
  </si>
  <si>
    <t>QUCO2</t>
  </si>
  <si>
    <t>QUCO</t>
  </si>
  <si>
    <t>Qualea cordata</t>
  </si>
  <si>
    <t>MYTO3</t>
  </si>
  <si>
    <t>ZEMO3</t>
  </si>
  <si>
    <t>SYPU1</t>
  </si>
  <si>
    <t>SUPU</t>
  </si>
  <si>
    <t>Symplocos pubescens</t>
  </si>
  <si>
    <t>QUCO1</t>
  </si>
  <si>
    <t>MABR4</t>
  </si>
  <si>
    <t>RAGU4</t>
  </si>
  <si>
    <t>MABR3</t>
  </si>
  <si>
    <t>DIBU5</t>
  </si>
  <si>
    <t>CAAD5</t>
  </si>
  <si>
    <t>SYPU2</t>
  </si>
  <si>
    <t>SYPU</t>
  </si>
  <si>
    <t>COLA3</t>
  </si>
  <si>
    <t>ZEMO2</t>
  </si>
  <si>
    <t>GOPO4</t>
  </si>
  <si>
    <t>GOPO3</t>
  </si>
  <si>
    <t>CHMA1</t>
  </si>
  <si>
    <t>SCVI5</t>
  </si>
  <si>
    <t>ANCO6</t>
  </si>
  <si>
    <t>LAHA2</t>
  </si>
  <si>
    <t>CAAD4</t>
  </si>
  <si>
    <t>STRO5</t>
  </si>
  <si>
    <t>JACA</t>
  </si>
  <si>
    <t>Jacaranda caroba</t>
  </si>
  <si>
    <t>CESE</t>
  </si>
  <si>
    <t>Cestrum sendtnerianum</t>
  </si>
  <si>
    <t>Date</t>
  </si>
  <si>
    <t>4.5, 5.2</t>
  </si>
  <si>
    <t>1.7, 1.4, 1.4</t>
  </si>
  <si>
    <t>.7,  .6</t>
  </si>
  <si>
    <t>2.5, 1.9</t>
  </si>
  <si>
    <t>4.6, 5.6, 5.7</t>
  </si>
  <si>
    <t>.5, .5, .5, .5, .5, .5, .5, .5, .5, .5</t>
  </si>
  <si>
    <t>8, 10.6</t>
  </si>
  <si>
    <t>1.34, 1</t>
  </si>
  <si>
    <t>5.2, 2.3</t>
  </si>
  <si>
    <t>BOVI4</t>
  </si>
  <si>
    <t>.9,.9,.8</t>
  </si>
  <si>
    <t>3.5,2.6,1.9</t>
  </si>
  <si>
    <t>.7,.5</t>
  </si>
  <si>
    <t>.4,.2,.1,.1</t>
  </si>
  <si>
    <t>10.5,7.5</t>
  </si>
  <si>
    <t>RAFE1</t>
  </si>
  <si>
    <t>5.2,5.9,6.2</t>
  </si>
  <si>
    <t>8.2,7.9,12.1,8.3</t>
  </si>
  <si>
    <t>8.0,6.8</t>
  </si>
  <si>
    <t>11.6,10.3</t>
  </si>
  <si>
    <t>14,15.3,17</t>
  </si>
  <si>
    <t>7.4,7.3</t>
  </si>
  <si>
    <t>5.8,638</t>
  </si>
  <si>
    <t>6.3,7.5,6.5,7,7.1</t>
  </si>
  <si>
    <t>5.2,4.5,5.3</t>
  </si>
  <si>
    <t>4.8,3.9,3.2</t>
  </si>
  <si>
    <t>10.7,7.5</t>
  </si>
  <si>
    <t>5.5,3</t>
  </si>
  <si>
    <t>.92,.8</t>
  </si>
  <si>
    <t>11.7,12.6,14.5</t>
  </si>
  <si>
    <t>3.6,4.5</t>
  </si>
  <si>
    <t>Annona1-1</t>
  </si>
  <si>
    <t>8.3,6.5</t>
  </si>
  <si>
    <t>10,10.5</t>
  </si>
  <si>
    <t>10.7,9.5</t>
  </si>
  <si>
    <t>4.3,5.7</t>
  </si>
  <si>
    <t>4,6.5,3.2,3</t>
  </si>
  <si>
    <t>1.26,1.18,.93</t>
  </si>
  <si>
    <t>1.56,2.04</t>
  </si>
  <si>
    <t>1.43,4.26</t>
  </si>
  <si>
    <t>10.2,10.6</t>
  </si>
  <si>
    <t>4,4.5</t>
  </si>
  <si>
    <t>6,5.3</t>
  </si>
  <si>
    <t>.75,.51</t>
  </si>
  <si>
    <t>7.5,9.1</t>
  </si>
  <si>
    <t>1.2,.75</t>
  </si>
  <si>
    <t>11,4.9</t>
  </si>
  <si>
    <t>.5,.5</t>
  </si>
  <si>
    <t>4.2,3.4</t>
  </si>
  <si>
    <t>8.8,8.4</t>
  </si>
  <si>
    <t>10.8,7.7</t>
  </si>
  <si>
    <t>Myrcia1-1</t>
  </si>
  <si>
    <t>12.9,11.3,12.8</t>
  </si>
  <si>
    <t>4.7,4.6</t>
  </si>
  <si>
    <t>3.6,4.2,3.6,2.8,2.5,2.6</t>
  </si>
  <si>
    <t>2.3,2.4</t>
  </si>
  <si>
    <t>10.1,5</t>
  </si>
  <si>
    <t>3.8,3.2,2.7</t>
  </si>
  <si>
    <t>11.4,10.4,11.6</t>
  </si>
  <si>
    <t>3.2,3.7</t>
  </si>
  <si>
    <t>2.13,2.25</t>
  </si>
  <si>
    <t>14.3,10.1</t>
  </si>
  <si>
    <t>3.1,3,3.5,2.1,2.1,1.9</t>
  </si>
  <si>
    <t>1.98,2.14</t>
  </si>
  <si>
    <t>2.5,1.9</t>
  </si>
  <si>
    <t>1.5,1.4,1.2</t>
  </si>
  <si>
    <t>4.1,5.54</t>
  </si>
  <si>
    <t>6.5,5.3,4.4,5.1,4.2,4.7</t>
  </si>
  <si>
    <t>3.2,2.8,2.7,2.7</t>
  </si>
  <si>
    <t>3.8,3.3,3.5,2.9,3.2,3.4</t>
  </si>
  <si>
    <t>Annona2-2</t>
  </si>
  <si>
    <t>1.63,14</t>
  </si>
  <si>
    <t>5,4.2,10.8,10.3,9.6,9.3,3.8,3.5</t>
  </si>
  <si>
    <t>9.3,5.7,12.3</t>
  </si>
  <si>
    <t>8.3,10.4</t>
  </si>
  <si>
    <t>6,5.5,5.3</t>
  </si>
  <si>
    <t>9.5,2.5,2.4,2.5,2.4,2.7,2.6,3.2</t>
  </si>
  <si>
    <t>3.24,2.1,2.8,2.3,2.1</t>
  </si>
  <si>
    <t>5.6,6.5</t>
  </si>
  <si>
    <t>.9,.95</t>
  </si>
  <si>
    <t>3.6,3.6,2.8,4,10.3,7,7.8,8.3,6.5</t>
  </si>
  <si>
    <t>9.7,7.5</t>
  </si>
  <si>
    <t>5.4,7</t>
  </si>
  <si>
    <t>3.2,2.9,3.5,2.6</t>
  </si>
  <si>
    <t>.6,.4,.7</t>
  </si>
  <si>
    <t>2.4,1.93</t>
  </si>
  <si>
    <t>2.2,2.3,2.7,2.8,2.4,1.9,1.6,2.4</t>
  </si>
  <si>
    <t>1.19,1.61,1.91,2.37,2.01,2.53</t>
  </si>
  <si>
    <t>2.9,1.9,1.1</t>
  </si>
  <si>
    <t>3.2,2.1</t>
  </si>
  <si>
    <t>17.7,19.5</t>
  </si>
  <si>
    <t>12.6,8.8,12.5,8.7</t>
  </si>
  <si>
    <t>1.6,1.1,.94</t>
  </si>
  <si>
    <t>2.2,1.6</t>
  </si>
  <si>
    <t>19.3,15.9,14.2</t>
  </si>
  <si>
    <t>Unk. Fab</t>
  </si>
  <si>
    <t>Symplocos pubsescens</t>
  </si>
  <si>
    <t>SYPU3</t>
  </si>
  <si>
    <t>ERGR3</t>
  </si>
  <si>
    <t>Eriotheca gracilis</t>
  </si>
  <si>
    <t>POTO3</t>
  </si>
  <si>
    <t>Labeled MYFE1 in field. Changed code to RAFE.</t>
  </si>
  <si>
    <t>Changed code to RAFE</t>
  </si>
  <si>
    <t>RAFE5A</t>
  </si>
  <si>
    <t>CASY4</t>
  </si>
  <si>
    <t>DAEL1</t>
  </si>
  <si>
    <t>DAEL</t>
  </si>
  <si>
    <t>QUGR4</t>
  </si>
  <si>
    <t>DUFU4</t>
  </si>
  <si>
    <t>ANDI3</t>
  </si>
  <si>
    <t>ROMO5</t>
  </si>
  <si>
    <t>ERGR2</t>
  </si>
  <si>
    <t>TOFO5</t>
  </si>
  <si>
    <t>duplicate sample from STCA4 -- renamed STCA6</t>
  </si>
  <si>
    <t>duplicate sample or second tree laveled STCA4? Renamed STCA6</t>
  </si>
  <si>
    <t>Eriothecum gracilis</t>
  </si>
  <si>
    <t>Davilla elegans</t>
  </si>
  <si>
    <t>SYPU5</t>
  </si>
  <si>
    <t>DUFU5</t>
  </si>
  <si>
    <t>MABR5</t>
  </si>
  <si>
    <t>ERGR5</t>
  </si>
  <si>
    <t>COSU3</t>
  </si>
  <si>
    <t>Connarus suberosum</t>
  </si>
  <si>
    <t>CASY5</t>
  </si>
  <si>
    <t>SYPU4</t>
  </si>
  <si>
    <t>RAGU5</t>
  </si>
  <si>
    <t>RAUM4</t>
  </si>
  <si>
    <t>PEOB4</t>
  </si>
  <si>
    <t>ERGR4</t>
  </si>
  <si>
    <t>MYMU4</t>
  </si>
  <si>
    <t>QUGR5</t>
  </si>
  <si>
    <t>TAOC4</t>
  </si>
  <si>
    <t>MYTO5</t>
  </si>
  <si>
    <t>BYCO2</t>
  </si>
  <si>
    <t>BYCO</t>
  </si>
  <si>
    <t>Byrsonima cocolobifolia</t>
  </si>
  <si>
    <t>TAGU5</t>
  </si>
  <si>
    <t>JACA4</t>
  </si>
  <si>
    <t>JACA3</t>
  </si>
  <si>
    <t>Tocoyema formosa</t>
  </si>
  <si>
    <t>Daphnopsis racemosa</t>
  </si>
  <si>
    <t>Piptocarpha rotundifolia</t>
  </si>
  <si>
    <t>Poulteria torta</t>
  </si>
  <si>
    <t>Labeled unk2-1 in field</t>
  </si>
  <si>
    <t>10,5,4.5</t>
  </si>
  <si>
    <t>.5,.8</t>
  </si>
  <si>
    <t>5.2,3.5</t>
  </si>
  <si>
    <t>1.3,1.1</t>
  </si>
  <si>
    <t>7.5,5,4</t>
  </si>
  <si>
    <t>22, 16.2</t>
  </si>
  <si>
    <t>10.7,9.2,16.2,13.9,6.3</t>
  </si>
  <si>
    <t>8.5,5</t>
  </si>
  <si>
    <t>3.5,4.8</t>
  </si>
  <si>
    <t>3.4,2.7</t>
  </si>
  <si>
    <t>4,3.2</t>
  </si>
  <si>
    <t>1.53,2.85,1.89</t>
  </si>
  <si>
    <t>JACA2</t>
  </si>
  <si>
    <t>2.53,2.75</t>
  </si>
  <si>
    <t>1.92,2.07,1.23</t>
  </si>
  <si>
    <t>lower leaf not collected</t>
  </si>
  <si>
    <t>5.1,3.5,11,6.8</t>
  </si>
  <si>
    <t>1.17,.983</t>
  </si>
  <si>
    <t>JACA1</t>
  </si>
  <si>
    <t>1.87,2.69</t>
  </si>
  <si>
    <t>3.7,3.5</t>
  </si>
  <si>
    <t>COSU5</t>
  </si>
  <si>
    <t>COSU4</t>
  </si>
  <si>
    <t>QUCO5</t>
  </si>
  <si>
    <t>ALED3</t>
  </si>
  <si>
    <t>BYCO4</t>
  </si>
  <si>
    <t>LUGR1</t>
  </si>
  <si>
    <t>LUGR</t>
  </si>
  <si>
    <t>Luehea grandiflora</t>
  </si>
  <si>
    <t>JACA5</t>
  </si>
  <si>
    <t>RAFE4</t>
  </si>
  <si>
    <t>PEOB5</t>
  </si>
  <si>
    <t>LAHA4</t>
  </si>
  <si>
    <t>LAHA3</t>
  </si>
  <si>
    <t>BARU5</t>
  </si>
  <si>
    <t>PLEL1</t>
  </si>
  <si>
    <t>PLEL</t>
  </si>
  <si>
    <t>Platypodium elegans</t>
  </si>
  <si>
    <t>CUVE1</t>
  </si>
  <si>
    <t>CUVE</t>
  </si>
  <si>
    <t>Cupania vernalis</t>
  </si>
  <si>
    <t>BYCO3</t>
  </si>
  <si>
    <t>RAUM5</t>
  </si>
  <si>
    <t>QUCO3</t>
  </si>
  <si>
    <t>VOTU5</t>
  </si>
  <si>
    <t>MYMU5</t>
  </si>
  <si>
    <t>QUCO4</t>
  </si>
  <si>
    <t>Yes? Slime in phloem</t>
  </si>
  <si>
    <t>Lacistema hasselriana</t>
  </si>
  <si>
    <t>2.1,2,2.4</t>
  </si>
  <si>
    <t>8.1,6.5</t>
  </si>
  <si>
    <t>CAGU2</t>
  </si>
  <si>
    <t>CAGU</t>
  </si>
  <si>
    <t>Campomanesia guazumifolia</t>
  </si>
  <si>
    <t>SIGU4</t>
  </si>
  <si>
    <t>CAGU5</t>
  </si>
  <si>
    <t>CASY6</t>
  </si>
  <si>
    <t>COLA6</t>
  </si>
  <si>
    <t>SIGU3</t>
  </si>
  <si>
    <t>OCMI4</t>
  </si>
  <si>
    <t>OCMI</t>
  </si>
  <si>
    <t>Ocotea minarum</t>
  </si>
  <si>
    <t>OCVE3</t>
  </si>
  <si>
    <t>OCVE</t>
  </si>
  <si>
    <t>Ocotea velloziana</t>
  </si>
  <si>
    <t>ANCA1</t>
  </si>
  <si>
    <t>ANCA</t>
  </si>
  <si>
    <t>Annona cagans</t>
  </si>
  <si>
    <t>OCVE5</t>
  </si>
  <si>
    <t>OCMI3</t>
  </si>
  <si>
    <t>CAGU4</t>
  </si>
  <si>
    <t>OCVE4</t>
  </si>
  <si>
    <t>CAGU3</t>
  </si>
  <si>
    <t>OCMI1</t>
  </si>
  <si>
    <t>EUMY1</t>
  </si>
  <si>
    <t>EUMY</t>
  </si>
  <si>
    <t>Eugenia myrcianthes</t>
  </si>
  <si>
    <t>OCVE2</t>
  </si>
  <si>
    <t>OCVE1</t>
  </si>
  <si>
    <t>Tree 9236</t>
  </si>
  <si>
    <t>CAGU1</t>
  </si>
  <si>
    <t>Relable from field -- tree 9235</t>
  </si>
  <si>
    <t>OCMI2</t>
  </si>
  <si>
    <t>EUMY4</t>
  </si>
  <si>
    <t>BALO1</t>
  </si>
  <si>
    <t>BALO</t>
  </si>
  <si>
    <t>Bauhinia longifolia</t>
  </si>
  <si>
    <t>LIMO5</t>
  </si>
  <si>
    <t>LAHA5</t>
  </si>
  <si>
    <t>TAOC5</t>
  </si>
  <si>
    <t>CUVE2</t>
  </si>
  <si>
    <t>LUCA1</t>
  </si>
  <si>
    <t>LUCA</t>
  </si>
  <si>
    <t>Luehea candicans</t>
  </si>
  <si>
    <t>ALED4</t>
  </si>
  <si>
    <t>OCMI5</t>
  </si>
  <si>
    <t>EUMY2</t>
  </si>
  <si>
    <t>SIGU2</t>
  </si>
  <si>
    <t>LIMO4</t>
  </si>
  <si>
    <t>SIGU5</t>
  </si>
  <si>
    <t>CUTE1</t>
  </si>
  <si>
    <t>CUTE</t>
  </si>
  <si>
    <t>Cupania tenuivalvis</t>
  </si>
  <si>
    <t>PRHE2</t>
  </si>
  <si>
    <t>NEOP1</t>
  </si>
  <si>
    <t>NEOP</t>
  </si>
  <si>
    <t>Nectandra oppositifolia</t>
  </si>
  <si>
    <t>no tag</t>
  </si>
  <si>
    <t>5.5,3.5,4.4,4.8</t>
  </si>
  <si>
    <t>.7,.7,.7,.7,.7,.7,.7,.7,.7,.7</t>
  </si>
  <si>
    <t>MIAL2</t>
  </si>
  <si>
    <t>CUVE3</t>
  </si>
  <si>
    <t>CUVE4</t>
  </si>
  <si>
    <t>check against clipboard</t>
  </si>
  <si>
    <t>ZEMO4</t>
  </si>
  <si>
    <t>BADR4</t>
  </si>
  <si>
    <t>LUGR2</t>
  </si>
  <si>
    <t>BADR3</t>
  </si>
  <si>
    <t>LUGR3</t>
  </si>
  <si>
    <t>STAD4</t>
  </si>
  <si>
    <t>BADR2</t>
  </si>
  <si>
    <t>BADR5</t>
  </si>
  <si>
    <t>DIMO5</t>
  </si>
  <si>
    <t>DIMO4</t>
  </si>
  <si>
    <t>check if bags labeled DIMO3 -- actually DIMO4</t>
  </si>
  <si>
    <t>Cupnia tenuivalvis</t>
  </si>
  <si>
    <t>NECU1</t>
  </si>
  <si>
    <t>NECU</t>
  </si>
  <si>
    <t>tree 9236</t>
  </si>
  <si>
    <t>tree 9235 labeled SIPU2</t>
  </si>
  <si>
    <t>Formerly labeled BYCO1, but must be BYCO2 by process of elimination</t>
  </si>
  <si>
    <t>OCVE6</t>
  </si>
  <si>
    <t>OCMI6</t>
  </si>
  <si>
    <t>1.39,1.29</t>
  </si>
  <si>
    <t>1.09,.82</t>
  </si>
  <si>
    <t>ANFA1</t>
  </si>
  <si>
    <t>ANFA</t>
  </si>
  <si>
    <t>Anadenanthera falcata</t>
  </si>
  <si>
    <t>ANFA1.bmp</t>
  </si>
  <si>
    <t>ANFA2</t>
  </si>
  <si>
    <t>ANFA2.bmp</t>
  </si>
  <si>
    <t>ANFA3</t>
  </si>
  <si>
    <t>ANFA3.bmp</t>
  </si>
  <si>
    <t>ANFA4</t>
  </si>
  <si>
    <t>ANFA4.bmp</t>
  </si>
  <si>
    <t>ANFA5</t>
  </si>
  <si>
    <t>ANFA5.bmp</t>
  </si>
  <si>
    <t>PLRE1</t>
  </si>
  <si>
    <t>PLRE</t>
  </si>
  <si>
    <t>Platymenia reticulata</t>
  </si>
  <si>
    <t>PLRE1.bmp</t>
  </si>
  <si>
    <t>GUNI1</t>
  </si>
  <si>
    <t>GUNI</t>
  </si>
  <si>
    <t>Guatteria nigrescens</t>
  </si>
  <si>
    <t>QUMU3</t>
  </si>
  <si>
    <t>DARA2</t>
  </si>
  <si>
    <t>DARA3</t>
  </si>
  <si>
    <t>GUNI2</t>
  </si>
  <si>
    <t>QUMU4</t>
  </si>
  <si>
    <t>GUNI3</t>
  </si>
  <si>
    <t>POTO4</t>
  </si>
  <si>
    <t>BYCO5</t>
  </si>
  <si>
    <t>CALU2</t>
  </si>
  <si>
    <t>AMIN6</t>
  </si>
  <si>
    <t>DARA4</t>
  </si>
  <si>
    <t>Nectandra cuspidata</t>
  </si>
  <si>
    <t>GUNI4</t>
  </si>
  <si>
    <t>MYVE1</t>
  </si>
  <si>
    <t>MYVE</t>
  </si>
  <si>
    <t>Myrcia venulosa</t>
  </si>
  <si>
    <t>AMIN5</t>
  </si>
  <si>
    <t>DARA5</t>
  </si>
  <si>
    <t>PLRE2</t>
  </si>
  <si>
    <t>QUMU5</t>
  </si>
  <si>
    <t>POTO5</t>
  </si>
  <si>
    <t xml:space="preserve">Excel screwup -- check data sheets for comments if problems </t>
  </si>
  <si>
    <t>Scanned leaf area (pixels)</t>
  </si>
  <si>
    <t>Scanned leaf area (cm2)</t>
  </si>
  <si>
    <t>OID</t>
  </si>
  <si>
    <t>Labeled as only having 3 leaves; but 5 leaves in image. Not sure what's up</t>
  </si>
  <si>
    <t>PLRE5</t>
  </si>
  <si>
    <t>NECU5</t>
  </si>
  <si>
    <t>MYVE2</t>
  </si>
  <si>
    <t>NECU4</t>
  </si>
  <si>
    <t>MYVE5</t>
  </si>
  <si>
    <t>STRO6</t>
  </si>
  <si>
    <t>PLRE4</t>
  </si>
  <si>
    <t>POTO6</t>
  </si>
  <si>
    <t>NECU3</t>
  </si>
  <si>
    <t>PRHE3</t>
  </si>
  <si>
    <t>MYVE3</t>
  </si>
  <si>
    <t>PLRE3</t>
  </si>
  <si>
    <t>NECU2</t>
  </si>
  <si>
    <t>GUNI5</t>
  </si>
  <si>
    <t>EUPU1</t>
  </si>
  <si>
    <t>EUPU</t>
  </si>
  <si>
    <t>Eugenia punicifolia</t>
  </si>
  <si>
    <t>MYVE4</t>
  </si>
  <si>
    <t>CUTE4</t>
  </si>
  <si>
    <t>MIAL4</t>
  </si>
  <si>
    <t>EUPU2</t>
  </si>
  <si>
    <t>CUTE2</t>
  </si>
  <si>
    <t>CUTE3</t>
  </si>
  <si>
    <t>11.3,10.1,8.8</t>
  </si>
  <si>
    <t>1.64,1.89</t>
  </si>
  <si>
    <t>7.8,8.8,8.5,5</t>
  </si>
  <si>
    <t>1.3,1.3</t>
  </si>
  <si>
    <t>4.955,2,2</t>
  </si>
  <si>
    <t>1.3,1.1,2</t>
  </si>
  <si>
    <t>5,4.1</t>
  </si>
  <si>
    <t>labeled FAMO2 in field</t>
  </si>
  <si>
    <t>BYCO1</t>
  </si>
  <si>
    <t>Changed name to BYBA-A to match other data sheets. Original name BYBA1 [Name changed to BYCO1 -- leaf samples were lost and dried out]</t>
  </si>
  <si>
    <t>5177 [ data from a tree labeled OCPU-C added here; bark thicknesses and lower leaf height matched from OCPU-A and OCPU-C so this seems legit -- SF 0724]</t>
  </si>
  <si>
    <t>Might be TAOC3??? [used scan leaf data from second TAOC1 scan][Remove this extra sample; not sure what went wrong here -- SF 072417]</t>
  </si>
  <si>
    <t>3 leaves [but two images labeled TAOC1; combined masses and leaf counts] [actually I didn't do this; I just threw out one sample - SF 072417]</t>
  </si>
  <si>
    <t>CALU2 is actually SIGU</t>
  </si>
  <si>
    <t>SIGU6</t>
  </si>
  <si>
    <t>Labeled CALU2 originally - certainly a SIGU</t>
  </si>
  <si>
    <t>GOBA4</t>
  </si>
  <si>
    <t>BADR6</t>
  </si>
  <si>
    <t>LUCA4</t>
  </si>
  <si>
    <t>GOBA5</t>
  </si>
  <si>
    <t>PLEL2</t>
  </si>
  <si>
    <t>ANDI4</t>
  </si>
  <si>
    <t>PLEL3</t>
  </si>
  <si>
    <t>TEGL5</t>
  </si>
  <si>
    <t>GOBA3</t>
  </si>
  <si>
    <t>KICO5</t>
  </si>
  <si>
    <t>TAOC6</t>
  </si>
  <si>
    <t>Leaves senescing; no post sample taken</t>
  </si>
  <si>
    <t>LISA2</t>
  </si>
  <si>
    <t>LISA</t>
  </si>
  <si>
    <t>Lippia salviaefolia</t>
  </si>
  <si>
    <t>EUMY5</t>
  </si>
  <si>
    <t>EUMY3</t>
  </si>
  <si>
    <t>CUVE5</t>
  </si>
  <si>
    <t>LUCA3</t>
  </si>
  <si>
    <t>LUCA2</t>
  </si>
  <si>
    <t>ALED5</t>
  </si>
  <si>
    <t>LISA1</t>
  </si>
  <si>
    <t>ANCA2</t>
  </si>
  <si>
    <t>bag labeled RAFE5</t>
  </si>
  <si>
    <t>STCA6</t>
  </si>
  <si>
    <t>measurements from a bag labeled BALO1</t>
  </si>
  <si>
    <t>envelope labeled DIMO5 but volume of .403. DIMO5 already done though below.</t>
  </si>
  <si>
    <t xml:space="preserve">DIMO5 envelope with the right volume (.206). </t>
  </si>
  <si>
    <t>bag labeled RAUM5 but with correct weight</t>
  </si>
  <si>
    <t>2.8,5.6,2.7,2.4</t>
  </si>
  <si>
    <t>1.4,1.33</t>
  </si>
  <si>
    <t>2.65,2.73,2.69,2.76</t>
  </si>
  <si>
    <t>3.7,2.6,2.5,2,1.9</t>
  </si>
  <si>
    <t>2.7,1.7,1.7,2</t>
  </si>
  <si>
    <t>.43,.39</t>
  </si>
  <si>
    <t>.93,.84,.8</t>
  </si>
  <si>
    <t>3.45,2.93,2.99,2.46</t>
  </si>
  <si>
    <t>.5,.5,.5,.5,.5,.5,.5,.5,.5</t>
  </si>
  <si>
    <t>1.85,1.3,1.8,1.46</t>
  </si>
  <si>
    <t>2.3,1.9,2.7</t>
  </si>
  <si>
    <t>10.4,7.9</t>
  </si>
  <si>
    <t>11.4,9.2</t>
  </si>
  <si>
    <t>4.3,3.2</t>
  </si>
  <si>
    <t>7,8.4</t>
  </si>
  <si>
    <t>same datasheet from 7/15</t>
  </si>
  <si>
    <t>STOP</t>
  </si>
  <si>
    <t>9.5,12.3,15.4</t>
  </si>
  <si>
    <t>13.9,8,5.5,11.3</t>
  </si>
  <si>
    <t>8,8</t>
  </si>
  <si>
    <t>7.3,9.1</t>
  </si>
  <si>
    <t>7.2,10.5</t>
  </si>
  <si>
    <t>5.8,6.8,8.3,6.6</t>
  </si>
  <si>
    <t>6.2,5</t>
  </si>
  <si>
    <t>2.5,2.2</t>
  </si>
  <si>
    <t>1.5,1.7</t>
  </si>
  <si>
    <t>6.5,7.6</t>
  </si>
  <si>
    <t>8.9,7.8</t>
  </si>
  <si>
    <t>8.4,6.3</t>
  </si>
  <si>
    <t>14.3,8.3</t>
  </si>
  <si>
    <t>1056 or maybe 1052?</t>
  </si>
  <si>
    <t>CAAD-?</t>
  </si>
  <si>
    <t>8323 [not sure what's up with this individual -- entered data from recruit sheet but no matching leaf and wood measurements]</t>
  </si>
  <si>
    <t>diam changed from 0.7 to 7.0</t>
  </si>
  <si>
    <t>RALA</t>
  </si>
  <si>
    <t>AEVE6</t>
  </si>
  <si>
    <t>LUGR4</t>
  </si>
  <si>
    <t>ZARH4</t>
  </si>
  <si>
    <t>PLEL4</t>
  </si>
  <si>
    <t>CUTE5</t>
  </si>
  <si>
    <t>STAD5</t>
  </si>
  <si>
    <t>PLEL5</t>
  </si>
  <si>
    <t>DAEL3</t>
  </si>
  <si>
    <t>Davilla elliptica</t>
  </si>
  <si>
    <t>ZARH5</t>
  </si>
  <si>
    <t>BALO2</t>
  </si>
  <si>
    <t>ZEMO5</t>
  </si>
  <si>
    <t>DAEL2</t>
  </si>
  <si>
    <t>LUGR5</t>
  </si>
  <si>
    <t>MIAL5</t>
  </si>
  <si>
    <t>BALO3</t>
  </si>
  <si>
    <t>LISA3</t>
  </si>
  <si>
    <t>n</t>
  </si>
  <si>
    <t>BALO4</t>
  </si>
  <si>
    <t>DAEL4</t>
  </si>
  <si>
    <t>DAEL5</t>
  </si>
  <si>
    <t>ANDI5</t>
  </si>
  <si>
    <t>LUCA5</t>
  </si>
  <si>
    <t>BALO5</t>
  </si>
  <si>
    <t>LISA4</t>
  </si>
  <si>
    <t>LISA5</t>
  </si>
  <si>
    <t>PIAX1</t>
  </si>
  <si>
    <t>PIAX</t>
  </si>
  <si>
    <t>Piptocarpha axillaris</t>
  </si>
  <si>
    <t>PIAX2</t>
  </si>
  <si>
    <t>PIAX3</t>
  </si>
  <si>
    <t>PIAX4</t>
  </si>
  <si>
    <t>PIAX5</t>
  </si>
  <si>
    <t>CHMA5</t>
  </si>
  <si>
    <t>CHMA4</t>
  </si>
  <si>
    <t>1.32,1.28,1.25,1.1,1.1,.9,.9</t>
  </si>
  <si>
    <t>.6,.5,.3</t>
  </si>
  <si>
    <t>TEGLB1</t>
  </si>
  <si>
    <t>BALOB1</t>
  </si>
  <si>
    <t>25.8,21.2,29.8,29.4,19.3</t>
  </si>
  <si>
    <t>7.1,.9.3,3.1</t>
  </si>
  <si>
    <t>6.5,5.7,3.8,2.5</t>
  </si>
  <si>
    <t>20,14.1</t>
  </si>
  <si>
    <t>Bonus</t>
  </si>
  <si>
    <t>envelope labeled TEGL3 but volume is right</t>
  </si>
  <si>
    <t>other zypu2 probably goes here</t>
  </si>
  <si>
    <t>FIGURE OUT DUPLICATE STFE3s</t>
  </si>
  <si>
    <t>Originally labeled SOLY1; location in rectangle. SLA data from an envelope labeled SOLY4</t>
  </si>
  <si>
    <t>Second sample labeled NECU1; probably NEOP1 which otherwise doesn't have a sample</t>
  </si>
  <si>
    <t>Labeled as "Unk Fab." in field. Is actually BARU -- need to change [leaf mass data comes from a bag labeled BARU1]</t>
  </si>
  <si>
    <t>2843; leaf mass data from  bag labeled EUMY2</t>
  </si>
  <si>
    <t>figure out what this duplicate is doing here - sf 8/8/17</t>
  </si>
  <si>
    <t>PRHE4</t>
  </si>
  <si>
    <t>PRHE5</t>
  </si>
  <si>
    <t>COLA-B1</t>
  </si>
  <si>
    <t>DARA-B1</t>
  </si>
  <si>
    <t>AMIN-B1</t>
  </si>
  <si>
    <t>ANFA-B1</t>
  </si>
  <si>
    <t>COLA-B2</t>
  </si>
  <si>
    <t>COLA-B3</t>
  </si>
  <si>
    <t>DARA-B2</t>
  </si>
  <si>
    <t>COLA-B4</t>
  </si>
  <si>
    <t>PIAX-B1</t>
  </si>
  <si>
    <t>AMIN-B2</t>
  </si>
  <si>
    <t>PIAX-B2</t>
  </si>
  <si>
    <t>PLPO-B1</t>
  </si>
  <si>
    <t>GOPO-B1</t>
  </si>
  <si>
    <t>GOPO-B2</t>
  </si>
  <si>
    <t>DIMO-B1</t>
  </si>
  <si>
    <t>OCCO-B1</t>
  </si>
  <si>
    <t>OCCO-B2</t>
  </si>
  <si>
    <t>OCCO-B3</t>
  </si>
  <si>
    <t>PEOB-B1</t>
  </si>
  <si>
    <t>VOTU-B1</t>
  </si>
  <si>
    <t>MAAC-B1</t>
  </si>
  <si>
    <t>PEOB-B2</t>
  </si>
  <si>
    <t>MAAC-B2</t>
  </si>
  <si>
    <t>VOTU-B2</t>
  </si>
  <si>
    <t>CUTE-B1</t>
  </si>
  <si>
    <t>TAGU-B1</t>
  </si>
  <si>
    <t>PEOB-B3</t>
  </si>
  <si>
    <t>12.0,17.1,12.5,13.3</t>
  </si>
  <si>
    <t>15.1,18.3</t>
  </si>
  <si>
    <t>15.2,17.8</t>
  </si>
  <si>
    <t>long core</t>
  </si>
  <si>
    <t>no core</t>
  </si>
  <si>
    <t>PEOB-B4</t>
  </si>
  <si>
    <t>VOTU-B3</t>
  </si>
  <si>
    <t>VOTU-B4</t>
  </si>
  <si>
    <t>RAUM-B1</t>
  </si>
  <si>
    <t>LIMO-B1</t>
  </si>
  <si>
    <t>MAAC-B3</t>
  </si>
  <si>
    <t>PLEL-B1</t>
  </si>
  <si>
    <t>PLEL-B2</t>
  </si>
  <si>
    <t>MYMU-B1</t>
  </si>
  <si>
    <t>CUVE-B1</t>
  </si>
  <si>
    <t>MYTO-B1</t>
  </si>
  <si>
    <t>GOPO-B3</t>
  </si>
  <si>
    <t>VOTU-B5</t>
  </si>
  <si>
    <t>OCMI-B1</t>
  </si>
  <si>
    <t>CASY-B1</t>
  </si>
  <si>
    <t>CASY-B2</t>
  </si>
  <si>
    <t>MYFA-B1</t>
  </si>
  <si>
    <t>PEOB-B5</t>
  </si>
  <si>
    <t>GOPO-B4</t>
  </si>
  <si>
    <t>MAEL-B1</t>
  </si>
  <si>
    <t>MAEL-B2</t>
  </si>
  <si>
    <t>OCVE-B1</t>
  </si>
  <si>
    <t>OCVE-B2</t>
  </si>
  <si>
    <t>LAHA-B1</t>
  </si>
  <si>
    <t>STCA-B1</t>
  </si>
  <si>
    <t>MYTO-B2</t>
  </si>
  <si>
    <t>core</t>
  </si>
  <si>
    <t>RAFE-B1</t>
  </si>
  <si>
    <t>GOPO-B5</t>
  </si>
  <si>
    <t>ANFA-B2</t>
  </si>
  <si>
    <t>OCCO-B4</t>
  </si>
  <si>
    <t>OCCO-B5</t>
  </si>
  <si>
    <t>OCCO-B6</t>
  </si>
  <si>
    <t>PEOB-B6</t>
  </si>
  <si>
    <t>GOPO-B6</t>
  </si>
  <si>
    <t>OCCO-B7</t>
  </si>
  <si>
    <t>STRO-B1</t>
  </si>
  <si>
    <t>VOTU-B7</t>
  </si>
  <si>
    <t>VOTU-B8</t>
  </si>
  <si>
    <t>VOTU-B6</t>
  </si>
  <si>
    <t>30.1,22</t>
  </si>
  <si>
    <t>CESE1</t>
  </si>
  <si>
    <t>CESE2</t>
  </si>
  <si>
    <t>Old individual</t>
  </si>
  <si>
    <t>Unk 1-1</t>
  </si>
  <si>
    <t>Unk 1-2</t>
  </si>
  <si>
    <t>UNK 2-1</t>
  </si>
  <si>
    <t>BARU4</t>
  </si>
  <si>
    <t>Old name</t>
  </si>
  <si>
    <t xml:space="preserve">Unk. Fab. </t>
  </si>
  <si>
    <t>Annona 1-4</t>
  </si>
  <si>
    <t>ANCR3</t>
  </si>
  <si>
    <t>ANCR2</t>
  </si>
  <si>
    <t>ANCR6</t>
  </si>
  <si>
    <t>ANCR7</t>
  </si>
  <si>
    <t>ANCR5</t>
  </si>
  <si>
    <t>ANCO2</t>
  </si>
  <si>
    <t>ANCO1</t>
  </si>
  <si>
    <t>ANDI1</t>
  </si>
  <si>
    <t>ANDI2</t>
  </si>
  <si>
    <t>MYTO4</t>
  </si>
  <si>
    <t>MYFA2</t>
  </si>
  <si>
    <t>MYFA3</t>
  </si>
  <si>
    <t>MYFA6</t>
  </si>
  <si>
    <t>PEWI1</t>
  </si>
  <si>
    <t>PEWI</t>
  </si>
  <si>
    <t>Persea willdenovii</t>
  </si>
  <si>
    <t>Omit</t>
  </si>
  <si>
    <t>OUSP3</t>
  </si>
  <si>
    <t>OUSP4</t>
  </si>
  <si>
    <t>OUSP6</t>
  </si>
  <si>
    <t>RAFE2</t>
  </si>
  <si>
    <t>RAFE6</t>
  </si>
  <si>
    <t>RAFE3</t>
  </si>
  <si>
    <t>RAFE5</t>
  </si>
  <si>
    <t>CAAD2</t>
  </si>
  <si>
    <t>CAAD-B1</t>
  </si>
  <si>
    <t>RALA1</t>
  </si>
  <si>
    <t>AEVE4</t>
  </si>
  <si>
    <t>BYBA1</t>
  </si>
  <si>
    <t>CALU1</t>
  </si>
  <si>
    <t>[Duplicate of DUFU1; omitted in preference for the twig wood density - sf 082317]</t>
  </si>
  <si>
    <t>[relabeled from ERSU 1 to ERCU 1 (which otherwise is missing). Other ERSU1 is a core, which not possible from an ERCU - sf 082317]</t>
  </si>
  <si>
    <t>omit</t>
  </si>
  <si>
    <t>EUMY-B1</t>
  </si>
  <si>
    <t>GOPO2</t>
  </si>
  <si>
    <t>LEEL2</t>
  </si>
  <si>
    <t>LEEL3</t>
  </si>
  <si>
    <t>LEEL4</t>
  </si>
  <si>
    <t>MAAC5</t>
  </si>
  <si>
    <t>MAEL3</t>
  </si>
  <si>
    <t>MILI1</t>
  </si>
  <si>
    <t>MILI2</t>
  </si>
  <si>
    <t>OCCO4</t>
  </si>
  <si>
    <t>OCCO5</t>
  </si>
  <si>
    <t>OCCO6</t>
  </si>
  <si>
    <t>OCPU4</t>
  </si>
  <si>
    <t>PLPO1</t>
  </si>
  <si>
    <t>PLPO2</t>
  </si>
  <si>
    <t>[duplicate row of data - sf 082317]</t>
  </si>
  <si>
    <t>RAUM1</t>
  </si>
  <si>
    <t>RAUM2</t>
  </si>
  <si>
    <t>SCVI1</t>
  </si>
  <si>
    <t>STFE6</t>
  </si>
  <si>
    <t>[duplicate of STFE4 -- this one is later in the day and reassigned STFE6. Bags mislabeled as duplicate STFE3? I think -- changed on other sheets as well -- SF 082317]</t>
  </si>
  <si>
    <t>[relabeled from duplicate - SF 082317]</t>
  </si>
  <si>
    <t>[relabeled from duplicate - sf 082317]</t>
  </si>
  <si>
    <t>STPO1</t>
  </si>
  <si>
    <t>Styrax pohlii</t>
  </si>
  <si>
    <t xml:space="preserve">STPO </t>
  </si>
  <si>
    <t>GOPO6</t>
  </si>
  <si>
    <t>STRO7</t>
  </si>
  <si>
    <t>VOTU6</t>
  </si>
  <si>
    <t>TAGU1</t>
  </si>
  <si>
    <t>TAGU2</t>
  </si>
  <si>
    <t>[Duplicate sample taken by accident -- sf 082317]</t>
  </si>
  <si>
    <t>TAOC3</t>
  </si>
  <si>
    <t>VOTU4</t>
  </si>
  <si>
    <t>ZEMO1</t>
  </si>
  <si>
    <t>Not sure why data missing -- sf 082317</t>
  </si>
  <si>
    <t>PIRO2</t>
  </si>
  <si>
    <t>PIRO-A</t>
  </si>
  <si>
    <t>PIRO3</t>
  </si>
  <si>
    <t>PIRO-B</t>
  </si>
  <si>
    <t>PIRO4</t>
  </si>
  <si>
    <t>PIRO-C</t>
  </si>
  <si>
    <t>TAAU1</t>
  </si>
  <si>
    <t>TAAU</t>
  </si>
  <si>
    <t>Tabebuia aurea</t>
  </si>
  <si>
    <t>ERTO1</t>
  </si>
  <si>
    <t>ERTO</t>
  </si>
  <si>
    <t>Erythroxylem tomentosum</t>
  </si>
  <si>
    <t>ASTO1</t>
  </si>
  <si>
    <t>ASTO</t>
  </si>
  <si>
    <t>Aspidosperma tomentosa</t>
  </si>
  <si>
    <t>TAAU2</t>
  </si>
  <si>
    <t>ZETU1</t>
  </si>
  <si>
    <t>ZETU</t>
  </si>
  <si>
    <t>Zeyheria tuberculosum</t>
  </si>
  <si>
    <t>ZETU2</t>
  </si>
  <si>
    <t>ZETU3</t>
  </si>
  <si>
    <t>ERDE2</t>
  </si>
  <si>
    <t>ERDE</t>
  </si>
  <si>
    <t>Erythroxylem deciduum</t>
  </si>
  <si>
    <t>ERDE1</t>
  </si>
  <si>
    <t>ERDE3</t>
  </si>
  <si>
    <t>TAAU3</t>
  </si>
  <si>
    <t>ASTO2</t>
  </si>
  <si>
    <t>ASTO3</t>
  </si>
  <si>
    <t>HEAP1</t>
  </si>
  <si>
    <t>HEAP</t>
  </si>
  <si>
    <t>Helietta apiculata</t>
  </si>
  <si>
    <t>AESE1</t>
  </si>
  <si>
    <t>AESE</t>
  </si>
  <si>
    <t>Aegiphila sellowiana</t>
  </si>
  <si>
    <t>ERTO3</t>
  </si>
  <si>
    <t>Erythroxylum tomentosum</t>
  </si>
  <si>
    <t>ERTO4</t>
  </si>
  <si>
    <t>AESE2</t>
  </si>
  <si>
    <t>AESE3</t>
  </si>
  <si>
    <t>nAEVE1</t>
  </si>
  <si>
    <t>Aegiphila verticilata</t>
  </si>
  <si>
    <t>nAEVE2</t>
  </si>
  <si>
    <t>nAEVE3</t>
  </si>
  <si>
    <t>nAEVE4</t>
  </si>
  <si>
    <t>nAEVE5</t>
  </si>
  <si>
    <t>nAEVE6</t>
  </si>
  <si>
    <t>nAMIN1</t>
  </si>
  <si>
    <t>Amaouia intermedia</t>
  </si>
  <si>
    <t>nAMIN2</t>
  </si>
  <si>
    <t>nAMIN3</t>
  </si>
  <si>
    <t>nAMIN4</t>
  </si>
  <si>
    <t>nAMIN5</t>
  </si>
  <si>
    <t>nANCR1</t>
  </si>
  <si>
    <t>nANCR2</t>
  </si>
  <si>
    <t>nANCR3</t>
  </si>
  <si>
    <t>nANCR4</t>
  </si>
  <si>
    <t>nANCR5</t>
  </si>
  <si>
    <t>nANFA1</t>
  </si>
  <si>
    <t>nANFA10</t>
  </si>
  <si>
    <t>ANFA10</t>
  </si>
  <si>
    <t>nANFA2</t>
  </si>
  <si>
    <t>nANFA3</t>
  </si>
  <si>
    <t>nANFA4</t>
  </si>
  <si>
    <t>nANFA5</t>
  </si>
  <si>
    <t>nANFA6</t>
  </si>
  <si>
    <t>ANFA6</t>
  </si>
  <si>
    <t>nANFA7</t>
  </si>
  <si>
    <t>ANFA7</t>
  </si>
  <si>
    <t>nANFA8</t>
  </si>
  <si>
    <t>ANFA8</t>
  </si>
  <si>
    <t>nANFA9</t>
  </si>
  <si>
    <t>ANFA9</t>
  </si>
  <si>
    <t>nCAAD1</t>
  </si>
  <si>
    <t>nCAAD2</t>
  </si>
  <si>
    <t>nCAAD3</t>
  </si>
  <si>
    <t>nCAAD4</t>
  </si>
  <si>
    <t>nCAAD5</t>
  </si>
  <si>
    <t>nCASY1</t>
  </si>
  <si>
    <t>nCASY2</t>
  </si>
  <si>
    <t>nCASY3</t>
  </si>
  <si>
    <t>nCASY4</t>
  </si>
  <si>
    <t>nCASY5</t>
  </si>
  <si>
    <t>nCOLA1</t>
  </si>
  <si>
    <t>nCOLA2</t>
  </si>
  <si>
    <t>nCOLA3</t>
  </si>
  <si>
    <t>nCOLA4</t>
  </si>
  <si>
    <t>nCOLA5</t>
  </si>
  <si>
    <t>nDIMO1</t>
  </si>
  <si>
    <t>nDIMO2</t>
  </si>
  <si>
    <t>nDIMO3</t>
  </si>
  <si>
    <t>nDIMO4</t>
  </si>
  <si>
    <t>nDIMO5</t>
  </si>
  <si>
    <t>nERGR1</t>
  </si>
  <si>
    <t>Eriotheca gracilipes</t>
  </si>
  <si>
    <t>nERGR2</t>
  </si>
  <si>
    <t>nERGR3</t>
  </si>
  <si>
    <t>nERGR4</t>
  </si>
  <si>
    <t>nERGR5</t>
  </si>
  <si>
    <t>nGOBA1</t>
  </si>
  <si>
    <t>nGOBA2</t>
  </si>
  <si>
    <t>nGOBA3</t>
  </si>
  <si>
    <t>nGOBA4</t>
  </si>
  <si>
    <t>nGOBA5</t>
  </si>
  <si>
    <t>nGOPO1</t>
  </si>
  <si>
    <t>Moquiniastrum polymorpha</t>
  </si>
  <si>
    <t>nGOPO10</t>
  </si>
  <si>
    <t>GOPO10</t>
  </si>
  <si>
    <t>nGOPO11</t>
  </si>
  <si>
    <t>GOPO11</t>
  </si>
  <si>
    <t>nGOPO12</t>
  </si>
  <si>
    <t>GOPO12</t>
  </si>
  <si>
    <t>nGOPO13</t>
  </si>
  <si>
    <t>GOPO13</t>
  </si>
  <si>
    <t>nGOPO14</t>
  </si>
  <si>
    <t>GOPO14</t>
  </si>
  <si>
    <t>nGOPO15</t>
  </si>
  <si>
    <t>GOPO15</t>
  </si>
  <si>
    <t>nGOPO2</t>
  </si>
  <si>
    <t>nGOPO3</t>
  </si>
  <si>
    <t>nGOPO4</t>
  </si>
  <si>
    <t>nGOPO5</t>
  </si>
  <si>
    <t>nGOPO6</t>
  </si>
  <si>
    <t>nGOPO7</t>
  </si>
  <si>
    <t>GOPO7</t>
  </si>
  <si>
    <t>nGOPO8</t>
  </si>
  <si>
    <t>GOPO8</t>
  </si>
  <si>
    <t>nGOPO9</t>
  </si>
  <si>
    <t>GOPO9</t>
  </si>
  <si>
    <t>nLAHA1</t>
  </si>
  <si>
    <t>Lacistema hasslerianum</t>
  </si>
  <si>
    <t>nLEEL1</t>
  </si>
  <si>
    <t>nLEEL10</t>
  </si>
  <si>
    <t>LEEL10</t>
  </si>
  <si>
    <t>nLEEL2</t>
  </si>
  <si>
    <t>nLEEL3</t>
  </si>
  <si>
    <t>nLEEL4</t>
  </si>
  <si>
    <t>nLEEL5</t>
  </si>
  <si>
    <t>nLEEL6</t>
  </si>
  <si>
    <t>LEEL6</t>
  </si>
  <si>
    <t>nLEEL7</t>
  </si>
  <si>
    <t>LEEL7</t>
  </si>
  <si>
    <t>nLEEL8</t>
  </si>
  <si>
    <t>LEEL8</t>
  </si>
  <si>
    <t>nLEEL9</t>
  </si>
  <si>
    <t>LEEL9</t>
  </si>
  <si>
    <t>nMAAC1</t>
  </si>
  <si>
    <t>nMAAC10</t>
  </si>
  <si>
    <t>MAAC10</t>
  </si>
  <si>
    <t>nMAAC2</t>
  </si>
  <si>
    <t>nMAAC3</t>
  </si>
  <si>
    <t>nMAAC4</t>
  </si>
  <si>
    <t>nMAAC5</t>
  </si>
  <si>
    <t>nMAAC6</t>
  </si>
  <si>
    <t>MAAC6</t>
  </si>
  <si>
    <t>nMAAC7</t>
  </si>
  <si>
    <t>MAAC7</t>
  </si>
  <si>
    <t>nMAAC8</t>
  </si>
  <si>
    <t>MAAC8</t>
  </si>
  <si>
    <t>nMAAC9</t>
  </si>
  <si>
    <t>MAAC9</t>
  </si>
  <si>
    <t>nMABR1</t>
  </si>
  <si>
    <t>nMABR2</t>
  </si>
  <si>
    <t>nMABR3</t>
  </si>
  <si>
    <t>nMABR4</t>
  </si>
  <si>
    <t>nMABR5</t>
  </si>
  <si>
    <t>nMAEL1</t>
  </si>
  <si>
    <t>nMAEL2</t>
  </si>
  <si>
    <t>nMAEL3</t>
  </si>
  <si>
    <t>nMAEL4</t>
  </si>
  <si>
    <t>nMAEL5</t>
  </si>
  <si>
    <t>nMIAL1</t>
  </si>
  <si>
    <t>nMIAL2</t>
  </si>
  <si>
    <t>nMIAL3</t>
  </si>
  <si>
    <t>MIAL3</t>
  </si>
  <si>
    <t>nMIAL4</t>
  </si>
  <si>
    <t>nMIAL5</t>
  </si>
  <si>
    <t>nMILI1</t>
  </si>
  <si>
    <t>nMILI2</t>
  </si>
  <si>
    <t>nMILI3</t>
  </si>
  <si>
    <t>nMILI4</t>
  </si>
  <si>
    <t>nMILI5</t>
  </si>
  <si>
    <t>nMYFA1</t>
  </si>
  <si>
    <t>nMYFA10</t>
  </si>
  <si>
    <t>MYFA10</t>
  </si>
  <si>
    <t>nMYFA11</t>
  </si>
  <si>
    <t>MYFA11</t>
  </si>
  <si>
    <t>nMYFA2</t>
  </si>
  <si>
    <t>nMYFA3</t>
  </si>
  <si>
    <t>nMYFA4</t>
  </si>
  <si>
    <t>nMYFA5</t>
  </si>
  <si>
    <t>nMYFA6</t>
  </si>
  <si>
    <t>nMYFA7</t>
  </si>
  <si>
    <t>MYFA7</t>
  </si>
  <si>
    <t>nMYFA8</t>
  </si>
  <si>
    <t>MYFA8</t>
  </si>
  <si>
    <t>nMYFA9</t>
  </si>
  <si>
    <t>MYFA9</t>
  </si>
  <si>
    <t>nMYTO1</t>
  </si>
  <si>
    <t>nMYTO2</t>
  </si>
  <si>
    <t>nMYTO3</t>
  </si>
  <si>
    <t>nMYTO4</t>
  </si>
  <si>
    <t>nMYTO5</t>
  </si>
  <si>
    <t>nOCCO1</t>
  </si>
  <si>
    <t>nOCCO10</t>
  </si>
  <si>
    <t>OCCO10</t>
  </si>
  <si>
    <t>nOCCO11</t>
  </si>
  <si>
    <t>OCCO11</t>
  </si>
  <si>
    <t>nOCCO2</t>
  </si>
  <si>
    <t>nOCCO3</t>
  </si>
  <si>
    <t>nOCCO4</t>
  </si>
  <si>
    <t>nOCCO5</t>
  </si>
  <si>
    <t>nOCCO6</t>
  </si>
  <si>
    <t>nOCCO7</t>
  </si>
  <si>
    <t>OCCO7</t>
  </si>
  <si>
    <t>nOCCO8</t>
  </si>
  <si>
    <t>OCCO8</t>
  </si>
  <si>
    <t>nOCCO9</t>
  </si>
  <si>
    <t>OCCO9</t>
  </si>
  <si>
    <t>nOCPU1</t>
  </si>
  <si>
    <t>nOCPU2</t>
  </si>
  <si>
    <t>nOCPU3</t>
  </si>
  <si>
    <t>nOCPU4</t>
  </si>
  <si>
    <t>nOCPU5</t>
  </si>
  <si>
    <t>nOUSP1</t>
  </si>
  <si>
    <t>nOUSP2</t>
  </si>
  <si>
    <t>nOUSP3</t>
  </si>
  <si>
    <t>nOUSP4</t>
  </si>
  <si>
    <t>nOUSP5</t>
  </si>
  <si>
    <t>nPEOB1</t>
  </si>
  <si>
    <t>nPEOB10</t>
  </si>
  <si>
    <t>PEOB10</t>
  </si>
  <si>
    <t>nPEOB2</t>
  </si>
  <si>
    <t>nPEOB3</t>
  </si>
  <si>
    <t>nPEOB4</t>
  </si>
  <si>
    <t>nPEOB5</t>
  </si>
  <si>
    <t>nPEOB6</t>
  </si>
  <si>
    <t>PEOB6</t>
  </si>
  <si>
    <t>nPEOB7</t>
  </si>
  <si>
    <t>PEOB7</t>
  </si>
  <si>
    <t>nPEOB8</t>
  </si>
  <si>
    <t>PEOB8</t>
  </si>
  <si>
    <t>nPEOB9</t>
  </si>
  <si>
    <t>PEOB9</t>
  </si>
  <si>
    <t>nPIAX1</t>
  </si>
  <si>
    <t>nPIAX2</t>
  </si>
  <si>
    <t>nPIAX3</t>
  </si>
  <si>
    <t>nPIAX4</t>
  </si>
  <si>
    <t>nPIAX5</t>
  </si>
  <si>
    <t>nPLEL1</t>
  </si>
  <si>
    <t>nPLPO1</t>
  </si>
  <si>
    <t>nPLPO2</t>
  </si>
  <si>
    <t>nPLPO3</t>
  </si>
  <si>
    <t>nPLPO4</t>
  </si>
  <si>
    <t>nPLPO5</t>
  </si>
  <si>
    <t>nPRHE1</t>
  </si>
  <si>
    <t>nPRHE2</t>
  </si>
  <si>
    <t>nPRHE3</t>
  </si>
  <si>
    <t>nPRHE4</t>
  </si>
  <si>
    <t>nPRHE5</t>
  </si>
  <si>
    <t>nRAUM1</t>
  </si>
  <si>
    <t>Myrsine umbellatum</t>
  </si>
  <si>
    <t>nRAUM11</t>
  </si>
  <si>
    <t>nRAUM10</t>
  </si>
  <si>
    <t>RAUM10</t>
  </si>
  <si>
    <t>nRAUM2</t>
  </si>
  <si>
    <t>nRAUM3</t>
  </si>
  <si>
    <t>nRAUM4</t>
  </si>
  <si>
    <t>nRAUM5</t>
  </si>
  <si>
    <t>nRAUM6</t>
  </si>
  <si>
    <t>RAUM6</t>
  </si>
  <si>
    <t>nRAUM7</t>
  </si>
  <si>
    <t>RAUM7</t>
  </si>
  <si>
    <t>nRAUM8</t>
  </si>
  <si>
    <t>RAUM8</t>
  </si>
  <si>
    <t>nRAUM9</t>
  </si>
  <si>
    <t>RAUM9</t>
  </si>
  <si>
    <t>nSCVIS1</t>
  </si>
  <si>
    <t>SCVIS1</t>
  </si>
  <si>
    <t>nSCVIS2</t>
  </si>
  <si>
    <t>SCVIS2</t>
  </si>
  <si>
    <t>nSCVIS3</t>
  </si>
  <si>
    <t>SCVIS3</t>
  </si>
  <si>
    <t>nSCVIS4</t>
  </si>
  <si>
    <t>SCVIS4</t>
  </si>
  <si>
    <t>nSCVIS5</t>
  </si>
  <si>
    <t>SCVIS5</t>
  </si>
  <si>
    <t>nSIGU1</t>
  </si>
  <si>
    <t>nSIGU2</t>
  </si>
  <si>
    <t>nSIGU3</t>
  </si>
  <si>
    <t>nSIGU4</t>
  </si>
  <si>
    <t>nSIGU5</t>
  </si>
  <si>
    <t>nSTCA1</t>
  </si>
  <si>
    <t>nSTCA2</t>
  </si>
  <si>
    <t>nSTCA3</t>
  </si>
  <si>
    <t>nSTCA4</t>
  </si>
  <si>
    <t>nSTCA5</t>
  </si>
  <si>
    <t>nSTRO1</t>
  </si>
  <si>
    <t>Strypnodendron rotundifolium</t>
  </si>
  <si>
    <t>nSTRO10</t>
  </si>
  <si>
    <t>STRO10</t>
  </si>
  <si>
    <t>nSTRO2</t>
  </si>
  <si>
    <t>nSTRO3</t>
  </si>
  <si>
    <t>nSTRO4</t>
  </si>
  <si>
    <t>nSTRO5</t>
  </si>
  <si>
    <t>nSTRO6</t>
  </si>
  <si>
    <t>nSTRO7</t>
  </si>
  <si>
    <t>nSTRO8</t>
  </si>
  <si>
    <t>STRO8</t>
  </si>
  <si>
    <t>nSTRO9</t>
  </si>
  <si>
    <t>STRO9</t>
  </si>
  <si>
    <t>nSYPU1</t>
  </si>
  <si>
    <t>nSYPU2</t>
  </si>
  <si>
    <t>nSYPU3</t>
  </si>
  <si>
    <t>nSYPU4</t>
  </si>
  <si>
    <t>nSYPU5</t>
  </si>
  <si>
    <t>nTACA1</t>
  </si>
  <si>
    <t>nTACA2</t>
  </si>
  <si>
    <t>nTACA3</t>
  </si>
  <si>
    <t>nTACA4</t>
  </si>
  <si>
    <t>nTACA5</t>
  </si>
  <si>
    <t>nTAGU1</t>
  </si>
  <si>
    <t>nTAGU2</t>
  </si>
  <si>
    <t>nTAGU3</t>
  </si>
  <si>
    <t>nTAGU4</t>
  </si>
  <si>
    <t>TAGU4</t>
  </si>
  <si>
    <t>nTAGU5</t>
  </si>
  <si>
    <t>nTEGL1</t>
  </si>
  <si>
    <t>nTEGL2</t>
  </si>
  <si>
    <t>nTEGL3</t>
  </si>
  <si>
    <t>nTEGL4</t>
  </si>
  <si>
    <t>nVOTU1</t>
  </si>
  <si>
    <t>nVOTU10</t>
  </si>
  <si>
    <t>VOTU10</t>
  </si>
  <si>
    <t>nVOTU2</t>
  </si>
  <si>
    <t>nVOTU3</t>
  </si>
  <si>
    <t>nVOTU4</t>
  </si>
  <si>
    <t>nVOTU5</t>
  </si>
  <si>
    <t>nVOTU6</t>
  </si>
  <si>
    <t>nVOTU7</t>
  </si>
  <si>
    <t>VOTU7</t>
  </si>
  <si>
    <t>nVOTU8</t>
  </si>
  <si>
    <t>VOTU8</t>
  </si>
  <si>
    <t>nVOTU9</t>
  </si>
  <si>
    <t>VOTU9</t>
  </si>
  <si>
    <t>Imported from LAI project</t>
  </si>
  <si>
    <t>3.7,6.8,2.9</t>
  </si>
  <si>
    <t>2.9,3.3</t>
  </si>
  <si>
    <t>4.5,5.1</t>
  </si>
  <si>
    <t>.9,.8,.8</t>
  </si>
  <si>
    <t>.7,.7,.6,.6</t>
  </si>
  <si>
    <t>1.7,1,1,.8,.7</t>
  </si>
  <si>
    <t>1.1,1.1,1.2,1.3</t>
  </si>
  <si>
    <t>8.5,5.9</t>
  </si>
  <si>
    <t>1,1,1,1,1</t>
  </si>
  <si>
    <t>1.7,1</t>
  </si>
  <si>
    <t>1.4,1.6,1,.9</t>
  </si>
  <si>
    <t>.5,.5,.5,.5,.5</t>
  </si>
  <si>
    <t>4.5, 4.0</t>
  </si>
  <si>
    <t>16.4,14.5,11.6,17,11.5</t>
  </si>
  <si>
    <t>2.4, 2.0</t>
  </si>
  <si>
    <t>8.2, 6.0</t>
  </si>
  <si>
    <t>4, 5, 5.4, 3.6, 5.4</t>
  </si>
  <si>
    <t>1.7, 2.0</t>
  </si>
  <si>
    <t>6.1,5.2</t>
  </si>
  <si>
    <t>2.2,2</t>
  </si>
  <si>
    <t>1,1,1,1</t>
  </si>
  <si>
    <t>4,2.9</t>
  </si>
  <si>
    <t>5.8,2.8</t>
  </si>
  <si>
    <t>2.3, 4.4</t>
  </si>
  <si>
    <t>1.2, 1.4, 1.2</t>
  </si>
  <si>
    <t>10.2, 7.5</t>
  </si>
  <si>
    <t>9.7, 7.5</t>
  </si>
  <si>
    <t>13.4,12</t>
  </si>
  <si>
    <t>11.9,11.2</t>
  </si>
  <si>
    <t>2.8,2.7</t>
  </si>
  <si>
    <t>2.3,1.7</t>
  </si>
  <si>
    <t>1.5,1.6,1.3</t>
  </si>
  <si>
    <t>3.1,3.1,2.9</t>
  </si>
  <si>
    <t>6.5,5.5,5</t>
  </si>
  <si>
    <t>4,3,2.1,2.3,2.5</t>
  </si>
  <si>
    <t>1.8,1.4</t>
  </si>
  <si>
    <t>.7,.5,.5,.5</t>
  </si>
  <si>
    <t>9.9,16</t>
  </si>
  <si>
    <t>10.2,10,8,7.6</t>
  </si>
  <si>
    <t>8.6,7.7,9.5,10,6.2</t>
  </si>
  <si>
    <t>6.5,4.5</t>
  </si>
  <si>
    <t>7.5,7.3,8.3</t>
  </si>
  <si>
    <t>5.5,5</t>
  </si>
  <si>
    <t>4.5,5</t>
  </si>
  <si>
    <t>3.2,3,2.3</t>
  </si>
  <si>
    <t>5,4.9,4.3,5</t>
  </si>
  <si>
    <t>5.5,4.4</t>
  </si>
  <si>
    <t>2.2,1.9</t>
  </si>
  <si>
    <t>1, 0.8</t>
  </si>
  <si>
    <t>12,8.1,8</t>
  </si>
  <si>
    <t>7.7,7.7</t>
  </si>
  <si>
    <t>7.7,7.9</t>
  </si>
  <si>
    <t>4, 3.5</t>
  </si>
  <si>
    <t>2.5,2.4</t>
  </si>
  <si>
    <t>1, 1, 1, 1, 1, 1, 1, 1, 1</t>
  </si>
  <si>
    <t>37,23.8</t>
  </si>
  <si>
    <t>21,22.5,16.7,14.7</t>
  </si>
  <si>
    <t>18,29.1</t>
  </si>
  <si>
    <t>6.9,7.8</t>
  </si>
  <si>
    <t>8.1,8.5</t>
  </si>
  <si>
    <t>6.9,6.6,5.2</t>
  </si>
  <si>
    <t>4.5,4.2,7.8</t>
  </si>
  <si>
    <t>10.5,17.1</t>
  </si>
  <si>
    <t>2,2.6</t>
  </si>
  <si>
    <t>5.1,4.9</t>
  </si>
  <si>
    <t>3.2,3.1,3.5</t>
  </si>
  <si>
    <t>1.2, 1.0</t>
  </si>
  <si>
    <t>3.1, 2, 2.2, 2.7, 4.2, 2.6</t>
  </si>
  <si>
    <t>3,4.1,2.2</t>
  </si>
  <si>
    <t>2.9,1,2.9</t>
  </si>
  <si>
    <t>4.9,3.2,6,3.2</t>
  </si>
  <si>
    <t>5.4,3.9,2.4,2.6</t>
  </si>
  <si>
    <t>11.5,6.2,8.8</t>
  </si>
  <si>
    <t>9.6,6.6,4.8</t>
  </si>
  <si>
    <t>3.9, 2.5, 4.7, 2.6</t>
  </si>
  <si>
    <t>3.2, 1.0, 1.6, 1.0</t>
  </si>
  <si>
    <t>3.1, 3.1, 1.8</t>
  </si>
  <si>
    <t>1.2, 1.2, 1.0</t>
  </si>
  <si>
    <t>13.1,14.5</t>
  </si>
  <si>
    <t>13.6,11.6</t>
  </si>
  <si>
    <t>31.5,34.5</t>
  </si>
  <si>
    <t>5.5,3.6</t>
  </si>
  <si>
    <t>3.6,3.3,1.9</t>
  </si>
  <si>
    <t>24.8,15.7</t>
  </si>
  <si>
    <t>9.3,12.2</t>
  </si>
  <si>
    <t>22.5,13.3,14.5,11.7</t>
  </si>
  <si>
    <t>7.5,6.4</t>
  </si>
  <si>
    <t>Erythroxylum tortuosum</t>
  </si>
  <si>
    <t>Aspidospermum tomentosum</t>
  </si>
  <si>
    <t>Erythroxylum deciduum</t>
  </si>
  <si>
    <t>AESE4</t>
  </si>
  <si>
    <t>19.8,11.4</t>
  </si>
  <si>
    <t>1.8,1.5,1.5</t>
  </si>
  <si>
    <t>MAGU1</t>
  </si>
  <si>
    <t>MAGU2</t>
  </si>
  <si>
    <t>MAGU3</t>
  </si>
  <si>
    <t>MAGU4</t>
  </si>
  <si>
    <t>MAGU5</t>
  </si>
  <si>
    <t>CRFL1</t>
  </si>
  <si>
    <t>ALED6</t>
  </si>
  <si>
    <t>TAAU4</t>
  </si>
  <si>
    <t>ASTO4</t>
  </si>
  <si>
    <t>ASTO5</t>
  </si>
  <si>
    <t>ZETU4</t>
  </si>
  <si>
    <t>ZETU5</t>
  </si>
  <si>
    <t>MAGU</t>
  </si>
  <si>
    <t>CRFL</t>
  </si>
  <si>
    <t>Maprounea guianensis</t>
  </si>
  <si>
    <t>Croton floribundus</t>
  </si>
  <si>
    <t>CRFL2</t>
  </si>
  <si>
    <t>CRFL3</t>
  </si>
  <si>
    <t>CAGU6</t>
  </si>
  <si>
    <t>CAGU7</t>
  </si>
  <si>
    <t>y</t>
  </si>
  <si>
    <t>MISE1</t>
  </si>
  <si>
    <t>MISE</t>
  </si>
  <si>
    <t>DAFA1</t>
  </si>
  <si>
    <t>DAFA</t>
  </si>
  <si>
    <t>MISE2</t>
  </si>
  <si>
    <t>ERTO5</t>
  </si>
  <si>
    <t>AESE5</t>
  </si>
  <si>
    <t>MISE3</t>
  </si>
  <si>
    <t>DAFA2</t>
  </si>
  <si>
    <t>GUVI1</t>
  </si>
  <si>
    <t>GUVI2</t>
  </si>
  <si>
    <t>DAFA3</t>
  </si>
  <si>
    <t>GUVI3</t>
  </si>
  <si>
    <t>PIRO5</t>
  </si>
  <si>
    <t>GUVI</t>
  </si>
  <si>
    <t>Miconia sellowiana</t>
  </si>
  <si>
    <t>Daphnopsis fasciculata</t>
  </si>
  <si>
    <t>Guattarda viburnoides</t>
  </si>
  <si>
    <t>ERTOC</t>
  </si>
  <si>
    <t>ANCA3</t>
  </si>
  <si>
    <t>PORA1</t>
  </si>
  <si>
    <t>XYAR1</t>
  </si>
  <si>
    <t>STPO3</t>
  </si>
  <si>
    <t>BYLA1</t>
  </si>
  <si>
    <t>BYLA2</t>
  </si>
  <si>
    <t>RALA3</t>
  </si>
  <si>
    <t>PORA3</t>
  </si>
  <si>
    <t>SYRE3</t>
  </si>
  <si>
    <t>STPO2</t>
  </si>
  <si>
    <t>BYLA3</t>
  </si>
  <si>
    <t>SYRE1</t>
  </si>
  <si>
    <t>XYAR2</t>
  </si>
  <si>
    <t>SYRE2</t>
  </si>
  <si>
    <t>FAMO3</t>
  </si>
  <si>
    <t>RALA2</t>
  </si>
  <si>
    <t>PORA2</t>
  </si>
  <si>
    <t>XYAR3</t>
  </si>
  <si>
    <t>FAMO</t>
  </si>
  <si>
    <t>PORA</t>
  </si>
  <si>
    <t>XYAR</t>
  </si>
  <si>
    <t>STPO</t>
  </si>
  <si>
    <t>BYLA</t>
  </si>
  <si>
    <t>SYRE</t>
  </si>
  <si>
    <t>Anonna cacans</t>
  </si>
  <si>
    <t>Pouteria ramiflora</t>
  </si>
  <si>
    <t>Xylopia aromatica</t>
  </si>
  <si>
    <t>Byrsonima laxifolia</t>
  </si>
  <si>
    <t>Symplocos reflexa</t>
  </si>
  <si>
    <t>STPO4</t>
  </si>
  <si>
    <t>Cecropia pachystachya</t>
  </si>
  <si>
    <t>CEPA1</t>
  </si>
  <si>
    <t>CEPA2</t>
  </si>
  <si>
    <t>CEPA3</t>
  </si>
  <si>
    <t>CEPA4</t>
  </si>
  <si>
    <t>CEPA5</t>
  </si>
  <si>
    <t>CEPA</t>
  </si>
  <si>
    <t>DAFA4</t>
  </si>
  <si>
    <t>CRFL4</t>
  </si>
  <si>
    <t>CRFL5</t>
  </si>
  <si>
    <t>MISE4</t>
  </si>
  <si>
    <t>MISE5</t>
  </si>
  <si>
    <t>ERTO6</t>
  </si>
  <si>
    <t>DAFA5</t>
  </si>
  <si>
    <t>ERDE4</t>
  </si>
  <si>
    <t>TAAU5</t>
  </si>
  <si>
    <t>ERDE5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</si>
</sst>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16" fontId="0" fillId="0" borderId="0" xfId="0" applyNumberFormat="1"/>
    <xf numFmtId="14" fontId="0" fillId="0" borderId="0" xfId="0" applyNumberFormat="1"/>
    <xf numFmtId="2" fontId="0" fillId="0" borderId="0" xfId="0" applyNumberFormat="1"/>
    <xf numFmtId="3" fontId="0" fillId="0" borderId="0" xfId="0" applyNumberFormat="1"/>
    <xf numFmtId="0" fontId="0" fillId="0" borderId="0" xfId="0" applyNumberForma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04"/>
  <sheetViews>
    <sheetView tabSelected="1" topLeftCell="I1" workbookViewId="0">
      <pane ySplit="1" topLeftCell="A2" activePane="bottomLeft" state="frozen"/>
      <selection activeCell="B1" sqref="B1"/>
      <selection pane="bottomLeft" activeCell="N13" sqref="N13"/>
    </sheetView>
  </sheetViews>
  <sheetFormatPr defaultRowHeight="15" x14ac:dyDescent="0.25"/>
  <cols>
    <col min="2" max="3" width="18.85546875" customWidth="1"/>
    <col min="4" max="5" width="13.85546875" customWidth="1"/>
    <col min="6" max="6" width="30.140625" customWidth="1"/>
    <col min="7" max="7" width="10.5703125" customWidth="1"/>
    <col min="8" max="8" width="8" customWidth="1"/>
    <col min="9" max="9" width="18.7109375" customWidth="1"/>
    <col min="10" max="10" width="15" customWidth="1"/>
    <col min="11" max="11" width="12.7109375" customWidth="1"/>
    <col min="12" max="12" width="18.7109375" customWidth="1"/>
    <col min="13" max="13" width="15.42578125" customWidth="1"/>
    <col min="14" max="14" width="13.85546875" customWidth="1"/>
    <col min="15" max="15" width="22.28515625" customWidth="1"/>
    <col min="16" max="16" width="26.42578125" customWidth="1"/>
    <col min="17" max="17" width="24.7109375" customWidth="1"/>
    <col min="18" max="18" width="19.140625" customWidth="1"/>
    <col min="19" max="19" width="14" customWidth="1"/>
    <col min="20" max="20" width="15.5703125" customWidth="1"/>
    <col min="21" max="22" width="10" customWidth="1"/>
    <col min="23" max="23" width="26.140625" customWidth="1"/>
    <col min="24" max="24" width="22" customWidth="1"/>
    <col min="25" max="27" width="15" customWidth="1"/>
    <col min="28" max="28" width="17.140625" customWidth="1"/>
    <col min="29" max="29" width="89.5703125" bestFit="1" customWidth="1"/>
  </cols>
  <sheetData>
    <row r="1" spans="1:29" x14ac:dyDescent="0.25">
      <c r="A1" t="s">
        <v>951</v>
      </c>
      <c r="B1" t="s">
        <v>329</v>
      </c>
      <c r="C1" t="s">
        <v>1190</v>
      </c>
      <c r="D1" t="s">
        <v>0</v>
      </c>
      <c r="E1" t="s">
        <v>330</v>
      </c>
      <c r="F1" t="s">
        <v>1</v>
      </c>
      <c r="G1" t="s">
        <v>628</v>
      </c>
      <c r="H1" t="s">
        <v>190</v>
      </c>
      <c r="I1" t="s">
        <v>300</v>
      </c>
      <c r="J1" t="s">
        <v>2</v>
      </c>
      <c r="K1" t="s">
        <v>31</v>
      </c>
      <c r="L1" t="s">
        <v>193</v>
      </c>
      <c r="M1" t="s">
        <v>544</v>
      </c>
      <c r="N1" t="s">
        <v>139</v>
      </c>
      <c r="O1" t="s">
        <v>3</v>
      </c>
      <c r="P1" t="s">
        <v>949</v>
      </c>
      <c r="Q1" t="s">
        <v>950</v>
      </c>
      <c r="R1" t="s">
        <v>146</v>
      </c>
      <c r="S1" t="s">
        <v>194</v>
      </c>
      <c r="T1" t="s">
        <v>147</v>
      </c>
      <c r="U1" t="s">
        <v>7</v>
      </c>
      <c r="V1" t="s">
        <v>8</v>
      </c>
      <c r="W1" t="s">
        <v>392</v>
      </c>
      <c r="X1" t="s">
        <v>393</v>
      </c>
      <c r="Y1" t="s">
        <v>394</v>
      </c>
      <c r="Z1" t="s">
        <v>395</v>
      </c>
      <c r="AA1" t="s">
        <v>396</v>
      </c>
      <c r="AB1" t="s">
        <v>397</v>
      </c>
      <c r="AC1" t="s">
        <v>148</v>
      </c>
    </row>
    <row r="2" spans="1:29" x14ac:dyDescent="0.25">
      <c r="A2">
        <v>2</v>
      </c>
      <c r="B2" t="s">
        <v>143</v>
      </c>
      <c r="D2" t="s">
        <v>332</v>
      </c>
      <c r="E2">
        <v>1</v>
      </c>
      <c r="F2" t="s">
        <v>363</v>
      </c>
      <c r="H2" t="s">
        <v>191</v>
      </c>
      <c r="I2" t="s">
        <v>135</v>
      </c>
      <c r="J2">
        <v>7.2009999999999996</v>
      </c>
      <c r="K2">
        <v>4.0140000000000002</v>
      </c>
      <c r="L2" t="s">
        <v>135</v>
      </c>
      <c r="N2">
        <f>(J2-K2)/J2</f>
        <v>0.44257741980280513</v>
      </c>
      <c r="Q2">
        <f>P2 / (300 * 300) * 6.4516</f>
        <v>0</v>
      </c>
      <c r="U2" t="s">
        <v>135</v>
      </c>
      <c r="V2" t="s">
        <v>135</v>
      </c>
      <c r="Y2">
        <v>0.47</v>
      </c>
      <c r="Z2">
        <v>0.52</v>
      </c>
      <c r="AA2">
        <v>0.48</v>
      </c>
      <c r="AB2">
        <f>(Q2)/K2</f>
        <v>0</v>
      </c>
      <c r="AC2" t="s">
        <v>144</v>
      </c>
    </row>
    <row r="3" spans="1:29" x14ac:dyDescent="0.25">
      <c r="A3">
        <v>463</v>
      </c>
      <c r="B3" t="s">
        <v>1080</v>
      </c>
      <c r="D3" t="s">
        <v>1005</v>
      </c>
      <c r="E3">
        <v>4</v>
      </c>
      <c r="F3" t="s">
        <v>1006</v>
      </c>
      <c r="G3" s="2">
        <v>42951</v>
      </c>
      <c r="H3" t="s">
        <v>191</v>
      </c>
      <c r="I3" t="s">
        <v>135</v>
      </c>
      <c r="K3">
        <v>0.10100000000000001</v>
      </c>
      <c r="L3" t="s">
        <v>135</v>
      </c>
      <c r="M3" t="s">
        <v>135</v>
      </c>
      <c r="Q3">
        <f>P3 / (300 * 300) * 6.4516</f>
        <v>0</v>
      </c>
      <c r="S3" t="s">
        <v>1073</v>
      </c>
      <c r="T3" t="s">
        <v>135</v>
      </c>
      <c r="U3">
        <v>24.67</v>
      </c>
      <c r="V3">
        <v>11.51</v>
      </c>
      <c r="W3">
        <f>(((U3/2) * (V3/2)) * PI())</f>
        <v>223.01514367358322</v>
      </c>
      <c r="X3">
        <f>IF(ISNUMBER(T3), T3*W3, W3)</f>
        <v>223.01514367358322</v>
      </c>
      <c r="Y3">
        <v>0.43</v>
      </c>
      <c r="Z3">
        <v>0.52</v>
      </c>
      <c r="AA3">
        <v>0.51</v>
      </c>
      <c r="AB3">
        <f t="shared" ref="AB3:AB8" si="0">(Q3)/K3</f>
        <v>0</v>
      </c>
    </row>
    <row r="4" spans="1:29" x14ac:dyDescent="0.25">
      <c r="A4">
        <v>464</v>
      </c>
      <c r="B4" t="s">
        <v>1081</v>
      </c>
      <c r="D4" t="s">
        <v>1005</v>
      </c>
      <c r="E4">
        <v>5</v>
      </c>
      <c r="F4" t="s">
        <v>1006</v>
      </c>
      <c r="G4" s="2">
        <v>42951</v>
      </c>
      <c r="H4" t="s">
        <v>191</v>
      </c>
      <c r="I4" t="s">
        <v>135</v>
      </c>
      <c r="K4">
        <v>0.17899999999999999</v>
      </c>
      <c r="L4" t="s">
        <v>135</v>
      </c>
      <c r="M4" t="s">
        <v>135</v>
      </c>
      <c r="Q4">
        <f>P4 / (300 * 300) * 6.4516</f>
        <v>0</v>
      </c>
      <c r="S4" t="s">
        <v>1073</v>
      </c>
      <c r="T4" t="s">
        <v>135</v>
      </c>
      <c r="U4">
        <v>29.91</v>
      </c>
      <c r="V4">
        <v>15.96</v>
      </c>
      <c r="W4">
        <f>(((U4/2) * (V4/2)) * PI())</f>
        <v>374.92049471279415</v>
      </c>
      <c r="X4">
        <f>IF(ISNUMBER(T4), T4*W4, W4)</f>
        <v>374.92049471279415</v>
      </c>
      <c r="Y4">
        <v>0.49</v>
      </c>
      <c r="Z4">
        <v>0.49</v>
      </c>
      <c r="AA4">
        <v>0.6</v>
      </c>
      <c r="AB4">
        <f t="shared" si="0"/>
        <v>0</v>
      </c>
    </row>
    <row r="5" spans="1:29" x14ac:dyDescent="0.25">
      <c r="A5">
        <v>730</v>
      </c>
      <c r="B5" t="s">
        <v>1286</v>
      </c>
      <c r="D5" t="s">
        <v>1284</v>
      </c>
      <c r="E5">
        <v>1</v>
      </c>
      <c r="F5" t="s">
        <v>1697</v>
      </c>
      <c r="G5" s="3">
        <v>43634</v>
      </c>
      <c r="H5" t="s">
        <v>191</v>
      </c>
      <c r="K5">
        <v>1.9410000000000001</v>
      </c>
      <c r="Q5">
        <f>P5 / (300 * 300) * 6.4516</f>
        <v>0</v>
      </c>
      <c r="S5" t="s">
        <v>1073</v>
      </c>
      <c r="AB5">
        <f t="shared" si="0"/>
        <v>0</v>
      </c>
    </row>
    <row r="6" spans="1:29" x14ac:dyDescent="0.25">
      <c r="A6">
        <v>4</v>
      </c>
      <c r="B6" t="s">
        <v>10</v>
      </c>
      <c r="D6" t="s">
        <v>333</v>
      </c>
      <c r="E6">
        <v>1</v>
      </c>
      <c r="F6" t="s">
        <v>364</v>
      </c>
      <c r="H6" t="s">
        <v>191</v>
      </c>
      <c r="I6" t="s">
        <v>135</v>
      </c>
      <c r="J6">
        <v>11.975</v>
      </c>
      <c r="K6">
        <v>4.2770000000000001</v>
      </c>
      <c r="L6" t="s">
        <v>135</v>
      </c>
      <c r="N6">
        <f>(J6-K6)/J6</f>
        <v>0.64283924843423801</v>
      </c>
      <c r="O6" t="s">
        <v>48</v>
      </c>
      <c r="P6">
        <f>3046626</f>
        <v>3046626</v>
      </c>
      <c r="Q6">
        <f>P6 / (300 * 300) * 2.54</f>
        <v>85.982556000000002</v>
      </c>
      <c r="R6">
        <v>3</v>
      </c>
      <c r="S6" t="s">
        <v>201</v>
      </c>
      <c r="T6">
        <v>9</v>
      </c>
      <c r="U6" t="s">
        <v>135</v>
      </c>
      <c r="V6" t="s">
        <v>135</v>
      </c>
      <c r="W6">
        <f>Q6*100/T6</f>
        <v>955.3617333333334</v>
      </c>
      <c r="X6">
        <f>Q6*100/R6</f>
        <v>2866.0852</v>
      </c>
      <c r="Y6">
        <v>0.46</v>
      </c>
      <c r="Z6">
        <v>0.44</v>
      </c>
      <c r="AA6">
        <v>0.4</v>
      </c>
      <c r="AB6">
        <f t="shared" si="0"/>
        <v>20.103473462707505</v>
      </c>
      <c r="AC6" t="s">
        <v>988</v>
      </c>
    </row>
    <row r="7" spans="1:29" x14ac:dyDescent="0.25">
      <c r="A7">
        <v>3</v>
      </c>
      <c r="B7" t="s">
        <v>9</v>
      </c>
      <c r="D7" t="s">
        <v>333</v>
      </c>
      <c r="E7">
        <v>2</v>
      </c>
      <c r="F7" t="s">
        <v>364</v>
      </c>
      <c r="H7" t="s">
        <v>191</v>
      </c>
      <c r="I7" t="s">
        <v>135</v>
      </c>
      <c r="J7">
        <v>8.3770000000000007</v>
      </c>
      <c r="K7">
        <v>4.0880000000000001</v>
      </c>
      <c r="L7" t="s">
        <v>135</v>
      </c>
      <c r="N7">
        <f>(J7-K7)/J7</f>
        <v>0.5119971350125343</v>
      </c>
      <c r="O7" t="s">
        <v>57</v>
      </c>
      <c r="P7">
        <v>4227247</v>
      </c>
      <c r="Q7">
        <f>P7 / (300 * 300) * 2.54</f>
        <v>119.30230422222223</v>
      </c>
      <c r="R7">
        <v>2</v>
      </c>
      <c r="S7" t="s">
        <v>201</v>
      </c>
      <c r="T7">
        <v>10</v>
      </c>
      <c r="U7" t="s">
        <v>135</v>
      </c>
      <c r="V7" t="s">
        <v>135</v>
      </c>
      <c r="W7">
        <f>Q7*100/T7</f>
        <v>1193.0230422222223</v>
      </c>
      <c r="X7">
        <f>Q7*100/R7</f>
        <v>5965.1152111111114</v>
      </c>
      <c r="Y7">
        <v>0.39</v>
      </c>
      <c r="Z7">
        <v>0.39</v>
      </c>
      <c r="AA7">
        <v>0.41</v>
      </c>
      <c r="AB7">
        <f t="shared" si="0"/>
        <v>29.183538214829312</v>
      </c>
      <c r="AC7" t="s">
        <v>43</v>
      </c>
    </row>
    <row r="8" spans="1:29" x14ac:dyDescent="0.25">
      <c r="A8">
        <v>682</v>
      </c>
      <c r="B8" t="s">
        <v>1563</v>
      </c>
      <c r="C8" t="s">
        <v>108</v>
      </c>
      <c r="D8" t="s">
        <v>338</v>
      </c>
      <c r="F8" t="s">
        <v>1560</v>
      </c>
      <c r="G8" s="2">
        <v>43613</v>
      </c>
      <c r="H8" t="s">
        <v>191</v>
      </c>
      <c r="Q8">
        <f>P8 / (300 * 300) * 6.4516</f>
        <v>0</v>
      </c>
      <c r="AB8" t="e">
        <f t="shared" si="0"/>
        <v>#DIV/0!</v>
      </c>
      <c r="AC8" t="s">
        <v>1607</v>
      </c>
    </row>
    <row r="9" spans="1:29" x14ac:dyDescent="0.25">
      <c r="A9">
        <v>1</v>
      </c>
      <c r="B9" t="s">
        <v>4</v>
      </c>
      <c r="D9" t="s">
        <v>331</v>
      </c>
      <c r="E9">
        <v>1</v>
      </c>
      <c r="F9" t="s">
        <v>5</v>
      </c>
      <c r="H9" t="s">
        <v>191</v>
      </c>
      <c r="I9" t="s">
        <v>135</v>
      </c>
      <c r="J9">
        <v>2.1160000000000001</v>
      </c>
      <c r="K9">
        <v>0.91200000000000003</v>
      </c>
      <c r="L9" t="s">
        <v>135</v>
      </c>
      <c r="N9">
        <f>(J9-K9)/J9</f>
        <v>0.56899810964083186</v>
      </c>
      <c r="O9" t="s">
        <v>47</v>
      </c>
      <c r="P9">
        <v>1149010</v>
      </c>
      <c r="Q9">
        <f t="shared" ref="Q9:Q10" si="1">P9 / (300 * 300) * 6.4516</f>
        <v>82.366143511111105</v>
      </c>
      <c r="R9">
        <v>6</v>
      </c>
      <c r="S9" t="s">
        <v>195</v>
      </c>
      <c r="T9" t="s">
        <v>135</v>
      </c>
      <c r="U9" t="s">
        <v>135</v>
      </c>
      <c r="V9" t="s">
        <v>135</v>
      </c>
      <c r="W9">
        <f>Q9*100/R9</f>
        <v>1372.7690585185185</v>
      </c>
      <c r="X9">
        <f>W9</f>
        <v>1372.7690585185185</v>
      </c>
      <c r="Y9">
        <v>0.26</v>
      </c>
      <c r="Z9">
        <v>0.25</v>
      </c>
      <c r="AA9">
        <v>0.28999999999999998</v>
      </c>
      <c r="AB9">
        <f>(Q9)/K9</f>
        <v>90.313753849902525</v>
      </c>
    </row>
    <row r="10" spans="1:29" x14ac:dyDescent="0.25">
      <c r="A10">
        <v>5</v>
      </c>
      <c r="B10" t="s">
        <v>11</v>
      </c>
      <c r="D10" t="s">
        <v>334</v>
      </c>
      <c r="E10">
        <v>1</v>
      </c>
      <c r="F10" t="s">
        <v>365</v>
      </c>
      <c r="H10" t="s">
        <v>191</v>
      </c>
      <c r="I10" t="s">
        <v>135</v>
      </c>
      <c r="J10">
        <v>8.4730000000000008</v>
      </c>
      <c r="K10">
        <v>2.2599999999999998</v>
      </c>
      <c r="L10" t="s">
        <v>135</v>
      </c>
      <c r="N10">
        <f>(J10-K10)/J10</f>
        <v>0.73327038829222235</v>
      </c>
      <c r="O10" t="s">
        <v>49</v>
      </c>
      <c r="P10">
        <v>2973418</v>
      </c>
      <c r="Q10">
        <f t="shared" si="1"/>
        <v>213.14781743111109</v>
      </c>
      <c r="R10">
        <v>5</v>
      </c>
      <c r="S10" t="s">
        <v>195</v>
      </c>
      <c r="T10" t="s">
        <v>135</v>
      </c>
      <c r="U10" t="s">
        <v>135</v>
      </c>
      <c r="V10" t="s">
        <v>135</v>
      </c>
      <c r="W10">
        <f>Q10*100/R10</f>
        <v>4262.9563486222223</v>
      </c>
      <c r="X10">
        <f>W10</f>
        <v>4262.9563486222223</v>
      </c>
      <c r="Y10">
        <v>0.44</v>
      </c>
      <c r="Z10">
        <v>0.41</v>
      </c>
      <c r="AA10">
        <v>0.42</v>
      </c>
      <c r="AB10">
        <f>(Q10)/K10</f>
        <v>94.313193553588988</v>
      </c>
      <c r="AC10" t="s">
        <v>952</v>
      </c>
    </row>
    <row r="11" spans="1:29" x14ac:dyDescent="0.25">
      <c r="A11">
        <v>584</v>
      </c>
      <c r="B11" t="s">
        <v>1437</v>
      </c>
      <c r="C11" t="s">
        <v>972</v>
      </c>
      <c r="D11" t="s">
        <v>343</v>
      </c>
      <c r="E11">
        <v>4</v>
      </c>
      <c r="F11" t="s">
        <v>323</v>
      </c>
      <c r="G11" s="2">
        <v>43659</v>
      </c>
      <c r="H11" t="s">
        <v>191</v>
      </c>
      <c r="Q11">
        <f>P11 / (300 * 300) * 6.4516</f>
        <v>0</v>
      </c>
      <c r="AB11">
        <v>41.742683880000001</v>
      </c>
      <c r="AC11" t="s">
        <v>1607</v>
      </c>
    </row>
    <row r="12" spans="1:29" x14ac:dyDescent="0.25">
      <c r="A12">
        <v>28</v>
      </c>
      <c r="B12" t="s">
        <v>36</v>
      </c>
      <c r="D12" t="s">
        <v>348</v>
      </c>
      <c r="E12">
        <v>1</v>
      </c>
      <c r="F12" t="s">
        <v>328</v>
      </c>
      <c r="H12" t="s">
        <v>191</v>
      </c>
      <c r="I12" t="s">
        <v>135</v>
      </c>
      <c r="J12">
        <v>13.834</v>
      </c>
      <c r="K12">
        <v>6.86</v>
      </c>
      <c r="L12" t="s">
        <v>135</v>
      </c>
      <c r="N12">
        <f>(J12-K12)/J12</f>
        <v>0.50412028335983805</v>
      </c>
      <c r="P12">
        <v>4009355</v>
      </c>
      <c r="Q12">
        <f>P12 / (300 * 300) * 6.4516</f>
        <v>287.40838575555557</v>
      </c>
      <c r="R12">
        <v>3</v>
      </c>
      <c r="S12" t="s">
        <v>195</v>
      </c>
      <c r="T12" t="s">
        <v>135</v>
      </c>
      <c r="U12" t="s">
        <v>135</v>
      </c>
      <c r="V12" t="s">
        <v>135</v>
      </c>
      <c r="W12">
        <f>Q12*100/R12</f>
        <v>9580.2795251851858</v>
      </c>
      <c r="X12">
        <f>W12</f>
        <v>9580.2795251851858</v>
      </c>
      <c r="Y12">
        <v>0.48</v>
      </c>
      <c r="Z12">
        <v>0.41</v>
      </c>
      <c r="AA12">
        <v>0.52</v>
      </c>
      <c r="AB12">
        <f>(Q12)/K12</f>
        <v>41.89626614512472</v>
      </c>
    </row>
    <row r="13" spans="1:29" x14ac:dyDescent="0.25">
      <c r="A13">
        <v>9</v>
      </c>
      <c r="B13" t="s">
        <v>13</v>
      </c>
      <c r="D13" t="s">
        <v>336</v>
      </c>
      <c r="E13">
        <v>2</v>
      </c>
      <c r="F13" t="s">
        <v>59</v>
      </c>
      <c r="H13" t="s">
        <v>191</v>
      </c>
      <c r="I13" t="s">
        <v>135</v>
      </c>
      <c r="J13">
        <v>17.48</v>
      </c>
      <c r="K13">
        <v>8.6</v>
      </c>
      <c r="L13" t="s">
        <v>135</v>
      </c>
      <c r="N13">
        <f>(J13-K13)/J13</f>
        <v>0.50800915331807783</v>
      </c>
      <c r="O13" t="s">
        <v>58</v>
      </c>
      <c r="P13">
        <f xml:space="preserve"> 2287422 + 2826592</f>
        <v>5114014</v>
      </c>
      <c r="Q13">
        <f>P13 / (300 * 300) * 6.4516</f>
        <v>366.59525247111111</v>
      </c>
      <c r="R13">
        <v>3</v>
      </c>
      <c r="S13" t="s">
        <v>195</v>
      </c>
      <c r="T13" t="s">
        <v>135</v>
      </c>
      <c r="U13" t="s">
        <v>135</v>
      </c>
      <c r="V13" t="s">
        <v>135</v>
      </c>
      <c r="W13">
        <f>Q13/R13 * 100</f>
        <v>12219.841749037038</v>
      </c>
      <c r="X13">
        <f>W13</f>
        <v>12219.841749037038</v>
      </c>
      <c r="Y13">
        <v>0.7</v>
      </c>
      <c r="Z13">
        <v>0.67</v>
      </c>
      <c r="AA13">
        <v>0.52</v>
      </c>
      <c r="AB13">
        <f>(Q13)/K13</f>
        <v>42.627354938501291</v>
      </c>
      <c r="AC13" t="s">
        <v>41</v>
      </c>
    </row>
    <row r="14" spans="1:29" x14ac:dyDescent="0.25">
      <c r="A14">
        <v>64</v>
      </c>
      <c r="B14" t="s">
        <v>1209</v>
      </c>
      <c r="C14" t="s">
        <v>9</v>
      </c>
      <c r="D14" t="s">
        <v>333</v>
      </c>
      <c r="F14" t="s">
        <v>364</v>
      </c>
      <c r="H14" t="s">
        <v>191</v>
      </c>
      <c r="I14" t="s">
        <v>135</v>
      </c>
      <c r="J14">
        <v>11.45</v>
      </c>
      <c r="K14">
        <v>5.7830000000000004</v>
      </c>
      <c r="L14" t="s">
        <v>135</v>
      </c>
      <c r="N14">
        <f>(J14-K14)/J14</f>
        <v>0.49493449781659382</v>
      </c>
      <c r="P14">
        <v>3637993</v>
      </c>
      <c r="Q14">
        <f>P14 / (300 * 300) * 6.4516</f>
        <v>260.78750709777773</v>
      </c>
      <c r="R14">
        <v>3</v>
      </c>
      <c r="S14" t="s">
        <v>201</v>
      </c>
      <c r="T14">
        <v>9</v>
      </c>
      <c r="U14" t="s">
        <v>135</v>
      </c>
      <c r="V14" t="s">
        <v>135</v>
      </c>
      <c r="W14">
        <f>Q14*100/T14</f>
        <v>2897.638967753086</v>
      </c>
      <c r="X14">
        <f>Q14*100/R14</f>
        <v>8692.9169032592581</v>
      </c>
      <c r="Y14">
        <v>0.47</v>
      </c>
      <c r="Z14">
        <v>0.35</v>
      </c>
      <c r="AA14">
        <v>0.37</v>
      </c>
      <c r="AB14">
        <f>(Q14)/K14</f>
        <v>45.09553987511287</v>
      </c>
      <c r="AC14" t="s">
        <v>987</v>
      </c>
    </row>
    <row r="15" spans="1:29" x14ac:dyDescent="0.25">
      <c r="A15">
        <v>198</v>
      </c>
      <c r="B15" t="s">
        <v>493</v>
      </c>
      <c r="D15" t="s">
        <v>494</v>
      </c>
      <c r="E15">
        <v>3</v>
      </c>
      <c r="F15" t="s">
        <v>495</v>
      </c>
      <c r="H15" t="s">
        <v>192</v>
      </c>
      <c r="I15">
        <v>7.1</v>
      </c>
      <c r="K15">
        <v>0.11899999999999999</v>
      </c>
      <c r="L15">
        <v>14</v>
      </c>
      <c r="M15">
        <f>PI()*((I15/2)^2)/100 * L15</f>
        <v>5.5428689983611514</v>
      </c>
      <c r="Q15">
        <f>P15 / (300 * 300) * 6.4516</f>
        <v>0</v>
      </c>
      <c r="S15" t="s">
        <v>195</v>
      </c>
      <c r="T15" t="s">
        <v>135</v>
      </c>
      <c r="U15">
        <v>86.15</v>
      </c>
      <c r="V15">
        <v>36.4</v>
      </c>
      <c r="W15">
        <f>(((U15/2) * (V15/2)) * PI())</f>
        <v>2462.8986846715225</v>
      </c>
      <c r="X15">
        <f>IF(ISNUMBER(T15), T15*W15, W15)</f>
        <v>2462.8986846715225</v>
      </c>
      <c r="Y15">
        <v>0.36</v>
      </c>
      <c r="Z15">
        <v>0.35</v>
      </c>
      <c r="AA15">
        <v>0.35</v>
      </c>
      <c r="AB15">
        <f>M15/K15</f>
        <v>46.578731078665143</v>
      </c>
    </row>
    <row r="16" spans="1:29" x14ac:dyDescent="0.25">
      <c r="A16">
        <v>623</v>
      </c>
      <c r="B16" t="s">
        <v>1486</v>
      </c>
      <c r="C16" t="s">
        <v>23</v>
      </c>
      <c r="D16" t="s">
        <v>342</v>
      </c>
      <c r="E16">
        <v>1</v>
      </c>
      <c r="F16" t="s">
        <v>214</v>
      </c>
      <c r="G16" s="2">
        <v>43672</v>
      </c>
      <c r="H16" t="s">
        <v>191</v>
      </c>
      <c r="Q16">
        <f>P16 / (300 * 300) * 6.4516</f>
        <v>0</v>
      </c>
      <c r="AB16">
        <v>46.894586920000002</v>
      </c>
      <c r="AC16" t="s">
        <v>1607</v>
      </c>
    </row>
    <row r="17" spans="1:29" x14ac:dyDescent="0.25">
      <c r="A17">
        <v>27</v>
      </c>
      <c r="B17" t="s">
        <v>35</v>
      </c>
      <c r="D17" t="s">
        <v>341</v>
      </c>
      <c r="E17">
        <v>2</v>
      </c>
      <c r="F17" t="s">
        <v>391</v>
      </c>
      <c r="H17" t="s">
        <v>191</v>
      </c>
      <c r="I17" t="s">
        <v>135</v>
      </c>
      <c r="J17">
        <v>4.1159999999999997</v>
      </c>
      <c r="K17">
        <v>2.3620000000000001</v>
      </c>
      <c r="L17" t="s">
        <v>135</v>
      </c>
      <c r="N17">
        <f>(J17-K17)/J17</f>
        <v>0.42614188532555874</v>
      </c>
      <c r="P17">
        <v>1584677</v>
      </c>
      <c r="Q17">
        <f>P17 / (300 * 300) * 6.4516</f>
        <v>113.59669036888889</v>
      </c>
      <c r="R17">
        <v>5</v>
      </c>
      <c r="S17" t="s">
        <v>195</v>
      </c>
      <c r="T17" t="s">
        <v>135</v>
      </c>
      <c r="U17" t="s">
        <v>135</v>
      </c>
      <c r="V17" t="s">
        <v>135</v>
      </c>
      <c r="W17">
        <f>Q17 * 100 / R17</f>
        <v>2271.9338073777776</v>
      </c>
      <c r="X17">
        <f>W17</f>
        <v>2271.9338073777776</v>
      </c>
      <c r="Y17">
        <v>0.32</v>
      </c>
      <c r="Z17">
        <v>0.31</v>
      </c>
      <c r="AA17">
        <v>0.4</v>
      </c>
      <c r="AB17">
        <f>(Q17)/K17</f>
        <v>48.093433687082509</v>
      </c>
    </row>
    <row r="18" spans="1:29" x14ac:dyDescent="0.25">
      <c r="A18">
        <v>749</v>
      </c>
      <c r="B18" t="s">
        <v>1708</v>
      </c>
      <c r="D18" t="s">
        <v>1269</v>
      </c>
      <c r="E18">
        <v>4</v>
      </c>
      <c r="F18" t="s">
        <v>1270</v>
      </c>
      <c r="G18" s="3">
        <v>43643</v>
      </c>
      <c r="H18" t="s">
        <v>191</v>
      </c>
      <c r="K18">
        <v>5.9009999999999998</v>
      </c>
      <c r="P18">
        <v>4006067</v>
      </c>
      <c r="Q18">
        <f>P18 / (300 * 300) * 6.4516</f>
        <v>287.17268730222224</v>
      </c>
      <c r="S18" t="s">
        <v>1721</v>
      </c>
      <c r="T18">
        <v>5</v>
      </c>
      <c r="Y18">
        <v>0.46</v>
      </c>
      <c r="Z18">
        <v>0.45</v>
      </c>
      <c r="AA18">
        <v>0.44</v>
      </c>
      <c r="AB18">
        <f>Q18/K18</f>
        <v>48.665088510798554</v>
      </c>
    </row>
    <row r="19" spans="1:29" x14ac:dyDescent="0.25">
      <c r="A19">
        <v>16</v>
      </c>
      <c r="B19" t="s">
        <v>22</v>
      </c>
      <c r="D19" t="s">
        <v>341</v>
      </c>
      <c r="E19">
        <v>1</v>
      </c>
      <c r="F19" t="s">
        <v>391</v>
      </c>
      <c r="H19" t="s">
        <v>191</v>
      </c>
      <c r="I19" t="s">
        <v>135</v>
      </c>
      <c r="J19">
        <v>5.9320000000000004</v>
      </c>
      <c r="K19">
        <v>3.1989999999999998</v>
      </c>
      <c r="L19" t="s">
        <v>135</v>
      </c>
      <c r="N19">
        <f>(J19-K19)/J19</f>
        <v>0.460721510451787</v>
      </c>
      <c r="P19">
        <v>2208158</v>
      </c>
      <c r="Q19">
        <f>P19 / (300 * 300) * 6.4516</f>
        <v>158.29057947555555</v>
      </c>
      <c r="R19">
        <v>5</v>
      </c>
      <c r="S19" t="s">
        <v>195</v>
      </c>
      <c r="T19" t="s">
        <v>135</v>
      </c>
      <c r="U19" t="s">
        <v>135</v>
      </c>
      <c r="V19" t="s">
        <v>135</v>
      </c>
      <c r="W19">
        <f>Q19 * 100 /R19</f>
        <v>3165.8115895111109</v>
      </c>
      <c r="X19">
        <f>W19</f>
        <v>3165.8115895111109</v>
      </c>
      <c r="Y19">
        <v>0.33</v>
      </c>
      <c r="Z19">
        <v>0.28000000000000003</v>
      </c>
      <c r="AA19">
        <v>0.32</v>
      </c>
      <c r="AB19">
        <f>(Q19)/K19</f>
        <v>49.481268982668198</v>
      </c>
    </row>
    <row r="20" spans="1:29" x14ac:dyDescent="0.25">
      <c r="A20">
        <v>625</v>
      </c>
      <c r="B20" t="s">
        <v>1488</v>
      </c>
      <c r="C20" t="s">
        <v>1210</v>
      </c>
      <c r="D20" t="s">
        <v>342</v>
      </c>
      <c r="E20">
        <v>3</v>
      </c>
      <c r="F20" t="s">
        <v>214</v>
      </c>
      <c r="G20" s="2">
        <v>43672</v>
      </c>
      <c r="H20" t="s">
        <v>191</v>
      </c>
      <c r="Q20">
        <f>P20 / (300 * 300) * 6.4516</f>
        <v>0</v>
      </c>
      <c r="AB20">
        <v>49.510841990000003</v>
      </c>
      <c r="AC20" t="s">
        <v>1607</v>
      </c>
    </row>
    <row r="21" spans="1:29" x14ac:dyDescent="0.25">
      <c r="A21">
        <v>273</v>
      </c>
      <c r="B21" t="s">
        <v>737</v>
      </c>
      <c r="D21" t="s">
        <v>341</v>
      </c>
      <c r="E21">
        <v>4</v>
      </c>
      <c r="F21" t="s">
        <v>391</v>
      </c>
      <c r="G21" s="2">
        <v>42921</v>
      </c>
      <c r="H21" t="s">
        <v>192</v>
      </c>
      <c r="I21">
        <v>9.6999999999999993</v>
      </c>
      <c r="K21">
        <v>0.13300000000000001</v>
      </c>
      <c r="L21">
        <v>9</v>
      </c>
      <c r="M21">
        <f>PI()*((I21/2)^2)/100 * L21</f>
        <v>6.6508301874659308</v>
      </c>
      <c r="Q21">
        <f>P21 / (300 * 300) * 6.4516</f>
        <v>0</v>
      </c>
      <c r="S21" t="s">
        <v>195</v>
      </c>
      <c r="T21" t="s">
        <v>135</v>
      </c>
      <c r="U21">
        <v>108.65</v>
      </c>
      <c r="V21">
        <v>34.18</v>
      </c>
      <c r="W21">
        <f>(((U21/2) * (V21/2)) * PI())</f>
        <v>2916.6993872880776</v>
      </c>
      <c r="X21">
        <f>IF(ISNUMBER(T21), T21*W21, W21)</f>
        <v>2916.6993872880776</v>
      </c>
      <c r="Y21">
        <v>0.33</v>
      </c>
      <c r="Z21">
        <v>0.35</v>
      </c>
      <c r="AA21">
        <v>0.34</v>
      </c>
      <c r="AB21">
        <f>M21/K21</f>
        <v>50.006242011022032</v>
      </c>
    </row>
    <row r="22" spans="1:29" x14ac:dyDescent="0.25">
      <c r="A22">
        <v>657</v>
      </c>
      <c r="B22" t="s">
        <v>1527</v>
      </c>
      <c r="C22" t="s">
        <v>1243</v>
      </c>
      <c r="D22" t="s">
        <v>383</v>
      </c>
      <c r="E22">
        <v>2</v>
      </c>
      <c r="F22" t="s">
        <v>249</v>
      </c>
      <c r="G22" s="2">
        <v>43646</v>
      </c>
      <c r="H22" t="s">
        <v>191</v>
      </c>
      <c r="Q22">
        <f>P22 / (300 * 300) * 6.4516</f>
        <v>0</v>
      </c>
      <c r="AB22">
        <v>50.34429592</v>
      </c>
      <c r="AC22" t="s">
        <v>1607</v>
      </c>
    </row>
    <row r="23" spans="1:29" x14ac:dyDescent="0.25">
      <c r="A23">
        <v>626</v>
      </c>
      <c r="B23" t="s">
        <v>1489</v>
      </c>
      <c r="C23" t="s">
        <v>1211</v>
      </c>
      <c r="D23" t="s">
        <v>342</v>
      </c>
      <c r="E23">
        <v>4</v>
      </c>
      <c r="F23" t="s">
        <v>214</v>
      </c>
      <c r="G23" s="2">
        <v>43672</v>
      </c>
      <c r="H23" t="s">
        <v>191</v>
      </c>
      <c r="Q23">
        <f>P23 / (300 * 300) * 6.4516</f>
        <v>0</v>
      </c>
      <c r="AB23">
        <v>50.785736819999997</v>
      </c>
      <c r="AC23" t="s">
        <v>1607</v>
      </c>
    </row>
    <row r="24" spans="1:29" x14ac:dyDescent="0.25">
      <c r="A24">
        <v>282</v>
      </c>
      <c r="B24" t="s">
        <v>750</v>
      </c>
      <c r="D24" t="s">
        <v>514</v>
      </c>
      <c r="E24">
        <v>3</v>
      </c>
      <c r="F24" t="s">
        <v>751</v>
      </c>
      <c r="G24" s="2">
        <v>42923</v>
      </c>
      <c r="H24" t="s">
        <v>192</v>
      </c>
      <c r="I24">
        <v>9.6999999999999993</v>
      </c>
      <c r="J24" t="s">
        <v>135</v>
      </c>
      <c r="K24">
        <v>0.14199999999999999</v>
      </c>
      <c r="L24">
        <v>10</v>
      </c>
      <c r="M24">
        <f>PI()*((I24/2)^2)/100 * L24</f>
        <v>7.38981131940659</v>
      </c>
      <c r="Q24">
        <f>P24 / (300 * 300) * 6.4516</f>
        <v>0</v>
      </c>
      <c r="S24" t="s">
        <v>201</v>
      </c>
      <c r="T24">
        <v>6</v>
      </c>
      <c r="U24">
        <v>57.11</v>
      </c>
      <c r="V24">
        <v>37.14</v>
      </c>
      <c r="W24">
        <f>(((U24/2) * (V24/2)) * PI())</f>
        <v>1665.8808696058741</v>
      </c>
      <c r="X24">
        <f>IF(ISNUMBER(T24), T24*W24, W24)</f>
        <v>9995.2852176352444</v>
      </c>
      <c r="Y24">
        <v>0.53</v>
      </c>
      <c r="Z24">
        <v>0.43</v>
      </c>
      <c r="AA24">
        <v>0.46</v>
      </c>
      <c r="AB24">
        <f>M24/K24</f>
        <v>52.040924784553454</v>
      </c>
    </row>
    <row r="25" spans="1:29" x14ac:dyDescent="0.25">
      <c r="A25">
        <v>627</v>
      </c>
      <c r="B25" t="s">
        <v>1490</v>
      </c>
      <c r="C25" t="s">
        <v>456</v>
      </c>
      <c r="D25" t="s">
        <v>342</v>
      </c>
      <c r="E25">
        <v>5</v>
      </c>
      <c r="F25" t="s">
        <v>214</v>
      </c>
      <c r="G25" s="2">
        <v>43672</v>
      </c>
      <c r="H25" t="s">
        <v>191</v>
      </c>
      <c r="Q25">
        <f>P25 / (300 * 300) * 6.4516</f>
        <v>0</v>
      </c>
      <c r="AB25">
        <v>52.10046947</v>
      </c>
      <c r="AC25" t="s">
        <v>1607</v>
      </c>
    </row>
    <row r="26" spans="1:29" x14ac:dyDescent="0.25">
      <c r="A26">
        <v>199</v>
      </c>
      <c r="B26" t="s">
        <v>496</v>
      </c>
      <c r="D26" t="s">
        <v>494</v>
      </c>
      <c r="E26">
        <v>4</v>
      </c>
      <c r="F26" t="s">
        <v>495</v>
      </c>
      <c r="H26" t="s">
        <v>192</v>
      </c>
      <c r="I26">
        <v>9.6999999999999993</v>
      </c>
      <c r="K26">
        <v>0.14000000000000001</v>
      </c>
      <c r="L26">
        <v>10</v>
      </c>
      <c r="M26">
        <f>PI()*((I26/2)^2)/100 * L26</f>
        <v>7.38981131940659</v>
      </c>
      <c r="Q26">
        <f>P26 / (300 * 300) * 6.4516</f>
        <v>0</v>
      </c>
      <c r="S26" t="s">
        <v>195</v>
      </c>
      <c r="T26" t="s">
        <v>135</v>
      </c>
      <c r="U26">
        <v>135.63</v>
      </c>
      <c r="V26">
        <v>77.36</v>
      </c>
      <c r="W26">
        <f>(((U26/2) * (V26/2)) * PI())</f>
        <v>8240.6620524674581</v>
      </c>
      <c r="X26">
        <f>IF(ISNUMBER(T26), T26*W26, W26)</f>
        <v>8240.6620524674581</v>
      </c>
      <c r="Y26">
        <v>0.38</v>
      </c>
      <c r="Z26">
        <v>0.38</v>
      </c>
      <c r="AA26">
        <v>0.39</v>
      </c>
      <c r="AB26">
        <f>M26/K26</f>
        <v>52.78436656718992</v>
      </c>
    </row>
    <row r="27" spans="1:29" x14ac:dyDescent="0.25">
      <c r="A27">
        <v>128</v>
      </c>
      <c r="B27" t="s">
        <v>286</v>
      </c>
      <c r="D27" t="s">
        <v>378</v>
      </c>
      <c r="E27">
        <v>2</v>
      </c>
      <c r="F27" t="s">
        <v>227</v>
      </c>
      <c r="H27" t="s">
        <v>192</v>
      </c>
      <c r="I27">
        <v>7.1</v>
      </c>
      <c r="J27" t="s">
        <v>135</v>
      </c>
      <c r="K27">
        <v>0.09</v>
      </c>
      <c r="L27">
        <v>12</v>
      </c>
      <c r="M27">
        <f>PI()*((I27/2)^2)/100 * L27</f>
        <v>4.7510305700238442</v>
      </c>
      <c r="N27" t="s">
        <v>135</v>
      </c>
      <c r="O27" t="s">
        <v>135</v>
      </c>
      <c r="Q27">
        <f>P27 / (300 * 300) * 6.4516</f>
        <v>0</v>
      </c>
      <c r="R27" t="s">
        <v>135</v>
      </c>
      <c r="S27" t="s">
        <v>195</v>
      </c>
      <c r="T27" t="s">
        <v>135</v>
      </c>
      <c r="U27">
        <v>40.75</v>
      </c>
      <c r="V27">
        <v>21.14</v>
      </c>
      <c r="W27">
        <f>(((U27/2) * (V27/2)) * PI())</f>
        <v>676.58517484954882</v>
      </c>
      <c r="X27">
        <f>IF(ISNUMBER(T27), T27*W27, W27)</f>
        <v>676.58517484954882</v>
      </c>
      <c r="Y27">
        <v>0.34</v>
      </c>
      <c r="Z27">
        <v>0.35</v>
      </c>
      <c r="AA27">
        <v>0.35</v>
      </c>
      <c r="AB27">
        <f>M27/K27</f>
        <v>52.789228555820493</v>
      </c>
    </row>
    <row r="28" spans="1:29" x14ac:dyDescent="0.25">
      <c r="A28">
        <v>172</v>
      </c>
      <c r="B28" t="s">
        <v>437</v>
      </c>
      <c r="D28" t="s">
        <v>358</v>
      </c>
      <c r="E28">
        <v>5</v>
      </c>
      <c r="F28" t="s">
        <v>257</v>
      </c>
      <c r="H28" t="s">
        <v>192</v>
      </c>
      <c r="I28">
        <v>7.1</v>
      </c>
      <c r="K28">
        <v>0.09</v>
      </c>
      <c r="L28">
        <v>12</v>
      </c>
      <c r="M28">
        <f>PI()*((I28/2)^2)/100 * L28</f>
        <v>4.7510305700238442</v>
      </c>
      <c r="Q28">
        <f>P28 / (300 * 300) * 6.4516</f>
        <v>0</v>
      </c>
      <c r="S28" t="s">
        <v>195</v>
      </c>
      <c r="T28" t="s">
        <v>135</v>
      </c>
      <c r="U28">
        <v>41.6</v>
      </c>
      <c r="V28">
        <v>8.17</v>
      </c>
      <c r="W28">
        <f>(((U28/2) * (V28/2)) * PI())</f>
        <v>266.93484459021755</v>
      </c>
      <c r="X28">
        <f>IF(ISNUMBER(T28), T28*W28, W28)</f>
        <v>266.93484459021755</v>
      </c>
      <c r="Y28">
        <v>0.27</v>
      </c>
      <c r="Z28">
        <v>0.28999999999999998</v>
      </c>
      <c r="AA28">
        <v>0.28000000000000003</v>
      </c>
      <c r="AB28">
        <f>M28/K28</f>
        <v>52.789228555820493</v>
      </c>
    </row>
    <row r="29" spans="1:29" x14ac:dyDescent="0.25">
      <c r="A29">
        <v>87</v>
      </c>
      <c r="B29" t="s">
        <v>125</v>
      </c>
      <c r="D29" t="s">
        <v>336</v>
      </c>
      <c r="E29">
        <v>3</v>
      </c>
      <c r="F29" t="s">
        <v>59</v>
      </c>
      <c r="H29" t="s">
        <v>191</v>
      </c>
      <c r="I29" t="s">
        <v>135</v>
      </c>
      <c r="J29">
        <v>20.841000000000001</v>
      </c>
      <c r="K29">
        <v>8.7219999999999995</v>
      </c>
      <c r="L29" t="s">
        <v>135</v>
      </c>
      <c r="N29">
        <f>(J29-K29)/J29</f>
        <v>0.58149800873278634</v>
      </c>
      <c r="O29" t="s">
        <v>177</v>
      </c>
      <c r="P29">
        <f xml:space="preserve"> 4072709 + 2374199</f>
        <v>6446908</v>
      </c>
      <c r="Q29">
        <f>P29 / (300 * 300) * 6.4516</f>
        <v>462.1430183644444</v>
      </c>
      <c r="R29">
        <v>4</v>
      </c>
      <c r="T29" t="s">
        <v>135</v>
      </c>
      <c r="U29" t="s">
        <v>135</v>
      </c>
      <c r="V29" t="s">
        <v>135</v>
      </c>
      <c r="W29">
        <f>(Q29 *100)/R29</f>
        <v>11553.575459111111</v>
      </c>
      <c r="X29">
        <f>W29</f>
        <v>11553.575459111111</v>
      </c>
      <c r="Y29">
        <v>0.49</v>
      </c>
      <c r="Z29">
        <v>0.48</v>
      </c>
      <c r="AA29">
        <v>0.47</v>
      </c>
      <c r="AB29">
        <f>(Q29)/K29</f>
        <v>52.985899835409818</v>
      </c>
      <c r="AC29" t="s">
        <v>126</v>
      </c>
    </row>
    <row r="30" spans="1:29" x14ac:dyDescent="0.25">
      <c r="A30">
        <v>53</v>
      </c>
      <c r="B30" t="s">
        <v>88</v>
      </c>
      <c r="D30" t="s">
        <v>341</v>
      </c>
      <c r="E30">
        <v>3</v>
      </c>
      <c r="F30" t="s">
        <v>391</v>
      </c>
      <c r="H30" t="s">
        <v>191</v>
      </c>
      <c r="I30" t="s">
        <v>135</v>
      </c>
      <c r="J30">
        <v>6.3680000000000003</v>
      </c>
      <c r="K30">
        <v>3.09</v>
      </c>
      <c r="L30" t="s">
        <v>135</v>
      </c>
      <c r="N30">
        <f>(J30-K30)/J30</f>
        <v>0.51476130653266339</v>
      </c>
      <c r="O30" t="s">
        <v>175</v>
      </c>
      <c r="P30">
        <v>2296294</v>
      </c>
      <c r="Q30">
        <f>P30 / (300 * 300) * 6.4516</f>
        <v>164.60855967111112</v>
      </c>
      <c r="R30">
        <v>5</v>
      </c>
      <c r="T30" t="s">
        <v>135</v>
      </c>
      <c r="U30" t="s">
        <v>135</v>
      </c>
      <c r="V30" t="s">
        <v>135</v>
      </c>
      <c r="W30">
        <f>Q30 * 100/5</f>
        <v>3292.1711934222221</v>
      </c>
      <c r="X30">
        <f>W30</f>
        <v>3292.1711934222221</v>
      </c>
      <c r="Y30">
        <v>0.35</v>
      </c>
      <c r="Z30">
        <v>0.33</v>
      </c>
      <c r="AA30">
        <v>0.31</v>
      </c>
      <c r="AB30">
        <f>(Q30)/K30</f>
        <v>53.271378534340172</v>
      </c>
    </row>
    <row r="31" spans="1:29" x14ac:dyDescent="0.25">
      <c r="A31">
        <v>71</v>
      </c>
      <c r="B31" t="s">
        <v>107</v>
      </c>
      <c r="D31" t="s">
        <v>373</v>
      </c>
      <c r="E31">
        <v>1</v>
      </c>
      <c r="F31" t="s">
        <v>204</v>
      </c>
      <c r="H31" t="s">
        <v>191</v>
      </c>
      <c r="I31" t="s">
        <v>135</v>
      </c>
      <c r="J31">
        <v>1.8660000000000001</v>
      </c>
      <c r="K31">
        <v>0.97</v>
      </c>
      <c r="L31" t="s">
        <v>135</v>
      </c>
      <c r="N31">
        <f>(J31-K31)/J31</f>
        <v>0.48017148981779212</v>
      </c>
      <c r="O31" t="s">
        <v>154</v>
      </c>
      <c r="P31">
        <v>721954</v>
      </c>
      <c r="Q31">
        <f>P31 / (300 * 300) * 6.4516</f>
        <v>51.752871404444448</v>
      </c>
      <c r="R31">
        <v>5</v>
      </c>
      <c r="S31" t="s">
        <v>195</v>
      </c>
      <c r="T31" t="s">
        <v>135</v>
      </c>
      <c r="U31" t="s">
        <v>135</v>
      </c>
      <c r="V31" t="s">
        <v>135</v>
      </c>
      <c r="W31">
        <f>(Q31/R31) * 100</f>
        <v>1035.0574280888889</v>
      </c>
      <c r="X31">
        <f>W31</f>
        <v>1035.0574280888889</v>
      </c>
      <c r="Y31">
        <v>0.35</v>
      </c>
      <c r="Z31">
        <v>0.39</v>
      </c>
      <c r="AA31">
        <v>0.33</v>
      </c>
      <c r="AB31">
        <f>(Q31)/K31</f>
        <v>53.353475674685001</v>
      </c>
    </row>
    <row r="32" spans="1:29" x14ac:dyDescent="0.25">
      <c r="A32">
        <v>665</v>
      </c>
      <c r="B32" t="s">
        <v>1539</v>
      </c>
      <c r="C32" t="s">
        <v>1540</v>
      </c>
      <c r="D32" t="s">
        <v>381</v>
      </c>
      <c r="F32" t="s">
        <v>232</v>
      </c>
      <c r="G32" s="2">
        <v>43673</v>
      </c>
      <c r="H32" t="s">
        <v>191</v>
      </c>
      <c r="Q32">
        <f>P32 / (300 * 300) * 6.4516</f>
        <v>0</v>
      </c>
      <c r="AB32">
        <v>53.398547720000003</v>
      </c>
      <c r="AC32" t="s">
        <v>1607</v>
      </c>
    </row>
    <row r="33" spans="1:29" x14ac:dyDescent="0.25">
      <c r="A33">
        <v>19</v>
      </c>
      <c r="B33" t="s">
        <v>25</v>
      </c>
      <c r="D33" t="s">
        <v>343</v>
      </c>
      <c r="E33">
        <v>1</v>
      </c>
      <c r="F33" t="s">
        <v>323</v>
      </c>
      <c r="H33" t="s">
        <v>191</v>
      </c>
      <c r="I33" t="s">
        <v>135</v>
      </c>
      <c r="J33">
        <v>7.9829999999999997</v>
      </c>
      <c r="K33">
        <v>4.2670000000000003</v>
      </c>
      <c r="L33" t="s">
        <v>135</v>
      </c>
      <c r="N33">
        <f>(J33-K33)/J33</f>
        <v>0.46548916447450828</v>
      </c>
      <c r="P33">
        <v>3180748</v>
      </c>
      <c r="Q33">
        <f>P33 / (300 * 300) * 6.4516</f>
        <v>228.0101532977778</v>
      </c>
      <c r="R33">
        <v>5</v>
      </c>
      <c r="S33" t="s">
        <v>195</v>
      </c>
      <c r="T33" t="s">
        <v>135</v>
      </c>
      <c r="U33" t="s">
        <v>135</v>
      </c>
      <c r="V33" t="s">
        <v>135</v>
      </c>
      <c r="W33">
        <f>Q33*100/5</f>
        <v>4560.2030659555558</v>
      </c>
      <c r="X33">
        <f>W33</f>
        <v>4560.2030659555558</v>
      </c>
      <c r="Y33">
        <v>0.47</v>
      </c>
      <c r="Z33">
        <v>0.5</v>
      </c>
      <c r="AA33">
        <v>0.51</v>
      </c>
      <c r="AB33">
        <f>(Q33)/K33</f>
        <v>53.435705014712397</v>
      </c>
    </row>
    <row r="34" spans="1:29" x14ac:dyDescent="0.25">
      <c r="A34">
        <v>272</v>
      </c>
      <c r="B34" t="s">
        <v>736</v>
      </c>
      <c r="D34" t="s">
        <v>348</v>
      </c>
      <c r="E34">
        <v>4</v>
      </c>
      <c r="F34" t="s">
        <v>328</v>
      </c>
      <c r="G34" s="2">
        <v>42921</v>
      </c>
      <c r="H34" t="s">
        <v>192</v>
      </c>
      <c r="I34">
        <v>7.1</v>
      </c>
      <c r="K34">
        <v>7.3999999999999996E-2</v>
      </c>
      <c r="L34">
        <v>10</v>
      </c>
      <c r="M34">
        <f>PI()*((I34/2)^2)/100 * L34</f>
        <v>3.9591921416865365</v>
      </c>
      <c r="Q34">
        <f>P34 / (300 * 300) * 6.4516</f>
        <v>0</v>
      </c>
      <c r="S34" t="s">
        <v>195</v>
      </c>
      <c r="T34" t="s">
        <v>135</v>
      </c>
      <c r="U34">
        <v>124.91</v>
      </c>
      <c r="V34">
        <v>55.17</v>
      </c>
      <c r="W34">
        <f>(((U34/2) * (V34/2)) * PI())</f>
        <v>5412.4023468289352</v>
      </c>
      <c r="X34">
        <f>IF(ISNUMBER(T34), T34*W34, W34)</f>
        <v>5412.4023468289352</v>
      </c>
      <c r="Y34">
        <v>0.41</v>
      </c>
      <c r="Z34">
        <v>0.32</v>
      </c>
      <c r="AA34">
        <v>0.4</v>
      </c>
      <c r="AB34">
        <f>M34/K34</f>
        <v>53.502596509277524</v>
      </c>
    </row>
    <row r="35" spans="1:29" x14ac:dyDescent="0.25">
      <c r="A35">
        <v>197</v>
      </c>
      <c r="B35" t="s">
        <v>490</v>
      </c>
      <c r="D35" t="s">
        <v>491</v>
      </c>
      <c r="E35">
        <v>2</v>
      </c>
      <c r="F35" t="s">
        <v>492</v>
      </c>
      <c r="H35" t="s">
        <v>192</v>
      </c>
      <c r="I35">
        <v>9.6999999999999993</v>
      </c>
      <c r="K35">
        <v>0.13800000000000001</v>
      </c>
      <c r="L35">
        <v>10</v>
      </c>
      <c r="M35">
        <f>PI()*((I35/2)^2)/100 * L35</f>
        <v>7.38981131940659</v>
      </c>
      <c r="Q35">
        <f>P35 / (300 * 300) * 6.4516</f>
        <v>0</v>
      </c>
      <c r="S35" t="s">
        <v>195</v>
      </c>
      <c r="T35" t="s">
        <v>135</v>
      </c>
      <c r="U35">
        <v>203.2</v>
      </c>
      <c r="V35">
        <v>88.1</v>
      </c>
      <c r="W35">
        <f>(((U35/2) * (V35/2)) * PI())</f>
        <v>14060.135089288045</v>
      </c>
      <c r="X35">
        <f>IF(ISNUMBER(T35), T35*W35, W35)</f>
        <v>14060.135089288045</v>
      </c>
      <c r="Y35">
        <v>0.36</v>
      </c>
      <c r="Z35">
        <v>0.4</v>
      </c>
      <c r="AA35">
        <v>0.35</v>
      </c>
      <c r="AB35">
        <f>M35/K35</f>
        <v>53.549357387004271</v>
      </c>
    </row>
    <row r="36" spans="1:29" x14ac:dyDescent="0.25">
      <c r="A36">
        <v>581</v>
      </c>
      <c r="B36" t="s">
        <v>1433</v>
      </c>
      <c r="C36" t="s">
        <v>25</v>
      </c>
      <c r="D36" t="s">
        <v>343</v>
      </c>
      <c r="E36">
        <v>1</v>
      </c>
      <c r="F36" t="s">
        <v>323</v>
      </c>
      <c r="G36" s="2">
        <v>43658</v>
      </c>
      <c r="H36" t="s">
        <v>191</v>
      </c>
      <c r="Q36">
        <f>P36 / (300 * 300) * 6.4516</f>
        <v>0</v>
      </c>
      <c r="AB36">
        <v>53.599187729999997</v>
      </c>
      <c r="AC36" t="s">
        <v>1607</v>
      </c>
    </row>
    <row r="37" spans="1:29" x14ac:dyDescent="0.25">
      <c r="A37">
        <v>171</v>
      </c>
      <c r="B37" t="s">
        <v>436</v>
      </c>
      <c r="D37" t="s">
        <v>390</v>
      </c>
      <c r="E37">
        <v>4</v>
      </c>
      <c r="F37" t="s">
        <v>298</v>
      </c>
      <c r="H37" t="s">
        <v>192</v>
      </c>
      <c r="I37">
        <v>7.1</v>
      </c>
      <c r="K37">
        <v>9.6000000000000002E-2</v>
      </c>
      <c r="L37">
        <v>13</v>
      </c>
      <c r="M37">
        <f>PI()*((I37/2)^2)/100 * L37</f>
        <v>5.1469497841924978</v>
      </c>
      <c r="Q37">
        <f>P37 / (300 * 300) * 6.4516</f>
        <v>0</v>
      </c>
      <c r="S37" t="s">
        <v>195</v>
      </c>
      <c r="T37" t="s">
        <v>135</v>
      </c>
      <c r="U37">
        <v>67.650000000000006</v>
      </c>
      <c r="V37">
        <v>49.94</v>
      </c>
      <c r="W37">
        <f>(((U37/2) * (V37/2)) * PI())</f>
        <v>2653.4213565466389</v>
      </c>
      <c r="X37">
        <f>IF(ISNUMBER(T37), T37*W37, W37)</f>
        <v>2653.4213565466389</v>
      </c>
      <c r="Y37">
        <v>0.56000000000000005</v>
      </c>
      <c r="Z37">
        <v>0.45</v>
      </c>
      <c r="AA37">
        <v>0.55000000000000004</v>
      </c>
      <c r="AB37">
        <f>M37/K37</f>
        <v>53.614060252005181</v>
      </c>
    </row>
    <row r="38" spans="1:29" x14ac:dyDescent="0.25">
      <c r="A38">
        <v>624</v>
      </c>
      <c r="B38" t="s">
        <v>1487</v>
      </c>
      <c r="C38" t="s">
        <v>485</v>
      </c>
      <c r="D38" t="s">
        <v>342</v>
      </c>
      <c r="E38">
        <v>2</v>
      </c>
      <c r="F38" t="s">
        <v>214</v>
      </c>
      <c r="G38" s="2">
        <v>43672</v>
      </c>
      <c r="H38" t="s">
        <v>191</v>
      </c>
      <c r="Q38">
        <f>P38 / (300 * 300) * 6.4516</f>
        <v>0</v>
      </c>
      <c r="AB38">
        <v>54.04728343</v>
      </c>
      <c r="AC38" t="s">
        <v>1607</v>
      </c>
    </row>
    <row r="39" spans="1:29" x14ac:dyDescent="0.25">
      <c r="A39">
        <v>160</v>
      </c>
      <c r="B39" t="s">
        <v>422</v>
      </c>
      <c r="D39" t="s">
        <v>390</v>
      </c>
      <c r="E39">
        <v>3</v>
      </c>
      <c r="F39" t="s">
        <v>298</v>
      </c>
      <c r="H39" t="s">
        <v>192</v>
      </c>
      <c r="I39">
        <v>7.1</v>
      </c>
      <c r="K39">
        <v>0.109</v>
      </c>
      <c r="L39">
        <v>15</v>
      </c>
      <c r="M39">
        <f>PI()*((I39/2)^2)/100 * L39</f>
        <v>5.938788212529805</v>
      </c>
      <c r="Q39">
        <f>P39 / (300 * 300) * 6.4516</f>
        <v>0</v>
      </c>
      <c r="R39" t="s">
        <v>135</v>
      </c>
      <c r="S39" t="s">
        <v>195</v>
      </c>
      <c r="T39" t="s">
        <v>135</v>
      </c>
      <c r="U39">
        <v>90.05</v>
      </c>
      <c r="V39">
        <v>53.19</v>
      </c>
      <c r="W39">
        <f>(((U39/2) * (V39/2)) * PI())</f>
        <v>3761.8683144154797</v>
      </c>
      <c r="X39">
        <f>IF(ISNUMBER(T39), T39*W39, W39)</f>
        <v>3761.8683144154797</v>
      </c>
      <c r="Y39">
        <v>0.48</v>
      </c>
      <c r="Z39">
        <v>0.44</v>
      </c>
      <c r="AA39">
        <v>0.43</v>
      </c>
      <c r="AB39">
        <f>M39/K39</f>
        <v>54.484295527796377</v>
      </c>
      <c r="AC39" t="s">
        <v>1102</v>
      </c>
    </row>
    <row r="40" spans="1:29" x14ac:dyDescent="0.25">
      <c r="A40">
        <v>582</v>
      </c>
      <c r="B40" t="s">
        <v>1434</v>
      </c>
      <c r="C40" t="s">
        <v>883</v>
      </c>
      <c r="D40" t="s">
        <v>343</v>
      </c>
      <c r="E40">
        <v>2</v>
      </c>
      <c r="F40" t="s">
        <v>323</v>
      </c>
      <c r="G40" s="2">
        <v>43658</v>
      </c>
      <c r="H40" t="s">
        <v>191</v>
      </c>
      <c r="Q40">
        <f>P40 / (300 * 300) * 6.4516</f>
        <v>0</v>
      </c>
      <c r="AB40">
        <v>54.630085469999997</v>
      </c>
      <c r="AC40" t="s">
        <v>1607</v>
      </c>
    </row>
    <row r="41" spans="1:29" x14ac:dyDescent="0.25">
      <c r="A41">
        <v>583</v>
      </c>
      <c r="B41" t="s">
        <v>1435</v>
      </c>
      <c r="C41" t="s">
        <v>1436</v>
      </c>
      <c r="D41" t="s">
        <v>343</v>
      </c>
      <c r="E41">
        <v>3</v>
      </c>
      <c r="F41" t="s">
        <v>323</v>
      </c>
      <c r="G41" s="2">
        <v>43658</v>
      </c>
      <c r="H41" t="s">
        <v>191</v>
      </c>
      <c r="Q41">
        <f>P41 / (300 * 300) * 6.4516</f>
        <v>0</v>
      </c>
      <c r="AB41">
        <v>54.70526357</v>
      </c>
      <c r="AC41" t="s">
        <v>1607</v>
      </c>
    </row>
    <row r="42" spans="1:29" x14ac:dyDescent="0.25">
      <c r="A42">
        <v>206</v>
      </c>
      <c r="B42" t="s">
        <v>507</v>
      </c>
      <c r="D42" t="s">
        <v>508</v>
      </c>
      <c r="E42">
        <v>1</v>
      </c>
      <c r="F42" t="s">
        <v>770</v>
      </c>
      <c r="H42" t="s">
        <v>192</v>
      </c>
      <c r="I42">
        <v>7.1</v>
      </c>
      <c r="K42">
        <v>7.9000000000000001E-2</v>
      </c>
      <c r="L42">
        <v>11</v>
      </c>
      <c r="M42">
        <f>PI()*((I42/2)^2)/100 * L42</f>
        <v>4.3551113558551906</v>
      </c>
      <c r="Q42">
        <f>P42 / (300 * 300) * 6.4516</f>
        <v>0</v>
      </c>
      <c r="S42" t="s">
        <v>195</v>
      </c>
      <c r="T42" t="s">
        <v>135</v>
      </c>
      <c r="U42">
        <v>92.08</v>
      </c>
      <c r="V42">
        <v>70.900000000000006</v>
      </c>
      <c r="W42">
        <f>(((U42/2) * (V42/2)) * PI())</f>
        <v>5127.4499185916666</v>
      </c>
      <c r="X42">
        <f>IF(ISNUMBER(T42), T42*W42, W42)</f>
        <v>5127.4499185916666</v>
      </c>
      <c r="Y42">
        <v>0.51</v>
      </c>
      <c r="Z42">
        <v>0.54</v>
      </c>
      <c r="AA42">
        <v>0.55000000000000004</v>
      </c>
      <c r="AB42">
        <f>M42/K42</f>
        <v>55.127991846268237</v>
      </c>
    </row>
    <row r="43" spans="1:29" x14ac:dyDescent="0.25">
      <c r="A43">
        <v>89</v>
      </c>
      <c r="B43" t="s">
        <v>184</v>
      </c>
      <c r="D43" t="s">
        <v>374</v>
      </c>
      <c r="E43">
        <v>2</v>
      </c>
      <c r="F43" t="s">
        <v>185</v>
      </c>
      <c r="H43" t="s">
        <v>191</v>
      </c>
      <c r="I43" t="s">
        <v>135</v>
      </c>
      <c r="J43" t="s">
        <v>135</v>
      </c>
      <c r="K43">
        <v>4.4329999999999998</v>
      </c>
      <c r="L43" t="s">
        <v>135</v>
      </c>
      <c r="N43" t="s">
        <v>135</v>
      </c>
      <c r="O43" t="s">
        <v>186</v>
      </c>
      <c r="P43">
        <v>3449869</v>
      </c>
      <c r="Q43">
        <f>P43 / (300 * 300) * 6.4516</f>
        <v>247.30194267111111</v>
      </c>
      <c r="R43">
        <v>1</v>
      </c>
      <c r="S43" t="s">
        <v>201</v>
      </c>
      <c r="T43">
        <v>3</v>
      </c>
      <c r="U43" t="s">
        <v>135</v>
      </c>
      <c r="V43" t="s">
        <v>135</v>
      </c>
      <c r="W43">
        <f>Q43/T43 * 100</f>
        <v>8243.3980890370367</v>
      </c>
      <c r="X43">
        <f>Q43 * 100</f>
        <v>24730.19426711111</v>
      </c>
      <c r="Y43">
        <v>0.45</v>
      </c>
      <c r="Z43">
        <v>0.43</v>
      </c>
      <c r="AA43">
        <v>0.49</v>
      </c>
      <c r="AB43">
        <f>(Q43)/K43</f>
        <v>55.786587563977243</v>
      </c>
    </row>
    <row r="44" spans="1:29" x14ac:dyDescent="0.25">
      <c r="A44">
        <v>222</v>
      </c>
      <c r="B44" t="s">
        <v>528</v>
      </c>
      <c r="D44" t="s">
        <v>494</v>
      </c>
      <c r="E44">
        <v>1</v>
      </c>
      <c r="F44" t="s">
        <v>495</v>
      </c>
      <c r="H44" t="s">
        <v>192</v>
      </c>
      <c r="I44">
        <v>7.1</v>
      </c>
      <c r="K44">
        <v>9.9000000000000005E-2</v>
      </c>
      <c r="L44">
        <v>14</v>
      </c>
      <c r="M44">
        <f>PI()*((I44/2)^2)/100 * L44</f>
        <v>5.5428689983611514</v>
      </c>
      <c r="Q44">
        <f>P44 / (300 * 300) * 6.4516</f>
        <v>0</v>
      </c>
      <c r="S44" t="s">
        <v>195</v>
      </c>
      <c r="T44" t="s">
        <v>135</v>
      </c>
      <c r="U44">
        <v>116.94</v>
      </c>
      <c r="V44">
        <v>56.58</v>
      </c>
      <c r="W44">
        <f>(((U44/2) * (V44/2)) * PI())</f>
        <v>5196.55961626313</v>
      </c>
      <c r="X44">
        <f>IF(ISNUMBER(T44), T44*W44, W44)</f>
        <v>5196.55961626313</v>
      </c>
      <c r="Y44">
        <v>0.36</v>
      </c>
      <c r="Z44">
        <v>0.36</v>
      </c>
      <c r="AA44">
        <v>0.35</v>
      </c>
      <c r="AB44">
        <f>M44/K44</f>
        <v>55.988575741021727</v>
      </c>
    </row>
    <row r="45" spans="1:29" x14ac:dyDescent="0.25">
      <c r="A45">
        <v>131</v>
      </c>
      <c r="B45" t="s">
        <v>288</v>
      </c>
      <c r="D45" t="s">
        <v>378</v>
      </c>
      <c r="E45">
        <v>3</v>
      </c>
      <c r="F45" t="s">
        <v>227</v>
      </c>
      <c r="H45" t="s">
        <v>192</v>
      </c>
      <c r="I45">
        <v>7.1</v>
      </c>
      <c r="J45" t="s">
        <v>135</v>
      </c>
      <c r="K45">
        <v>0.113</v>
      </c>
      <c r="L45">
        <v>16</v>
      </c>
      <c r="M45">
        <f>PI()*((I45/2)^2)/100 * L45</f>
        <v>6.3347074266984587</v>
      </c>
      <c r="N45" t="s">
        <v>135</v>
      </c>
      <c r="O45" t="s">
        <v>135</v>
      </c>
      <c r="Q45">
        <f>P45 / (300 * 300) * 6.4516</f>
        <v>0</v>
      </c>
      <c r="R45" t="s">
        <v>135</v>
      </c>
      <c r="S45" t="s">
        <v>195</v>
      </c>
      <c r="T45" t="s">
        <v>135</v>
      </c>
      <c r="U45">
        <v>52.17</v>
      </c>
      <c r="V45">
        <v>22.43</v>
      </c>
      <c r="W45">
        <f>(((U45/2) * (V45/2)) * PI())</f>
        <v>919.05180359709857</v>
      </c>
      <c r="X45">
        <f>IF(ISNUMBER(T45), T45*W45, W45)</f>
        <v>919.05180359709857</v>
      </c>
      <c r="Y45">
        <v>0.33</v>
      </c>
      <c r="Z45">
        <v>0.31</v>
      </c>
      <c r="AA45">
        <v>0.27</v>
      </c>
      <c r="AB45">
        <f>M45/K45</f>
        <v>56.059357758393439</v>
      </c>
    </row>
    <row r="46" spans="1:29" x14ac:dyDescent="0.25">
      <c r="A46">
        <v>506</v>
      </c>
      <c r="B46" t="s">
        <v>1336</v>
      </c>
      <c r="C46" t="s">
        <v>1217</v>
      </c>
      <c r="D46" t="s">
        <v>373</v>
      </c>
      <c r="E46">
        <v>2</v>
      </c>
      <c r="F46" t="s">
        <v>204</v>
      </c>
      <c r="G46" s="2">
        <v>43654</v>
      </c>
      <c r="H46" t="s">
        <v>191</v>
      </c>
      <c r="Q46">
        <f>P46 / (300 * 300) * 6.4516</f>
        <v>0</v>
      </c>
      <c r="AB46">
        <v>56.815166429999998</v>
      </c>
      <c r="AC46" t="s">
        <v>1607</v>
      </c>
    </row>
    <row r="47" spans="1:29" x14ac:dyDescent="0.25">
      <c r="A47">
        <v>658</v>
      </c>
      <c r="B47" t="s">
        <v>1528</v>
      </c>
      <c r="C47" t="s">
        <v>299</v>
      </c>
      <c r="D47" t="s">
        <v>383</v>
      </c>
      <c r="E47">
        <v>3</v>
      </c>
      <c r="F47" t="s">
        <v>249</v>
      </c>
      <c r="G47" s="2">
        <v>43645</v>
      </c>
      <c r="H47" t="s">
        <v>191</v>
      </c>
      <c r="Q47">
        <f>P47 / (300 * 300) * 6.4516</f>
        <v>0</v>
      </c>
      <c r="AB47">
        <v>57.253851449999999</v>
      </c>
      <c r="AC47" t="s">
        <v>1607</v>
      </c>
    </row>
    <row r="48" spans="1:29" x14ac:dyDescent="0.25">
      <c r="A48">
        <v>275</v>
      </c>
      <c r="B48" t="s">
        <v>739</v>
      </c>
      <c r="D48" t="s">
        <v>494</v>
      </c>
      <c r="E48">
        <v>5</v>
      </c>
      <c r="F48" t="s">
        <v>495</v>
      </c>
      <c r="G48" s="2">
        <v>42921</v>
      </c>
      <c r="H48" t="s">
        <v>192</v>
      </c>
      <c r="I48">
        <v>9.6999999999999993</v>
      </c>
      <c r="K48">
        <v>0.11600000000000001</v>
      </c>
      <c r="L48">
        <v>9</v>
      </c>
      <c r="M48">
        <f>PI()*((I48/2)^2)/100 * L48</f>
        <v>6.6508301874659308</v>
      </c>
      <c r="Q48">
        <f>P48 / (300 * 300) * 6.4516</f>
        <v>0</v>
      </c>
      <c r="S48" t="s">
        <v>195</v>
      </c>
      <c r="T48" t="s">
        <v>135</v>
      </c>
      <c r="U48">
        <v>147.09</v>
      </c>
      <c r="V48">
        <v>66.33</v>
      </c>
      <c r="W48">
        <f>(((U48/2) * (V48/2)) * PI())</f>
        <v>7662.7212376044872</v>
      </c>
      <c r="X48">
        <f>IF(ISNUMBER(T48), T48*W48, W48)</f>
        <v>7662.7212376044872</v>
      </c>
      <c r="Y48">
        <v>0.43</v>
      </c>
      <c r="Z48">
        <v>0.28999999999999998</v>
      </c>
      <c r="AA48">
        <v>0.31</v>
      </c>
      <c r="AB48">
        <f>M48/K48</f>
        <v>57.334742995395949</v>
      </c>
    </row>
    <row r="49" spans="1:29" x14ac:dyDescent="0.25">
      <c r="A49">
        <v>415</v>
      </c>
      <c r="B49" t="s">
        <v>972</v>
      </c>
      <c r="D49" t="s">
        <v>343</v>
      </c>
      <c r="E49">
        <v>4</v>
      </c>
      <c r="F49" t="s">
        <v>323</v>
      </c>
      <c r="G49" s="2">
        <v>42940</v>
      </c>
      <c r="H49" t="s">
        <v>192</v>
      </c>
      <c r="I49">
        <v>9.6999999999999993</v>
      </c>
      <c r="K49">
        <v>0.128</v>
      </c>
      <c r="L49">
        <v>10</v>
      </c>
      <c r="M49">
        <f>PI()*((I49/2)^2)/100 * L49</f>
        <v>7.38981131940659</v>
      </c>
      <c r="Q49">
        <f>P49 / (300 * 300) * 6.4516</f>
        <v>0</v>
      </c>
      <c r="S49" t="s">
        <v>195</v>
      </c>
      <c r="T49" t="s">
        <v>135</v>
      </c>
      <c r="U49">
        <v>140.56</v>
      </c>
      <c r="V49">
        <v>51.33</v>
      </c>
      <c r="W49">
        <f>(((U49/2) * (V49/2)) * PI())</f>
        <v>5666.6043949339701</v>
      </c>
      <c r="X49">
        <f>IF(ISNUMBER(T49), T49*W49, W49)</f>
        <v>5666.6043949339701</v>
      </c>
      <c r="Y49">
        <v>0.28000000000000003</v>
      </c>
      <c r="Z49">
        <v>0.33</v>
      </c>
      <c r="AA49">
        <v>0.32</v>
      </c>
      <c r="AB49">
        <f>M49/K49</f>
        <v>57.732900932863984</v>
      </c>
    </row>
    <row r="50" spans="1:29" x14ac:dyDescent="0.25">
      <c r="A50">
        <v>97</v>
      </c>
      <c r="B50" t="s">
        <v>1210</v>
      </c>
      <c r="C50" t="s">
        <v>213</v>
      </c>
      <c r="D50" t="s">
        <v>342</v>
      </c>
      <c r="E50">
        <v>3</v>
      </c>
      <c r="F50" t="s">
        <v>214</v>
      </c>
      <c r="H50" t="s">
        <v>192</v>
      </c>
      <c r="I50">
        <v>7.1</v>
      </c>
      <c r="J50" t="s">
        <v>135</v>
      </c>
      <c r="K50">
        <v>8.2000000000000003E-2</v>
      </c>
      <c r="L50">
        <v>12</v>
      </c>
      <c r="M50">
        <f>PI()*((I50/2)^2)/100 * L50</f>
        <v>4.7510305700238442</v>
      </c>
      <c r="N50" t="s">
        <v>135</v>
      </c>
      <c r="O50" t="s">
        <v>135</v>
      </c>
      <c r="Q50">
        <f>P50 / (300 * 300) * 6.4516</f>
        <v>0</v>
      </c>
      <c r="R50" t="s">
        <v>135</v>
      </c>
      <c r="S50" t="s">
        <v>195</v>
      </c>
      <c r="T50" t="s">
        <v>135</v>
      </c>
      <c r="U50">
        <v>181.5</v>
      </c>
      <c r="V50">
        <v>81.510000000000005</v>
      </c>
      <c r="W50">
        <f>(((U50/2) * (V50/2)) * PI())</f>
        <v>11619.23148018247</v>
      </c>
      <c r="X50">
        <f>IF(ISNUMBER(T50), T50*W50, W50)</f>
        <v>11619.23148018247</v>
      </c>
      <c r="Y50">
        <v>0.65</v>
      </c>
      <c r="Z50">
        <v>0.48</v>
      </c>
      <c r="AA50">
        <v>0.56000000000000005</v>
      </c>
      <c r="AB50">
        <f>M50/K50</f>
        <v>57.939397195412731</v>
      </c>
      <c r="AC50" t="s">
        <v>215</v>
      </c>
    </row>
    <row r="51" spans="1:29" x14ac:dyDescent="0.25">
      <c r="A51">
        <v>147</v>
      </c>
      <c r="B51" t="s">
        <v>403</v>
      </c>
      <c r="D51" t="s">
        <v>377</v>
      </c>
      <c r="E51">
        <v>3</v>
      </c>
      <c r="F51" t="s">
        <v>222</v>
      </c>
      <c r="H51" t="s">
        <v>192</v>
      </c>
      <c r="I51">
        <v>7.1</v>
      </c>
      <c r="J51" t="s">
        <v>135</v>
      </c>
      <c r="K51">
        <v>0.10199999999999999</v>
      </c>
      <c r="L51">
        <v>15</v>
      </c>
      <c r="M51">
        <f>PI()*((I51/2)^2)/100 * L51</f>
        <v>5.938788212529805</v>
      </c>
      <c r="N51" t="s">
        <v>135</v>
      </c>
      <c r="O51" t="s">
        <v>135</v>
      </c>
      <c r="Q51">
        <f>P51 / (300 * 300) * 6.4516</f>
        <v>0</v>
      </c>
      <c r="R51" t="s">
        <v>135</v>
      </c>
      <c r="S51" t="s">
        <v>195</v>
      </c>
      <c r="T51" t="s">
        <v>135</v>
      </c>
      <c r="U51">
        <v>88.13</v>
      </c>
      <c r="V51">
        <v>54.29</v>
      </c>
      <c r="W51">
        <f>(((U51/2) * (V51/2)) * PI())</f>
        <v>3757.798538212387</v>
      </c>
      <c r="X51">
        <f>IF(ISNUMBER(T51), T51*W51, W51)</f>
        <v>3757.798538212387</v>
      </c>
      <c r="Y51">
        <v>0.31</v>
      </c>
      <c r="Z51">
        <v>0.28000000000000003</v>
      </c>
      <c r="AA51">
        <v>0.27</v>
      </c>
      <c r="AB51">
        <f>M51/K51</f>
        <v>58.223413848331425</v>
      </c>
    </row>
    <row r="52" spans="1:29" x14ac:dyDescent="0.25">
      <c r="A52">
        <v>188</v>
      </c>
      <c r="B52" t="s">
        <v>455</v>
      </c>
      <c r="D52" t="s">
        <v>430</v>
      </c>
      <c r="E52">
        <v>2</v>
      </c>
      <c r="F52" t="s">
        <v>431</v>
      </c>
      <c r="H52" t="s">
        <v>192</v>
      </c>
      <c r="I52">
        <v>7.1</v>
      </c>
      <c r="K52">
        <v>9.5000000000000001E-2</v>
      </c>
      <c r="L52">
        <v>14</v>
      </c>
      <c r="M52">
        <f>PI()*((I52/2)^2)/100 * L52</f>
        <v>5.5428689983611514</v>
      </c>
      <c r="Q52">
        <f>P52 / (300 * 300) * 6.4516</f>
        <v>0</v>
      </c>
      <c r="S52" t="s">
        <v>195</v>
      </c>
      <c r="T52" t="s">
        <v>135</v>
      </c>
      <c r="U52">
        <v>67.83</v>
      </c>
      <c r="V52">
        <v>24.64</v>
      </c>
      <c r="W52">
        <f>(((U52/2) * (V52/2)) * PI())</f>
        <v>1312.6604549088534</v>
      </c>
      <c r="X52">
        <f>IF(ISNUMBER(T52), T52*W52, W52)</f>
        <v>1312.6604549088534</v>
      </c>
      <c r="Y52">
        <v>0.37</v>
      </c>
      <c r="Z52">
        <v>0.39</v>
      </c>
      <c r="AA52">
        <v>0.4</v>
      </c>
      <c r="AB52">
        <f>M52/K52</f>
        <v>58.345989456433173</v>
      </c>
    </row>
    <row r="53" spans="1:29" x14ac:dyDescent="0.25">
      <c r="A53">
        <v>114</v>
      </c>
      <c r="B53" t="s">
        <v>1243</v>
      </c>
      <c r="C53" t="s">
        <v>253</v>
      </c>
      <c r="D53" t="s">
        <v>383</v>
      </c>
      <c r="E53">
        <v>2</v>
      </c>
      <c r="F53" t="s">
        <v>249</v>
      </c>
      <c r="H53" t="s">
        <v>192</v>
      </c>
      <c r="I53">
        <v>7.1</v>
      </c>
      <c r="J53" t="s">
        <v>135</v>
      </c>
      <c r="K53">
        <v>0.115</v>
      </c>
      <c r="L53">
        <v>17</v>
      </c>
      <c r="M53">
        <f>PI()*((I53/2)^2)/100 * L53</f>
        <v>6.7306266408671123</v>
      </c>
      <c r="N53" t="s">
        <v>135</v>
      </c>
      <c r="O53" t="s">
        <v>135</v>
      </c>
      <c r="Q53">
        <f>P53 / (300 * 300) * 6.4516</f>
        <v>0</v>
      </c>
      <c r="R53" t="s">
        <v>135</v>
      </c>
      <c r="S53" t="s">
        <v>195</v>
      </c>
      <c r="T53" t="s">
        <v>135</v>
      </c>
      <c r="U53">
        <v>61.74</v>
      </c>
      <c r="V53">
        <v>18.75</v>
      </c>
      <c r="W53">
        <f>(((U53/2) * (V53/2)) * PI())</f>
        <v>909.19654890297102</v>
      </c>
      <c r="X53">
        <f>IF(ISNUMBER(T53), T53*W53, W53)</f>
        <v>909.19654890297102</v>
      </c>
      <c r="Y53">
        <v>0.43</v>
      </c>
      <c r="Z53">
        <v>0.44</v>
      </c>
      <c r="AA53">
        <v>0.42</v>
      </c>
      <c r="AB53">
        <f>M53/K53</f>
        <v>58.527188181453148</v>
      </c>
      <c r="AC53" t="s">
        <v>266</v>
      </c>
    </row>
    <row r="54" spans="1:29" x14ac:dyDescent="0.25">
      <c r="A54">
        <v>209</v>
      </c>
      <c r="B54" t="s">
        <v>513</v>
      </c>
      <c r="D54" t="s">
        <v>514</v>
      </c>
      <c r="E54">
        <v>1</v>
      </c>
      <c r="F54" t="s">
        <v>532</v>
      </c>
      <c r="H54" t="s">
        <v>192</v>
      </c>
      <c r="I54">
        <v>7.1</v>
      </c>
      <c r="K54">
        <v>6.7000000000000004E-2</v>
      </c>
      <c r="L54">
        <v>10</v>
      </c>
      <c r="M54">
        <f>PI()*((I54/2)^2)/100 * L54</f>
        <v>3.9591921416865365</v>
      </c>
      <c r="Q54">
        <f>P54 / (300 * 300) * 6.4516</f>
        <v>0</v>
      </c>
      <c r="S54" t="s">
        <v>201</v>
      </c>
      <c r="T54">
        <v>7</v>
      </c>
      <c r="U54">
        <v>59.81</v>
      </c>
      <c r="V54">
        <v>34.89</v>
      </c>
      <c r="W54">
        <f>(((U54/2) * (V54/2)) * PI())</f>
        <v>1638.9460322912403</v>
      </c>
      <c r="X54">
        <f>IF(ISNUMBER(T54), T54*W54, W54)</f>
        <v>11472.622226038682</v>
      </c>
      <c r="Y54">
        <v>0.35</v>
      </c>
      <c r="Z54">
        <v>0.33</v>
      </c>
      <c r="AA54">
        <v>0.39</v>
      </c>
      <c r="AB54">
        <f>M54/K54</f>
        <v>59.092420025172181</v>
      </c>
    </row>
    <row r="55" spans="1:29" x14ac:dyDescent="0.25">
      <c r="A55">
        <v>241</v>
      </c>
      <c r="B55" t="s">
        <v>594</v>
      </c>
      <c r="D55" t="s">
        <v>373</v>
      </c>
      <c r="E55">
        <v>3</v>
      </c>
      <c r="F55" t="s">
        <v>204</v>
      </c>
      <c r="H55" t="s">
        <v>192</v>
      </c>
      <c r="I55">
        <v>7.1</v>
      </c>
      <c r="K55">
        <v>6.7000000000000004E-2</v>
      </c>
      <c r="L55">
        <v>10</v>
      </c>
      <c r="M55">
        <f>PI()*((I55/2)^2)/100 * L55</f>
        <v>3.9591921416865365</v>
      </c>
      <c r="Q55">
        <f>P55 / (300 * 300) * 6.4516</f>
        <v>0</v>
      </c>
      <c r="S55" t="s">
        <v>195</v>
      </c>
      <c r="T55" t="s">
        <v>135</v>
      </c>
      <c r="U55">
        <v>69.63</v>
      </c>
      <c r="V55">
        <v>25.64</v>
      </c>
      <c r="W55">
        <f>(((U55/2) * (V55/2)) * PI())</f>
        <v>1402.181708369221</v>
      </c>
      <c r="X55">
        <f>IF(ISNUMBER(T55), T55*W55, W55)</f>
        <v>1402.181708369221</v>
      </c>
      <c r="Y55">
        <v>0.47</v>
      </c>
      <c r="Z55">
        <v>0.43</v>
      </c>
      <c r="AA55">
        <v>0.42</v>
      </c>
      <c r="AB55">
        <f>M55/K55</f>
        <v>59.092420025172181</v>
      </c>
    </row>
    <row r="56" spans="1:29" x14ac:dyDescent="0.25">
      <c r="A56">
        <v>392</v>
      </c>
      <c r="B56" t="s">
        <v>940</v>
      </c>
      <c r="D56" t="s">
        <v>941</v>
      </c>
      <c r="E56">
        <v>1</v>
      </c>
      <c r="F56" t="s">
        <v>942</v>
      </c>
      <c r="G56" s="2">
        <v>42936</v>
      </c>
      <c r="H56" t="s">
        <v>192</v>
      </c>
      <c r="I56">
        <v>9.6999999999999993</v>
      </c>
      <c r="K56">
        <v>0.125</v>
      </c>
      <c r="L56">
        <v>10</v>
      </c>
      <c r="M56">
        <f>PI()*((I56/2)^2)/100 * L56</f>
        <v>7.38981131940659</v>
      </c>
      <c r="Q56">
        <f>P56 / (300 * 300) * 6.4516</f>
        <v>0</v>
      </c>
      <c r="S56" t="s">
        <v>195</v>
      </c>
      <c r="T56" t="s">
        <v>135</v>
      </c>
      <c r="U56">
        <v>52.1</v>
      </c>
      <c r="V56">
        <v>24.89</v>
      </c>
      <c r="W56">
        <f>(((U56/2) * (V56/2)) * PI())</f>
        <v>1018.4799909507456</v>
      </c>
      <c r="X56">
        <f>IF(ISNUMBER(T56), T56*W56, W56)</f>
        <v>1018.4799909507456</v>
      </c>
      <c r="Y56">
        <v>0.4</v>
      </c>
      <c r="Z56">
        <v>0.44</v>
      </c>
      <c r="AA56">
        <v>0.44</v>
      </c>
      <c r="AB56">
        <f>M56/K56</f>
        <v>59.11849055525272</v>
      </c>
    </row>
    <row r="57" spans="1:29" x14ac:dyDescent="0.25">
      <c r="A57">
        <v>98</v>
      </c>
      <c r="B57" t="s">
        <v>1211</v>
      </c>
      <c r="C57" t="s">
        <v>216</v>
      </c>
      <c r="D57" t="s">
        <v>342</v>
      </c>
      <c r="E57">
        <v>4</v>
      </c>
      <c r="F57" t="s">
        <v>214</v>
      </c>
      <c r="H57" t="s">
        <v>192</v>
      </c>
      <c r="I57">
        <v>7.1</v>
      </c>
      <c r="J57" t="s">
        <v>135</v>
      </c>
      <c r="K57">
        <v>8.6999999999999994E-2</v>
      </c>
      <c r="L57">
        <v>13</v>
      </c>
      <c r="M57">
        <f>PI()*((I57/2)^2)/100 * L57</f>
        <v>5.1469497841924978</v>
      </c>
      <c r="N57" t="s">
        <v>135</v>
      </c>
      <c r="O57" t="s">
        <v>135</v>
      </c>
      <c r="Q57">
        <f>P57 / (300 * 300) * 6.4516</f>
        <v>0</v>
      </c>
      <c r="R57" t="s">
        <v>135</v>
      </c>
      <c r="S57" t="s">
        <v>195</v>
      </c>
      <c r="T57" t="s">
        <v>135</v>
      </c>
      <c r="U57">
        <v>110.8</v>
      </c>
      <c r="V57">
        <v>53.54</v>
      </c>
      <c r="W57">
        <f>(((U57/2) * (V57/2)) * PI())</f>
        <v>4659.1641176475714</v>
      </c>
      <c r="X57">
        <f>IF(ISNUMBER(T57), T57*W57, W57)</f>
        <v>4659.1641176475714</v>
      </c>
      <c r="Y57">
        <v>0.37</v>
      </c>
      <c r="Z57">
        <v>0.39</v>
      </c>
      <c r="AA57">
        <v>0.47</v>
      </c>
      <c r="AB57">
        <f>M57/K57</f>
        <v>59.160342347040206</v>
      </c>
      <c r="AC57" t="s">
        <v>217</v>
      </c>
    </row>
    <row r="58" spans="1:29" x14ac:dyDescent="0.25">
      <c r="A58">
        <v>659</v>
      </c>
      <c r="B58" t="s">
        <v>1529</v>
      </c>
      <c r="C58" t="s">
        <v>755</v>
      </c>
      <c r="D58" t="s">
        <v>383</v>
      </c>
      <c r="E58">
        <v>4</v>
      </c>
      <c r="F58" t="s">
        <v>249</v>
      </c>
      <c r="G58" s="2">
        <v>43645</v>
      </c>
      <c r="H58" t="s">
        <v>191</v>
      </c>
      <c r="Q58">
        <f>P58 / (300 * 300) * 6.4516</f>
        <v>0</v>
      </c>
      <c r="AB58">
        <v>59.377351099999998</v>
      </c>
      <c r="AC58" t="s">
        <v>1607</v>
      </c>
    </row>
    <row r="59" spans="1:29" x14ac:dyDescent="0.25">
      <c r="A59">
        <v>136</v>
      </c>
      <c r="B59" t="s">
        <v>294</v>
      </c>
      <c r="D59" t="s">
        <v>351</v>
      </c>
      <c r="E59">
        <v>5</v>
      </c>
      <c r="F59" t="s">
        <v>219</v>
      </c>
      <c r="H59" t="s">
        <v>192</v>
      </c>
      <c r="I59">
        <v>7.1</v>
      </c>
      <c r="J59" t="s">
        <v>135</v>
      </c>
      <c r="K59">
        <v>0.106</v>
      </c>
      <c r="L59">
        <v>16</v>
      </c>
      <c r="M59">
        <f>PI()*((I59/2)^2)/100 * L59</f>
        <v>6.3347074266984587</v>
      </c>
      <c r="N59" t="s">
        <v>135</v>
      </c>
      <c r="O59" t="s">
        <v>135</v>
      </c>
      <c r="Q59">
        <f>P59 / (300 * 300) * 6.4516</f>
        <v>0</v>
      </c>
      <c r="R59" t="s">
        <v>135</v>
      </c>
      <c r="S59" t="s">
        <v>201</v>
      </c>
      <c r="T59">
        <v>11</v>
      </c>
      <c r="U59">
        <v>45.93</v>
      </c>
      <c r="V59">
        <v>20.399999999999999</v>
      </c>
      <c r="W59">
        <f>(((U59/2) * (V59/2)) * PI())</f>
        <v>735.89608795483389</v>
      </c>
      <c r="X59">
        <f>IF(ISNUMBER(T59), T59*W59, W59)</f>
        <v>8094.8569675031731</v>
      </c>
      <c r="Y59">
        <v>0.33</v>
      </c>
      <c r="Z59">
        <v>0.34</v>
      </c>
      <c r="AA59">
        <v>0.34</v>
      </c>
      <c r="AB59">
        <f>M59/K59</f>
        <v>59.761390817909991</v>
      </c>
    </row>
    <row r="60" spans="1:29" x14ac:dyDescent="0.25">
      <c r="A60">
        <v>542</v>
      </c>
      <c r="B60" t="s">
        <v>1380</v>
      </c>
      <c r="C60" t="s">
        <v>1227</v>
      </c>
      <c r="D60" t="s">
        <v>332</v>
      </c>
      <c r="E60">
        <v>2</v>
      </c>
      <c r="F60" t="s">
        <v>1367</v>
      </c>
      <c r="G60" s="2">
        <v>43613</v>
      </c>
      <c r="H60" t="s">
        <v>191</v>
      </c>
      <c r="Q60">
        <f>P60 / (300 * 300) * 6.4516</f>
        <v>0</v>
      </c>
      <c r="AB60">
        <v>59.80906821</v>
      </c>
      <c r="AC60" t="s">
        <v>1607</v>
      </c>
    </row>
    <row r="61" spans="1:29" x14ac:dyDescent="0.25">
      <c r="A61">
        <v>51</v>
      </c>
      <c r="B61" t="s">
        <v>1199</v>
      </c>
      <c r="C61" t="s">
        <v>86</v>
      </c>
      <c r="D61" t="s">
        <v>420</v>
      </c>
      <c r="E61">
        <v>1</v>
      </c>
      <c r="F61" t="s">
        <v>467</v>
      </c>
      <c r="H61" t="s">
        <v>191</v>
      </c>
      <c r="I61" t="s">
        <v>135</v>
      </c>
      <c r="J61">
        <v>8.6530000000000005</v>
      </c>
      <c r="K61">
        <v>2.9129999999999998</v>
      </c>
      <c r="L61" t="s">
        <v>135</v>
      </c>
      <c r="N61">
        <f>(J61-K61)/J61</f>
        <v>0.66335375014445852</v>
      </c>
      <c r="P61">
        <v>2437307</v>
      </c>
      <c r="Q61">
        <f>P61 / (300 * 300) * 6.4516</f>
        <v>174.71699823555556</v>
      </c>
      <c r="R61">
        <v>5</v>
      </c>
      <c r="S61" t="s">
        <v>195</v>
      </c>
      <c r="T61" t="s">
        <v>135</v>
      </c>
      <c r="U61" t="s">
        <v>135</v>
      </c>
      <c r="V61" t="s">
        <v>135</v>
      </c>
      <c r="W61">
        <f>(Q61/R61) * 100</f>
        <v>3494.3399647111114</v>
      </c>
      <c r="X61">
        <f>W61</f>
        <v>3494.3399647111114</v>
      </c>
      <c r="Y61">
        <v>0.48</v>
      </c>
      <c r="Z61">
        <v>0.5</v>
      </c>
      <c r="AA61">
        <v>0.51</v>
      </c>
      <c r="AB61">
        <f>(Q61)/K61</f>
        <v>59.978372205820655</v>
      </c>
    </row>
    <row r="62" spans="1:29" x14ac:dyDescent="0.25">
      <c r="A62">
        <v>557</v>
      </c>
      <c r="B62" t="s">
        <v>1400</v>
      </c>
      <c r="C62" t="s">
        <v>1401</v>
      </c>
      <c r="D62" t="s">
        <v>351</v>
      </c>
      <c r="E62">
        <v>6</v>
      </c>
      <c r="F62" t="s">
        <v>219</v>
      </c>
      <c r="G62" s="2">
        <v>43633</v>
      </c>
      <c r="H62" t="s">
        <v>191</v>
      </c>
      <c r="Q62">
        <f>P62 / (300 * 300) * 6.4516</f>
        <v>0</v>
      </c>
      <c r="AB62">
        <v>60.004295880000001</v>
      </c>
      <c r="AC62" t="s">
        <v>1607</v>
      </c>
    </row>
    <row r="63" spans="1:29" x14ac:dyDescent="0.25">
      <c r="A63">
        <v>61</v>
      </c>
      <c r="B63" t="s">
        <v>1195</v>
      </c>
      <c r="C63" t="s">
        <v>97</v>
      </c>
      <c r="D63" t="s">
        <v>384</v>
      </c>
      <c r="E63">
        <v>6</v>
      </c>
      <c r="F63" t="s">
        <v>252</v>
      </c>
      <c r="H63" t="s">
        <v>191</v>
      </c>
      <c r="I63" t="s">
        <v>135</v>
      </c>
      <c r="J63">
        <v>6.9539999999999997</v>
      </c>
      <c r="K63">
        <v>3.004</v>
      </c>
      <c r="L63" t="s">
        <v>135</v>
      </c>
      <c r="N63">
        <f>(J63-K63)/J63</f>
        <v>0.56801840667241876</v>
      </c>
      <c r="O63" t="s">
        <v>97</v>
      </c>
      <c r="P63">
        <v>2523737</v>
      </c>
      <c r="Q63">
        <f>P63 / (300 * 300) * 6.4516</f>
        <v>180.91268476888891</v>
      </c>
      <c r="R63">
        <v>7</v>
      </c>
      <c r="S63" t="s">
        <v>195</v>
      </c>
      <c r="T63" t="s">
        <v>135</v>
      </c>
      <c r="U63" t="s">
        <v>135</v>
      </c>
      <c r="V63" t="s">
        <v>135</v>
      </c>
      <c r="W63">
        <f>(Q63/R63) * 100</f>
        <v>2584.4669252698418</v>
      </c>
      <c r="X63">
        <f>W63</f>
        <v>2584.4669252698418</v>
      </c>
      <c r="Y63">
        <v>0.36</v>
      </c>
      <c r="Z63">
        <v>0.39</v>
      </c>
      <c r="AA63">
        <v>0.34</v>
      </c>
      <c r="AB63">
        <f>(Q63)/K63</f>
        <v>60.223929683385123</v>
      </c>
    </row>
    <row r="64" spans="1:29" x14ac:dyDescent="0.25">
      <c r="A64">
        <v>543</v>
      </c>
      <c r="B64" t="s">
        <v>1381</v>
      </c>
      <c r="C64" t="s">
        <v>617</v>
      </c>
      <c r="D64" t="s">
        <v>332</v>
      </c>
      <c r="E64">
        <v>3</v>
      </c>
      <c r="F64" t="s">
        <v>1367</v>
      </c>
      <c r="G64" s="2">
        <v>43614</v>
      </c>
      <c r="H64" t="s">
        <v>191</v>
      </c>
      <c r="Q64">
        <f>P64 / (300 * 300) * 6.4516</f>
        <v>0</v>
      </c>
      <c r="AB64">
        <v>60.381317260000003</v>
      </c>
      <c r="AC64" t="s">
        <v>1607</v>
      </c>
    </row>
    <row r="65" spans="1:29" x14ac:dyDescent="0.25">
      <c r="A65">
        <v>220</v>
      </c>
      <c r="B65" t="s">
        <v>526</v>
      </c>
      <c r="D65" t="s">
        <v>420</v>
      </c>
      <c r="E65">
        <v>5</v>
      </c>
      <c r="F65" t="s">
        <v>467</v>
      </c>
      <c r="H65" t="s">
        <v>192</v>
      </c>
      <c r="I65">
        <v>7.1</v>
      </c>
      <c r="K65">
        <v>8.5000000000000006E-2</v>
      </c>
      <c r="L65">
        <v>13</v>
      </c>
      <c r="M65">
        <f>PI()*((I65/2)^2)/100 * L65</f>
        <v>5.1469497841924978</v>
      </c>
      <c r="Q65">
        <f>P65 / (300 * 300) * 6.4516</f>
        <v>0</v>
      </c>
      <c r="S65" t="s">
        <v>195</v>
      </c>
      <c r="T65" t="s">
        <v>135</v>
      </c>
      <c r="U65">
        <v>91.38</v>
      </c>
      <c r="V65">
        <v>69.319999999999993</v>
      </c>
      <c r="W65">
        <f>(((U65/2) * (V65/2)) * PI())</f>
        <v>4975.0745067516609</v>
      </c>
      <c r="X65">
        <f>IF(ISNUMBER(T65), T65*W65, W65)</f>
        <v>4975.0745067516609</v>
      </c>
      <c r="Y65">
        <v>0.46</v>
      </c>
      <c r="Z65">
        <v>0.54</v>
      </c>
      <c r="AA65">
        <v>0.56000000000000005</v>
      </c>
      <c r="AB65">
        <f>M65/K65</f>
        <v>60.552350402264679</v>
      </c>
    </row>
    <row r="66" spans="1:29" x14ac:dyDescent="0.25">
      <c r="A66">
        <v>655</v>
      </c>
      <c r="B66" t="s">
        <v>1524</v>
      </c>
      <c r="C66" t="s">
        <v>1242</v>
      </c>
      <c r="D66" t="s">
        <v>383</v>
      </c>
      <c r="E66">
        <v>11</v>
      </c>
      <c r="F66" t="s">
        <v>249</v>
      </c>
      <c r="G66" s="2">
        <v>43646</v>
      </c>
      <c r="H66" t="s">
        <v>191</v>
      </c>
      <c r="Q66">
        <f>P66 / (300 * 300) * 6.4516</f>
        <v>0</v>
      </c>
      <c r="AB66">
        <v>60.565864410000003</v>
      </c>
      <c r="AC66" t="s">
        <v>1607</v>
      </c>
    </row>
    <row r="67" spans="1:29" x14ac:dyDescent="0.25">
      <c r="A67">
        <v>429</v>
      </c>
      <c r="B67" t="s">
        <v>1258</v>
      </c>
      <c r="C67" t="s">
        <v>1002</v>
      </c>
      <c r="D67" t="s">
        <v>333</v>
      </c>
      <c r="E67">
        <v>3</v>
      </c>
      <c r="F67" t="s">
        <v>364</v>
      </c>
      <c r="G67" s="2">
        <v>42940</v>
      </c>
      <c r="H67" t="s">
        <v>192</v>
      </c>
      <c r="I67">
        <v>9.6999999999999993</v>
      </c>
      <c r="K67">
        <v>0.122</v>
      </c>
      <c r="L67">
        <v>10</v>
      </c>
      <c r="M67">
        <f>PI()*((I67/2)^2)/100 * L67</f>
        <v>7.38981131940659</v>
      </c>
      <c r="Q67">
        <f>P67 / (300 * 300) * 6.4516</f>
        <v>0</v>
      </c>
      <c r="S67" t="s">
        <v>201</v>
      </c>
      <c r="T67">
        <v>5</v>
      </c>
      <c r="U67">
        <v>98.81</v>
      </c>
      <c r="V67">
        <v>50.64</v>
      </c>
      <c r="W67">
        <f>(((U67/2) * (V67/2)) * PI())</f>
        <v>3929.9269494812866</v>
      </c>
      <c r="X67">
        <f>IF(ISNUMBER(T67), T67*W67, W67)</f>
        <v>19649.634747406431</v>
      </c>
      <c r="Y67">
        <v>0.57999999999999996</v>
      </c>
      <c r="Z67">
        <v>0.56999999999999995</v>
      </c>
      <c r="AA67">
        <v>0.53</v>
      </c>
      <c r="AB67">
        <f>M67/K67</f>
        <v>60.572223929562213</v>
      </c>
      <c r="AC67" t="s">
        <v>1003</v>
      </c>
    </row>
    <row r="68" spans="1:29" x14ac:dyDescent="0.25">
      <c r="A68">
        <v>247</v>
      </c>
      <c r="B68" t="s">
        <v>602</v>
      </c>
      <c r="D68" t="s">
        <v>385</v>
      </c>
      <c r="E68">
        <v>3</v>
      </c>
      <c r="F68" t="s">
        <v>255</v>
      </c>
      <c r="H68" t="s">
        <v>192</v>
      </c>
      <c r="I68">
        <v>9.6999999999999993</v>
      </c>
      <c r="K68">
        <v>0.13400000000000001</v>
      </c>
      <c r="L68">
        <v>11</v>
      </c>
      <c r="M68">
        <f>PI()*((I68/2)^2)/100 * L68</f>
        <v>8.1287924513472483</v>
      </c>
      <c r="Q68">
        <f>P68 / (300 * 300) * 6.4516</f>
        <v>0</v>
      </c>
      <c r="S68" t="s">
        <v>201</v>
      </c>
      <c r="T68">
        <v>5</v>
      </c>
      <c r="U68">
        <v>141.52000000000001</v>
      </c>
      <c r="V68">
        <v>46.41</v>
      </c>
      <c r="W68">
        <f>(((U68/2) * (V68/2)) * PI())</f>
        <v>5158.4505265787593</v>
      </c>
      <c r="X68">
        <f>IF(ISNUMBER(T68), T68*W68, W68)</f>
        <v>25792.252632893797</v>
      </c>
      <c r="Y68">
        <v>0.5</v>
      </c>
      <c r="Z68">
        <v>0.55000000000000004</v>
      </c>
      <c r="AA68">
        <v>0.56000000000000005</v>
      </c>
      <c r="AB68">
        <f>M68/K68</f>
        <v>60.662630233934685</v>
      </c>
    </row>
    <row r="69" spans="1:29" x14ac:dyDescent="0.25">
      <c r="A69">
        <v>7</v>
      </c>
      <c r="B69" t="s">
        <v>471</v>
      </c>
      <c r="C69" t="s">
        <v>1192</v>
      </c>
      <c r="D69" t="s">
        <v>384</v>
      </c>
      <c r="E69">
        <v>4</v>
      </c>
      <c r="F69" t="s">
        <v>252</v>
      </c>
      <c r="H69" t="s">
        <v>191</v>
      </c>
      <c r="I69" t="s">
        <v>135</v>
      </c>
      <c r="J69">
        <v>9.3350000000000009</v>
      </c>
      <c r="K69">
        <v>4.1680000000000001</v>
      </c>
      <c r="L69" t="s">
        <v>135</v>
      </c>
      <c r="N69">
        <f>(J69-K69)/J69</f>
        <v>0.55350830208891277</v>
      </c>
      <c r="O69" t="s">
        <v>51</v>
      </c>
      <c r="P69">
        <v>3527690</v>
      </c>
      <c r="Q69">
        <f>P69 / (300 * 300) * 6.4516</f>
        <v>252.88049782222222</v>
      </c>
      <c r="R69">
        <v>5</v>
      </c>
      <c r="S69" t="s">
        <v>195</v>
      </c>
      <c r="T69" t="s">
        <v>135</v>
      </c>
      <c r="U69" t="s">
        <v>135</v>
      </c>
      <c r="V69" t="s">
        <v>135</v>
      </c>
      <c r="W69">
        <f>Q69/R69 * 100</f>
        <v>5057.6099564444448</v>
      </c>
      <c r="X69">
        <f>W69</f>
        <v>5057.6099564444448</v>
      </c>
      <c r="Y69">
        <v>0.3</v>
      </c>
      <c r="Z69">
        <v>0.31</v>
      </c>
      <c r="AA69">
        <v>0.34</v>
      </c>
      <c r="AB69">
        <f>(Q69)/K69</f>
        <v>60.671904467903602</v>
      </c>
      <c r="AC69" t="s">
        <v>141</v>
      </c>
    </row>
    <row r="70" spans="1:29" x14ac:dyDescent="0.25">
      <c r="A70">
        <v>610</v>
      </c>
      <c r="B70" t="s">
        <v>1470</v>
      </c>
      <c r="C70" t="s">
        <v>74</v>
      </c>
      <c r="D70" t="s">
        <v>352</v>
      </c>
      <c r="E70">
        <v>2</v>
      </c>
      <c r="F70" t="s">
        <v>209</v>
      </c>
      <c r="G70" s="2">
        <v>43616</v>
      </c>
      <c r="H70" t="s">
        <v>191</v>
      </c>
      <c r="Q70">
        <f>P70 / (300 * 300) * 6.4516</f>
        <v>0</v>
      </c>
      <c r="AB70">
        <v>60.757863270000001</v>
      </c>
      <c r="AC70" t="s">
        <v>1607</v>
      </c>
    </row>
    <row r="71" spans="1:29" x14ac:dyDescent="0.25">
      <c r="A71">
        <v>537</v>
      </c>
      <c r="B71" t="s">
        <v>1370</v>
      </c>
      <c r="C71" t="s">
        <v>1371</v>
      </c>
      <c r="D71" t="s">
        <v>332</v>
      </c>
      <c r="E71">
        <v>11</v>
      </c>
      <c r="F71" t="s">
        <v>1367</v>
      </c>
      <c r="G71" s="2">
        <v>43616</v>
      </c>
      <c r="H71" t="s">
        <v>191</v>
      </c>
      <c r="Q71">
        <f>P71 / (300 * 300) * 6.4516</f>
        <v>0</v>
      </c>
      <c r="AB71">
        <v>60.809491870000002</v>
      </c>
      <c r="AC71" t="s">
        <v>1607</v>
      </c>
    </row>
    <row r="72" spans="1:29" x14ac:dyDescent="0.25">
      <c r="A72">
        <v>604</v>
      </c>
      <c r="B72" t="s">
        <v>1462</v>
      </c>
      <c r="C72" t="s">
        <v>601</v>
      </c>
      <c r="D72" t="s">
        <v>335</v>
      </c>
      <c r="E72">
        <v>3</v>
      </c>
      <c r="F72" t="s">
        <v>473</v>
      </c>
      <c r="G72" s="2">
        <v>43651</v>
      </c>
      <c r="H72" t="s">
        <v>191</v>
      </c>
      <c r="Q72">
        <f>P72 / (300 * 300) * 6.4516</f>
        <v>0</v>
      </c>
      <c r="AB72">
        <v>60.84660942</v>
      </c>
      <c r="AC72" t="s">
        <v>1607</v>
      </c>
    </row>
    <row r="73" spans="1:29" x14ac:dyDescent="0.25">
      <c r="A73">
        <v>189</v>
      </c>
      <c r="B73" t="s">
        <v>456</v>
      </c>
      <c r="D73" t="s">
        <v>342</v>
      </c>
      <c r="E73">
        <v>5</v>
      </c>
      <c r="F73" t="s">
        <v>214</v>
      </c>
      <c r="H73" t="s">
        <v>192</v>
      </c>
      <c r="I73">
        <v>9.6999999999999993</v>
      </c>
      <c r="K73">
        <v>0.17</v>
      </c>
      <c r="L73">
        <v>14</v>
      </c>
      <c r="M73">
        <f>PI()*((I73/2)^2)/100 * L73</f>
        <v>10.345735847169225</v>
      </c>
      <c r="Q73">
        <f>P73 / (300 * 300) * 6.4516</f>
        <v>0</v>
      </c>
      <c r="S73" t="s">
        <v>195</v>
      </c>
      <c r="T73" t="s">
        <v>135</v>
      </c>
      <c r="U73">
        <v>91.69</v>
      </c>
      <c r="V73">
        <v>34.799999999999997</v>
      </c>
      <c r="W73">
        <f>(((U73/2) * (V73/2)) * PI())</f>
        <v>2506.0578845465384</v>
      </c>
      <c r="X73">
        <f>IF(ISNUMBER(T73), T73*W73, W73)</f>
        <v>2506.0578845465384</v>
      </c>
      <c r="Y73">
        <v>0.44</v>
      </c>
      <c r="Z73">
        <v>0.45</v>
      </c>
      <c r="AA73">
        <v>0.38</v>
      </c>
      <c r="AB73">
        <f>M73/K73</f>
        <v>60.857269689230733</v>
      </c>
    </row>
    <row r="74" spans="1:29" x14ac:dyDescent="0.25">
      <c r="A74">
        <v>216</v>
      </c>
      <c r="B74" t="s">
        <v>522</v>
      </c>
      <c r="D74" t="s">
        <v>491</v>
      </c>
      <c r="E74">
        <v>1</v>
      </c>
      <c r="F74" t="s">
        <v>492</v>
      </c>
      <c r="H74" t="s">
        <v>192</v>
      </c>
      <c r="I74">
        <v>7.1</v>
      </c>
      <c r="K74">
        <v>7.8E-2</v>
      </c>
      <c r="L74">
        <v>12</v>
      </c>
      <c r="M74">
        <f>PI()*((I74/2)^2)/100 * L74</f>
        <v>4.7510305700238442</v>
      </c>
      <c r="Q74">
        <f>P74 / (300 * 300) * 6.4516</f>
        <v>0</v>
      </c>
      <c r="S74" t="s">
        <v>195</v>
      </c>
      <c r="T74" t="s">
        <v>135</v>
      </c>
      <c r="U74">
        <v>143.81</v>
      </c>
      <c r="V74">
        <v>62.22</v>
      </c>
      <c r="W74">
        <f>(((U74/2) * (V74/2)) * PI())</f>
        <v>7027.6313966207981</v>
      </c>
      <c r="X74">
        <f>IF(ISNUMBER(T74), T74*W74, W74)</f>
        <v>7027.6313966207981</v>
      </c>
      <c r="Y74">
        <v>0.33</v>
      </c>
      <c r="Z74">
        <v>0.34</v>
      </c>
      <c r="AA74">
        <v>0.33</v>
      </c>
      <c r="AB74">
        <f>M74/K74</f>
        <v>60.910648333639031</v>
      </c>
    </row>
    <row r="75" spans="1:29" x14ac:dyDescent="0.25">
      <c r="A75">
        <v>668</v>
      </c>
      <c r="B75" t="s">
        <v>1545</v>
      </c>
      <c r="C75" t="s">
        <v>1546</v>
      </c>
      <c r="D75" t="s">
        <v>381</v>
      </c>
      <c r="F75" t="s">
        <v>232</v>
      </c>
      <c r="G75" s="2">
        <v>43674</v>
      </c>
      <c r="H75" t="s">
        <v>191</v>
      </c>
      <c r="Q75">
        <f>P75 / (300 * 300) * 6.4516</f>
        <v>0</v>
      </c>
      <c r="AB75">
        <v>60.929259770000002</v>
      </c>
      <c r="AC75" t="s">
        <v>1607</v>
      </c>
    </row>
    <row r="76" spans="1:29" x14ac:dyDescent="0.25">
      <c r="A76">
        <v>308</v>
      </c>
      <c r="B76" t="s">
        <v>803</v>
      </c>
      <c r="D76" t="s">
        <v>382</v>
      </c>
      <c r="E76">
        <v>4</v>
      </c>
      <c r="F76" t="s">
        <v>246</v>
      </c>
      <c r="G76" s="2">
        <v>42927</v>
      </c>
      <c r="H76" t="s">
        <v>192</v>
      </c>
      <c r="I76">
        <v>9.6999999999999993</v>
      </c>
      <c r="K76">
        <v>0.121</v>
      </c>
      <c r="L76">
        <v>10</v>
      </c>
      <c r="M76">
        <f>PI()*((I76/2)^2)/100 * L76</f>
        <v>7.38981131940659</v>
      </c>
      <c r="Q76">
        <f>P76 / (300 * 300) * 6.4516</f>
        <v>0</v>
      </c>
      <c r="S76" t="s">
        <v>195</v>
      </c>
      <c r="T76" t="s">
        <v>135</v>
      </c>
      <c r="U76">
        <v>97.15</v>
      </c>
      <c r="V76">
        <v>36.65</v>
      </c>
      <c r="W76">
        <f>(((U76/2) * (V76/2)) * PI())</f>
        <v>2796.4474671893759</v>
      </c>
      <c r="X76">
        <f>IF(ISNUMBER(T76), T76*W76, W76)</f>
        <v>2796.4474671893759</v>
      </c>
      <c r="Y76">
        <v>0.47</v>
      </c>
      <c r="Z76">
        <v>0.45</v>
      </c>
      <c r="AA76">
        <v>0.45</v>
      </c>
      <c r="AB76">
        <f>M76/K76</f>
        <v>61.072820821542066</v>
      </c>
    </row>
    <row r="77" spans="1:29" x14ac:dyDescent="0.25">
      <c r="A77">
        <v>525</v>
      </c>
      <c r="B77" t="s">
        <v>1355</v>
      </c>
      <c r="C77" t="s">
        <v>592</v>
      </c>
      <c r="D77" t="s">
        <v>593</v>
      </c>
      <c r="E77">
        <v>1</v>
      </c>
      <c r="F77" t="s">
        <v>1356</v>
      </c>
      <c r="G77" s="2">
        <v>43673</v>
      </c>
      <c r="H77" t="s">
        <v>191</v>
      </c>
      <c r="Q77">
        <f>P77 / (300 * 300) * 6.4516</f>
        <v>0</v>
      </c>
      <c r="AB77">
        <v>61.138835569999998</v>
      </c>
      <c r="AC77" t="s">
        <v>1607</v>
      </c>
    </row>
    <row r="78" spans="1:29" x14ac:dyDescent="0.25">
      <c r="A78">
        <v>490</v>
      </c>
      <c r="B78" t="s">
        <v>1315</v>
      </c>
      <c r="C78" t="s">
        <v>470</v>
      </c>
      <c r="D78" t="s">
        <v>384</v>
      </c>
      <c r="E78">
        <v>1</v>
      </c>
      <c r="F78" t="s">
        <v>252</v>
      </c>
      <c r="G78" s="2">
        <v>43636</v>
      </c>
      <c r="H78" t="s">
        <v>191</v>
      </c>
      <c r="Q78">
        <f>P78 / (300 * 300) * 6.4516</f>
        <v>0</v>
      </c>
      <c r="AB78">
        <v>61.478493460000003</v>
      </c>
      <c r="AC78" t="s">
        <v>1607</v>
      </c>
    </row>
    <row r="79" spans="1:29" x14ac:dyDescent="0.25">
      <c r="A79">
        <v>52</v>
      </c>
      <c r="B79" t="s">
        <v>87</v>
      </c>
      <c r="D79" t="s">
        <v>357</v>
      </c>
      <c r="E79">
        <v>1</v>
      </c>
      <c r="F79" t="s">
        <v>272</v>
      </c>
      <c r="H79" t="s">
        <v>191</v>
      </c>
      <c r="I79" t="s">
        <v>135</v>
      </c>
      <c r="J79" t="s">
        <v>135</v>
      </c>
      <c r="K79">
        <v>5.25</v>
      </c>
      <c r="L79" t="s">
        <v>135</v>
      </c>
      <c r="N79" t="s">
        <v>135</v>
      </c>
      <c r="O79" t="s">
        <v>181</v>
      </c>
      <c r="P79">
        <v>4506815</v>
      </c>
      <c r="Q79">
        <f>P79 / (300 * 300) * 6.4516</f>
        <v>323.06852948888888</v>
      </c>
      <c r="R79">
        <v>10</v>
      </c>
      <c r="S79" t="s">
        <v>195</v>
      </c>
      <c r="T79" t="s">
        <v>135</v>
      </c>
      <c r="U79" t="s">
        <v>135</v>
      </c>
      <c r="V79" t="s">
        <v>135</v>
      </c>
      <c r="W79">
        <f>(Q79/R79) * 100</f>
        <v>3230.6852948888891</v>
      </c>
      <c r="X79">
        <f>W79</f>
        <v>3230.6852948888891</v>
      </c>
      <c r="Y79">
        <v>0.28000000000000003</v>
      </c>
      <c r="Z79">
        <v>0.36</v>
      </c>
      <c r="AA79">
        <v>0.37</v>
      </c>
      <c r="AB79">
        <f>(Q79)/K79</f>
        <v>61.536862759788356</v>
      </c>
    </row>
    <row r="80" spans="1:29" x14ac:dyDescent="0.25">
      <c r="A80">
        <v>527</v>
      </c>
      <c r="B80" t="s">
        <v>1358</v>
      </c>
      <c r="C80" t="s">
        <v>727</v>
      </c>
      <c r="D80" t="s">
        <v>593</v>
      </c>
      <c r="E80">
        <v>3</v>
      </c>
      <c r="F80" t="s">
        <v>1356</v>
      </c>
      <c r="G80" s="2">
        <v>43673</v>
      </c>
      <c r="H80" t="s">
        <v>191</v>
      </c>
      <c r="Q80">
        <f>P80 / (300 * 300) * 6.4516</f>
        <v>0</v>
      </c>
      <c r="AB80">
        <v>61.540577839999997</v>
      </c>
      <c r="AC80" t="s">
        <v>1607</v>
      </c>
    </row>
    <row r="81" spans="1:29" x14ac:dyDescent="0.25">
      <c r="A81">
        <v>529</v>
      </c>
      <c r="B81" t="s">
        <v>1360</v>
      </c>
      <c r="C81" t="s">
        <v>749</v>
      </c>
      <c r="D81" t="s">
        <v>593</v>
      </c>
      <c r="E81">
        <v>5</v>
      </c>
      <c r="F81" t="s">
        <v>1356</v>
      </c>
      <c r="G81" s="2">
        <v>43673</v>
      </c>
      <c r="H81" t="s">
        <v>191</v>
      </c>
      <c r="Q81">
        <f>P81 / (300 * 300) * 6.4516</f>
        <v>0</v>
      </c>
      <c r="AB81">
        <v>61.55974415</v>
      </c>
      <c r="AC81" t="s">
        <v>1607</v>
      </c>
    </row>
    <row r="82" spans="1:29" x14ac:dyDescent="0.25">
      <c r="A82">
        <v>585</v>
      </c>
      <c r="B82" t="s">
        <v>1438</v>
      </c>
      <c r="C82" t="s">
        <v>1070</v>
      </c>
      <c r="D82" t="s">
        <v>343</v>
      </c>
      <c r="E82">
        <v>5</v>
      </c>
      <c r="F82" t="s">
        <v>323</v>
      </c>
      <c r="G82" s="2">
        <v>43659</v>
      </c>
      <c r="H82" t="s">
        <v>191</v>
      </c>
      <c r="Q82">
        <f>P82 / (300 * 300) * 6.4516</f>
        <v>0</v>
      </c>
      <c r="AB82">
        <v>61.6409959</v>
      </c>
      <c r="AC82" t="s">
        <v>1607</v>
      </c>
    </row>
    <row r="83" spans="1:29" x14ac:dyDescent="0.25">
      <c r="A83">
        <v>218</v>
      </c>
      <c r="B83" t="s">
        <v>524</v>
      </c>
      <c r="D83" t="s">
        <v>494</v>
      </c>
      <c r="E83">
        <v>2</v>
      </c>
      <c r="F83" t="s">
        <v>495</v>
      </c>
      <c r="H83" t="s">
        <v>192</v>
      </c>
      <c r="I83">
        <v>7.1</v>
      </c>
      <c r="K83">
        <v>7.6999999999999999E-2</v>
      </c>
      <c r="L83">
        <v>12</v>
      </c>
      <c r="M83">
        <f>PI()*((I83/2)^2)/100 * L83</f>
        <v>4.7510305700238442</v>
      </c>
      <c r="Q83">
        <f>P83 / (300 * 300) * 6.4516</f>
        <v>0</v>
      </c>
      <c r="S83" t="s">
        <v>195</v>
      </c>
      <c r="T83" t="s">
        <v>135</v>
      </c>
      <c r="U83">
        <v>180</v>
      </c>
      <c r="V83">
        <v>85.78</v>
      </c>
      <c r="W83">
        <f>(((U83/2) * (V83/2)) * PI())</f>
        <v>12126.861802121961</v>
      </c>
      <c r="X83">
        <f>IF(ISNUMBER(T83), T83*W83, W83)</f>
        <v>12126.861802121961</v>
      </c>
      <c r="Y83">
        <v>0.34</v>
      </c>
      <c r="Z83">
        <v>0.35</v>
      </c>
      <c r="AA83">
        <v>0.37</v>
      </c>
      <c r="AB83">
        <f>M83/K83</f>
        <v>61.701695714595381</v>
      </c>
    </row>
    <row r="84" spans="1:29" x14ac:dyDescent="0.25">
      <c r="A84">
        <v>654</v>
      </c>
      <c r="B84" t="s">
        <v>1522</v>
      </c>
      <c r="C84" t="s">
        <v>1242</v>
      </c>
      <c r="D84" t="s">
        <v>383</v>
      </c>
      <c r="E84">
        <v>1</v>
      </c>
      <c r="F84" t="s">
        <v>1523</v>
      </c>
      <c r="G84" s="2">
        <v>43613</v>
      </c>
      <c r="H84" t="s">
        <v>191</v>
      </c>
      <c r="Q84">
        <f>P84 / (300 * 300) * 6.4516</f>
        <v>0</v>
      </c>
      <c r="AB84">
        <v>61.729718239999997</v>
      </c>
      <c r="AC84" t="s">
        <v>1607</v>
      </c>
    </row>
    <row r="85" spans="1:29" x14ac:dyDescent="0.25">
      <c r="A85">
        <v>703</v>
      </c>
      <c r="B85" t="s">
        <v>1586</v>
      </c>
      <c r="C85" t="s">
        <v>1587</v>
      </c>
      <c r="D85" t="s">
        <v>376</v>
      </c>
      <c r="F85" t="s">
        <v>312</v>
      </c>
      <c r="G85" s="2">
        <v>43649</v>
      </c>
      <c r="H85" t="s">
        <v>191</v>
      </c>
      <c r="Q85">
        <f>P85 / (300 * 300) * 6.4516</f>
        <v>0</v>
      </c>
      <c r="AB85">
        <v>61.824703919999997</v>
      </c>
      <c r="AC85" t="s">
        <v>1607</v>
      </c>
    </row>
    <row r="86" spans="1:29" x14ac:dyDescent="0.25">
      <c r="A86">
        <v>39</v>
      </c>
      <c r="B86" t="s">
        <v>1225</v>
      </c>
      <c r="C86" t="s">
        <v>100</v>
      </c>
      <c r="D86" t="s">
        <v>337</v>
      </c>
      <c r="F86" t="s">
        <v>15</v>
      </c>
      <c r="H86" t="s">
        <v>191</v>
      </c>
      <c r="I86" t="s">
        <v>135</v>
      </c>
      <c r="J86">
        <v>4.3250000000000002</v>
      </c>
      <c r="K86">
        <v>2.036</v>
      </c>
      <c r="L86" t="s">
        <v>135</v>
      </c>
      <c r="N86">
        <f>(J86-K86)/J86</f>
        <v>0.52924855491329481</v>
      </c>
      <c r="O86" t="s">
        <v>166</v>
      </c>
      <c r="P86">
        <v>1757077</v>
      </c>
      <c r="Q86">
        <f>P86 / (300 * 300) * 6.4516</f>
        <v>125.95508859111112</v>
      </c>
      <c r="R86">
        <v>5</v>
      </c>
      <c r="S86" t="s">
        <v>195</v>
      </c>
      <c r="T86" t="s">
        <v>135</v>
      </c>
      <c r="U86" t="s">
        <v>135</v>
      </c>
      <c r="V86" t="s">
        <v>135</v>
      </c>
      <c r="W86">
        <f>Q86*100/R86</f>
        <v>2519.1017718222224</v>
      </c>
      <c r="X86">
        <f>W86</f>
        <v>2519.1017718222224</v>
      </c>
      <c r="Y86">
        <v>0.36</v>
      </c>
      <c r="Z86">
        <v>0.35</v>
      </c>
      <c r="AA86">
        <v>0.3</v>
      </c>
      <c r="AB86">
        <f>(Q86)/K86</f>
        <v>61.863992431783458</v>
      </c>
      <c r="AC86" t="s">
        <v>121</v>
      </c>
    </row>
    <row r="87" spans="1:29" x14ac:dyDescent="0.25">
      <c r="A87">
        <v>138</v>
      </c>
      <c r="B87" t="s">
        <v>297</v>
      </c>
      <c r="D87" t="s">
        <v>390</v>
      </c>
      <c r="E87">
        <v>1</v>
      </c>
      <c r="F87" t="s">
        <v>298</v>
      </c>
      <c r="H87" t="s">
        <v>192</v>
      </c>
      <c r="I87">
        <v>9.6999999999999993</v>
      </c>
      <c r="J87" t="s">
        <v>135</v>
      </c>
      <c r="K87">
        <v>0.215</v>
      </c>
      <c r="L87">
        <v>18</v>
      </c>
      <c r="M87">
        <f>PI()*((I87/2)^2)/100 * L87</f>
        <v>13.301660374931862</v>
      </c>
      <c r="N87" t="s">
        <v>135</v>
      </c>
      <c r="O87" t="s">
        <v>135</v>
      </c>
      <c r="Q87">
        <f>P87 / (300 * 300) * 6.4516</f>
        <v>0</v>
      </c>
      <c r="R87" t="s">
        <v>135</v>
      </c>
      <c r="S87" t="s">
        <v>195</v>
      </c>
      <c r="T87" t="s">
        <v>135</v>
      </c>
      <c r="U87">
        <v>106.09</v>
      </c>
      <c r="V87">
        <v>41.25</v>
      </c>
      <c r="W87">
        <f>(((U87/2) * (V87/2)) * PI())</f>
        <v>3437.069260136956</v>
      </c>
      <c r="X87">
        <f>IF(ISNUMBER(T87), T87*W87, W87)</f>
        <v>3437.069260136956</v>
      </c>
      <c r="Y87">
        <v>0.5</v>
      </c>
      <c r="Z87">
        <v>0.47</v>
      </c>
      <c r="AA87">
        <v>0.45</v>
      </c>
      <c r="AB87">
        <f>M87/K87</f>
        <v>61.868187790380752</v>
      </c>
    </row>
    <row r="88" spans="1:29" x14ac:dyDescent="0.25">
      <c r="A88">
        <v>685</v>
      </c>
      <c r="B88" t="s">
        <v>1566</v>
      </c>
      <c r="C88" t="s">
        <v>623</v>
      </c>
      <c r="D88" t="s">
        <v>338</v>
      </c>
      <c r="F88" t="s">
        <v>19</v>
      </c>
      <c r="G88" s="2">
        <v>43616</v>
      </c>
      <c r="H88" t="s">
        <v>191</v>
      </c>
      <c r="Q88">
        <f>P88 / (300 * 300) * 6.4516</f>
        <v>0</v>
      </c>
      <c r="AB88">
        <v>62.016736999999999</v>
      </c>
      <c r="AC88" t="s">
        <v>1607</v>
      </c>
    </row>
    <row r="89" spans="1:29" x14ac:dyDescent="0.25">
      <c r="A89">
        <v>683</v>
      </c>
      <c r="B89" t="s">
        <v>1564</v>
      </c>
      <c r="C89" t="s">
        <v>77</v>
      </c>
      <c r="D89" t="s">
        <v>338</v>
      </c>
      <c r="F89" t="s">
        <v>19</v>
      </c>
      <c r="G89" s="2">
        <v>43616</v>
      </c>
      <c r="H89" t="s">
        <v>191</v>
      </c>
      <c r="Q89">
        <f>P89 / (300 * 300) * 6.4516</f>
        <v>0</v>
      </c>
      <c r="AB89">
        <v>62.08791025</v>
      </c>
      <c r="AC89" t="s">
        <v>1607</v>
      </c>
    </row>
    <row r="90" spans="1:29" x14ac:dyDescent="0.25">
      <c r="A90">
        <v>279</v>
      </c>
      <c r="B90" t="s">
        <v>747</v>
      </c>
      <c r="D90" t="s">
        <v>341</v>
      </c>
      <c r="E90">
        <v>5</v>
      </c>
      <c r="F90" t="s">
        <v>391</v>
      </c>
      <c r="G90" s="2">
        <v>42923</v>
      </c>
      <c r="H90" t="s">
        <v>192</v>
      </c>
      <c r="I90">
        <v>9.6999999999999993</v>
      </c>
      <c r="K90">
        <v>0.11899999999999999</v>
      </c>
      <c r="L90">
        <v>10</v>
      </c>
      <c r="M90">
        <f>PI()*((I90/2)^2)/100 * L90</f>
        <v>7.38981131940659</v>
      </c>
      <c r="Q90">
        <f>P90 / (300 * 300) * 6.4516</f>
        <v>0</v>
      </c>
      <c r="S90" t="s">
        <v>195</v>
      </c>
      <c r="T90" t="s">
        <v>135</v>
      </c>
      <c r="U90">
        <v>123.51</v>
      </c>
      <c r="V90">
        <v>43.47</v>
      </c>
      <c r="W90">
        <f>(((U90/2) * (V90/2)) * PI())</f>
        <v>4216.7867956981827</v>
      </c>
      <c r="X90">
        <f>IF(ISNUMBER(T90), T90*W90, W90)</f>
        <v>4216.7867956981827</v>
      </c>
      <c r="Y90">
        <v>0.34</v>
      </c>
      <c r="Z90">
        <v>0.33</v>
      </c>
      <c r="AA90">
        <v>0.34</v>
      </c>
      <c r="AB90">
        <f>M90/K90</f>
        <v>62.099254784929329</v>
      </c>
    </row>
    <row r="91" spans="1:29" x14ac:dyDescent="0.25">
      <c r="A91">
        <v>540</v>
      </c>
      <c r="B91" t="s">
        <v>1376</v>
      </c>
      <c r="C91" t="s">
        <v>1377</v>
      </c>
      <c r="D91" t="s">
        <v>332</v>
      </c>
      <c r="E91">
        <v>14</v>
      </c>
      <c r="F91" t="s">
        <v>1367</v>
      </c>
      <c r="G91" s="2">
        <v>43616</v>
      </c>
      <c r="H91" t="s">
        <v>191</v>
      </c>
      <c r="Q91">
        <f>P91 / (300 * 300) * 6.4516</f>
        <v>0</v>
      </c>
      <c r="AB91">
        <v>62.100430690000003</v>
      </c>
      <c r="AC91" t="s">
        <v>1607</v>
      </c>
    </row>
    <row r="92" spans="1:29" x14ac:dyDescent="0.25">
      <c r="A92">
        <v>119</v>
      </c>
      <c r="B92" t="s">
        <v>1222</v>
      </c>
      <c r="C92" t="s">
        <v>259</v>
      </c>
      <c r="D92" t="s">
        <v>386</v>
      </c>
      <c r="E92">
        <v>1</v>
      </c>
      <c r="F92" t="s">
        <v>260</v>
      </c>
      <c r="H92" t="s">
        <v>192</v>
      </c>
      <c r="I92">
        <v>7.1</v>
      </c>
      <c r="J92" t="s">
        <v>135</v>
      </c>
      <c r="K92">
        <v>7.0000000000000007E-2</v>
      </c>
      <c r="L92">
        <v>11</v>
      </c>
      <c r="M92">
        <f>PI()*((I92/2)^2)/100 * L92</f>
        <v>4.3551113558551906</v>
      </c>
      <c r="N92" t="s">
        <v>135</v>
      </c>
      <c r="O92" t="s">
        <v>135</v>
      </c>
      <c r="Q92">
        <f>P92 / (300 * 300) * 6.4516</f>
        <v>0</v>
      </c>
      <c r="R92" t="s">
        <v>135</v>
      </c>
      <c r="S92" t="s">
        <v>195</v>
      </c>
      <c r="T92" t="s">
        <v>135</v>
      </c>
      <c r="U92">
        <v>63.88</v>
      </c>
      <c r="V92">
        <v>27.02</v>
      </c>
      <c r="W92">
        <f>(((U92/2) * (V92/2)) * PI())</f>
        <v>1355.6267609949396</v>
      </c>
      <c r="X92">
        <f>IF(ISNUMBER(T92), T92*W92, W92)</f>
        <v>1355.6267609949396</v>
      </c>
      <c r="Y92">
        <v>0.45</v>
      </c>
      <c r="Z92">
        <v>0.38</v>
      </c>
      <c r="AA92">
        <v>0.4</v>
      </c>
      <c r="AB92">
        <f>M92/K92</f>
        <v>62.215876512217001</v>
      </c>
      <c r="AC92" t="s">
        <v>261</v>
      </c>
    </row>
    <row r="93" spans="1:29" x14ac:dyDescent="0.25">
      <c r="A93">
        <v>620</v>
      </c>
      <c r="B93" t="s">
        <v>1483</v>
      </c>
      <c r="C93" t="s">
        <v>288</v>
      </c>
      <c r="D93" t="s">
        <v>378</v>
      </c>
      <c r="E93">
        <v>3</v>
      </c>
      <c r="F93" t="s">
        <v>227</v>
      </c>
      <c r="G93" s="2">
        <v>43669</v>
      </c>
      <c r="H93" t="s">
        <v>191</v>
      </c>
      <c r="Q93">
        <f>P93 / (300 * 300) * 6.4516</f>
        <v>0</v>
      </c>
      <c r="AB93">
        <v>62.48379431</v>
      </c>
      <c r="AC93" t="s">
        <v>1607</v>
      </c>
    </row>
    <row r="94" spans="1:29" x14ac:dyDescent="0.25">
      <c r="A94">
        <v>127</v>
      </c>
      <c r="B94" t="s">
        <v>285</v>
      </c>
      <c r="D94" t="s">
        <v>388</v>
      </c>
      <c r="E94">
        <v>3</v>
      </c>
      <c r="F94" t="s">
        <v>284</v>
      </c>
      <c r="H94" t="s">
        <v>192</v>
      </c>
      <c r="I94">
        <v>7.1</v>
      </c>
      <c r="J94" t="s">
        <v>135</v>
      </c>
      <c r="K94">
        <v>7.5999999999999998E-2</v>
      </c>
      <c r="L94">
        <v>12</v>
      </c>
      <c r="M94">
        <f>PI()*((I94/2)^2)/100 * L94</f>
        <v>4.7510305700238442</v>
      </c>
      <c r="N94" t="s">
        <v>135</v>
      </c>
      <c r="O94" t="s">
        <v>135</v>
      </c>
      <c r="Q94">
        <f>P94 / (300 * 300) * 6.4516</f>
        <v>0</v>
      </c>
      <c r="R94" t="s">
        <v>135</v>
      </c>
      <c r="S94" t="s">
        <v>195</v>
      </c>
      <c r="T94" t="s">
        <v>135</v>
      </c>
      <c r="U94">
        <v>86.21</v>
      </c>
      <c r="V94">
        <v>24.76</v>
      </c>
      <c r="W94">
        <f>(((U94/2) * (V94/2)) * PI())</f>
        <v>1676.4791895023918</v>
      </c>
      <c r="X94">
        <f>IF(ISNUMBER(T94), T94*W94, W94)</f>
        <v>1676.4791895023918</v>
      </c>
      <c r="Y94">
        <v>0.37</v>
      </c>
      <c r="Z94">
        <v>0.34</v>
      </c>
      <c r="AA94">
        <v>0.37</v>
      </c>
      <c r="AB94">
        <f>M94/K94</f>
        <v>62.513560131892689</v>
      </c>
    </row>
    <row r="95" spans="1:29" x14ac:dyDescent="0.25">
      <c r="A95">
        <v>505</v>
      </c>
      <c r="B95" t="s">
        <v>1335</v>
      </c>
      <c r="C95" t="s">
        <v>107</v>
      </c>
      <c r="D95" t="s">
        <v>373</v>
      </c>
      <c r="E95">
        <v>1</v>
      </c>
      <c r="F95" t="s">
        <v>204</v>
      </c>
      <c r="G95" s="2">
        <v>43654</v>
      </c>
      <c r="H95" t="s">
        <v>191</v>
      </c>
      <c r="Q95">
        <f>P95 / (300 * 300) * 6.4516</f>
        <v>0</v>
      </c>
      <c r="AB95">
        <v>62.619461139999999</v>
      </c>
      <c r="AC95" t="s">
        <v>1607</v>
      </c>
    </row>
    <row r="96" spans="1:29" x14ac:dyDescent="0.25">
      <c r="A96">
        <v>428</v>
      </c>
      <c r="B96" t="s">
        <v>1001</v>
      </c>
      <c r="D96" t="s">
        <v>345</v>
      </c>
      <c r="E96">
        <v>5</v>
      </c>
      <c r="F96" t="s">
        <v>350</v>
      </c>
      <c r="G96" s="2">
        <v>42940</v>
      </c>
      <c r="H96" t="s">
        <v>192</v>
      </c>
      <c r="I96">
        <v>9.6999999999999993</v>
      </c>
      <c r="K96">
        <v>0.11799999999999999</v>
      </c>
      <c r="L96">
        <v>10</v>
      </c>
      <c r="M96">
        <f>PI()*((I96/2)^2)/100 * L96</f>
        <v>7.38981131940659</v>
      </c>
      <c r="Q96">
        <f>P96 / (300 * 300) * 6.4516</f>
        <v>0</v>
      </c>
      <c r="S96" t="s">
        <v>195</v>
      </c>
      <c r="T96" t="s">
        <v>135</v>
      </c>
      <c r="U96">
        <f>156+59.73</f>
        <v>215.73</v>
      </c>
      <c r="V96">
        <v>56.77</v>
      </c>
      <c r="W96">
        <f>(((U96/2) * (V96/2)) * PI())</f>
        <v>9618.7651024830575</v>
      </c>
      <c r="X96">
        <f>IF(ISNUMBER(T96), T96*W96, W96)</f>
        <v>9618.7651024830575</v>
      </c>
      <c r="Y96">
        <v>0.51</v>
      </c>
      <c r="Z96">
        <v>0.5</v>
      </c>
      <c r="AA96">
        <v>0.51</v>
      </c>
      <c r="AB96">
        <f>M96/K96</f>
        <v>62.625519655988057</v>
      </c>
    </row>
    <row r="97" spans="1:29" x14ac:dyDescent="0.25">
      <c r="A97">
        <v>666</v>
      </c>
      <c r="B97" t="s">
        <v>1541</v>
      </c>
      <c r="C97" t="s">
        <v>1542</v>
      </c>
      <c r="D97" t="s">
        <v>381</v>
      </c>
      <c r="F97" t="s">
        <v>232</v>
      </c>
      <c r="G97" s="2">
        <v>43673</v>
      </c>
      <c r="H97" t="s">
        <v>191</v>
      </c>
      <c r="Q97">
        <f>P97 / (300 * 300) * 6.4516</f>
        <v>0</v>
      </c>
      <c r="AB97">
        <v>62.701859169999999</v>
      </c>
      <c r="AC97" t="s">
        <v>1607</v>
      </c>
    </row>
    <row r="98" spans="1:29" x14ac:dyDescent="0.25">
      <c r="A98">
        <v>49</v>
      </c>
      <c r="B98" t="s">
        <v>84</v>
      </c>
      <c r="D98" t="s">
        <v>366</v>
      </c>
      <c r="E98">
        <v>2</v>
      </c>
      <c r="F98" t="s">
        <v>269</v>
      </c>
      <c r="H98" t="s">
        <v>191</v>
      </c>
      <c r="I98" t="s">
        <v>135</v>
      </c>
      <c r="J98">
        <v>12.606</v>
      </c>
      <c r="K98">
        <v>5.7480000000000002</v>
      </c>
      <c r="L98" t="s">
        <v>135</v>
      </c>
      <c r="N98">
        <f>(J98-K98)/J98</f>
        <v>0.54402665397429795</v>
      </c>
      <c r="O98" t="s">
        <v>145</v>
      </c>
      <c r="P98">
        <f>3021632+2018459</f>
        <v>5040091</v>
      </c>
      <c r="Q98">
        <f>P98 / (300 * 300) * 6.4516</f>
        <v>361.29612328444443</v>
      </c>
      <c r="R98">
        <v>2</v>
      </c>
      <c r="S98" t="s">
        <v>201</v>
      </c>
      <c r="T98">
        <v>25</v>
      </c>
      <c r="U98" t="s">
        <v>135</v>
      </c>
      <c r="V98" t="s">
        <v>135</v>
      </c>
      <c r="W98">
        <f>Q98*100/T98</f>
        <v>1445.1844931377775</v>
      </c>
      <c r="X98">
        <f>Q98*100/R98</f>
        <v>18064.80616422222</v>
      </c>
      <c r="Y98">
        <v>0.28000000000000003</v>
      </c>
      <c r="Z98">
        <v>0.31</v>
      </c>
      <c r="AA98">
        <v>0.33</v>
      </c>
      <c r="AB98">
        <f>(Q98)/K98</f>
        <v>62.855971343849063</v>
      </c>
    </row>
    <row r="99" spans="1:29" x14ac:dyDescent="0.25">
      <c r="A99">
        <v>549</v>
      </c>
      <c r="B99" t="s">
        <v>1389</v>
      </c>
      <c r="C99" t="s">
        <v>1390</v>
      </c>
      <c r="D99" t="s">
        <v>332</v>
      </c>
      <c r="E99">
        <v>9</v>
      </c>
      <c r="F99" t="s">
        <v>1367</v>
      </c>
      <c r="G99" s="2">
        <v>43616</v>
      </c>
      <c r="H99" t="s">
        <v>191</v>
      </c>
      <c r="Q99">
        <f>P99 / (300 * 300) * 6.4516</f>
        <v>0</v>
      </c>
      <c r="AB99">
        <v>62.993812779999999</v>
      </c>
      <c r="AC99" t="s">
        <v>1607</v>
      </c>
    </row>
    <row r="100" spans="1:29" x14ac:dyDescent="0.25">
      <c r="A100">
        <v>708</v>
      </c>
      <c r="B100" t="s">
        <v>1592</v>
      </c>
      <c r="C100" t="s">
        <v>583</v>
      </c>
      <c r="D100" t="s">
        <v>488</v>
      </c>
      <c r="F100" t="s">
        <v>489</v>
      </c>
      <c r="G100" s="2">
        <v>43660</v>
      </c>
      <c r="H100" t="s">
        <v>191</v>
      </c>
      <c r="Q100">
        <f>P100 / (300 * 300) * 6.4516</f>
        <v>0</v>
      </c>
      <c r="AB100">
        <v>63.09551776</v>
      </c>
      <c r="AC100" t="s">
        <v>1607</v>
      </c>
    </row>
    <row r="101" spans="1:29" x14ac:dyDescent="0.25">
      <c r="A101">
        <v>547</v>
      </c>
      <c r="B101" t="s">
        <v>1385</v>
      </c>
      <c r="C101" t="s">
        <v>1386</v>
      </c>
      <c r="D101" t="s">
        <v>332</v>
      </c>
      <c r="E101">
        <v>7</v>
      </c>
      <c r="F101" t="s">
        <v>1367</v>
      </c>
      <c r="G101" s="2">
        <v>43614</v>
      </c>
      <c r="H101" t="s">
        <v>191</v>
      </c>
      <c r="Q101">
        <f>P101 / (300 * 300) * 6.4516</f>
        <v>0</v>
      </c>
      <c r="AB101">
        <v>63.205805419999997</v>
      </c>
      <c r="AC101" t="s">
        <v>1607</v>
      </c>
    </row>
    <row r="102" spans="1:29" x14ac:dyDescent="0.25">
      <c r="A102">
        <v>701</v>
      </c>
      <c r="B102" t="s">
        <v>1584</v>
      </c>
      <c r="C102" t="s">
        <v>1256</v>
      </c>
      <c r="D102" t="s">
        <v>376</v>
      </c>
      <c r="F102" t="s">
        <v>312</v>
      </c>
      <c r="G102" s="2">
        <v>43649</v>
      </c>
      <c r="H102" t="s">
        <v>191</v>
      </c>
      <c r="Q102">
        <f>P102 / (300 * 300) * 6.4516</f>
        <v>0</v>
      </c>
      <c r="AB102">
        <v>63.210588960000003</v>
      </c>
      <c r="AC102" t="s">
        <v>1607</v>
      </c>
    </row>
    <row r="103" spans="1:29" x14ac:dyDescent="0.25">
      <c r="A103">
        <v>738</v>
      </c>
      <c r="B103" t="s">
        <v>1299</v>
      </c>
      <c r="D103" t="s">
        <v>1272</v>
      </c>
      <c r="E103">
        <v>4</v>
      </c>
      <c r="F103" t="s">
        <v>1695</v>
      </c>
      <c r="G103" s="3">
        <v>43640</v>
      </c>
      <c r="H103" t="s">
        <v>191</v>
      </c>
      <c r="K103">
        <v>4.0910000000000002</v>
      </c>
      <c r="P103">
        <v>3615510</v>
      </c>
      <c r="Q103">
        <f>P103 / (300 * 300) * 6.4516</f>
        <v>259.17582573333334</v>
      </c>
      <c r="S103" t="s">
        <v>1073</v>
      </c>
      <c r="Y103">
        <v>0.27</v>
      </c>
      <c r="Z103">
        <v>0.28000000000000003</v>
      </c>
      <c r="AA103">
        <v>0.27</v>
      </c>
      <c r="AB103">
        <f>Q103/K103</f>
        <v>63.35268289741709</v>
      </c>
    </row>
    <row r="104" spans="1:29" x14ac:dyDescent="0.25">
      <c r="A104">
        <v>494</v>
      </c>
      <c r="B104" t="s">
        <v>1319</v>
      </c>
      <c r="C104" t="s">
        <v>1197</v>
      </c>
      <c r="D104" t="s">
        <v>384</v>
      </c>
      <c r="E104">
        <v>5</v>
      </c>
      <c r="F104" t="s">
        <v>252</v>
      </c>
      <c r="G104" s="2">
        <v>43635</v>
      </c>
      <c r="H104" t="s">
        <v>191</v>
      </c>
      <c r="Q104">
        <f>P104 / (300 * 300) * 6.4516</f>
        <v>0</v>
      </c>
      <c r="AB104">
        <v>63.426638680000003</v>
      </c>
      <c r="AC104" t="s">
        <v>1607</v>
      </c>
    </row>
    <row r="105" spans="1:29" x14ac:dyDescent="0.25">
      <c r="A105">
        <v>79</v>
      </c>
      <c r="B105" t="s">
        <v>1196</v>
      </c>
      <c r="C105" t="s">
        <v>116</v>
      </c>
      <c r="D105" t="s">
        <v>384</v>
      </c>
      <c r="E105">
        <v>7</v>
      </c>
      <c r="F105" t="s">
        <v>252</v>
      </c>
      <c r="H105" t="s">
        <v>191</v>
      </c>
      <c r="I105" t="s">
        <v>135</v>
      </c>
      <c r="J105">
        <v>17.971</v>
      </c>
      <c r="K105">
        <v>6.8979999999999997</v>
      </c>
      <c r="L105" t="s">
        <v>135</v>
      </c>
      <c r="N105">
        <f>(J105-K105)/J105</f>
        <v>0.616159367870458</v>
      </c>
      <c r="O105" t="s">
        <v>179</v>
      </c>
      <c r="P105">
        <v>6113830</v>
      </c>
      <c r="Q105">
        <f>P105 / (300 * 300) * 6.4516</f>
        <v>438.26650697777774</v>
      </c>
      <c r="R105">
        <v>5</v>
      </c>
      <c r="S105" t="s">
        <v>195</v>
      </c>
      <c r="T105" t="s">
        <v>135</v>
      </c>
      <c r="U105" t="s">
        <v>135</v>
      </c>
      <c r="V105" t="s">
        <v>135</v>
      </c>
      <c r="W105">
        <f>(Q105/R105)*100</f>
        <v>8765.3301395555536</v>
      </c>
      <c r="X105">
        <f>W105</f>
        <v>8765.3301395555536</v>
      </c>
      <c r="Y105">
        <v>0.35</v>
      </c>
      <c r="Z105">
        <v>0.35</v>
      </c>
      <c r="AA105">
        <v>0.35</v>
      </c>
      <c r="AB105">
        <f>(Q105)/K105</f>
        <v>63.53530109854708</v>
      </c>
    </row>
    <row r="106" spans="1:29" x14ac:dyDescent="0.25">
      <c r="A106">
        <v>426</v>
      </c>
      <c r="B106" t="s">
        <v>999</v>
      </c>
      <c r="D106" t="s">
        <v>488</v>
      </c>
      <c r="E106">
        <v>5</v>
      </c>
      <c r="F106" t="s">
        <v>489</v>
      </c>
      <c r="G106" s="2">
        <v>42940</v>
      </c>
      <c r="H106" t="s">
        <v>192</v>
      </c>
      <c r="I106">
        <v>7.1</v>
      </c>
      <c r="K106">
        <v>5.6000000000000001E-2</v>
      </c>
      <c r="L106">
        <v>9</v>
      </c>
      <c r="M106">
        <f>PI()*((I106/2)^2)/100 * L106</f>
        <v>3.5632729275178829</v>
      </c>
      <c r="Q106">
        <f>P106 / (300 * 300) * 6.4516</f>
        <v>0</v>
      </c>
      <c r="S106" t="s">
        <v>195</v>
      </c>
      <c r="T106" t="s">
        <v>135</v>
      </c>
      <c r="U106">
        <v>73.930000000000007</v>
      </c>
      <c r="V106">
        <v>36.26</v>
      </c>
      <c r="W106">
        <f>(((U106/2) * (V106/2)) * PI())</f>
        <v>2105.4182703362339</v>
      </c>
      <c r="X106">
        <f>IF(ISNUMBER(T106), T106*W106, W106)</f>
        <v>2105.4182703362339</v>
      </c>
      <c r="Y106">
        <v>0.35</v>
      </c>
      <c r="Z106">
        <v>0.34</v>
      </c>
      <c r="AA106">
        <v>0.36</v>
      </c>
      <c r="AB106">
        <f>M106/K106</f>
        <v>63.629873705676481</v>
      </c>
    </row>
    <row r="107" spans="1:29" x14ac:dyDescent="0.25">
      <c r="A107">
        <v>454</v>
      </c>
      <c r="B107" t="s">
        <v>1070</v>
      </c>
      <c r="D107" t="s">
        <v>343</v>
      </c>
      <c r="E107">
        <v>5</v>
      </c>
      <c r="F107" t="s">
        <v>323</v>
      </c>
      <c r="G107" s="2">
        <v>42951</v>
      </c>
      <c r="H107" t="s">
        <v>192</v>
      </c>
      <c r="I107">
        <v>9.6999999999999993</v>
      </c>
      <c r="K107">
        <v>0.11600000000000001</v>
      </c>
      <c r="L107">
        <v>10</v>
      </c>
      <c r="M107">
        <f>PI()*((I107/2)^2)/100 * L107</f>
        <v>7.38981131940659</v>
      </c>
      <c r="Q107">
        <f>P107 / (300 * 300) * 6.4516</f>
        <v>0</v>
      </c>
      <c r="S107" t="s">
        <v>195</v>
      </c>
      <c r="T107" t="s">
        <v>135</v>
      </c>
      <c r="U107">
        <v>122.41</v>
      </c>
      <c r="V107">
        <v>58.65</v>
      </c>
      <c r="W107">
        <f>(((U107/2) * (V107/2)) * PI())</f>
        <v>5638.6455554938984</v>
      </c>
      <c r="X107">
        <f>IF(ISNUMBER(T107), T107*W107, W107)</f>
        <v>5638.6455554938984</v>
      </c>
      <c r="Y107">
        <v>0.48</v>
      </c>
      <c r="Z107">
        <v>0.49</v>
      </c>
      <c r="AA107">
        <v>0.49</v>
      </c>
      <c r="AB107">
        <f>M107/K107</f>
        <v>63.705269994884397</v>
      </c>
    </row>
    <row r="108" spans="1:29" x14ac:dyDescent="0.25">
      <c r="A108">
        <v>526</v>
      </c>
      <c r="B108" t="s">
        <v>1357</v>
      </c>
      <c r="C108" t="s">
        <v>740</v>
      </c>
      <c r="D108" t="s">
        <v>593</v>
      </c>
      <c r="E108">
        <v>2</v>
      </c>
      <c r="F108" t="s">
        <v>1356</v>
      </c>
      <c r="G108" s="2">
        <v>43673</v>
      </c>
      <c r="H108" t="s">
        <v>191</v>
      </c>
      <c r="Q108">
        <f>P108 / (300 * 300) * 6.4516</f>
        <v>0</v>
      </c>
      <c r="AB108">
        <v>63.806546439999998</v>
      </c>
      <c r="AC108" t="s">
        <v>1607</v>
      </c>
    </row>
    <row r="109" spans="1:29" x14ac:dyDescent="0.25">
      <c r="A109">
        <v>545</v>
      </c>
      <c r="B109" t="s">
        <v>1383</v>
      </c>
      <c r="C109" t="s">
        <v>459</v>
      </c>
      <c r="D109" t="s">
        <v>332</v>
      </c>
      <c r="E109">
        <v>5</v>
      </c>
      <c r="F109" t="s">
        <v>1367</v>
      </c>
      <c r="G109" s="2">
        <v>43614</v>
      </c>
      <c r="H109" t="s">
        <v>191</v>
      </c>
      <c r="Q109">
        <f>P109 / (300 * 300) * 6.4516</f>
        <v>0</v>
      </c>
      <c r="AB109">
        <v>63.832273000000001</v>
      </c>
      <c r="AC109" t="s">
        <v>1607</v>
      </c>
    </row>
    <row r="110" spans="1:29" x14ac:dyDescent="0.25">
      <c r="A110">
        <v>149</v>
      </c>
      <c r="B110" t="s">
        <v>405</v>
      </c>
      <c r="D110" t="s">
        <v>378</v>
      </c>
      <c r="E110">
        <v>5</v>
      </c>
      <c r="F110" t="s">
        <v>227</v>
      </c>
      <c r="H110" t="s">
        <v>192</v>
      </c>
      <c r="I110">
        <v>7.1</v>
      </c>
      <c r="J110" t="s">
        <v>135</v>
      </c>
      <c r="K110">
        <v>9.2999999999999999E-2</v>
      </c>
      <c r="L110">
        <v>15</v>
      </c>
      <c r="M110">
        <f>PI()*((I110/2)^2)/100 * L110</f>
        <v>5.938788212529805</v>
      </c>
      <c r="N110" t="s">
        <v>135</v>
      </c>
      <c r="O110" t="s">
        <v>135</v>
      </c>
      <c r="Q110">
        <f>P110 / (300 * 300) * 6.4516</f>
        <v>0</v>
      </c>
      <c r="R110" t="s">
        <v>135</v>
      </c>
      <c r="S110" t="s">
        <v>195</v>
      </c>
      <c r="T110" t="s">
        <v>135</v>
      </c>
      <c r="U110">
        <v>41.75</v>
      </c>
      <c r="V110">
        <v>16.22</v>
      </c>
      <c r="W110">
        <f>(((U110/2) * (V110/2)) * PI())</f>
        <v>531.85985528030096</v>
      </c>
      <c r="X110">
        <f>IF(ISNUMBER(T110), T110*W110, W110)</f>
        <v>531.85985528030096</v>
      </c>
      <c r="Y110">
        <v>0.3</v>
      </c>
      <c r="Z110">
        <v>0.26</v>
      </c>
      <c r="AA110">
        <v>0.26</v>
      </c>
      <c r="AB110">
        <f>M110/K110</f>
        <v>63.857937769137692</v>
      </c>
    </row>
    <row r="111" spans="1:29" x14ac:dyDescent="0.25">
      <c r="A111">
        <v>185</v>
      </c>
      <c r="B111" t="s">
        <v>452</v>
      </c>
      <c r="D111" t="s">
        <v>390</v>
      </c>
      <c r="E111">
        <v>5</v>
      </c>
      <c r="F111" t="s">
        <v>298</v>
      </c>
      <c r="H111" t="s">
        <v>192</v>
      </c>
      <c r="I111">
        <v>7.1</v>
      </c>
      <c r="K111">
        <v>6.8000000000000005E-2</v>
      </c>
      <c r="L111">
        <v>11</v>
      </c>
      <c r="M111">
        <f>PI()*((I111/2)^2)/100 * L111</f>
        <v>4.3551113558551906</v>
      </c>
      <c r="Q111">
        <f>P111 / (300 * 300) * 6.4516</f>
        <v>0</v>
      </c>
      <c r="S111" t="s">
        <v>195</v>
      </c>
      <c r="T111" t="s">
        <v>135</v>
      </c>
      <c r="U111">
        <v>95.33</v>
      </c>
      <c r="V111">
        <v>44.23</v>
      </c>
      <c r="W111">
        <f>(((U111/2) * (V111/2)) * PI())</f>
        <v>3311.5888659247007</v>
      </c>
      <c r="X111">
        <f>IF(ISNUMBER(T111), T111*W111, W111)</f>
        <v>3311.5888659247007</v>
      </c>
      <c r="Y111">
        <v>0.53</v>
      </c>
      <c r="Z111">
        <v>0.41</v>
      </c>
      <c r="AA111">
        <v>0.5</v>
      </c>
      <c r="AB111">
        <f>M111/K111</f>
        <v>64.04575523316457</v>
      </c>
    </row>
    <row r="112" spans="1:29" x14ac:dyDescent="0.25">
      <c r="A112">
        <v>88</v>
      </c>
      <c r="B112" t="s">
        <v>182</v>
      </c>
      <c r="D112" t="s">
        <v>348</v>
      </c>
      <c r="E112">
        <v>2</v>
      </c>
      <c r="F112" t="s">
        <v>328</v>
      </c>
      <c r="H112" t="s">
        <v>191</v>
      </c>
      <c r="I112" t="s">
        <v>135</v>
      </c>
      <c r="J112" t="s">
        <v>135</v>
      </c>
      <c r="K112">
        <v>5.1020000000000003</v>
      </c>
      <c r="L112" t="s">
        <v>135</v>
      </c>
      <c r="N112" t="s">
        <v>135</v>
      </c>
      <c r="O112" t="s">
        <v>183</v>
      </c>
      <c r="P112">
        <v>4567774</v>
      </c>
      <c r="Q112">
        <f>P112 / (300 * 300) * 6.4516</f>
        <v>327.43834153777777</v>
      </c>
      <c r="R112">
        <v>5</v>
      </c>
      <c r="T112" t="s">
        <v>135</v>
      </c>
      <c r="U112" t="s">
        <v>135</v>
      </c>
      <c r="V112" t="s">
        <v>135</v>
      </c>
      <c r="W112">
        <f>Q112*100/5</f>
        <v>6548.7668307555559</v>
      </c>
      <c r="X112">
        <f>W112</f>
        <v>6548.7668307555559</v>
      </c>
      <c r="Y112">
        <v>0.23</v>
      </c>
      <c r="Z112">
        <v>0.28999999999999998</v>
      </c>
      <c r="AA112">
        <v>0.32</v>
      </c>
      <c r="AB112">
        <f>(Q112)/K112</f>
        <v>64.178428368831391</v>
      </c>
    </row>
    <row r="113" spans="1:29" x14ac:dyDescent="0.25">
      <c r="A113">
        <v>548</v>
      </c>
      <c r="B113" t="s">
        <v>1387</v>
      </c>
      <c r="C113" t="s">
        <v>1388</v>
      </c>
      <c r="D113" t="s">
        <v>332</v>
      </c>
      <c r="E113">
        <v>8</v>
      </c>
      <c r="F113" t="s">
        <v>1367</v>
      </c>
      <c r="G113" s="2">
        <v>43616</v>
      </c>
      <c r="H113" t="s">
        <v>191</v>
      </c>
      <c r="Q113">
        <f>P113 / (300 * 300) * 6.4516</f>
        <v>0</v>
      </c>
      <c r="AB113">
        <v>64.251502840000001</v>
      </c>
      <c r="AC113" t="s">
        <v>1607</v>
      </c>
    </row>
    <row r="114" spans="1:29" x14ac:dyDescent="0.25">
      <c r="A114">
        <v>769</v>
      </c>
      <c r="B114" t="s">
        <v>1735</v>
      </c>
      <c r="D114" t="s">
        <v>508</v>
      </c>
      <c r="E114">
        <v>5</v>
      </c>
      <c r="F114" t="s">
        <v>770</v>
      </c>
      <c r="G114" s="3">
        <v>43662</v>
      </c>
      <c r="H114" t="s">
        <v>191</v>
      </c>
      <c r="K114">
        <v>2.6269999999999998</v>
      </c>
      <c r="P114">
        <v>2355493</v>
      </c>
      <c r="Q114">
        <f>P114 / (300 * 300) * 6.4516</f>
        <v>168.85220709777778</v>
      </c>
      <c r="Y114">
        <v>0.48</v>
      </c>
      <c r="Z114">
        <v>0.43</v>
      </c>
      <c r="AA114">
        <v>0.45</v>
      </c>
      <c r="AB114">
        <f>Q114/K114</f>
        <v>64.275678377532472</v>
      </c>
    </row>
    <row r="115" spans="1:29" x14ac:dyDescent="0.25">
      <c r="A115">
        <v>613</v>
      </c>
      <c r="B115" t="s">
        <v>1473</v>
      </c>
      <c r="C115" t="s">
        <v>1236</v>
      </c>
      <c r="D115" t="s">
        <v>352</v>
      </c>
      <c r="E115">
        <v>5</v>
      </c>
      <c r="F115" t="s">
        <v>209</v>
      </c>
      <c r="G115" s="2">
        <v>43618</v>
      </c>
      <c r="H115" t="s">
        <v>191</v>
      </c>
      <c r="Q115">
        <f>P115 / (300 * 300) * 6.4516</f>
        <v>0</v>
      </c>
      <c r="AB115">
        <v>64.335552949999993</v>
      </c>
      <c r="AC115" t="s">
        <v>1607</v>
      </c>
    </row>
    <row r="116" spans="1:29" x14ac:dyDescent="0.25">
      <c r="A116">
        <v>93</v>
      </c>
      <c r="B116" t="s">
        <v>1217</v>
      </c>
      <c r="C116" t="s">
        <v>203</v>
      </c>
      <c r="D116" t="s">
        <v>373</v>
      </c>
      <c r="E116">
        <v>2</v>
      </c>
      <c r="F116" t="s">
        <v>204</v>
      </c>
      <c r="H116" t="s">
        <v>192</v>
      </c>
      <c r="I116">
        <v>7.1</v>
      </c>
      <c r="J116" t="s">
        <v>135</v>
      </c>
      <c r="K116">
        <v>0.08</v>
      </c>
      <c r="L116">
        <v>13</v>
      </c>
      <c r="M116">
        <f>PI()*((I116/2)^2)/100 * L116</f>
        <v>5.1469497841924978</v>
      </c>
      <c r="N116" t="s">
        <v>135</v>
      </c>
      <c r="O116" t="s">
        <v>135</v>
      </c>
      <c r="Q116">
        <f>P116 / (300 * 300) * 6.4516</f>
        <v>0</v>
      </c>
      <c r="R116" t="s">
        <v>135</v>
      </c>
      <c r="S116" t="s">
        <v>195</v>
      </c>
      <c r="T116" t="s">
        <v>135</v>
      </c>
      <c r="U116">
        <v>52.94</v>
      </c>
      <c r="V116">
        <v>19.850000000000001</v>
      </c>
      <c r="W116">
        <f>(((U116/2) * (V116/2)) * PI())</f>
        <v>825.34272858967904</v>
      </c>
      <c r="X116">
        <f>IF(ISNUMBER(T116), T116*W116, W116)</f>
        <v>825.34272858967904</v>
      </c>
      <c r="Y116">
        <v>0.22</v>
      </c>
      <c r="Z116">
        <v>0.23</v>
      </c>
      <c r="AA116">
        <v>0.23</v>
      </c>
      <c r="AB116">
        <f>M116/K116</f>
        <v>64.336872302406221</v>
      </c>
      <c r="AC116" t="s">
        <v>205</v>
      </c>
    </row>
    <row r="117" spans="1:29" x14ac:dyDescent="0.25">
      <c r="A117">
        <v>491</v>
      </c>
      <c r="B117" t="s">
        <v>1316</v>
      </c>
      <c r="C117" t="s">
        <v>1194</v>
      </c>
      <c r="D117" t="s">
        <v>384</v>
      </c>
      <c r="E117">
        <v>2</v>
      </c>
      <c r="F117" t="s">
        <v>252</v>
      </c>
      <c r="G117" s="2">
        <v>43636</v>
      </c>
      <c r="H117" t="s">
        <v>191</v>
      </c>
      <c r="Q117">
        <f>P117 / (300 * 300) * 6.4516</f>
        <v>0</v>
      </c>
      <c r="AB117">
        <v>64.346150910000006</v>
      </c>
      <c r="AC117" t="s">
        <v>1607</v>
      </c>
    </row>
    <row r="118" spans="1:29" x14ac:dyDescent="0.25">
      <c r="A118">
        <v>106</v>
      </c>
      <c r="B118" t="s">
        <v>1221</v>
      </c>
      <c r="C118" t="s">
        <v>238</v>
      </c>
      <c r="D118" t="s">
        <v>380</v>
      </c>
      <c r="E118">
        <v>1</v>
      </c>
      <c r="F118" t="s">
        <v>239</v>
      </c>
      <c r="H118" t="s">
        <v>192</v>
      </c>
      <c r="I118">
        <v>7.1</v>
      </c>
      <c r="J118" t="s">
        <v>135</v>
      </c>
      <c r="K118">
        <v>8.5999999999999993E-2</v>
      </c>
      <c r="L118">
        <v>14</v>
      </c>
      <c r="M118">
        <f>PI()*((I118/2)^2)/100 * L118</f>
        <v>5.5428689983611514</v>
      </c>
      <c r="N118" t="s">
        <v>135</v>
      </c>
      <c r="O118" t="s">
        <v>135</v>
      </c>
      <c r="Q118">
        <f>P118 / (300 * 300) * 6.4516</f>
        <v>0</v>
      </c>
      <c r="R118" t="s">
        <v>135</v>
      </c>
      <c r="S118" t="s">
        <v>195</v>
      </c>
      <c r="T118" t="s">
        <v>135</v>
      </c>
      <c r="U118">
        <v>182.82</v>
      </c>
      <c r="V118">
        <v>97.4</v>
      </c>
      <c r="W118">
        <f>(((U118/2) * (V118/2)) * PI())</f>
        <v>13985.324343428114</v>
      </c>
      <c r="X118">
        <f>IF(ISNUMBER(T118), T118*W118, W118)</f>
        <v>13985.324343428114</v>
      </c>
      <c r="Y118">
        <v>0.5</v>
      </c>
      <c r="Z118">
        <v>0.48</v>
      </c>
      <c r="AA118">
        <v>0.5</v>
      </c>
      <c r="AB118">
        <f>M118/K118</f>
        <v>64.451965097222697</v>
      </c>
      <c r="AC118" t="s">
        <v>240</v>
      </c>
    </row>
    <row r="119" spans="1:29" x14ac:dyDescent="0.25">
      <c r="A119">
        <v>556</v>
      </c>
      <c r="B119" t="s">
        <v>1399</v>
      </c>
      <c r="C119" t="s">
        <v>294</v>
      </c>
      <c r="D119" t="s">
        <v>351</v>
      </c>
      <c r="E119">
        <v>5</v>
      </c>
      <c r="F119" t="s">
        <v>219</v>
      </c>
      <c r="G119" s="2">
        <v>43633</v>
      </c>
      <c r="H119" t="s">
        <v>191</v>
      </c>
      <c r="Q119">
        <f>P119 / (300 * 300) * 6.4516</f>
        <v>0</v>
      </c>
      <c r="AB119">
        <v>64.457967460000006</v>
      </c>
      <c r="AC119" t="s">
        <v>1607</v>
      </c>
    </row>
    <row r="120" spans="1:29" x14ac:dyDescent="0.25">
      <c r="A120">
        <v>536</v>
      </c>
      <c r="B120" t="s">
        <v>1368</v>
      </c>
      <c r="C120" t="s">
        <v>1369</v>
      </c>
      <c r="D120" t="s">
        <v>332</v>
      </c>
      <c r="E120">
        <v>10</v>
      </c>
      <c r="F120" t="s">
        <v>1367</v>
      </c>
      <c r="G120" s="2">
        <v>43616</v>
      </c>
      <c r="H120" t="s">
        <v>191</v>
      </c>
      <c r="Q120">
        <f>P120 / (300 * 300) * 6.4516</f>
        <v>0</v>
      </c>
      <c r="AB120">
        <v>64.626882199999997</v>
      </c>
      <c r="AC120" t="s">
        <v>1607</v>
      </c>
    </row>
    <row r="121" spans="1:29" x14ac:dyDescent="0.25">
      <c r="A121">
        <v>459</v>
      </c>
      <c r="B121" t="s">
        <v>1076</v>
      </c>
      <c r="D121" t="s">
        <v>735</v>
      </c>
      <c r="E121">
        <v>5</v>
      </c>
      <c r="F121" t="s">
        <v>1064</v>
      </c>
      <c r="G121" s="2">
        <v>42951</v>
      </c>
      <c r="H121" t="s">
        <v>192</v>
      </c>
      <c r="I121">
        <v>5.5</v>
      </c>
      <c r="K121">
        <v>8.7999999999999995E-2</v>
      </c>
      <c r="L121">
        <v>24</v>
      </c>
      <c r="M121">
        <f>PI()*((I121/2)^2)/100 * L121</f>
        <v>5.7019906662654751</v>
      </c>
      <c r="Q121">
        <f>P121 / (300 * 300) * 6.4516</f>
        <v>0</v>
      </c>
      <c r="S121" t="s">
        <v>1073</v>
      </c>
      <c r="T121" t="s">
        <v>135</v>
      </c>
      <c r="U121">
        <v>63.6</v>
      </c>
      <c r="V121">
        <v>26.57</v>
      </c>
      <c r="W121">
        <f>(((U121/2) * (V121/2)) * PI())</f>
        <v>1327.2066572135047</v>
      </c>
      <c r="X121">
        <f>IF(ISNUMBER(T121), T121*W121, W121)</f>
        <v>1327.2066572135047</v>
      </c>
      <c r="Y121">
        <v>0.35</v>
      </c>
      <c r="Z121">
        <v>0.33</v>
      </c>
      <c r="AA121">
        <v>0.27</v>
      </c>
      <c r="AB121">
        <f>M121/K121</f>
        <v>64.795348480289491</v>
      </c>
    </row>
    <row r="122" spans="1:29" x14ac:dyDescent="0.25">
      <c r="A122">
        <v>291</v>
      </c>
      <c r="B122" t="s">
        <v>760</v>
      </c>
      <c r="D122" t="s">
        <v>333</v>
      </c>
      <c r="E122">
        <v>4</v>
      </c>
      <c r="F122" t="s">
        <v>364</v>
      </c>
      <c r="G122" s="2">
        <v>42923</v>
      </c>
      <c r="H122" t="s">
        <v>192</v>
      </c>
      <c r="I122">
        <v>7.1</v>
      </c>
      <c r="K122">
        <v>6.0999999999999999E-2</v>
      </c>
      <c r="L122">
        <v>10</v>
      </c>
      <c r="M122">
        <f>PI()*((I122/2)^2)/100 * L122</f>
        <v>3.9591921416865365</v>
      </c>
      <c r="Q122">
        <f>P122 / (300 * 300) * 6.4516</f>
        <v>0</v>
      </c>
      <c r="S122" t="s">
        <v>201</v>
      </c>
      <c r="T122">
        <v>5</v>
      </c>
      <c r="U122">
        <v>76.040000000000006</v>
      </c>
      <c r="V122">
        <v>35.81</v>
      </c>
      <c r="W122">
        <f>(((U122/2) * (V122/2)) * PI())</f>
        <v>2138.6332299052101</v>
      </c>
      <c r="X122">
        <f>IF(ISNUMBER(T122), T122*W122, W122)</f>
        <v>10693.166149526051</v>
      </c>
      <c r="Y122">
        <v>0.41</v>
      </c>
      <c r="Z122">
        <v>0.42</v>
      </c>
      <c r="AA122">
        <v>0.39</v>
      </c>
      <c r="AB122">
        <f>M122/K122</f>
        <v>64.904789207976009</v>
      </c>
    </row>
    <row r="123" spans="1:29" x14ac:dyDescent="0.25">
      <c r="A123">
        <v>29</v>
      </c>
      <c r="B123" t="s">
        <v>470</v>
      </c>
      <c r="C123" t="s">
        <v>37</v>
      </c>
      <c r="D123" t="s">
        <v>384</v>
      </c>
      <c r="E123">
        <v>1</v>
      </c>
      <c r="F123" t="s">
        <v>252</v>
      </c>
      <c r="H123" t="s">
        <v>191</v>
      </c>
      <c r="I123" t="s">
        <v>135</v>
      </c>
      <c r="J123">
        <v>10.013</v>
      </c>
      <c r="K123">
        <v>4.4649999999999999</v>
      </c>
      <c r="L123" t="s">
        <v>135</v>
      </c>
      <c r="N123">
        <f>(J123-K123)/J123</f>
        <v>0.5540796963946869</v>
      </c>
      <c r="P123">
        <v>4067146</v>
      </c>
      <c r="Q123">
        <f>P123 / (300 * 300) * 6.4516</f>
        <v>291.55110148444447</v>
      </c>
      <c r="R123">
        <v>5</v>
      </c>
      <c r="S123" t="s">
        <v>195</v>
      </c>
      <c r="T123" t="s">
        <v>135</v>
      </c>
      <c r="U123" t="s">
        <v>135</v>
      </c>
      <c r="V123" t="s">
        <v>135</v>
      </c>
      <c r="W123">
        <f>Q123/5 * 100</f>
        <v>5831.0220296888892</v>
      </c>
      <c r="X123">
        <f>W123</f>
        <v>5831.0220296888892</v>
      </c>
      <c r="Y123">
        <v>0.34</v>
      </c>
      <c r="Z123">
        <v>0.31</v>
      </c>
      <c r="AA123">
        <v>0.33</v>
      </c>
      <c r="AB123">
        <f>(Q123)/K123</f>
        <v>65.296999212641538</v>
      </c>
    </row>
    <row r="124" spans="1:29" x14ac:dyDescent="0.25">
      <c r="A124">
        <v>611</v>
      </c>
      <c r="B124" t="s">
        <v>1471</v>
      </c>
      <c r="C124" t="s">
        <v>70</v>
      </c>
      <c r="D124" t="s">
        <v>352</v>
      </c>
      <c r="E124">
        <v>3</v>
      </c>
      <c r="F124" t="s">
        <v>209</v>
      </c>
      <c r="G124" s="2">
        <v>43617</v>
      </c>
      <c r="H124" t="s">
        <v>191</v>
      </c>
      <c r="Q124">
        <f>P124 / (300 * 300) * 6.4516</f>
        <v>0</v>
      </c>
      <c r="AB124">
        <v>65.325436460000006</v>
      </c>
      <c r="AC124" t="s">
        <v>1607</v>
      </c>
    </row>
    <row r="125" spans="1:29" x14ac:dyDescent="0.25">
      <c r="A125">
        <v>169</v>
      </c>
      <c r="B125" t="s">
        <v>435</v>
      </c>
      <c r="D125" t="s">
        <v>377</v>
      </c>
      <c r="E125">
        <v>4</v>
      </c>
      <c r="F125" t="s">
        <v>222</v>
      </c>
      <c r="H125" t="s">
        <v>192</v>
      </c>
      <c r="I125">
        <v>7.1</v>
      </c>
      <c r="K125">
        <v>0.10299999999999999</v>
      </c>
      <c r="L125">
        <v>17</v>
      </c>
      <c r="M125">
        <f>PI()*((I125/2)^2)/100 * L125</f>
        <v>6.7306266408671123</v>
      </c>
      <c r="Q125">
        <f>P125 / (300 * 300) * 6.4516</f>
        <v>0</v>
      </c>
      <c r="S125" t="s">
        <v>195</v>
      </c>
      <c r="T125" t="s">
        <v>135</v>
      </c>
      <c r="U125">
        <v>38.49</v>
      </c>
      <c r="V125">
        <v>19.78</v>
      </c>
      <c r="W125">
        <f>(((U125/2) * (V125/2)) * PI())</f>
        <v>597.94891161533883</v>
      </c>
      <c r="X125">
        <f>IF(ISNUMBER(T125), T125*W125, W125)</f>
        <v>597.94891161533883</v>
      </c>
      <c r="Y125">
        <v>0.24</v>
      </c>
      <c r="Z125">
        <v>0.32</v>
      </c>
      <c r="AA125">
        <v>0.19</v>
      </c>
      <c r="AB125">
        <f>M125/K125</f>
        <v>65.345889717156439</v>
      </c>
    </row>
    <row r="126" spans="1:29" x14ac:dyDescent="0.25">
      <c r="A126">
        <v>538</v>
      </c>
      <c r="B126" t="s">
        <v>1372</v>
      </c>
      <c r="C126" t="s">
        <v>1373</v>
      </c>
      <c r="D126" t="s">
        <v>332</v>
      </c>
      <c r="E126">
        <v>12</v>
      </c>
      <c r="F126" t="s">
        <v>1367</v>
      </c>
      <c r="G126" s="2">
        <v>43616</v>
      </c>
      <c r="H126" t="s">
        <v>191</v>
      </c>
      <c r="Q126">
        <f>P126 / (300 * 300) * 6.4516</f>
        <v>0</v>
      </c>
      <c r="AB126">
        <v>65.402019289999998</v>
      </c>
      <c r="AC126" t="s">
        <v>1607</v>
      </c>
    </row>
    <row r="127" spans="1:29" x14ac:dyDescent="0.25">
      <c r="A127">
        <v>783</v>
      </c>
      <c r="B127" t="s">
        <v>1751</v>
      </c>
      <c r="D127" t="s">
        <v>1763</v>
      </c>
      <c r="E127">
        <v>3</v>
      </c>
      <c r="F127" t="s">
        <v>1768</v>
      </c>
      <c r="G127" s="3">
        <v>43650</v>
      </c>
      <c r="H127" t="s">
        <v>191</v>
      </c>
      <c r="K127">
        <v>3.73</v>
      </c>
      <c r="P127">
        <v>3405809</v>
      </c>
      <c r="Q127">
        <f>P127 / (300 * 300) * 6.4516</f>
        <v>244.1435260488889</v>
      </c>
      <c r="Y127">
        <v>0.34</v>
      </c>
      <c r="Z127">
        <v>0.33</v>
      </c>
      <c r="AA127">
        <v>0.36</v>
      </c>
      <c r="AB127">
        <f>Q127/K127</f>
        <v>65.454028431337505</v>
      </c>
    </row>
    <row r="128" spans="1:29" x14ac:dyDescent="0.25">
      <c r="A128">
        <v>544</v>
      </c>
      <c r="B128" t="s">
        <v>1382</v>
      </c>
      <c r="C128" t="s">
        <v>616</v>
      </c>
      <c r="D128" t="s">
        <v>332</v>
      </c>
      <c r="E128">
        <v>4</v>
      </c>
      <c r="F128" t="s">
        <v>1367</v>
      </c>
      <c r="G128" s="2">
        <v>43614</v>
      </c>
      <c r="H128" t="s">
        <v>191</v>
      </c>
      <c r="Q128">
        <f>P128 / (300 * 300) * 6.4516</f>
        <v>0</v>
      </c>
      <c r="AB128">
        <v>65.781948779999993</v>
      </c>
      <c r="AC128" t="s">
        <v>1607</v>
      </c>
    </row>
    <row r="129" spans="1:29" x14ac:dyDescent="0.25">
      <c r="A129">
        <v>619</v>
      </c>
      <c r="B129" t="s">
        <v>1482</v>
      </c>
      <c r="C129" t="s">
        <v>286</v>
      </c>
      <c r="D129" t="s">
        <v>378</v>
      </c>
      <c r="E129">
        <v>2</v>
      </c>
      <c r="F129" t="s">
        <v>227</v>
      </c>
      <c r="G129" s="2">
        <v>43665</v>
      </c>
      <c r="H129" t="s">
        <v>191</v>
      </c>
      <c r="Q129">
        <f>P129 / (300 * 300) * 6.4516</f>
        <v>0</v>
      </c>
      <c r="AB129">
        <v>65.831180849999996</v>
      </c>
      <c r="AC129" t="s">
        <v>1607</v>
      </c>
    </row>
    <row r="130" spans="1:29" x14ac:dyDescent="0.25">
      <c r="A130">
        <v>400</v>
      </c>
      <c r="B130" t="s">
        <v>955</v>
      </c>
      <c r="D130" t="s">
        <v>941</v>
      </c>
      <c r="E130">
        <v>2</v>
      </c>
      <c r="F130" t="s">
        <v>942</v>
      </c>
      <c r="G130" s="2">
        <v>42940</v>
      </c>
      <c r="H130" t="s">
        <v>192</v>
      </c>
      <c r="I130">
        <v>9.6999999999999993</v>
      </c>
      <c r="K130">
        <v>0.112</v>
      </c>
      <c r="L130">
        <v>10</v>
      </c>
      <c r="M130">
        <f>PI()*((I130/2)^2)/100 * L130</f>
        <v>7.38981131940659</v>
      </c>
      <c r="Q130">
        <f>P130 / (300 * 300) * 6.4516</f>
        <v>0</v>
      </c>
      <c r="S130" t="s">
        <v>195</v>
      </c>
      <c r="T130" t="s">
        <v>135</v>
      </c>
      <c r="U130">
        <v>66.989999999999995</v>
      </c>
      <c r="V130">
        <v>30.52</v>
      </c>
      <c r="W130">
        <f>(((U130/2) * (V130/2)) * PI())</f>
        <v>1605.7738769221692</v>
      </c>
      <c r="X130">
        <f>IF(ISNUMBER(T130), T130*W130, W130)</f>
        <v>1605.7738769221692</v>
      </c>
      <c r="Y130">
        <v>0.37</v>
      </c>
      <c r="Z130">
        <v>0.32</v>
      </c>
      <c r="AA130">
        <v>0.36</v>
      </c>
      <c r="AB130">
        <f>M130/K130</f>
        <v>65.980458208987415</v>
      </c>
    </row>
    <row r="131" spans="1:29" x14ac:dyDescent="0.25">
      <c r="A131">
        <v>413</v>
      </c>
      <c r="B131" t="s">
        <v>970</v>
      </c>
      <c r="D131" t="s">
        <v>941</v>
      </c>
      <c r="E131">
        <v>4</v>
      </c>
      <c r="F131" t="s">
        <v>942</v>
      </c>
      <c r="G131" s="2">
        <v>42940</v>
      </c>
      <c r="H131" t="s">
        <v>192</v>
      </c>
      <c r="I131">
        <v>9.6999999999999993</v>
      </c>
      <c r="K131">
        <v>0.112</v>
      </c>
      <c r="L131">
        <v>10</v>
      </c>
      <c r="M131">
        <f>PI()*((I131/2)^2)/100 * L131</f>
        <v>7.38981131940659</v>
      </c>
      <c r="Q131">
        <f>P131 / (300 * 300) * 6.4516</f>
        <v>0</v>
      </c>
      <c r="S131" t="s">
        <v>195</v>
      </c>
      <c r="T131" t="s">
        <v>135</v>
      </c>
      <c r="U131">
        <v>76.459999999999994</v>
      </c>
      <c r="V131">
        <v>35.49</v>
      </c>
      <c r="W131">
        <f>(((U131/2) * (V131/2)) * PI())</f>
        <v>2131.2292814188622</v>
      </c>
      <c r="X131">
        <f>IF(ISNUMBER(T131), T131*W131, W131)</f>
        <v>2131.2292814188622</v>
      </c>
      <c r="Y131">
        <v>0.36</v>
      </c>
      <c r="Z131">
        <v>0.34</v>
      </c>
      <c r="AA131">
        <v>0.32</v>
      </c>
      <c r="AB131">
        <f>M131/K131</f>
        <v>65.980458208987415</v>
      </c>
    </row>
    <row r="132" spans="1:29" x14ac:dyDescent="0.25">
      <c r="A132">
        <v>112</v>
      </c>
      <c r="B132" t="s">
        <v>1242</v>
      </c>
      <c r="C132" t="s">
        <v>248</v>
      </c>
      <c r="D132" t="s">
        <v>383</v>
      </c>
      <c r="E132">
        <v>1</v>
      </c>
      <c r="F132" t="s">
        <v>249</v>
      </c>
      <c r="H132" t="s">
        <v>192</v>
      </c>
      <c r="I132">
        <v>7.1</v>
      </c>
      <c r="J132" t="s">
        <v>135</v>
      </c>
      <c r="K132">
        <v>0.126</v>
      </c>
      <c r="L132">
        <v>21</v>
      </c>
      <c r="M132">
        <f>PI()*((I132/2)^2)/100 * L132</f>
        <v>8.3143034975417276</v>
      </c>
      <c r="N132" t="s">
        <v>135</v>
      </c>
      <c r="O132" t="s">
        <v>135</v>
      </c>
      <c r="Q132">
        <f>P132 / (300 * 300) * 6.4516</f>
        <v>0</v>
      </c>
      <c r="R132" t="s">
        <v>135</v>
      </c>
      <c r="S132" t="s">
        <v>195</v>
      </c>
      <c r="T132" t="s">
        <v>135</v>
      </c>
      <c r="U132">
        <v>120.7</v>
      </c>
      <c r="V132">
        <v>47.5</v>
      </c>
      <c r="W132">
        <f>(((U132/2) * (V132/2)) * PI())</f>
        <v>4502.8840202984202</v>
      </c>
      <c r="X132">
        <f>IF(ISNUMBER(T132), T132*W132, W132)</f>
        <v>4502.8840202984202</v>
      </c>
      <c r="Y132">
        <v>0.4</v>
      </c>
      <c r="Z132">
        <v>0.37</v>
      </c>
      <c r="AA132">
        <v>0.39</v>
      </c>
      <c r="AB132">
        <f>M132/K132</f>
        <v>65.986535694775611</v>
      </c>
      <c r="AC132" t="s">
        <v>250</v>
      </c>
    </row>
    <row r="133" spans="1:29" x14ac:dyDescent="0.25">
      <c r="A133">
        <v>214</v>
      </c>
      <c r="B133" t="s">
        <v>519</v>
      </c>
      <c r="D133" t="s">
        <v>514</v>
      </c>
      <c r="E133">
        <v>2</v>
      </c>
      <c r="F133" t="s">
        <v>515</v>
      </c>
      <c r="H133" t="s">
        <v>192</v>
      </c>
      <c r="I133">
        <v>7.1</v>
      </c>
      <c r="K133">
        <v>9.6000000000000002E-2</v>
      </c>
      <c r="L133">
        <v>16</v>
      </c>
      <c r="M133">
        <f>PI()*((I133/2)^2)/100 * L133</f>
        <v>6.3347074266984587</v>
      </c>
      <c r="Q133">
        <f>P133 / (300 * 300) * 6.4516</f>
        <v>0</v>
      </c>
      <c r="S133" t="s">
        <v>201</v>
      </c>
      <c r="T133">
        <v>7</v>
      </c>
      <c r="U133">
        <v>54.24</v>
      </c>
      <c r="V133">
        <v>35.86</v>
      </c>
      <c r="W133">
        <f>(((U133/2) * (V133/2)) * PI())</f>
        <v>1527.6358702828186</v>
      </c>
      <c r="X133">
        <f>IF(ISNUMBER(T133), T133*W133, W133)</f>
        <v>10693.45109197973</v>
      </c>
      <c r="Y133">
        <v>0.38</v>
      </c>
      <c r="Z133">
        <v>0.37</v>
      </c>
      <c r="AA133">
        <v>0.4</v>
      </c>
      <c r="AB133">
        <f>M133/K133</f>
        <v>65.986535694775611</v>
      </c>
    </row>
    <row r="134" spans="1:29" x14ac:dyDescent="0.25">
      <c r="A134">
        <v>261</v>
      </c>
      <c r="B134" t="s">
        <v>619</v>
      </c>
      <c r="D134" t="s">
        <v>381</v>
      </c>
      <c r="E134">
        <v>5</v>
      </c>
      <c r="F134" t="s">
        <v>232</v>
      </c>
      <c r="H134" t="s">
        <v>192</v>
      </c>
      <c r="I134">
        <v>7.1</v>
      </c>
      <c r="K134">
        <v>6.6000000000000003E-2</v>
      </c>
      <c r="L134">
        <v>11</v>
      </c>
      <c r="M134">
        <f>PI()*((I134/2)^2)/100 * L134</f>
        <v>4.3551113558551906</v>
      </c>
      <c r="Q134">
        <f>P134 / (300 * 300) * 6.4516</f>
        <v>0</v>
      </c>
      <c r="S134" t="s">
        <v>201</v>
      </c>
      <c r="T134">
        <v>7</v>
      </c>
      <c r="U134">
        <v>84.45</v>
      </c>
      <c r="V134">
        <v>19.649999999999999</v>
      </c>
      <c r="W134">
        <f>(((U134/2) * (V134/2)) * PI())</f>
        <v>1303.3230917636699</v>
      </c>
      <c r="X134">
        <f>IF(ISNUMBER(T134), T134*W134, W134)</f>
        <v>9123.2616423456893</v>
      </c>
      <c r="Y134">
        <v>0.42</v>
      </c>
      <c r="Z134">
        <v>0.38</v>
      </c>
      <c r="AA134">
        <v>0.37</v>
      </c>
      <c r="AB134">
        <f>M134/K134</f>
        <v>65.986535694775611</v>
      </c>
    </row>
    <row r="135" spans="1:29" x14ac:dyDescent="0.25">
      <c r="A135">
        <v>301</v>
      </c>
      <c r="B135" t="s">
        <v>794</v>
      </c>
      <c r="D135" t="s">
        <v>514</v>
      </c>
      <c r="E135">
        <v>5</v>
      </c>
      <c r="F135" t="s">
        <v>751</v>
      </c>
      <c r="G135" s="2">
        <v>42927</v>
      </c>
      <c r="H135" t="s">
        <v>192</v>
      </c>
      <c r="I135">
        <v>7.1</v>
      </c>
      <c r="J135" t="s">
        <v>135</v>
      </c>
      <c r="K135">
        <v>0.06</v>
      </c>
      <c r="L135">
        <v>10</v>
      </c>
      <c r="M135">
        <f>PI()*((I135/2)^2)/100 * L135</f>
        <v>3.9591921416865365</v>
      </c>
      <c r="N135" t="s">
        <v>135</v>
      </c>
      <c r="Q135">
        <f>P135 / (300 * 300) * 6.4516</f>
        <v>0</v>
      </c>
      <c r="S135" t="s">
        <v>201</v>
      </c>
      <c r="T135">
        <v>7</v>
      </c>
      <c r="U135">
        <v>53.23</v>
      </c>
      <c r="V135">
        <v>39.450000000000003</v>
      </c>
      <c r="W135">
        <f>(((U135/2) * (V135/2)) * PI())</f>
        <v>1649.2760601751413</v>
      </c>
      <c r="X135">
        <f>IF(ISNUMBER(T135), T135*W135, W135)</f>
        <v>11544.932421225989</v>
      </c>
      <c r="Y135">
        <v>0.3</v>
      </c>
      <c r="Z135">
        <v>0.36</v>
      </c>
      <c r="AA135">
        <v>0.31</v>
      </c>
      <c r="AB135">
        <f>M135/K135</f>
        <v>65.986535694775611</v>
      </c>
    </row>
    <row r="136" spans="1:29" x14ac:dyDescent="0.25">
      <c r="A136">
        <v>305</v>
      </c>
      <c r="B136" t="s">
        <v>798</v>
      </c>
      <c r="D136" t="s">
        <v>763</v>
      </c>
      <c r="E136">
        <v>4</v>
      </c>
      <c r="F136" t="s">
        <v>764</v>
      </c>
      <c r="G136" s="2">
        <v>42927</v>
      </c>
      <c r="H136" t="s">
        <v>192</v>
      </c>
      <c r="I136">
        <v>7.1</v>
      </c>
      <c r="K136">
        <v>6.6000000000000003E-2</v>
      </c>
      <c r="L136">
        <v>11</v>
      </c>
      <c r="M136">
        <f>PI()*((I136/2)^2)/100 * L136</f>
        <v>4.3551113558551906</v>
      </c>
      <c r="Q136">
        <f>P136 / (300 * 300) * 6.4516</f>
        <v>0</v>
      </c>
      <c r="S136" t="s">
        <v>195</v>
      </c>
      <c r="T136" t="s">
        <v>135</v>
      </c>
      <c r="U136">
        <v>97.68</v>
      </c>
      <c r="V136">
        <v>46.5</v>
      </c>
      <c r="W136">
        <f>(((U136/2) * (V136/2)) * PI())</f>
        <v>3567.3727059308176</v>
      </c>
      <c r="X136">
        <f>IF(ISNUMBER(T136), T136*W136, W136)</f>
        <v>3567.3727059308176</v>
      </c>
      <c r="Y136">
        <v>0.32</v>
      </c>
      <c r="Z136">
        <v>0.3</v>
      </c>
      <c r="AA136">
        <v>0.31</v>
      </c>
      <c r="AB136">
        <f>M136/K136</f>
        <v>65.986535694775611</v>
      </c>
    </row>
    <row r="137" spans="1:29" x14ac:dyDescent="0.25">
      <c r="A137">
        <v>23</v>
      </c>
      <c r="B137" t="s">
        <v>29</v>
      </c>
      <c r="D137" t="s">
        <v>336</v>
      </c>
      <c r="E137">
        <v>1</v>
      </c>
      <c r="F137" t="s">
        <v>59</v>
      </c>
      <c r="H137" t="s">
        <v>191</v>
      </c>
      <c r="I137" t="s">
        <v>135</v>
      </c>
      <c r="J137">
        <v>14.85</v>
      </c>
      <c r="K137">
        <v>6.6660000000000004</v>
      </c>
      <c r="L137" t="s">
        <v>135</v>
      </c>
      <c r="N137">
        <f>(J137-K137)/J137</f>
        <v>0.55111111111111111</v>
      </c>
      <c r="P137">
        <f>3508726 + 2632234</f>
        <v>6140960</v>
      </c>
      <c r="Q137">
        <f>P137 / (300 * 300) * 6.4516</f>
        <v>440.21130595555559</v>
      </c>
      <c r="R137">
        <v>5</v>
      </c>
      <c r="S137" t="s">
        <v>195</v>
      </c>
      <c r="T137" t="s">
        <v>135</v>
      </c>
      <c r="U137" t="s">
        <v>135</v>
      </c>
      <c r="V137" t="s">
        <v>135</v>
      </c>
      <c r="W137">
        <f>Q137/R137 * 100</f>
        <v>8804.226119111112</v>
      </c>
      <c r="X137">
        <f>W137</f>
        <v>8804.226119111112</v>
      </c>
      <c r="Y137">
        <v>0.39</v>
      </c>
      <c r="Z137">
        <v>0.36</v>
      </c>
      <c r="AA137">
        <v>0.35</v>
      </c>
      <c r="AB137">
        <f>(Q137)/K137</f>
        <v>66.03829972330567</v>
      </c>
      <c r="AC137" t="s">
        <v>140</v>
      </c>
    </row>
    <row r="138" spans="1:29" x14ac:dyDescent="0.25">
      <c r="A138">
        <v>286</v>
      </c>
      <c r="B138" t="s">
        <v>755</v>
      </c>
      <c r="D138" t="s">
        <v>383</v>
      </c>
      <c r="E138">
        <v>4</v>
      </c>
      <c r="F138" t="s">
        <v>249</v>
      </c>
      <c r="G138" s="2">
        <v>42923</v>
      </c>
      <c r="H138" t="s">
        <v>192</v>
      </c>
      <c r="I138">
        <v>9.6999999999999993</v>
      </c>
      <c r="K138">
        <v>0.111</v>
      </c>
      <c r="L138">
        <v>10</v>
      </c>
      <c r="M138">
        <f>PI()*((I138/2)^2)/100 * L138</f>
        <v>7.38981131940659</v>
      </c>
      <c r="Q138">
        <f>P138 / (300 * 300) * 6.4516</f>
        <v>0</v>
      </c>
      <c r="S138" t="s">
        <v>195</v>
      </c>
      <c r="T138" t="s">
        <v>135</v>
      </c>
      <c r="U138">
        <v>114.94</v>
      </c>
      <c r="V138">
        <v>40.78</v>
      </c>
      <c r="W138">
        <f>(((U138/2) * (V138/2)) * PI())</f>
        <v>3681.3600546588123</v>
      </c>
      <c r="X138">
        <f>IF(ISNUMBER(T138), T138*W138, W138)</f>
        <v>3681.3600546588123</v>
      </c>
      <c r="Y138">
        <v>0.5</v>
      </c>
      <c r="Z138">
        <v>0.45</v>
      </c>
      <c r="AA138">
        <v>0.42</v>
      </c>
      <c r="AB138">
        <f>M138/K138</f>
        <v>66.574876751410713</v>
      </c>
    </row>
    <row r="139" spans="1:29" x14ac:dyDescent="0.25">
      <c r="A139">
        <v>408</v>
      </c>
      <c r="B139" t="s">
        <v>963</v>
      </c>
      <c r="D139" t="s">
        <v>941</v>
      </c>
      <c r="E139">
        <v>3</v>
      </c>
      <c r="F139" t="s">
        <v>942</v>
      </c>
      <c r="G139" s="2">
        <v>42940</v>
      </c>
      <c r="H139" t="s">
        <v>192</v>
      </c>
      <c r="I139">
        <v>9.6999999999999993</v>
      </c>
      <c r="K139">
        <v>0.111</v>
      </c>
      <c r="L139">
        <v>10</v>
      </c>
      <c r="M139">
        <f>PI()*((I139/2)^2)/100 * L139</f>
        <v>7.38981131940659</v>
      </c>
      <c r="Q139">
        <f>P139 / (300 * 300) * 6.4516</f>
        <v>0</v>
      </c>
      <c r="S139" t="s">
        <v>195</v>
      </c>
      <c r="T139" t="s">
        <v>135</v>
      </c>
      <c r="U139">
        <v>40.76</v>
      </c>
      <c r="V139">
        <v>25.47</v>
      </c>
      <c r="W139">
        <f>(((U139/2) * (V139/2)) * PI())</f>
        <v>815.36675819783727</v>
      </c>
      <c r="X139">
        <f>IF(ISNUMBER(T139), T139*W139, W139)</f>
        <v>815.36675819783727</v>
      </c>
      <c r="Y139">
        <v>0.35</v>
      </c>
      <c r="Z139">
        <v>0.36</v>
      </c>
      <c r="AA139">
        <v>0.35</v>
      </c>
      <c r="AB139">
        <f>M139/K139</f>
        <v>66.574876751410713</v>
      </c>
    </row>
    <row r="140" spans="1:29" x14ac:dyDescent="0.25">
      <c r="A140">
        <v>11</v>
      </c>
      <c r="B140" t="s">
        <v>1198</v>
      </c>
      <c r="C140" t="s">
        <v>16</v>
      </c>
      <c r="D140" t="s">
        <v>420</v>
      </c>
      <c r="E140">
        <v>2</v>
      </c>
      <c r="F140" t="s">
        <v>467</v>
      </c>
      <c r="H140" t="s">
        <v>191</v>
      </c>
      <c r="I140" t="s">
        <v>135</v>
      </c>
      <c r="J140">
        <v>10.657999999999999</v>
      </c>
      <c r="K140">
        <v>4.4400000000000004</v>
      </c>
      <c r="L140" t="s">
        <v>135</v>
      </c>
      <c r="N140">
        <f>(J140-K140)/J140</f>
        <v>0.58341152186151246</v>
      </c>
      <c r="O140" t="s">
        <v>44</v>
      </c>
      <c r="P140">
        <v>4128930</v>
      </c>
      <c r="Q140">
        <f>P140 / (300 * 300) * 6.4516</f>
        <v>295.98005320000004</v>
      </c>
      <c r="R140">
        <v>5</v>
      </c>
      <c r="S140" t="s">
        <v>195</v>
      </c>
      <c r="T140" t="s">
        <v>135</v>
      </c>
      <c r="U140" t="s">
        <v>135</v>
      </c>
      <c r="V140" t="s">
        <v>135</v>
      </c>
      <c r="W140">
        <f>Q140/R140 *100</f>
        <v>5919.6010640000013</v>
      </c>
      <c r="X140">
        <f>W140</f>
        <v>5919.6010640000013</v>
      </c>
      <c r="Y140">
        <v>0.42</v>
      </c>
      <c r="Z140">
        <v>0.45</v>
      </c>
      <c r="AA140">
        <v>0.52</v>
      </c>
      <c r="AB140">
        <f>(Q140)/K140</f>
        <v>66.662174144144146</v>
      </c>
    </row>
    <row r="141" spans="1:29" x14ac:dyDescent="0.25">
      <c r="A141">
        <v>499</v>
      </c>
      <c r="B141" t="s">
        <v>1325</v>
      </c>
      <c r="C141" t="s">
        <v>916</v>
      </c>
      <c r="D141" t="s">
        <v>909</v>
      </c>
      <c r="E141">
        <v>4</v>
      </c>
      <c r="F141" t="s">
        <v>910</v>
      </c>
      <c r="G141" s="2">
        <v>43645</v>
      </c>
      <c r="H141" t="s">
        <v>191</v>
      </c>
      <c r="Q141">
        <f>P141 / (300 * 300) * 6.4516</f>
        <v>0</v>
      </c>
      <c r="AB141">
        <v>66.703562379999994</v>
      </c>
      <c r="AC141" t="s">
        <v>1607</v>
      </c>
    </row>
    <row r="142" spans="1:29" x14ac:dyDescent="0.25">
      <c r="A142">
        <v>65</v>
      </c>
      <c r="B142" t="s">
        <v>100</v>
      </c>
      <c r="D142" t="s">
        <v>337</v>
      </c>
      <c r="E142">
        <v>5</v>
      </c>
      <c r="F142" t="s">
        <v>15</v>
      </c>
      <c r="H142" t="s">
        <v>191</v>
      </c>
      <c r="I142" t="s">
        <v>135</v>
      </c>
      <c r="J142">
        <v>3.79</v>
      </c>
      <c r="K142">
        <v>1.7450000000000001</v>
      </c>
      <c r="L142" t="s">
        <v>135</v>
      </c>
      <c r="N142">
        <f>(J142-K142)/J142</f>
        <v>0.5395778364116095</v>
      </c>
      <c r="O142" t="s">
        <v>150</v>
      </c>
      <c r="P142">
        <v>1625872</v>
      </c>
      <c r="Q142">
        <f>P142 / (300 * 300) * 6.4516</f>
        <v>116.54973105777779</v>
      </c>
      <c r="R142">
        <v>5</v>
      </c>
      <c r="T142" t="s">
        <v>135</v>
      </c>
      <c r="U142" t="s">
        <v>135</v>
      </c>
      <c r="V142" t="s">
        <v>135</v>
      </c>
      <c r="W142">
        <f>Q142*100/R142</f>
        <v>2330.9946211555557</v>
      </c>
      <c r="X142">
        <f>W142</f>
        <v>2330.9946211555557</v>
      </c>
      <c r="Y142">
        <v>0.33</v>
      </c>
      <c r="Z142">
        <v>0.31</v>
      </c>
      <c r="AA142">
        <v>0.33</v>
      </c>
      <c r="AB142">
        <f>(Q142)/K142</f>
        <v>66.790676823941425</v>
      </c>
      <c r="AC142" t="s">
        <v>149</v>
      </c>
    </row>
    <row r="143" spans="1:29" x14ac:dyDescent="0.25">
      <c r="A143">
        <v>176</v>
      </c>
      <c r="B143" t="s">
        <v>293</v>
      </c>
      <c r="D143" t="s">
        <v>358</v>
      </c>
      <c r="E143">
        <v>4</v>
      </c>
      <c r="F143" t="s">
        <v>257</v>
      </c>
      <c r="H143" t="s">
        <v>192</v>
      </c>
      <c r="I143">
        <v>7.1</v>
      </c>
      <c r="K143">
        <v>7.6999999999999999E-2</v>
      </c>
      <c r="L143">
        <v>13</v>
      </c>
      <c r="M143">
        <f>PI()*((I143/2)^2)/100 * L143</f>
        <v>5.1469497841924978</v>
      </c>
      <c r="Q143">
        <f>P143 / (300 * 300) * 6.4516</f>
        <v>0</v>
      </c>
      <c r="S143" t="s">
        <v>195</v>
      </c>
      <c r="T143" t="s">
        <v>135</v>
      </c>
      <c r="U143">
        <v>19.190000000000001</v>
      </c>
      <c r="V143">
        <v>8.6300000000000008</v>
      </c>
      <c r="W143">
        <f>(((U143/2) * (V143/2)) * PI())</f>
        <v>130.06955422080242</v>
      </c>
      <c r="X143">
        <f>IF(ISNUMBER(T143), T143*W143, W143)</f>
        <v>130.06955422080242</v>
      </c>
      <c r="Y143">
        <v>0.19</v>
      </c>
      <c r="Z143">
        <v>0.21</v>
      </c>
      <c r="AA143">
        <v>0.2</v>
      </c>
      <c r="AB143">
        <f>M143/K143</f>
        <v>66.843503690811659</v>
      </c>
    </row>
    <row r="144" spans="1:29" x14ac:dyDescent="0.25">
      <c r="A144">
        <v>539</v>
      </c>
      <c r="B144" t="s">
        <v>1374</v>
      </c>
      <c r="C144" t="s">
        <v>1375</v>
      </c>
      <c r="D144" t="s">
        <v>332</v>
      </c>
      <c r="E144">
        <v>13</v>
      </c>
      <c r="F144" t="s">
        <v>1367</v>
      </c>
      <c r="G144" s="2">
        <v>43616</v>
      </c>
      <c r="H144" t="s">
        <v>191</v>
      </c>
      <c r="Q144">
        <f>P144 / (300 * 300) * 6.4516</f>
        <v>0</v>
      </c>
      <c r="AB144">
        <v>67.05715644</v>
      </c>
      <c r="AC144" t="s">
        <v>1607</v>
      </c>
    </row>
    <row r="145" spans="1:29" x14ac:dyDescent="0.25">
      <c r="A145">
        <v>546</v>
      </c>
      <c r="B145" t="s">
        <v>1384</v>
      </c>
      <c r="C145" t="s">
        <v>1252</v>
      </c>
      <c r="D145" t="s">
        <v>332</v>
      </c>
      <c r="E145">
        <v>6</v>
      </c>
      <c r="F145" t="s">
        <v>1367</v>
      </c>
      <c r="G145" s="2">
        <v>43614</v>
      </c>
      <c r="H145" t="s">
        <v>191</v>
      </c>
      <c r="Q145">
        <f>P145 / (300 * 300) * 6.4516</f>
        <v>0</v>
      </c>
      <c r="AB145">
        <v>67.089608299999995</v>
      </c>
      <c r="AC145" t="s">
        <v>1607</v>
      </c>
    </row>
    <row r="146" spans="1:29" x14ac:dyDescent="0.25">
      <c r="A146">
        <v>450</v>
      </c>
      <c r="B146" t="s">
        <v>984</v>
      </c>
      <c r="D146" t="s">
        <v>763</v>
      </c>
      <c r="E146">
        <v>1</v>
      </c>
      <c r="F146" t="s">
        <v>764</v>
      </c>
      <c r="G146" s="2">
        <v>42950</v>
      </c>
      <c r="H146" t="s">
        <v>192</v>
      </c>
      <c r="I146">
        <v>9.6999999999999993</v>
      </c>
      <c r="K146">
        <v>8.7999999999999995E-2</v>
      </c>
      <c r="L146">
        <v>8</v>
      </c>
      <c r="M146">
        <f>PI()*((I146/2)^2)/100 * L146</f>
        <v>5.9118490555252716</v>
      </c>
      <c r="Q146">
        <f>P146 / (300 * 300) * 6.4516</f>
        <v>0</v>
      </c>
      <c r="S146" t="s">
        <v>195</v>
      </c>
      <c r="T146" t="s">
        <v>135</v>
      </c>
      <c r="U146">
        <v>59.71</v>
      </c>
      <c r="V146">
        <v>36.83</v>
      </c>
      <c r="W146">
        <f>(((U146/2) * (V146/2)) * PI())</f>
        <v>1727.184259311882</v>
      </c>
      <c r="X146">
        <f>IF(ISNUMBER(T146), T146*W146, W146)</f>
        <v>1727.184259311882</v>
      </c>
      <c r="Y146">
        <v>0.37</v>
      </c>
      <c r="Z146">
        <v>0.39</v>
      </c>
      <c r="AA146">
        <v>0.36</v>
      </c>
      <c r="AB146">
        <f>M146/K146</f>
        <v>67.180102903696266</v>
      </c>
    </row>
    <row r="147" spans="1:29" x14ac:dyDescent="0.25">
      <c r="A147">
        <v>493</v>
      </c>
      <c r="B147" t="s">
        <v>1318</v>
      </c>
      <c r="C147" t="s">
        <v>471</v>
      </c>
      <c r="D147" t="s">
        <v>384</v>
      </c>
      <c r="E147">
        <v>4</v>
      </c>
      <c r="F147" t="s">
        <v>252</v>
      </c>
      <c r="G147" s="2">
        <v>43635</v>
      </c>
      <c r="H147" t="s">
        <v>191</v>
      </c>
      <c r="Q147">
        <f>P147 / (300 * 300) * 6.4516</f>
        <v>0</v>
      </c>
      <c r="AB147">
        <v>67.193697979999996</v>
      </c>
      <c r="AC147" t="s">
        <v>1607</v>
      </c>
    </row>
    <row r="148" spans="1:29" x14ac:dyDescent="0.25">
      <c r="A148">
        <v>38</v>
      </c>
      <c r="B148" t="s">
        <v>74</v>
      </c>
      <c r="D148" t="s">
        <v>352</v>
      </c>
      <c r="E148">
        <v>2</v>
      </c>
      <c r="F148" t="s">
        <v>209</v>
      </c>
      <c r="H148" t="s">
        <v>191</v>
      </c>
      <c r="I148" t="s">
        <v>135</v>
      </c>
      <c r="J148">
        <v>1.9330000000000001</v>
      </c>
      <c r="K148">
        <v>1.0880000000000001</v>
      </c>
      <c r="L148" t="s">
        <v>135</v>
      </c>
      <c r="N148">
        <f>(J148-K148)/J148</f>
        <v>0.43714433523021207</v>
      </c>
      <c r="P148">
        <v>1020875</v>
      </c>
      <c r="Q148">
        <f>P148 / (300 * 300) * 6.4516</f>
        <v>73.180857222222215</v>
      </c>
      <c r="R148">
        <v>5</v>
      </c>
      <c r="S148" t="s">
        <v>195</v>
      </c>
      <c r="T148" t="s">
        <v>135</v>
      </c>
      <c r="U148" t="s">
        <v>135</v>
      </c>
      <c r="V148" t="s">
        <v>135</v>
      </c>
      <c r="W148">
        <f>Q148*100/R148</f>
        <v>1463.6171444444442</v>
      </c>
      <c r="X148">
        <f>W148</f>
        <v>1463.6171444444442</v>
      </c>
      <c r="Y148">
        <v>0.25</v>
      </c>
      <c r="Z148">
        <v>0.24</v>
      </c>
      <c r="AA148">
        <v>0.26</v>
      </c>
      <c r="AB148">
        <f>(Q148)/K148</f>
        <v>67.261817299836594</v>
      </c>
    </row>
    <row r="149" spans="1:29" x14ac:dyDescent="0.25">
      <c r="A149">
        <v>75</v>
      </c>
      <c r="B149" t="s">
        <v>111</v>
      </c>
      <c r="D149" t="s">
        <v>374</v>
      </c>
      <c r="E149">
        <v>1</v>
      </c>
      <c r="F149" t="s">
        <v>185</v>
      </c>
      <c r="H149" t="s">
        <v>191</v>
      </c>
      <c r="I149" t="s">
        <v>135</v>
      </c>
      <c r="J149">
        <v>11.63</v>
      </c>
      <c r="K149">
        <v>4.0229999999999997</v>
      </c>
      <c r="L149" t="s">
        <v>135</v>
      </c>
      <c r="N149">
        <f>(J149-K149)/J149</f>
        <v>0.65408426483233018</v>
      </c>
      <c r="O149" t="s">
        <v>168</v>
      </c>
      <c r="P149">
        <v>3779584</v>
      </c>
      <c r="Q149">
        <f>P149 / (300 * 300) * 6.4516</f>
        <v>270.93737927111113</v>
      </c>
      <c r="R149">
        <v>1</v>
      </c>
      <c r="S149" t="s">
        <v>201</v>
      </c>
      <c r="T149">
        <v>3</v>
      </c>
      <c r="U149" t="s">
        <v>135</v>
      </c>
      <c r="V149" t="s">
        <v>135</v>
      </c>
      <c r="W149">
        <f>Q149/T149*100</f>
        <v>9031.245975703705</v>
      </c>
      <c r="X149">
        <f>Q149*100</f>
        <v>27093.737927111113</v>
      </c>
      <c r="Y149">
        <v>0.48</v>
      </c>
      <c r="Z149">
        <v>0.37</v>
      </c>
      <c r="AA149">
        <v>0.48</v>
      </c>
      <c r="AB149">
        <f>(Q149)/K149</f>
        <v>67.347098998536197</v>
      </c>
    </row>
    <row r="150" spans="1:29" x14ac:dyDescent="0.25">
      <c r="A150">
        <v>618</v>
      </c>
      <c r="B150" t="s">
        <v>1481</v>
      </c>
      <c r="C150" t="s">
        <v>303</v>
      </c>
      <c r="D150" t="s">
        <v>378</v>
      </c>
      <c r="E150">
        <v>1</v>
      </c>
      <c r="F150" t="s">
        <v>227</v>
      </c>
      <c r="G150" s="2">
        <v>43665</v>
      </c>
      <c r="H150" t="s">
        <v>191</v>
      </c>
      <c r="Q150">
        <f>P150 / (300 * 300) * 6.4516</f>
        <v>0</v>
      </c>
      <c r="AB150">
        <v>67.577887770000004</v>
      </c>
      <c r="AC150" t="s">
        <v>1607</v>
      </c>
    </row>
    <row r="151" spans="1:29" x14ac:dyDescent="0.25">
      <c r="A151">
        <v>141</v>
      </c>
      <c r="B151" t="s">
        <v>303</v>
      </c>
      <c r="D151" t="s">
        <v>378</v>
      </c>
      <c r="E151">
        <v>1</v>
      </c>
      <c r="F151" t="s">
        <v>227</v>
      </c>
      <c r="H151" t="s">
        <v>192</v>
      </c>
      <c r="I151">
        <v>7.1</v>
      </c>
      <c r="J151" t="s">
        <v>135</v>
      </c>
      <c r="K151">
        <v>0.123</v>
      </c>
      <c r="L151">
        <v>21</v>
      </c>
      <c r="M151">
        <f>PI()*((I151/2)^2)/100 * L151</f>
        <v>8.3143034975417276</v>
      </c>
      <c r="N151" t="s">
        <v>135</v>
      </c>
      <c r="O151" t="s">
        <v>135</v>
      </c>
      <c r="Q151">
        <f>P151 / (300 * 300) * 6.4516</f>
        <v>0</v>
      </c>
      <c r="R151" t="s">
        <v>135</v>
      </c>
      <c r="S151" t="s">
        <v>195</v>
      </c>
      <c r="T151" t="s">
        <v>135</v>
      </c>
      <c r="U151">
        <v>54.25</v>
      </c>
      <c r="V151">
        <v>26.02</v>
      </c>
      <c r="W151">
        <f>(((U151/2) * (V151/2)) * PI())</f>
        <v>1108.6562664793871</v>
      </c>
      <c r="X151">
        <f>IF(ISNUMBER(T151), T151*W151, W151)</f>
        <v>1108.6562664793871</v>
      </c>
      <c r="Y151">
        <v>0.27</v>
      </c>
      <c r="Z151">
        <v>0.25</v>
      </c>
      <c r="AA151">
        <v>0.27</v>
      </c>
      <c r="AB151">
        <f>M151/K151</f>
        <v>67.595963394648194</v>
      </c>
    </row>
    <row r="152" spans="1:29" x14ac:dyDescent="0.25">
      <c r="A152">
        <v>297</v>
      </c>
      <c r="B152" t="s">
        <v>1253</v>
      </c>
      <c r="C152" t="s">
        <v>63</v>
      </c>
      <c r="D152" t="s">
        <v>338</v>
      </c>
      <c r="E152">
        <v>7</v>
      </c>
      <c r="F152" t="s">
        <v>19</v>
      </c>
      <c r="H152" t="s">
        <v>191</v>
      </c>
      <c r="K152">
        <v>2.6</v>
      </c>
      <c r="P152">
        <v>2455111</v>
      </c>
      <c r="Q152">
        <f>P152 / (300 * 300) * 6.4516</f>
        <v>175.99326808444445</v>
      </c>
      <c r="R152">
        <v>1</v>
      </c>
      <c r="S152" t="s">
        <v>201</v>
      </c>
      <c r="T152">
        <v>151</v>
      </c>
      <c r="U152" t="s">
        <v>135</v>
      </c>
      <c r="V152" t="s">
        <v>135</v>
      </c>
      <c r="W152">
        <f>Q152*100/T152</f>
        <v>116.55183316850626</v>
      </c>
      <c r="X152">
        <f>Q152*100/R152</f>
        <v>17599.326808444446</v>
      </c>
      <c r="Y152" t="s">
        <v>135</v>
      </c>
      <c r="Z152" t="s">
        <v>135</v>
      </c>
      <c r="AA152" t="s">
        <v>135</v>
      </c>
      <c r="AB152">
        <f>Q152/K152</f>
        <v>67.6897184940171</v>
      </c>
    </row>
    <row r="153" spans="1:29" x14ac:dyDescent="0.25">
      <c r="A153">
        <v>782</v>
      </c>
      <c r="B153" t="s">
        <v>1750</v>
      </c>
      <c r="D153" t="s">
        <v>1762</v>
      </c>
      <c r="E153">
        <v>2</v>
      </c>
      <c r="F153" t="s">
        <v>1250</v>
      </c>
      <c r="G153" s="3">
        <v>43650</v>
      </c>
      <c r="H153" t="s">
        <v>191</v>
      </c>
      <c r="K153">
        <v>3.3839999999999999</v>
      </c>
      <c r="P153">
        <v>3196101</v>
      </c>
      <c r="Q153">
        <f>P153 / (300 * 300) * 6.4516</f>
        <v>229.11072457333333</v>
      </c>
      <c r="Y153">
        <v>0.31</v>
      </c>
      <c r="Z153">
        <v>0.35</v>
      </c>
      <c r="AA153">
        <v>0.3</v>
      </c>
      <c r="AB153">
        <f>Q153/K153</f>
        <v>67.704114826635148</v>
      </c>
    </row>
    <row r="154" spans="1:29" x14ac:dyDescent="0.25">
      <c r="A154">
        <v>201</v>
      </c>
      <c r="B154" t="s">
        <v>516</v>
      </c>
      <c r="D154" t="s">
        <v>388</v>
      </c>
      <c r="E154">
        <v>5</v>
      </c>
      <c r="F154" t="s">
        <v>284</v>
      </c>
      <c r="H154" t="s">
        <v>192</v>
      </c>
      <c r="I154">
        <v>9.6999999999999993</v>
      </c>
      <c r="K154">
        <v>0.109</v>
      </c>
      <c r="L154">
        <v>10</v>
      </c>
      <c r="M154">
        <f>PI()*((I154/2)^2)/100 * L154</f>
        <v>7.38981131940659</v>
      </c>
      <c r="Q154">
        <f>P154 / (300 * 300) * 6.4516</f>
        <v>0</v>
      </c>
      <c r="S154" t="s">
        <v>195</v>
      </c>
      <c r="T154" t="s">
        <v>135</v>
      </c>
      <c r="U154">
        <v>130</v>
      </c>
      <c r="V154">
        <v>35.72</v>
      </c>
      <c r="W154">
        <f>(((U154/2) * (V154/2)) * PI())</f>
        <v>3647.0749115523904</v>
      </c>
      <c r="X154">
        <f>IF(ISNUMBER(T154), T154*W154, W154)</f>
        <v>3647.0749115523904</v>
      </c>
      <c r="Y154">
        <v>0.37</v>
      </c>
      <c r="Z154">
        <v>0.37</v>
      </c>
      <c r="AA154">
        <v>0.43</v>
      </c>
      <c r="AB154">
        <f>M154/K154</f>
        <v>67.796434122996232</v>
      </c>
    </row>
    <row r="155" spans="1:29" x14ac:dyDescent="0.25">
      <c r="A155">
        <v>276</v>
      </c>
      <c r="B155" t="s">
        <v>740</v>
      </c>
      <c r="D155" t="s">
        <v>593</v>
      </c>
      <c r="E155">
        <v>2</v>
      </c>
      <c r="F155" t="s">
        <v>728</v>
      </c>
      <c r="G155" s="2">
        <v>42921</v>
      </c>
      <c r="H155" t="s">
        <v>192</v>
      </c>
      <c r="I155">
        <v>9.6999999999999993</v>
      </c>
      <c r="K155">
        <v>0.109</v>
      </c>
      <c r="L155">
        <v>10</v>
      </c>
      <c r="M155">
        <f>PI()*((I155/2)^2)/100 * L155</f>
        <v>7.38981131940659</v>
      </c>
      <c r="Q155">
        <f>P155 / (300 * 300) * 6.4516</f>
        <v>0</v>
      </c>
      <c r="S155" t="s">
        <v>201</v>
      </c>
      <c r="T155">
        <v>5</v>
      </c>
      <c r="U155">
        <v>87.23</v>
      </c>
      <c r="V155">
        <v>32.11</v>
      </c>
      <c r="W155">
        <f>(((U155/2) * (V155/2)) * PI())</f>
        <v>2199.8651483783487</v>
      </c>
      <c r="X155">
        <f>IF(ISNUMBER(T155), T155*W155, W155)</f>
        <v>10999.325741891744</v>
      </c>
      <c r="Y155">
        <v>0.36</v>
      </c>
      <c r="Z155">
        <v>0.39</v>
      </c>
      <c r="AA155">
        <v>0.43</v>
      </c>
      <c r="AB155">
        <f>M155/K155</f>
        <v>67.796434122996232</v>
      </c>
    </row>
    <row r="156" spans="1:29" x14ac:dyDescent="0.25">
      <c r="A156">
        <v>30</v>
      </c>
      <c r="B156" t="s">
        <v>1193</v>
      </c>
      <c r="C156" t="s">
        <v>38</v>
      </c>
      <c r="D156" t="s">
        <v>384</v>
      </c>
      <c r="E156">
        <v>3</v>
      </c>
      <c r="F156" t="s">
        <v>252</v>
      </c>
      <c r="H156" t="s">
        <v>191</v>
      </c>
      <c r="I156" t="s">
        <v>135</v>
      </c>
      <c r="J156">
        <v>7.5</v>
      </c>
      <c r="K156">
        <v>3.2360000000000002</v>
      </c>
      <c r="L156" t="s">
        <v>135</v>
      </c>
      <c r="N156">
        <f>(J156-K156)/J156</f>
        <v>0.56853333333333322</v>
      </c>
      <c r="P156">
        <v>3073723</v>
      </c>
      <c r="Q156">
        <f>P156 / (300 * 300) * 6.4516</f>
        <v>220.3381256311111</v>
      </c>
      <c r="R156">
        <v>5</v>
      </c>
      <c r="S156" t="s">
        <v>195</v>
      </c>
      <c r="T156" t="s">
        <v>135</v>
      </c>
      <c r="U156" t="s">
        <v>135</v>
      </c>
      <c r="V156" t="s">
        <v>135</v>
      </c>
      <c r="W156">
        <f>Q156/5 * 100</f>
        <v>4406.7625126222219</v>
      </c>
      <c r="X156">
        <f>W156</f>
        <v>4406.7625126222219</v>
      </c>
      <c r="Y156">
        <v>0.35</v>
      </c>
      <c r="Z156">
        <v>0.35</v>
      </c>
      <c r="AA156">
        <v>0.36</v>
      </c>
      <c r="AB156">
        <f>(Q156)/K156</f>
        <v>68.089655633841502</v>
      </c>
    </row>
    <row r="157" spans="1:29" x14ac:dyDescent="0.25">
      <c r="A157">
        <v>302</v>
      </c>
      <c r="B157" t="s">
        <v>795</v>
      </c>
      <c r="D157" t="s">
        <v>514</v>
      </c>
      <c r="E157">
        <v>4</v>
      </c>
      <c r="F157" t="s">
        <v>751</v>
      </c>
      <c r="G157" s="2">
        <v>42927</v>
      </c>
      <c r="H157" t="s">
        <v>192</v>
      </c>
      <c r="I157">
        <v>7.1</v>
      </c>
      <c r="K157">
        <v>5.8000000000000003E-2</v>
      </c>
      <c r="L157">
        <v>10</v>
      </c>
      <c r="M157">
        <f>PI()*((I157/2)^2)/100 * L157</f>
        <v>3.9591921416865365</v>
      </c>
      <c r="Q157">
        <f>P157 / (300 * 300) * 6.4516</f>
        <v>0</v>
      </c>
      <c r="S157" t="s">
        <v>201</v>
      </c>
      <c r="T157">
        <v>7</v>
      </c>
      <c r="U157">
        <v>48.04</v>
      </c>
      <c r="V157">
        <v>27.87</v>
      </c>
      <c r="W157">
        <f>(((U157/2) * (V157/2)) * PI())</f>
        <v>1051.549808939126</v>
      </c>
      <c r="X157">
        <f>IF(ISNUMBER(T157), T157*W157, W157)</f>
        <v>7360.8486625738824</v>
      </c>
      <c r="Y157">
        <v>0.27</v>
      </c>
      <c r="Z157">
        <v>0.28999999999999998</v>
      </c>
      <c r="AA157">
        <v>0.32</v>
      </c>
      <c r="AB157">
        <f>M157/K157</f>
        <v>68.261933477354077</v>
      </c>
    </row>
    <row r="158" spans="1:29" x14ac:dyDescent="0.25">
      <c r="A158">
        <v>319</v>
      </c>
      <c r="B158" t="s">
        <v>818</v>
      </c>
      <c r="D158" t="s">
        <v>387</v>
      </c>
      <c r="E158">
        <v>5</v>
      </c>
      <c r="F158" t="s">
        <v>281</v>
      </c>
      <c r="G158" s="2">
        <v>42927</v>
      </c>
      <c r="H158" t="s">
        <v>192</v>
      </c>
      <c r="I158">
        <v>7.1</v>
      </c>
      <c r="K158">
        <v>5.8000000000000003E-2</v>
      </c>
      <c r="L158">
        <v>10</v>
      </c>
      <c r="M158">
        <f>PI()*((I158/2)^2)/100 * L158</f>
        <v>3.9591921416865365</v>
      </c>
      <c r="Q158">
        <f>P158 / (300 * 300) * 6.4516</f>
        <v>0</v>
      </c>
      <c r="S158" t="s">
        <v>195</v>
      </c>
      <c r="T158" t="s">
        <v>135</v>
      </c>
      <c r="U158">
        <v>53.64</v>
      </c>
      <c r="V158">
        <v>21.44</v>
      </c>
      <c r="W158">
        <f>(((U158/2) * (V158/2)) * PI())</f>
        <v>903.2405604706629</v>
      </c>
      <c r="X158">
        <f>IF(ISNUMBER(T158), T158*W158, W158)</f>
        <v>903.2405604706629</v>
      </c>
      <c r="Y158">
        <v>0.26</v>
      </c>
      <c r="Z158">
        <v>0.27</v>
      </c>
      <c r="AA158">
        <v>0.24</v>
      </c>
      <c r="AB158">
        <f>M158/K158</f>
        <v>68.261933477354077</v>
      </c>
    </row>
    <row r="159" spans="1:29" x14ac:dyDescent="0.25">
      <c r="A159">
        <v>452</v>
      </c>
      <c r="B159" t="s">
        <v>1067</v>
      </c>
      <c r="D159" t="s">
        <v>385</v>
      </c>
      <c r="E159">
        <v>5</v>
      </c>
      <c r="F159" t="s">
        <v>255</v>
      </c>
      <c r="G159" s="2">
        <v>42950</v>
      </c>
      <c r="H159" t="s">
        <v>192</v>
      </c>
      <c r="I159">
        <v>9.6999999999999993</v>
      </c>
      <c r="K159">
        <v>0.108</v>
      </c>
      <c r="L159">
        <v>10</v>
      </c>
      <c r="M159">
        <f>PI()*((I159/2)^2)/100 * L159</f>
        <v>7.38981131940659</v>
      </c>
      <c r="Q159">
        <f>P159 / (300 * 300) * 6.4516</f>
        <v>0</v>
      </c>
      <c r="S159" t="s">
        <v>201</v>
      </c>
      <c r="T159">
        <v>5</v>
      </c>
      <c r="U159">
        <v>145.47</v>
      </c>
      <c r="V159">
        <v>53.17</v>
      </c>
      <c r="W159">
        <f>(((U159/2) * (V159/2)) * PI())</f>
        <v>6074.7719720006235</v>
      </c>
      <c r="X159">
        <f>IF(ISNUMBER(T159), T159*W159, W159)</f>
        <v>30373.859860003118</v>
      </c>
      <c r="Y159">
        <v>0.55000000000000004</v>
      </c>
      <c r="Z159">
        <v>0.53</v>
      </c>
      <c r="AA159">
        <v>0.5</v>
      </c>
      <c r="AB159">
        <f>M159/K159</f>
        <v>68.424178883394347</v>
      </c>
    </row>
    <row r="160" spans="1:29" x14ac:dyDescent="0.25">
      <c r="A160">
        <v>504</v>
      </c>
      <c r="B160" t="s">
        <v>1333</v>
      </c>
      <c r="C160" t="s">
        <v>1334</v>
      </c>
      <c r="D160" t="s">
        <v>909</v>
      </c>
      <c r="E160">
        <v>9</v>
      </c>
      <c r="F160" t="s">
        <v>910</v>
      </c>
      <c r="G160" s="2">
        <v>43645</v>
      </c>
      <c r="H160" t="s">
        <v>191</v>
      </c>
      <c r="Q160">
        <f>P160 / (300 * 300) * 6.4516</f>
        <v>0</v>
      </c>
      <c r="AB160">
        <v>68.719186129999997</v>
      </c>
      <c r="AC160" t="s">
        <v>1607</v>
      </c>
    </row>
    <row r="161" spans="1:29" x14ac:dyDescent="0.25">
      <c r="A161">
        <v>34</v>
      </c>
      <c r="B161" t="s">
        <v>70</v>
      </c>
      <c r="D161" t="s">
        <v>352</v>
      </c>
      <c r="E161">
        <v>3</v>
      </c>
      <c r="F161" t="s">
        <v>209</v>
      </c>
      <c r="H161" t="s">
        <v>191</v>
      </c>
      <c r="I161" t="s">
        <v>135</v>
      </c>
      <c r="J161">
        <v>1.0760000000000001</v>
      </c>
      <c r="K161">
        <v>0.61799999999999999</v>
      </c>
      <c r="L161" t="s">
        <v>135</v>
      </c>
      <c r="N161">
        <f>(J161-K161)/J161</f>
        <v>0.42565055762081788</v>
      </c>
      <c r="P161">
        <v>594170</v>
      </c>
      <c r="Q161">
        <f>P161 / (300 * 300) * 6.4516</f>
        <v>42.592746355555555</v>
      </c>
      <c r="R161">
        <v>5</v>
      </c>
      <c r="S161" t="s">
        <v>195</v>
      </c>
      <c r="T161" t="s">
        <v>135</v>
      </c>
      <c r="U161" t="s">
        <v>135</v>
      </c>
      <c r="V161" t="s">
        <v>135</v>
      </c>
      <c r="W161">
        <f>Q161*100/R161</f>
        <v>851.85492711111112</v>
      </c>
      <c r="X161">
        <f>W161</f>
        <v>851.85492711111112</v>
      </c>
      <c r="Y161">
        <v>0.26</v>
      </c>
      <c r="Z161">
        <v>0.24</v>
      </c>
      <c r="AA161">
        <v>0.23</v>
      </c>
      <c r="AB161">
        <f>(Q161)/K161</f>
        <v>68.920301546206403</v>
      </c>
    </row>
    <row r="162" spans="1:29" x14ac:dyDescent="0.25">
      <c r="A162">
        <v>221</v>
      </c>
      <c r="B162" t="s">
        <v>527</v>
      </c>
      <c r="D162" t="s">
        <v>498</v>
      </c>
      <c r="E162">
        <v>2</v>
      </c>
      <c r="F162" t="s">
        <v>499</v>
      </c>
      <c r="H162" t="s">
        <v>192</v>
      </c>
      <c r="I162">
        <v>7.1</v>
      </c>
      <c r="K162">
        <v>8.5999999999999993E-2</v>
      </c>
      <c r="L162">
        <v>15</v>
      </c>
      <c r="M162">
        <f>PI()*((I162/2)^2)/100 * L162</f>
        <v>5.938788212529805</v>
      </c>
      <c r="Q162">
        <f>P162 / (300 * 300) * 6.4516</f>
        <v>0</v>
      </c>
      <c r="S162" t="s">
        <v>195</v>
      </c>
      <c r="T162" t="s">
        <v>135</v>
      </c>
      <c r="U162">
        <v>117.89</v>
      </c>
      <c r="V162">
        <v>93.33</v>
      </c>
      <c r="W162">
        <f>(((U162/2) * (V162/2)) * PI())</f>
        <v>8641.4797164414067</v>
      </c>
      <c r="X162">
        <f>IF(ISNUMBER(T162), T162*W162, W162)</f>
        <v>8641.4797164414067</v>
      </c>
      <c r="Y162">
        <v>0.39</v>
      </c>
      <c r="Z162">
        <v>0.44</v>
      </c>
      <c r="AA162">
        <v>0.48</v>
      </c>
      <c r="AB162">
        <f>M162/K162</f>
        <v>69.055676889881454</v>
      </c>
    </row>
    <row r="163" spans="1:29" x14ac:dyDescent="0.25">
      <c r="A163">
        <v>140</v>
      </c>
      <c r="B163" t="s">
        <v>302</v>
      </c>
      <c r="D163" t="s">
        <v>388</v>
      </c>
      <c r="E163">
        <v>4</v>
      </c>
      <c r="F163" t="s">
        <v>284</v>
      </c>
      <c r="H163" t="s">
        <v>192</v>
      </c>
      <c r="I163">
        <v>9.6999999999999993</v>
      </c>
      <c r="J163" t="s">
        <v>135</v>
      </c>
      <c r="K163">
        <v>0.14899999999999999</v>
      </c>
      <c r="L163">
        <v>14</v>
      </c>
      <c r="M163">
        <f>PI()*((I163/2)^2)/100 * L163</f>
        <v>10.345735847169225</v>
      </c>
      <c r="N163" t="s">
        <v>135</v>
      </c>
      <c r="O163" t="s">
        <v>135</v>
      </c>
      <c r="Q163">
        <f>P163 / (300 * 300) * 6.4516</f>
        <v>0</v>
      </c>
      <c r="R163" t="s">
        <v>135</v>
      </c>
      <c r="S163" t="s">
        <v>195</v>
      </c>
      <c r="T163" t="s">
        <v>135</v>
      </c>
      <c r="U163">
        <v>124.11</v>
      </c>
      <c r="V163">
        <v>40.31</v>
      </c>
      <c r="W163">
        <f>(((U163/2) * (V163/2)) * PI())</f>
        <v>3929.2481298486618</v>
      </c>
      <c r="X163">
        <f>IF(ISNUMBER(T163), T163*W163, W163)</f>
        <v>3929.2481298486618</v>
      </c>
      <c r="Y163">
        <v>0.34</v>
      </c>
      <c r="Z163">
        <v>0.36</v>
      </c>
      <c r="AA163">
        <v>0.33</v>
      </c>
      <c r="AB163">
        <f>M163/K163</f>
        <v>69.434468772947824</v>
      </c>
    </row>
    <row r="164" spans="1:29" x14ac:dyDescent="0.25">
      <c r="A164">
        <v>607</v>
      </c>
      <c r="B164" t="s">
        <v>1465</v>
      </c>
      <c r="C164" t="s">
        <v>99</v>
      </c>
      <c r="D164" t="s">
        <v>352</v>
      </c>
      <c r="E164">
        <v>1</v>
      </c>
      <c r="F164" t="s">
        <v>209</v>
      </c>
      <c r="G164" s="2">
        <v>43616</v>
      </c>
      <c r="H164" t="s">
        <v>191</v>
      </c>
      <c r="Q164">
        <f>P164 / (300 * 300) * 6.4516</f>
        <v>0</v>
      </c>
      <c r="AB164">
        <v>69.453201680000006</v>
      </c>
      <c r="AC164" t="s">
        <v>1607</v>
      </c>
    </row>
    <row r="165" spans="1:29" x14ac:dyDescent="0.25">
      <c r="A165">
        <v>123</v>
      </c>
      <c r="B165" t="s">
        <v>282</v>
      </c>
      <c r="C165" t="s">
        <v>275</v>
      </c>
      <c r="D165" t="s">
        <v>376</v>
      </c>
      <c r="E165">
        <v>3</v>
      </c>
      <c r="F165" t="s">
        <v>200</v>
      </c>
      <c r="H165" t="s">
        <v>192</v>
      </c>
      <c r="I165">
        <v>7.1</v>
      </c>
      <c r="J165" t="s">
        <v>135</v>
      </c>
      <c r="K165">
        <v>0.114</v>
      </c>
      <c r="L165">
        <v>20</v>
      </c>
      <c r="M165">
        <f>PI()*((I165/2)^2)/100 * L165</f>
        <v>7.9183842833730731</v>
      </c>
      <c r="N165" t="s">
        <v>135</v>
      </c>
      <c r="O165" t="s">
        <v>135</v>
      </c>
      <c r="Q165">
        <f>P165 / (300 * 300) * 6.4516</f>
        <v>0</v>
      </c>
      <c r="R165" t="s">
        <v>135</v>
      </c>
      <c r="S165" t="s">
        <v>201</v>
      </c>
      <c r="T165">
        <v>9</v>
      </c>
      <c r="U165">
        <v>76.34</v>
      </c>
      <c r="V165">
        <v>26.9</v>
      </c>
      <c r="W165">
        <f>(((U165/2) * (V165/2)) * PI())</f>
        <v>1612.8512568521762</v>
      </c>
      <c r="X165">
        <f>IF(ISNUMBER(T165), T165*W165, W165)</f>
        <v>14515.661311669586</v>
      </c>
      <c r="Y165">
        <v>0.28000000000000003</v>
      </c>
      <c r="Z165">
        <v>0.27</v>
      </c>
      <c r="AA165">
        <v>0.27</v>
      </c>
      <c r="AB165">
        <f>M165/K165</f>
        <v>69.459511257658534</v>
      </c>
      <c r="AC165" t="s">
        <v>276</v>
      </c>
    </row>
    <row r="166" spans="1:29" x14ac:dyDescent="0.25">
      <c r="A166">
        <v>621</v>
      </c>
      <c r="B166" t="s">
        <v>1484</v>
      </c>
      <c r="C166" t="s">
        <v>1238</v>
      </c>
      <c r="D166" t="s">
        <v>378</v>
      </c>
      <c r="E166">
        <v>4</v>
      </c>
      <c r="F166" t="s">
        <v>227</v>
      </c>
      <c r="G166" s="2">
        <v>43669</v>
      </c>
      <c r="H166" t="s">
        <v>191</v>
      </c>
      <c r="Q166">
        <f>P166 / (300 * 300) * 6.4516</f>
        <v>0</v>
      </c>
      <c r="AB166">
        <v>69.520427839999996</v>
      </c>
      <c r="AC166" t="s">
        <v>1607</v>
      </c>
    </row>
    <row r="167" spans="1:29" x14ac:dyDescent="0.25">
      <c r="A167">
        <v>139</v>
      </c>
      <c r="B167" t="s">
        <v>299</v>
      </c>
      <c r="D167" t="s">
        <v>383</v>
      </c>
      <c r="E167">
        <v>3</v>
      </c>
      <c r="F167" t="s">
        <v>249</v>
      </c>
      <c r="H167" t="s">
        <v>192</v>
      </c>
      <c r="I167">
        <v>7.1</v>
      </c>
      <c r="J167" t="s">
        <v>135</v>
      </c>
      <c r="K167">
        <v>9.0999999999999998E-2</v>
      </c>
      <c r="L167">
        <v>16</v>
      </c>
      <c r="M167">
        <f>PI()*((I167/2)^2)/100 * L167</f>
        <v>6.3347074266984587</v>
      </c>
      <c r="N167" t="s">
        <v>135</v>
      </c>
      <c r="O167" t="s">
        <v>135</v>
      </c>
      <c r="Q167">
        <f>P167 / (300 * 300) * 6.4516</f>
        <v>0</v>
      </c>
      <c r="R167" t="s">
        <v>135</v>
      </c>
      <c r="S167" t="s">
        <v>195</v>
      </c>
      <c r="T167" t="s">
        <v>135</v>
      </c>
      <c r="U167">
        <v>39.479999999999997</v>
      </c>
      <c r="V167">
        <v>19.059999999999999</v>
      </c>
      <c r="W167">
        <f>(((U167/2) * (V167/2)) * PI())</f>
        <v>591.00332149714961</v>
      </c>
      <c r="X167">
        <f>IF(ISNUMBER(T167), T167*W167, W167)</f>
        <v>591.00332149714961</v>
      </c>
      <c r="Y167">
        <v>0.31</v>
      </c>
      <c r="Z167">
        <v>0.31</v>
      </c>
      <c r="AA167">
        <v>0.31</v>
      </c>
      <c r="AB167">
        <f>M167/K167</f>
        <v>69.612169524158887</v>
      </c>
      <c r="AC167" t="s">
        <v>301</v>
      </c>
    </row>
    <row r="168" spans="1:29" x14ac:dyDescent="0.25">
      <c r="A168">
        <v>564</v>
      </c>
      <c r="B168" t="s">
        <v>1412</v>
      </c>
      <c r="C168" t="s">
        <v>69</v>
      </c>
      <c r="D168" t="s">
        <v>346</v>
      </c>
      <c r="E168">
        <v>3</v>
      </c>
      <c r="F168" t="s">
        <v>372</v>
      </c>
      <c r="G168" s="2">
        <v>43618</v>
      </c>
      <c r="H168" t="s">
        <v>191</v>
      </c>
      <c r="Q168">
        <f>P168 / (300 * 300) * 6.4516</f>
        <v>0</v>
      </c>
      <c r="AB168">
        <v>69.710702170000005</v>
      </c>
      <c r="AC168" t="s">
        <v>1607</v>
      </c>
    </row>
    <row r="169" spans="1:29" x14ac:dyDescent="0.25">
      <c r="A169">
        <v>337</v>
      </c>
      <c r="B169" t="s">
        <v>847</v>
      </c>
      <c r="D169" t="s">
        <v>848</v>
      </c>
      <c r="E169">
        <v>1</v>
      </c>
      <c r="F169" t="s">
        <v>849</v>
      </c>
      <c r="G169" s="2">
        <v>42930</v>
      </c>
      <c r="H169" t="s">
        <v>192</v>
      </c>
      <c r="I169">
        <v>9.6999999999999993</v>
      </c>
      <c r="K169">
        <v>0.106</v>
      </c>
      <c r="L169">
        <v>10</v>
      </c>
      <c r="M169">
        <f>PI()*((I169/2)^2)/100 * L169</f>
        <v>7.38981131940659</v>
      </c>
      <c r="Q169">
        <f>P169 / (300 * 300) * 6.4516</f>
        <v>0</v>
      </c>
      <c r="S169" t="s">
        <v>195</v>
      </c>
      <c r="T169" t="s">
        <v>135</v>
      </c>
      <c r="U169">
        <v>108.59</v>
      </c>
      <c r="V169">
        <v>48.19</v>
      </c>
      <c r="W169">
        <f>(((U169/2) * (V169/2)) * PI())</f>
        <v>4109.9509684868199</v>
      </c>
      <c r="X169">
        <f>IF(ISNUMBER(T169), T169*W169, W169)</f>
        <v>4109.9509684868199</v>
      </c>
      <c r="Y169">
        <v>0.39</v>
      </c>
      <c r="Z169">
        <v>0.43</v>
      </c>
      <c r="AA169">
        <v>0.43</v>
      </c>
      <c r="AB169">
        <f>M169/K169</f>
        <v>69.715201126477268</v>
      </c>
    </row>
    <row r="170" spans="1:29" x14ac:dyDescent="0.25">
      <c r="A170">
        <v>510</v>
      </c>
      <c r="B170" t="s">
        <v>1340</v>
      </c>
      <c r="C170" t="s">
        <v>82</v>
      </c>
      <c r="D170" t="s">
        <v>359</v>
      </c>
      <c r="E170">
        <v>1</v>
      </c>
      <c r="F170" t="s">
        <v>370</v>
      </c>
      <c r="G170" s="2">
        <v>43672</v>
      </c>
      <c r="H170" t="s">
        <v>191</v>
      </c>
      <c r="Q170">
        <f>P170 / (300 * 300) * 6.4516</f>
        <v>0</v>
      </c>
      <c r="AB170">
        <v>69.737863700000005</v>
      </c>
      <c r="AC170" t="s">
        <v>1607</v>
      </c>
    </row>
    <row r="171" spans="1:29" x14ac:dyDescent="0.25">
      <c r="A171">
        <v>579</v>
      </c>
      <c r="B171" t="s">
        <v>1431</v>
      </c>
      <c r="C171" t="s">
        <v>525</v>
      </c>
      <c r="D171" t="s">
        <v>366</v>
      </c>
      <c r="E171">
        <v>4</v>
      </c>
      <c r="F171" t="s">
        <v>269</v>
      </c>
      <c r="G171" s="2">
        <v>43660</v>
      </c>
      <c r="H171" t="s">
        <v>191</v>
      </c>
      <c r="Q171">
        <f>P171 / (300 * 300) * 6.4516</f>
        <v>0</v>
      </c>
      <c r="AB171">
        <v>69.989634550000005</v>
      </c>
      <c r="AC171" t="s">
        <v>1607</v>
      </c>
    </row>
    <row r="172" spans="1:29" x14ac:dyDescent="0.25">
      <c r="A172">
        <v>559</v>
      </c>
      <c r="B172" t="s">
        <v>1404</v>
      </c>
      <c r="C172" t="s">
        <v>1405</v>
      </c>
      <c r="D172" t="s">
        <v>351</v>
      </c>
      <c r="E172">
        <v>8</v>
      </c>
      <c r="F172" t="s">
        <v>219</v>
      </c>
      <c r="G172" s="2">
        <v>43633</v>
      </c>
      <c r="H172" t="s">
        <v>191</v>
      </c>
      <c r="Q172">
        <f>P172 / (300 * 300) * 6.4516</f>
        <v>0</v>
      </c>
      <c r="AB172">
        <v>70.132880830000005</v>
      </c>
      <c r="AC172" t="s">
        <v>1607</v>
      </c>
    </row>
    <row r="173" spans="1:29" x14ac:dyDescent="0.25">
      <c r="A173">
        <v>102</v>
      </c>
      <c r="B173" t="s">
        <v>1238</v>
      </c>
      <c r="C173" t="s">
        <v>226</v>
      </c>
      <c r="D173" t="s">
        <v>378</v>
      </c>
      <c r="E173">
        <v>4</v>
      </c>
      <c r="F173" t="s">
        <v>227</v>
      </c>
      <c r="H173" t="s">
        <v>192</v>
      </c>
      <c r="I173">
        <v>7.1</v>
      </c>
      <c r="J173" t="s">
        <v>135</v>
      </c>
      <c r="K173">
        <v>7.9000000000000001E-2</v>
      </c>
      <c r="L173">
        <v>14</v>
      </c>
      <c r="M173">
        <f>PI()*((I173/2)^2)/100 * L173</f>
        <v>5.5428689983611514</v>
      </c>
      <c r="N173" t="s">
        <v>135</v>
      </c>
      <c r="O173" t="s">
        <v>135</v>
      </c>
      <c r="Q173">
        <f>P173 / (300 * 300) * 6.4516</f>
        <v>0</v>
      </c>
      <c r="R173" t="s">
        <v>135</v>
      </c>
      <c r="S173" t="s">
        <v>195</v>
      </c>
      <c r="T173" t="s">
        <v>135</v>
      </c>
      <c r="U173">
        <v>53</v>
      </c>
      <c r="V173">
        <v>25</v>
      </c>
      <c r="W173">
        <f>(((U173/2) * (V173/2)) * PI())</f>
        <v>1040.652566501619</v>
      </c>
      <c r="X173">
        <f>IF(ISNUMBER(T173), T173*W173, W173)</f>
        <v>1040.652566501619</v>
      </c>
      <c r="Y173">
        <v>0.24</v>
      </c>
      <c r="Z173">
        <v>0.24</v>
      </c>
      <c r="AA173">
        <v>0.25</v>
      </c>
      <c r="AB173">
        <f>M173/K173</f>
        <v>70.162898713432298</v>
      </c>
      <c r="AC173" t="s">
        <v>228</v>
      </c>
    </row>
    <row r="174" spans="1:29" x14ac:dyDescent="0.25">
      <c r="A174">
        <v>521</v>
      </c>
      <c r="B174" t="s">
        <v>1351</v>
      </c>
      <c r="C174" t="s">
        <v>33</v>
      </c>
      <c r="D174" t="s">
        <v>340</v>
      </c>
      <c r="E174">
        <v>2</v>
      </c>
      <c r="F174" t="s">
        <v>60</v>
      </c>
      <c r="G174" s="2">
        <v>43672</v>
      </c>
      <c r="H174" t="s">
        <v>191</v>
      </c>
      <c r="Q174">
        <f>P174 / (300 * 300) * 6.4516</f>
        <v>0</v>
      </c>
      <c r="AB174">
        <v>70.279436779999997</v>
      </c>
      <c r="AC174" t="s">
        <v>1607</v>
      </c>
    </row>
    <row r="175" spans="1:29" x14ac:dyDescent="0.25">
      <c r="A175">
        <v>192</v>
      </c>
      <c r="B175" t="s">
        <v>459</v>
      </c>
      <c r="D175" t="s">
        <v>332</v>
      </c>
      <c r="E175">
        <v>5</v>
      </c>
      <c r="F175" t="s">
        <v>363</v>
      </c>
      <c r="H175" t="s">
        <v>192</v>
      </c>
      <c r="I175">
        <v>9.6999999999999993</v>
      </c>
      <c r="K175">
        <v>0.105</v>
      </c>
      <c r="L175">
        <v>10</v>
      </c>
      <c r="M175">
        <f>PI()*((I175/2)^2)/100 * L175</f>
        <v>7.38981131940659</v>
      </c>
      <c r="Q175">
        <f>P175 / (300 * 300) * 6.4516</f>
        <v>0</v>
      </c>
      <c r="S175" t="s">
        <v>195</v>
      </c>
      <c r="T175" t="s">
        <v>135</v>
      </c>
      <c r="U175">
        <v>119.75</v>
      </c>
      <c r="V175">
        <v>58.59</v>
      </c>
      <c r="W175">
        <f>(((U175/2) * (V175/2)) * PI())</f>
        <v>5510.4732876164153</v>
      </c>
      <c r="X175">
        <f>IF(ISNUMBER(T175), T175*W175, W175)</f>
        <v>5510.4732876164153</v>
      </c>
      <c r="Y175">
        <v>0.35</v>
      </c>
      <c r="Z175">
        <v>0.39</v>
      </c>
      <c r="AA175">
        <v>0.42</v>
      </c>
      <c r="AB175">
        <f>M175/K175</f>
        <v>70.379155422919908</v>
      </c>
    </row>
    <row r="176" spans="1:29" x14ac:dyDescent="0.25">
      <c r="A176">
        <v>315</v>
      </c>
      <c r="B176" t="s">
        <v>814</v>
      </c>
      <c r="D176" t="s">
        <v>763</v>
      </c>
      <c r="E176">
        <v>3</v>
      </c>
      <c r="F176" t="s">
        <v>764</v>
      </c>
      <c r="G176" s="2">
        <v>42927</v>
      </c>
      <c r="H176" t="s">
        <v>192</v>
      </c>
      <c r="I176">
        <v>9.6999999999999993</v>
      </c>
      <c r="K176">
        <v>0.105</v>
      </c>
      <c r="L176">
        <v>10</v>
      </c>
      <c r="M176">
        <f>PI()*((I176/2)^2)/100 * L176</f>
        <v>7.38981131940659</v>
      </c>
      <c r="Q176">
        <f>P176 / (300 * 300) * 6.4516</f>
        <v>0</v>
      </c>
      <c r="S176" t="s">
        <v>195</v>
      </c>
      <c r="T176" t="s">
        <v>135</v>
      </c>
      <c r="U176">
        <v>98.35</v>
      </c>
      <c r="V176">
        <v>48.04</v>
      </c>
      <c r="W176">
        <f>(((U176/2) * (V176/2)) * PI())</f>
        <v>3710.7974061414789</v>
      </c>
      <c r="X176">
        <f>IF(ISNUMBER(T176), T176*W176, W176)</f>
        <v>3710.7974061414789</v>
      </c>
      <c r="Y176">
        <v>0.31</v>
      </c>
      <c r="Z176">
        <v>0.31</v>
      </c>
      <c r="AA176">
        <v>0.32</v>
      </c>
      <c r="AB176">
        <f>M176/K176</f>
        <v>70.379155422919908</v>
      </c>
    </row>
    <row r="177" spans="1:29" x14ac:dyDescent="0.25">
      <c r="A177">
        <v>130</v>
      </c>
      <c r="B177" t="s">
        <v>287</v>
      </c>
      <c r="D177" t="s">
        <v>388</v>
      </c>
      <c r="E177">
        <v>1</v>
      </c>
      <c r="F177" t="s">
        <v>284</v>
      </c>
      <c r="H177" t="s">
        <v>192</v>
      </c>
      <c r="I177">
        <v>7.1</v>
      </c>
      <c r="J177" t="s">
        <v>135</v>
      </c>
      <c r="K177">
        <v>7.2999999999999995E-2</v>
      </c>
      <c r="L177">
        <v>13</v>
      </c>
      <c r="M177">
        <f>PI()*((I177/2)^2)/100 * L177</f>
        <v>5.1469497841924978</v>
      </c>
      <c r="N177" t="s">
        <v>135</v>
      </c>
      <c r="O177" t="s">
        <v>135</v>
      </c>
      <c r="Q177">
        <f>P177 / (300 * 300) * 6.4516</f>
        <v>0</v>
      </c>
      <c r="R177" t="s">
        <v>135</v>
      </c>
      <c r="S177" t="s">
        <v>195</v>
      </c>
      <c r="T177" t="s">
        <v>135</v>
      </c>
      <c r="U177">
        <v>90.13</v>
      </c>
      <c r="V177">
        <v>45.33</v>
      </c>
      <c r="W177">
        <f>(((U177/2) * (V177/2)) * PI())</f>
        <v>3208.8171600496544</v>
      </c>
      <c r="X177">
        <f>IF(ISNUMBER(T177), T177*W177, W177)</f>
        <v>3208.8171600496544</v>
      </c>
      <c r="Y177">
        <v>0.35</v>
      </c>
      <c r="Z177">
        <v>0.32</v>
      </c>
      <c r="AA177">
        <v>0.35</v>
      </c>
      <c r="AB177">
        <f>M177/K177</f>
        <v>70.506161427294501</v>
      </c>
    </row>
    <row r="178" spans="1:29" x14ac:dyDescent="0.25">
      <c r="A178">
        <v>802</v>
      </c>
      <c r="B178" t="s">
        <v>1785</v>
      </c>
      <c r="D178" t="s">
        <v>1284</v>
      </c>
      <c r="E178">
        <v>4</v>
      </c>
      <c r="F178" t="s">
        <v>1697</v>
      </c>
      <c r="G178" s="3">
        <v>43662</v>
      </c>
      <c r="H178" t="s">
        <v>191</v>
      </c>
      <c r="K178">
        <v>2.5790000000000002</v>
      </c>
      <c r="P178">
        <v>2543142</v>
      </c>
      <c r="Q178">
        <f>P178 / (300 * 300) * 6.4516</f>
        <v>182.30372141333334</v>
      </c>
      <c r="Y178">
        <v>0.3</v>
      </c>
      <c r="Z178">
        <v>0.32</v>
      </c>
      <c r="AA178">
        <v>0.3</v>
      </c>
      <c r="AB178">
        <f>Q178/K178</f>
        <v>70.687755491792686</v>
      </c>
    </row>
    <row r="179" spans="1:29" x14ac:dyDescent="0.25">
      <c r="A179">
        <v>512</v>
      </c>
      <c r="B179" t="s">
        <v>1342</v>
      </c>
      <c r="C179" t="s">
        <v>505</v>
      </c>
      <c r="D179" t="s">
        <v>359</v>
      </c>
      <c r="E179">
        <v>3</v>
      </c>
      <c r="F179" t="s">
        <v>370</v>
      </c>
      <c r="G179" s="2">
        <v>43672</v>
      </c>
      <c r="H179" t="s">
        <v>191</v>
      </c>
      <c r="Q179">
        <f>P179 / (300 * 300) * 6.4516</f>
        <v>0</v>
      </c>
      <c r="AB179">
        <v>70.690497469999997</v>
      </c>
      <c r="AC179" t="s">
        <v>1607</v>
      </c>
    </row>
    <row r="180" spans="1:29" x14ac:dyDescent="0.25">
      <c r="A180">
        <v>678</v>
      </c>
      <c r="B180" t="s">
        <v>1557</v>
      </c>
      <c r="C180" t="s">
        <v>94</v>
      </c>
      <c r="D180" t="s">
        <v>369</v>
      </c>
      <c r="F180" t="s">
        <v>93</v>
      </c>
      <c r="G180" s="2">
        <v>43660</v>
      </c>
      <c r="H180" t="s">
        <v>191</v>
      </c>
      <c r="Q180">
        <f>P180 / (300 * 300) * 6.4516</f>
        <v>0</v>
      </c>
      <c r="AB180">
        <v>70.903917340000007</v>
      </c>
      <c r="AC180" t="s">
        <v>1607</v>
      </c>
    </row>
    <row r="181" spans="1:29" x14ac:dyDescent="0.25">
      <c r="A181">
        <v>622</v>
      </c>
      <c r="B181" t="s">
        <v>1485</v>
      </c>
      <c r="C181" t="s">
        <v>405</v>
      </c>
      <c r="D181" t="s">
        <v>378</v>
      </c>
      <c r="E181">
        <v>5</v>
      </c>
      <c r="F181" t="s">
        <v>227</v>
      </c>
      <c r="G181" s="2">
        <v>43669</v>
      </c>
      <c r="H181" t="s">
        <v>191</v>
      </c>
      <c r="Q181">
        <f>P181 / (300 * 300) * 6.4516</f>
        <v>0</v>
      </c>
      <c r="AB181">
        <v>70.924926159999998</v>
      </c>
      <c r="AC181" t="s">
        <v>1607</v>
      </c>
    </row>
    <row r="182" spans="1:29" x14ac:dyDescent="0.25">
      <c r="A182">
        <v>184</v>
      </c>
      <c r="B182" t="s">
        <v>464</v>
      </c>
      <c r="D182" t="s">
        <v>463</v>
      </c>
      <c r="E182">
        <v>1</v>
      </c>
      <c r="F182" t="s">
        <v>465</v>
      </c>
      <c r="H182" t="s">
        <v>192</v>
      </c>
      <c r="I182">
        <v>9.6999999999999993</v>
      </c>
      <c r="K182">
        <v>0.17699999999999999</v>
      </c>
      <c r="L182">
        <v>17</v>
      </c>
      <c r="M182">
        <f>PI()*((I182/2)^2)/100 * L182</f>
        <v>12.562679242991202</v>
      </c>
      <c r="Q182">
        <f>P182 / (300 * 300) * 6.4516</f>
        <v>0</v>
      </c>
      <c r="S182" t="s">
        <v>195</v>
      </c>
      <c r="T182" t="s">
        <v>135</v>
      </c>
      <c r="U182">
        <v>87.3</v>
      </c>
      <c r="V182">
        <v>43.27</v>
      </c>
      <c r="W182">
        <f>(((U182/2) * (V182/2)) * PI())</f>
        <v>2966.8187856871223</v>
      </c>
      <c r="X182">
        <f>IF(ISNUMBER(T182), T182*W182, W182)</f>
        <v>2966.8187856871223</v>
      </c>
      <c r="Y182">
        <v>0.47</v>
      </c>
      <c r="Z182">
        <v>0.42</v>
      </c>
      <c r="AA182">
        <v>0.44</v>
      </c>
      <c r="AB182">
        <f>M182/K182</f>
        <v>70.975588943453118</v>
      </c>
      <c r="AC182" t="s">
        <v>545</v>
      </c>
    </row>
    <row r="183" spans="1:29" x14ac:dyDescent="0.25">
      <c r="A183">
        <v>606</v>
      </c>
      <c r="B183" t="s">
        <v>1464</v>
      </c>
      <c r="C183" t="s">
        <v>761</v>
      </c>
      <c r="D183" t="s">
        <v>335</v>
      </c>
      <c r="E183">
        <v>5</v>
      </c>
      <c r="F183" t="s">
        <v>473</v>
      </c>
      <c r="G183" s="2">
        <v>43662</v>
      </c>
      <c r="H183" t="s">
        <v>191</v>
      </c>
      <c r="Q183">
        <f>P183 / (300 * 300) * 6.4516</f>
        <v>0</v>
      </c>
      <c r="AB183">
        <v>71.004220450000005</v>
      </c>
      <c r="AC183" t="s">
        <v>1607</v>
      </c>
    </row>
    <row r="184" spans="1:29" x14ac:dyDescent="0.25">
      <c r="A184">
        <v>8</v>
      </c>
      <c r="B184" t="s">
        <v>472</v>
      </c>
      <c r="C184" t="s">
        <v>12</v>
      </c>
      <c r="D184" t="s">
        <v>335</v>
      </c>
      <c r="E184">
        <v>1</v>
      </c>
      <c r="F184" t="s">
        <v>349</v>
      </c>
      <c r="H184" t="s">
        <v>191</v>
      </c>
      <c r="I184" t="s">
        <v>135</v>
      </c>
      <c r="J184">
        <v>2.488</v>
      </c>
      <c r="K184">
        <v>1.1319999999999999</v>
      </c>
      <c r="L184" t="s">
        <v>135</v>
      </c>
      <c r="N184">
        <f>(J184-K184)/J184</f>
        <v>0.545016077170418</v>
      </c>
      <c r="O184" t="s">
        <v>52</v>
      </c>
      <c r="P184">
        <v>1122031</v>
      </c>
      <c r="Q184">
        <f>P184 / (300 * 300) * 6.4516</f>
        <v>80.432168884444437</v>
      </c>
      <c r="R184">
        <v>5</v>
      </c>
      <c r="S184" t="s">
        <v>195</v>
      </c>
      <c r="T184" t="s">
        <v>135</v>
      </c>
      <c r="U184" t="s">
        <v>135</v>
      </c>
      <c r="V184" t="s">
        <v>135</v>
      </c>
      <c r="W184">
        <f>Q184*100/R184</f>
        <v>1608.6433776888887</v>
      </c>
      <c r="X184">
        <f>W184</f>
        <v>1608.6433776888887</v>
      </c>
      <c r="Y184">
        <v>0.44</v>
      </c>
      <c r="Z184">
        <v>0.37</v>
      </c>
      <c r="AA184">
        <v>0.48</v>
      </c>
      <c r="AB184">
        <f>(Q184)/K184</f>
        <v>71.05315272477425</v>
      </c>
    </row>
    <row r="185" spans="1:29" x14ac:dyDescent="0.25">
      <c r="A185">
        <v>259</v>
      </c>
      <c r="B185" t="s">
        <v>617</v>
      </c>
      <c r="D185" t="s">
        <v>332</v>
      </c>
      <c r="E185">
        <v>3</v>
      </c>
      <c r="F185" t="s">
        <v>363</v>
      </c>
      <c r="H185" t="s">
        <v>192</v>
      </c>
      <c r="I185">
        <v>9.6999999999999993</v>
      </c>
      <c r="K185">
        <v>0.104</v>
      </c>
      <c r="L185">
        <v>10</v>
      </c>
      <c r="M185">
        <f>PI()*((I185/2)^2)/100 * L185</f>
        <v>7.38981131940659</v>
      </c>
      <c r="Q185">
        <f>P185 / (300 * 300) * 6.4516</f>
        <v>0</v>
      </c>
      <c r="S185" t="s">
        <v>195</v>
      </c>
      <c r="T185" t="s">
        <v>135</v>
      </c>
      <c r="U185">
        <v>114.35</v>
      </c>
      <c r="V185">
        <v>59.73</v>
      </c>
      <c r="W185">
        <f>(((U185/2) * (V185/2)) * PI())</f>
        <v>5364.3680234740777</v>
      </c>
      <c r="X185">
        <f>IF(ISNUMBER(T185), T185*W185, W185)</f>
        <v>5364.3680234740777</v>
      </c>
      <c r="Y185">
        <v>0.37</v>
      </c>
      <c r="Z185">
        <v>0.37</v>
      </c>
      <c r="AA185">
        <v>0.39</v>
      </c>
      <c r="AB185">
        <f>M185/K185</f>
        <v>71.055878071217208</v>
      </c>
    </row>
    <row r="186" spans="1:29" x14ac:dyDescent="0.25">
      <c r="A186">
        <v>151</v>
      </c>
      <c r="B186" t="s">
        <v>407</v>
      </c>
      <c r="D186" t="s">
        <v>379</v>
      </c>
      <c r="E186">
        <v>4</v>
      </c>
      <c r="F186" t="s">
        <v>234</v>
      </c>
      <c r="H186" t="s">
        <v>192</v>
      </c>
      <c r="I186">
        <v>7.1</v>
      </c>
      <c r="J186" t="s">
        <v>135</v>
      </c>
      <c r="K186">
        <v>0.1</v>
      </c>
      <c r="L186">
        <v>18</v>
      </c>
      <c r="M186">
        <f>PI()*((I186/2)^2)/100 * L186</f>
        <v>7.1265458550357659</v>
      </c>
      <c r="N186" t="s">
        <v>135</v>
      </c>
      <c r="O186" t="s">
        <v>135</v>
      </c>
      <c r="Q186">
        <f>P186 / (300 * 300) * 6.4516</f>
        <v>0</v>
      </c>
      <c r="R186" t="s">
        <v>135</v>
      </c>
      <c r="S186" t="s">
        <v>195</v>
      </c>
      <c r="T186" t="s">
        <v>135</v>
      </c>
      <c r="U186">
        <v>55.88</v>
      </c>
      <c r="V186">
        <v>26.31</v>
      </c>
      <c r="W186">
        <f>(((U186/2) * (V186/2)) * PI())</f>
        <v>1154.6945789417859</v>
      </c>
      <c r="X186">
        <f>IF(ISNUMBER(T186), T186*W186, W186)</f>
        <v>1154.6945789417859</v>
      </c>
      <c r="Y186">
        <v>0.27</v>
      </c>
      <c r="Z186">
        <v>0.32</v>
      </c>
      <c r="AA186">
        <v>0.23</v>
      </c>
      <c r="AB186">
        <f>M186/K186</f>
        <v>71.26545855035765</v>
      </c>
    </row>
    <row r="187" spans="1:29" x14ac:dyDescent="0.25">
      <c r="A187">
        <v>81</v>
      </c>
      <c r="B187" t="s">
        <v>118</v>
      </c>
      <c r="D187" t="s">
        <v>369</v>
      </c>
      <c r="E187">
        <v>2</v>
      </c>
      <c r="F187" t="s">
        <v>93</v>
      </c>
      <c r="H187" t="s">
        <v>191</v>
      </c>
      <c r="I187" t="s">
        <v>135</v>
      </c>
      <c r="J187">
        <v>4.4240000000000004</v>
      </c>
      <c r="K187">
        <v>2.1269999999999998</v>
      </c>
      <c r="L187" t="s">
        <v>135</v>
      </c>
      <c r="N187">
        <f>(J187-K187)/J187</f>
        <v>0.51921338155515384</v>
      </c>
      <c r="P187">
        <v>2117079</v>
      </c>
      <c r="Q187">
        <f>P187 / (300 * 300) * 6.4516</f>
        <v>151.76163195999999</v>
      </c>
      <c r="R187">
        <v>5</v>
      </c>
      <c r="S187" t="s">
        <v>195</v>
      </c>
      <c r="T187" t="s">
        <v>135</v>
      </c>
      <c r="U187" t="s">
        <v>135</v>
      </c>
      <c r="V187" t="s">
        <v>135</v>
      </c>
      <c r="W187">
        <f>Q187*100/R187</f>
        <v>3035.2326392</v>
      </c>
      <c r="X187">
        <f>W187</f>
        <v>3035.2326392</v>
      </c>
      <c r="Y187">
        <v>0.25</v>
      </c>
      <c r="Z187">
        <v>0.28999999999999998</v>
      </c>
      <c r="AA187">
        <v>0.28000000000000003</v>
      </c>
      <c r="AB187">
        <f>(Q187)/K187</f>
        <v>71.3500855477198</v>
      </c>
      <c r="AC187" t="s">
        <v>119</v>
      </c>
    </row>
    <row r="188" spans="1:29" x14ac:dyDescent="0.25">
      <c r="A188">
        <v>133</v>
      </c>
      <c r="B188" t="s">
        <v>291</v>
      </c>
      <c r="D188" t="s">
        <v>381</v>
      </c>
      <c r="E188">
        <v>2</v>
      </c>
      <c r="F188" t="s">
        <v>232</v>
      </c>
      <c r="H188" t="s">
        <v>192</v>
      </c>
      <c r="I188">
        <v>7.1</v>
      </c>
      <c r="J188" t="s">
        <v>135</v>
      </c>
      <c r="K188">
        <v>0.122</v>
      </c>
      <c r="L188">
        <v>22</v>
      </c>
      <c r="M188">
        <f>PI()*((I188/2)^2)/100 * L188</f>
        <v>8.7102227117103812</v>
      </c>
      <c r="N188" t="s">
        <v>135</v>
      </c>
      <c r="O188" t="s">
        <v>135</v>
      </c>
      <c r="Q188">
        <f>P188 / (300 * 300) * 6.4516</f>
        <v>0</v>
      </c>
      <c r="R188" t="s">
        <v>135</v>
      </c>
      <c r="S188" t="s">
        <v>201</v>
      </c>
      <c r="T188">
        <v>7</v>
      </c>
      <c r="U188">
        <v>91.67</v>
      </c>
      <c r="V188">
        <v>25.01</v>
      </c>
      <c r="W188">
        <f>(((U188/2) * (V188/2)) * PI())</f>
        <v>1800.6562154624887</v>
      </c>
      <c r="X188">
        <f>IF(ISNUMBER(T188), T188*W188, W188)</f>
        <v>12604.593508237422</v>
      </c>
      <c r="Y188">
        <v>0.35</v>
      </c>
      <c r="Z188">
        <v>0.35</v>
      </c>
      <c r="AA188">
        <v>0.35</v>
      </c>
      <c r="AB188">
        <f>M188/K188</f>
        <v>71.395268128773623</v>
      </c>
    </row>
    <row r="189" spans="1:29" x14ac:dyDescent="0.25">
      <c r="A189">
        <v>304</v>
      </c>
      <c r="B189" t="s">
        <v>797</v>
      </c>
      <c r="D189" t="s">
        <v>491</v>
      </c>
      <c r="E189">
        <v>3</v>
      </c>
      <c r="F189" t="s">
        <v>492</v>
      </c>
      <c r="G189" s="2">
        <v>42927</v>
      </c>
      <c r="H189" t="s">
        <v>192</v>
      </c>
      <c r="I189">
        <v>7.1</v>
      </c>
      <c r="K189">
        <v>6.0999999999999999E-2</v>
      </c>
      <c r="L189">
        <v>11</v>
      </c>
      <c r="M189">
        <f>PI()*((I189/2)^2)/100 * L189</f>
        <v>4.3551113558551906</v>
      </c>
      <c r="Q189">
        <f>P189 / (300 * 300) * 6.4516</f>
        <v>0</v>
      </c>
      <c r="S189" t="s">
        <v>195</v>
      </c>
      <c r="T189" t="s">
        <v>135</v>
      </c>
      <c r="U189">
        <v>126.62</v>
      </c>
      <c r="V189">
        <v>74.02</v>
      </c>
      <c r="W189">
        <f>(((U189/2) * (V189/2)) * PI())</f>
        <v>7361.0754855634696</v>
      </c>
      <c r="X189">
        <f>IF(ISNUMBER(T189), T189*W189, W189)</f>
        <v>7361.0754855634696</v>
      </c>
      <c r="Y189">
        <v>0.23</v>
      </c>
      <c r="Z189">
        <v>0.25</v>
      </c>
      <c r="AA189">
        <v>0.27</v>
      </c>
      <c r="AB189">
        <f>M189/K189</f>
        <v>71.395268128773623</v>
      </c>
    </row>
    <row r="190" spans="1:29" x14ac:dyDescent="0.25">
      <c r="A190">
        <v>612</v>
      </c>
      <c r="B190" t="s">
        <v>1472</v>
      </c>
      <c r="C190" t="s">
        <v>1235</v>
      </c>
      <c r="D190" t="s">
        <v>352</v>
      </c>
      <c r="E190">
        <v>4</v>
      </c>
      <c r="F190" t="s">
        <v>209</v>
      </c>
      <c r="G190" s="2">
        <v>43617</v>
      </c>
      <c r="H190" t="s">
        <v>191</v>
      </c>
      <c r="Q190">
        <f>P190 / (300 * 300) * 6.4516</f>
        <v>0</v>
      </c>
      <c r="AB190">
        <v>71.669510819999999</v>
      </c>
      <c r="AC190" t="s">
        <v>1607</v>
      </c>
    </row>
    <row r="191" spans="1:29" x14ac:dyDescent="0.25">
      <c r="A191">
        <v>667</v>
      </c>
      <c r="B191" t="s">
        <v>1543</v>
      </c>
      <c r="C191" t="s">
        <v>1544</v>
      </c>
      <c r="D191" t="s">
        <v>381</v>
      </c>
      <c r="F191" t="s">
        <v>232</v>
      </c>
      <c r="G191" s="2">
        <v>43673</v>
      </c>
      <c r="H191" t="s">
        <v>191</v>
      </c>
      <c r="Q191">
        <f>P191 / (300 * 300) * 6.4516</f>
        <v>0</v>
      </c>
      <c r="AB191">
        <v>71.703187529999994</v>
      </c>
      <c r="AC191" t="s">
        <v>1607</v>
      </c>
    </row>
    <row r="192" spans="1:29" x14ac:dyDescent="0.25">
      <c r="A192">
        <v>524</v>
      </c>
      <c r="B192" t="s">
        <v>1354</v>
      </c>
      <c r="C192" t="s">
        <v>895</v>
      </c>
      <c r="D192" t="s">
        <v>340</v>
      </c>
      <c r="E192">
        <v>5</v>
      </c>
      <c r="F192" t="s">
        <v>60</v>
      </c>
      <c r="G192" s="2">
        <v>43672</v>
      </c>
      <c r="H192" t="s">
        <v>191</v>
      </c>
      <c r="Q192">
        <f>P192 / (300 * 300) * 6.4516</f>
        <v>0</v>
      </c>
      <c r="AB192">
        <v>71.840527530000003</v>
      </c>
      <c r="AC192" t="s">
        <v>1607</v>
      </c>
    </row>
    <row r="193" spans="1:29" x14ac:dyDescent="0.25">
      <c r="A193">
        <v>183</v>
      </c>
      <c r="B193" t="s">
        <v>1206</v>
      </c>
      <c r="C193" t="s">
        <v>451</v>
      </c>
      <c r="D193" t="s">
        <v>1207</v>
      </c>
      <c r="E193">
        <v>1</v>
      </c>
      <c r="F193" t="s">
        <v>1208</v>
      </c>
      <c r="H193" t="s">
        <v>192</v>
      </c>
      <c r="I193">
        <v>7.1</v>
      </c>
      <c r="K193">
        <v>8.7999999999999995E-2</v>
      </c>
      <c r="L193">
        <v>16</v>
      </c>
      <c r="M193">
        <f>PI()*((I193/2)^2)/100 * L193</f>
        <v>6.3347074266984587</v>
      </c>
      <c r="Q193">
        <f>P193 / (300 * 300) * 6.4516</f>
        <v>0</v>
      </c>
      <c r="S193" t="s">
        <v>195</v>
      </c>
      <c r="T193" t="s">
        <v>135</v>
      </c>
      <c r="U193">
        <v>115.65</v>
      </c>
      <c r="V193">
        <v>51.11</v>
      </c>
      <c r="W193">
        <f>(((U193/2) * (V193/2)) * PI())</f>
        <v>4642.3876201783205</v>
      </c>
      <c r="X193">
        <f>IF(ISNUMBER(T193), T193*W193, W193)</f>
        <v>4642.3876201783205</v>
      </c>
      <c r="Y193">
        <v>0.31</v>
      </c>
      <c r="Z193">
        <v>0.26</v>
      </c>
      <c r="AA193">
        <v>0.25</v>
      </c>
      <c r="AB193">
        <f>M193/K193</f>
        <v>71.985311667027943</v>
      </c>
    </row>
    <row r="194" spans="1:29" x14ac:dyDescent="0.25">
      <c r="A194">
        <v>271</v>
      </c>
      <c r="B194" t="s">
        <v>734</v>
      </c>
      <c r="D194" t="s">
        <v>735</v>
      </c>
      <c r="E194">
        <v>1</v>
      </c>
      <c r="G194" s="2">
        <v>42921</v>
      </c>
      <c r="H194" t="s">
        <v>192</v>
      </c>
      <c r="I194">
        <v>7.1</v>
      </c>
      <c r="K194">
        <v>5.5E-2</v>
      </c>
      <c r="L194">
        <v>10</v>
      </c>
      <c r="M194">
        <f>PI()*((I194/2)^2)/100 * L194</f>
        <v>3.9591921416865365</v>
      </c>
      <c r="Q194">
        <f>P194 / (300 * 300) * 6.4516</f>
        <v>0</v>
      </c>
      <c r="S194" t="s">
        <v>195</v>
      </c>
      <c r="T194" t="s">
        <v>135</v>
      </c>
      <c r="U194">
        <v>48.65</v>
      </c>
      <c r="V194">
        <v>23.94</v>
      </c>
      <c r="W194">
        <f>(((U194/2) * (V194/2)) * PI())</f>
        <v>914.73831834390353</v>
      </c>
      <c r="X194">
        <f>IF(ISNUMBER(T194), T194*W194, W194)</f>
        <v>914.73831834390353</v>
      </c>
      <c r="Y194">
        <v>0.2</v>
      </c>
      <c r="Z194">
        <v>0.26</v>
      </c>
      <c r="AA194">
        <v>0.28000000000000003</v>
      </c>
      <c r="AB194">
        <f>M194/K194</f>
        <v>71.985311667027943</v>
      </c>
    </row>
    <row r="195" spans="1:29" x14ac:dyDescent="0.25">
      <c r="A195">
        <v>436</v>
      </c>
      <c r="B195" t="s">
        <v>1012</v>
      </c>
      <c r="D195" t="s">
        <v>491</v>
      </c>
      <c r="E195">
        <v>5</v>
      </c>
      <c r="F195" t="s">
        <v>492</v>
      </c>
      <c r="G195" s="2">
        <v>42940</v>
      </c>
      <c r="H195" t="s">
        <v>192</v>
      </c>
      <c r="I195">
        <v>7.1</v>
      </c>
      <c r="K195">
        <v>5.5E-2</v>
      </c>
      <c r="L195">
        <v>10</v>
      </c>
      <c r="M195">
        <f>PI()*((I195/2)^2)/100 * L195</f>
        <v>3.9591921416865365</v>
      </c>
      <c r="Q195">
        <f>P195 / (300 * 300) * 6.4516</f>
        <v>0</v>
      </c>
      <c r="S195" t="s">
        <v>195</v>
      </c>
      <c r="T195" t="s">
        <v>135</v>
      </c>
      <c r="U195">
        <v>123.07</v>
      </c>
      <c r="V195">
        <v>67.430000000000007</v>
      </c>
      <c r="W195">
        <f>(((U195/2) * (V195/2)) * PI())</f>
        <v>6517.7131312915144</v>
      </c>
      <c r="X195">
        <f>IF(ISNUMBER(T195), T195*W195, W195)</f>
        <v>6517.7131312915144</v>
      </c>
      <c r="Y195">
        <v>0.3</v>
      </c>
      <c r="Z195">
        <v>0.28999999999999998</v>
      </c>
      <c r="AA195">
        <v>0.3</v>
      </c>
      <c r="AB195">
        <f>M195/K195</f>
        <v>71.985311667027943</v>
      </c>
    </row>
    <row r="196" spans="1:29" x14ac:dyDescent="0.25">
      <c r="A196">
        <v>458</v>
      </c>
      <c r="B196" t="s">
        <v>1075</v>
      </c>
      <c r="D196" t="s">
        <v>735</v>
      </c>
      <c r="E196">
        <v>4</v>
      </c>
      <c r="F196" t="s">
        <v>1064</v>
      </c>
      <c r="G196" s="2">
        <v>42951</v>
      </c>
      <c r="H196" t="s">
        <v>192</v>
      </c>
      <c r="I196">
        <v>5.5</v>
      </c>
      <c r="K196">
        <v>6.6000000000000003E-2</v>
      </c>
      <c r="L196">
        <v>20</v>
      </c>
      <c r="M196">
        <f>PI()*((I196/2)^2)/100 * L196</f>
        <v>4.7516588885545623</v>
      </c>
      <c r="Q196">
        <f>P196 / (300 * 300) * 6.4516</f>
        <v>0</v>
      </c>
      <c r="S196" t="s">
        <v>1073</v>
      </c>
      <c r="T196" t="s">
        <v>135</v>
      </c>
      <c r="U196">
        <v>63.76</v>
      </c>
      <c r="V196">
        <v>29.54</v>
      </c>
      <c r="W196">
        <f>(((U196/2) * (V196/2)) * PI())</f>
        <v>1479.2741929734573</v>
      </c>
      <c r="X196">
        <f>IF(ISNUMBER(T196), T196*W196, W196)</f>
        <v>1479.2741929734573</v>
      </c>
      <c r="Y196">
        <v>0.26</v>
      </c>
      <c r="Z196">
        <v>0.34</v>
      </c>
      <c r="AA196">
        <v>0.32</v>
      </c>
      <c r="AB196">
        <f>M196/K196</f>
        <v>71.994831644766094</v>
      </c>
    </row>
    <row r="197" spans="1:29" x14ac:dyDescent="0.25">
      <c r="A197">
        <v>576</v>
      </c>
      <c r="B197" t="s">
        <v>1428</v>
      </c>
      <c r="C197" t="s">
        <v>109</v>
      </c>
      <c r="D197" t="s">
        <v>366</v>
      </c>
      <c r="E197">
        <v>1</v>
      </c>
      <c r="F197" t="s">
        <v>269</v>
      </c>
      <c r="G197" s="2">
        <v>43635</v>
      </c>
      <c r="H197" t="s">
        <v>191</v>
      </c>
      <c r="Q197">
        <f>P197 / (300 * 300) * 6.4516</f>
        <v>0</v>
      </c>
      <c r="AB197">
        <v>72.015074279999993</v>
      </c>
      <c r="AC197" t="s">
        <v>1607</v>
      </c>
    </row>
    <row r="198" spans="1:29" x14ac:dyDescent="0.25">
      <c r="A198">
        <v>63</v>
      </c>
      <c r="B198" t="s">
        <v>99</v>
      </c>
      <c r="D198" t="s">
        <v>352</v>
      </c>
      <c r="E198">
        <v>1</v>
      </c>
      <c r="F198" t="s">
        <v>209</v>
      </c>
      <c r="H198" t="s">
        <v>191</v>
      </c>
      <c r="I198" t="s">
        <v>135</v>
      </c>
      <c r="J198">
        <v>1.3819999999999999</v>
      </c>
      <c r="K198">
        <v>0.66500000000000004</v>
      </c>
      <c r="L198" t="s">
        <v>135</v>
      </c>
      <c r="N198">
        <f>(J198-K198)/J198</f>
        <v>0.51881331403762654</v>
      </c>
      <c r="P198">
        <v>670325</v>
      </c>
      <c r="Q198">
        <f>P198 / (300 * 300) * 6.4516</f>
        <v>48.051875222222222</v>
      </c>
      <c r="R198">
        <v>5</v>
      </c>
      <c r="T198" t="s">
        <v>135</v>
      </c>
      <c r="U198" t="s">
        <v>135</v>
      </c>
      <c r="V198" t="s">
        <v>135</v>
      </c>
      <c r="W198">
        <f>Q198*100/R198</f>
        <v>961.03750444444449</v>
      </c>
      <c r="X198">
        <f>W198</f>
        <v>961.03750444444449</v>
      </c>
      <c r="Y198">
        <v>0.22</v>
      </c>
      <c r="Z198">
        <v>0.23</v>
      </c>
      <c r="AA198">
        <v>0.21</v>
      </c>
      <c r="AB198">
        <f>(Q198)/K198</f>
        <v>72.258458980785292</v>
      </c>
    </row>
    <row r="199" spans="1:29" x14ac:dyDescent="0.25">
      <c r="A199">
        <v>26</v>
      </c>
      <c r="B199" t="s">
        <v>34</v>
      </c>
      <c r="D199" t="s">
        <v>347</v>
      </c>
      <c r="E199">
        <v>1</v>
      </c>
      <c r="F199" t="s">
        <v>361</v>
      </c>
      <c r="H199" t="s">
        <v>191</v>
      </c>
      <c r="I199" t="s">
        <v>135</v>
      </c>
      <c r="J199">
        <v>8.6639999999999997</v>
      </c>
      <c r="K199">
        <v>4.2039999999999997</v>
      </c>
      <c r="L199" t="s">
        <v>135</v>
      </c>
      <c r="N199">
        <f>(J199-K199)/J199</f>
        <v>0.5147737765466297</v>
      </c>
      <c r="P199">
        <v>4241897</v>
      </c>
      <c r="Q199">
        <f>P199 / (300 * 300) * 6.4516</f>
        <v>304.07802983555558</v>
      </c>
      <c r="R199">
        <v>3</v>
      </c>
      <c r="S199" t="s">
        <v>195</v>
      </c>
      <c r="T199" t="s">
        <v>135</v>
      </c>
      <c r="U199" t="s">
        <v>135</v>
      </c>
      <c r="V199" t="s">
        <v>135</v>
      </c>
      <c r="W199">
        <f>Q199*100/R199</f>
        <v>10135.934327851852</v>
      </c>
      <c r="X199">
        <f>W199</f>
        <v>10135.934327851852</v>
      </c>
      <c r="Y199">
        <v>1.1499999999999999</v>
      </c>
      <c r="Z199">
        <v>1.1100000000000001</v>
      </c>
      <c r="AA199">
        <v>0.9</v>
      </c>
      <c r="AB199">
        <f>(Q199)/K199</f>
        <v>72.330644585051289</v>
      </c>
    </row>
    <row r="200" spans="1:29" x14ac:dyDescent="0.25">
      <c r="A200">
        <v>68</v>
      </c>
      <c r="B200" t="s">
        <v>481</v>
      </c>
      <c r="C200" t="s">
        <v>104</v>
      </c>
      <c r="D200" t="s">
        <v>335</v>
      </c>
      <c r="E200">
        <v>2</v>
      </c>
      <c r="F200" t="s">
        <v>375</v>
      </c>
      <c r="H200" t="s">
        <v>191</v>
      </c>
      <c r="I200" t="s">
        <v>135</v>
      </c>
      <c r="J200">
        <v>2.5649999999999999</v>
      </c>
      <c r="K200">
        <v>1.212</v>
      </c>
      <c r="L200" t="s">
        <v>135</v>
      </c>
      <c r="N200">
        <f>(J200-K200)/J200</f>
        <v>0.52748538011695911</v>
      </c>
      <c r="O200" t="s">
        <v>156</v>
      </c>
      <c r="P200">
        <v>1223585</v>
      </c>
      <c r="Q200">
        <f>P200 / (300 * 300) * 6.4516</f>
        <v>87.712010955555556</v>
      </c>
      <c r="R200">
        <v>5</v>
      </c>
      <c r="S200" t="s">
        <v>195</v>
      </c>
      <c r="T200" t="s">
        <v>135</v>
      </c>
      <c r="U200" t="s">
        <v>135</v>
      </c>
      <c r="V200" t="s">
        <v>135</v>
      </c>
      <c r="W200">
        <f>Q200*100/R200</f>
        <v>1754.2402191111112</v>
      </c>
      <c r="X200">
        <f>W200</f>
        <v>1754.2402191111112</v>
      </c>
      <c r="Y200">
        <v>0.22</v>
      </c>
      <c r="Z200">
        <v>0.28000000000000003</v>
      </c>
      <c r="AA200">
        <v>0.22</v>
      </c>
      <c r="AB200">
        <f>(Q200)/K200</f>
        <v>72.369646002933635</v>
      </c>
    </row>
    <row r="201" spans="1:29" x14ac:dyDescent="0.25">
      <c r="A201">
        <v>669</v>
      </c>
      <c r="B201" t="s">
        <v>1547</v>
      </c>
      <c r="C201" t="s">
        <v>1548</v>
      </c>
      <c r="D201" t="s">
        <v>381</v>
      </c>
      <c r="F201" t="s">
        <v>232</v>
      </c>
      <c r="G201" s="2">
        <v>43674</v>
      </c>
      <c r="H201" t="s">
        <v>191</v>
      </c>
      <c r="Q201">
        <f>P201 / (300 * 300) * 6.4516</f>
        <v>0</v>
      </c>
      <c r="AB201">
        <v>72.378446170000004</v>
      </c>
      <c r="AC201" t="s">
        <v>1607</v>
      </c>
    </row>
    <row r="202" spans="1:29" x14ac:dyDescent="0.25">
      <c r="A202">
        <v>170</v>
      </c>
      <c r="B202" t="s">
        <v>1245</v>
      </c>
      <c r="C202" t="s">
        <v>422</v>
      </c>
      <c r="D202" t="s">
        <v>390</v>
      </c>
      <c r="E202">
        <v>6</v>
      </c>
      <c r="F202" t="s">
        <v>298</v>
      </c>
      <c r="H202" t="s">
        <v>192</v>
      </c>
      <c r="I202">
        <v>7.1</v>
      </c>
      <c r="K202">
        <v>8.2000000000000003E-2</v>
      </c>
      <c r="L202">
        <v>15</v>
      </c>
      <c r="M202">
        <f>PI()*((I202/2)^2)/100 * L202</f>
        <v>5.938788212529805</v>
      </c>
      <c r="Q202">
        <f>P202 / (300 * 300) * 6.4516</f>
        <v>0</v>
      </c>
      <c r="S202" t="s">
        <v>195</v>
      </c>
      <c r="T202" t="s">
        <v>135</v>
      </c>
      <c r="U202">
        <v>72.22</v>
      </c>
      <c r="V202">
        <v>38.28</v>
      </c>
      <c r="W202">
        <f>(((U202/2) * (V202/2)) * PI())</f>
        <v>2171.2973112023792</v>
      </c>
      <c r="X202">
        <f>IF(ISNUMBER(T202), T202*W202, W202)</f>
        <v>2171.2973112023792</v>
      </c>
      <c r="Y202">
        <v>0.56000000000000005</v>
      </c>
      <c r="Z202">
        <v>0.56000000000000005</v>
      </c>
      <c r="AA202">
        <v>0.55000000000000004</v>
      </c>
      <c r="AB202">
        <f>M202/K202</f>
        <v>72.424246494265915</v>
      </c>
      <c r="AC202" t="s">
        <v>1248</v>
      </c>
    </row>
    <row r="203" spans="1:29" x14ac:dyDescent="0.25">
      <c r="A203">
        <v>186</v>
      </c>
      <c r="B203" t="s">
        <v>453</v>
      </c>
      <c r="D203" t="s">
        <v>449</v>
      </c>
      <c r="E203">
        <v>2</v>
      </c>
      <c r="F203" t="s">
        <v>450</v>
      </c>
      <c r="H203" t="s">
        <v>192</v>
      </c>
      <c r="I203">
        <v>7.1</v>
      </c>
      <c r="K203">
        <v>0.13100000000000001</v>
      </c>
      <c r="L203">
        <v>24</v>
      </c>
      <c r="M203">
        <f>PI()*((I203/2)^2)/100 * L203</f>
        <v>9.5020611400476884</v>
      </c>
      <c r="Q203">
        <f>P203 / (300 * 300) * 6.4516</f>
        <v>0</v>
      </c>
      <c r="S203" t="s">
        <v>195</v>
      </c>
      <c r="T203" t="s">
        <v>135</v>
      </c>
      <c r="U203">
        <v>98</v>
      </c>
      <c r="V203">
        <v>54</v>
      </c>
      <c r="W203">
        <f>(((U203/2) * (V203/2)) * PI())</f>
        <v>4156.3270806992959</v>
      </c>
      <c r="X203">
        <f>IF(ISNUMBER(T203), T203*W203, W203)</f>
        <v>4156.3270806992959</v>
      </c>
      <c r="Y203">
        <v>0.28000000000000003</v>
      </c>
      <c r="Z203">
        <v>0.3</v>
      </c>
      <c r="AA203">
        <v>0.27</v>
      </c>
      <c r="AB203">
        <f>M203/K203</f>
        <v>72.534817862959457</v>
      </c>
    </row>
    <row r="204" spans="1:29" x14ac:dyDescent="0.25">
      <c r="A204">
        <v>237</v>
      </c>
      <c r="B204" t="s">
        <v>590</v>
      </c>
      <c r="D204" t="s">
        <v>411</v>
      </c>
      <c r="E204">
        <v>5</v>
      </c>
      <c r="F204" t="s">
        <v>412</v>
      </c>
      <c r="H204" t="s">
        <v>192</v>
      </c>
      <c r="I204">
        <v>7.1</v>
      </c>
      <c r="K204">
        <v>4.9000000000000002E-2</v>
      </c>
      <c r="L204">
        <v>9</v>
      </c>
      <c r="M204">
        <f>PI()*((I204/2)^2)/100 * L204</f>
        <v>3.5632729275178829</v>
      </c>
      <c r="Q204">
        <f>P204 / (300 * 300) * 6.4516</f>
        <v>0</v>
      </c>
      <c r="S204" t="s">
        <v>201</v>
      </c>
      <c r="T204">
        <v>13</v>
      </c>
      <c r="U204">
        <v>45.05</v>
      </c>
      <c r="V204">
        <v>14.24</v>
      </c>
      <c r="W204">
        <f>(((U204/2) * (V204/2)) * PI())</f>
        <v>503.84234659742378</v>
      </c>
      <c r="X204">
        <f>IF(ISNUMBER(T204), T204*W204, W204)</f>
        <v>6549.9505057665092</v>
      </c>
      <c r="Y204">
        <v>0.24</v>
      </c>
      <c r="Z204">
        <v>0.26</v>
      </c>
      <c r="AA204">
        <v>0.26</v>
      </c>
      <c r="AB204">
        <f>M204/K204</f>
        <v>72.719855663630256</v>
      </c>
    </row>
    <row r="205" spans="1:29" x14ac:dyDescent="0.25">
      <c r="A205">
        <v>488</v>
      </c>
      <c r="B205" t="s">
        <v>1313</v>
      </c>
      <c r="C205" t="s">
        <v>439</v>
      </c>
      <c r="D205" t="s">
        <v>416</v>
      </c>
      <c r="E205">
        <v>4</v>
      </c>
      <c r="F205" t="s">
        <v>1310</v>
      </c>
      <c r="G205" s="2">
        <v>43657</v>
      </c>
      <c r="H205" t="s">
        <v>191</v>
      </c>
      <c r="Q205">
        <f>P205 / (300 * 300) * 6.4516</f>
        <v>0</v>
      </c>
      <c r="AB205">
        <v>72.750076289999996</v>
      </c>
      <c r="AC205" t="s">
        <v>1607</v>
      </c>
    </row>
    <row r="206" spans="1:29" x14ac:dyDescent="0.25">
      <c r="A206">
        <v>528</v>
      </c>
      <c r="B206" t="s">
        <v>1359</v>
      </c>
      <c r="C206" t="s">
        <v>757</v>
      </c>
      <c r="D206" t="s">
        <v>593</v>
      </c>
      <c r="E206">
        <v>4</v>
      </c>
      <c r="F206" t="s">
        <v>1356</v>
      </c>
      <c r="G206" s="2">
        <v>43673</v>
      </c>
      <c r="H206" t="s">
        <v>191</v>
      </c>
      <c r="Q206">
        <f>P206 / (300 * 300) * 6.4516</f>
        <v>0</v>
      </c>
      <c r="AB206">
        <v>72.760878520000006</v>
      </c>
      <c r="AC206" t="s">
        <v>1607</v>
      </c>
    </row>
    <row r="207" spans="1:29" x14ac:dyDescent="0.25">
      <c r="A207">
        <v>84</v>
      </c>
      <c r="B207" t="s">
        <v>122</v>
      </c>
      <c r="D207" t="s">
        <v>344</v>
      </c>
      <c r="E207">
        <v>2</v>
      </c>
      <c r="F207" t="s">
        <v>278</v>
      </c>
      <c r="H207" t="s">
        <v>191</v>
      </c>
      <c r="I207" t="s">
        <v>135</v>
      </c>
      <c r="J207">
        <v>5.851</v>
      </c>
      <c r="K207">
        <v>2.0750000000000002</v>
      </c>
      <c r="L207" t="s">
        <v>135</v>
      </c>
      <c r="N207">
        <f>(J207-K207)/J207</f>
        <v>0.64535976756110058</v>
      </c>
      <c r="O207" t="s">
        <v>122</v>
      </c>
      <c r="P207">
        <v>2108728</v>
      </c>
      <c r="Q207">
        <f>P207 / (300 * 300) * 6.4516</f>
        <v>151.16299516444445</v>
      </c>
      <c r="R207">
        <v>5</v>
      </c>
      <c r="S207" t="s">
        <v>195</v>
      </c>
      <c r="T207" t="s">
        <v>135</v>
      </c>
      <c r="U207" t="s">
        <v>135</v>
      </c>
      <c r="V207" t="s">
        <v>135</v>
      </c>
      <c r="W207">
        <f>Q207*100/R207</f>
        <v>3023.2599032888893</v>
      </c>
      <c r="X207">
        <f>W207</f>
        <v>3023.2599032888893</v>
      </c>
      <c r="Y207">
        <v>0.35</v>
      </c>
      <c r="Z207">
        <v>0.32</v>
      </c>
      <c r="AA207">
        <v>0.37</v>
      </c>
      <c r="AB207">
        <f>(Q207)/K207</f>
        <v>72.849636223828639</v>
      </c>
    </row>
    <row r="208" spans="1:29" x14ac:dyDescent="0.25">
      <c r="A208">
        <v>558</v>
      </c>
      <c r="B208" t="s">
        <v>1402</v>
      </c>
      <c r="C208" t="s">
        <v>1403</v>
      </c>
      <c r="D208" t="s">
        <v>351</v>
      </c>
      <c r="E208">
        <v>7</v>
      </c>
      <c r="F208" t="s">
        <v>219</v>
      </c>
      <c r="G208" s="2">
        <v>43633</v>
      </c>
      <c r="H208" t="s">
        <v>191</v>
      </c>
      <c r="Q208">
        <f>P208 / (300 * 300) * 6.4516</f>
        <v>0</v>
      </c>
      <c r="AB208">
        <v>72.966462329999999</v>
      </c>
      <c r="AC208" t="s">
        <v>1607</v>
      </c>
    </row>
    <row r="209" spans="1:29" x14ac:dyDescent="0.25">
      <c r="A209">
        <v>59</v>
      </c>
      <c r="B209" t="s">
        <v>94</v>
      </c>
      <c r="D209" t="s">
        <v>369</v>
      </c>
      <c r="E209">
        <v>4</v>
      </c>
      <c r="F209" t="s">
        <v>93</v>
      </c>
      <c r="H209" t="s">
        <v>191</v>
      </c>
      <c r="I209" t="s">
        <v>135</v>
      </c>
      <c r="J209">
        <v>3.2919999999999998</v>
      </c>
      <c r="K209">
        <v>1.4850000000000001</v>
      </c>
      <c r="L209" t="s">
        <v>135</v>
      </c>
      <c r="N209">
        <f>(J209-K209)/J209</f>
        <v>0.54890643985419196</v>
      </c>
      <c r="O209" t="s">
        <v>167</v>
      </c>
      <c r="P209">
        <v>1512675</v>
      </c>
      <c r="Q209">
        <f>P209 / (300 * 300) * 6.4516</f>
        <v>108.43526700000001</v>
      </c>
      <c r="R209">
        <v>5</v>
      </c>
      <c r="T209" t="s">
        <v>135</v>
      </c>
      <c r="U209" t="s">
        <v>135</v>
      </c>
      <c r="V209" t="s">
        <v>135</v>
      </c>
      <c r="W209">
        <f>Q209*100/R209</f>
        <v>2168.70534</v>
      </c>
      <c r="X209">
        <f>W209</f>
        <v>2168.70534</v>
      </c>
      <c r="Y209">
        <v>0.19</v>
      </c>
      <c r="Z209">
        <v>0.26</v>
      </c>
      <c r="AA209">
        <v>0.2</v>
      </c>
      <c r="AB209">
        <f>(Q209)/K209</f>
        <v>73.020381818181818</v>
      </c>
      <c r="AC209" t="s">
        <v>95</v>
      </c>
    </row>
    <row r="210" spans="1:29" x14ac:dyDescent="0.25">
      <c r="A210">
        <v>42</v>
      </c>
      <c r="B210" t="s">
        <v>77</v>
      </c>
      <c r="D210" t="s">
        <v>338</v>
      </c>
      <c r="E210">
        <v>3</v>
      </c>
      <c r="F210" t="s">
        <v>19</v>
      </c>
      <c r="H210" t="s">
        <v>191</v>
      </c>
      <c r="I210" t="s">
        <v>135</v>
      </c>
      <c r="J210">
        <v>13.606999999999999</v>
      </c>
      <c r="K210">
        <f>8.52-3.08</f>
        <v>5.4399999999999995</v>
      </c>
      <c r="L210" t="s">
        <v>135</v>
      </c>
      <c r="N210">
        <f>(J210-K210)/J210</f>
        <v>0.60020577643859785</v>
      </c>
      <c r="O210" t="s">
        <v>163</v>
      </c>
      <c r="P210">
        <f>2341517 + 3215010</f>
        <v>5556527</v>
      </c>
      <c r="Q210">
        <f>P210 / (300 * 300) * 6.4516</f>
        <v>398.31655103555556</v>
      </c>
      <c r="R210">
        <v>2</v>
      </c>
      <c r="S210" t="s">
        <v>201</v>
      </c>
      <c r="T210">
        <v>480</v>
      </c>
      <c r="U210" t="s">
        <v>135</v>
      </c>
      <c r="V210" t="s">
        <v>135</v>
      </c>
      <c r="W210">
        <f>Q210*100/T210</f>
        <v>82.982614799074071</v>
      </c>
      <c r="X210">
        <f>Q210*100/R210</f>
        <v>19915.827551777777</v>
      </c>
      <c r="Y210">
        <v>0.14000000000000001</v>
      </c>
      <c r="Z210">
        <v>0.14000000000000001</v>
      </c>
      <c r="AA210">
        <v>0.15</v>
      </c>
      <c r="AB210">
        <f>(Q210)/K210</f>
        <v>73.219954234477129</v>
      </c>
      <c r="AC210" t="s">
        <v>398</v>
      </c>
    </row>
    <row r="211" spans="1:29" x14ac:dyDescent="0.25">
      <c r="A211">
        <v>509</v>
      </c>
      <c r="B211" t="s">
        <v>1339</v>
      </c>
      <c r="C211" t="s">
        <v>611</v>
      </c>
      <c r="D211" t="s">
        <v>373</v>
      </c>
      <c r="E211">
        <v>5</v>
      </c>
      <c r="F211" t="s">
        <v>204</v>
      </c>
      <c r="G211" s="2">
        <v>43654</v>
      </c>
      <c r="H211" t="s">
        <v>191</v>
      </c>
      <c r="Q211">
        <f>P211 / (300 * 300) * 6.4516</f>
        <v>0</v>
      </c>
      <c r="AB211">
        <v>73.250732819999996</v>
      </c>
      <c r="AC211" t="s">
        <v>1607</v>
      </c>
    </row>
    <row r="212" spans="1:29" x14ac:dyDescent="0.25">
      <c r="A212">
        <v>230</v>
      </c>
      <c r="B212" t="s">
        <v>583</v>
      </c>
      <c r="D212" t="s">
        <v>488</v>
      </c>
      <c r="E212">
        <v>4</v>
      </c>
      <c r="F212" t="s">
        <v>489</v>
      </c>
      <c r="H212" t="s">
        <v>192</v>
      </c>
      <c r="I212">
        <v>7.1</v>
      </c>
      <c r="K212">
        <v>5.3999999999999999E-2</v>
      </c>
      <c r="L212">
        <v>10</v>
      </c>
      <c r="M212">
        <f>PI()*((I212/2)^2)/100 * L212</f>
        <v>3.9591921416865365</v>
      </c>
      <c r="Q212">
        <f>P212 / (300 * 300) * 6.4516</f>
        <v>0</v>
      </c>
      <c r="S212" t="s">
        <v>195</v>
      </c>
      <c r="T212" t="s">
        <v>135</v>
      </c>
      <c r="U212">
        <v>90.52</v>
      </c>
      <c r="V212">
        <v>45.13</v>
      </c>
      <c r="W212">
        <f>(((U212/2) * (V212/2)) * PI())</f>
        <v>3208.4831302107618</v>
      </c>
      <c r="X212">
        <f>IF(ISNUMBER(T212), T212*W212, W212)</f>
        <v>3208.4831302107618</v>
      </c>
      <c r="Y212">
        <v>0.3</v>
      </c>
      <c r="Z212">
        <v>0.3</v>
      </c>
      <c r="AA212">
        <v>0.33</v>
      </c>
      <c r="AB212">
        <f>M212/K212</f>
        <v>73.318372994195116</v>
      </c>
    </row>
    <row r="213" spans="1:29" x14ac:dyDescent="0.25">
      <c r="A213">
        <v>235</v>
      </c>
      <c r="B213" t="s">
        <v>588</v>
      </c>
      <c r="D213" t="s">
        <v>411</v>
      </c>
      <c r="E213">
        <v>3</v>
      </c>
      <c r="F213" t="s">
        <v>412</v>
      </c>
      <c r="H213" t="s">
        <v>192</v>
      </c>
      <c r="I213">
        <v>7.1</v>
      </c>
      <c r="K213">
        <v>5.3999999999999999E-2</v>
      </c>
      <c r="L213">
        <v>10</v>
      </c>
      <c r="M213">
        <f>PI()*((I213/2)^2)/100 * L213</f>
        <v>3.9591921416865365</v>
      </c>
      <c r="Q213">
        <f>P213 / (300 * 300) * 6.4516</f>
        <v>0</v>
      </c>
      <c r="S213" t="s">
        <v>201</v>
      </c>
      <c r="T213">
        <v>13</v>
      </c>
      <c r="U213">
        <v>49.73</v>
      </c>
      <c r="V213">
        <v>15.94</v>
      </c>
      <c r="W213">
        <f>(((U213/2) * (V213/2)) * PI())</f>
        <v>622.5821396121363</v>
      </c>
      <c r="X213">
        <f>IF(ISNUMBER(T213), T213*W213, W213)</f>
        <v>8093.5678149577716</v>
      </c>
      <c r="Y213">
        <v>0.19</v>
      </c>
      <c r="Z213">
        <v>0.18</v>
      </c>
      <c r="AA213">
        <v>0.22</v>
      </c>
      <c r="AB213">
        <f>M213/K213</f>
        <v>73.318372994195116</v>
      </c>
    </row>
    <row r="214" spans="1:29" x14ac:dyDescent="0.25">
      <c r="A214">
        <v>523</v>
      </c>
      <c r="B214" t="s">
        <v>1353</v>
      </c>
      <c r="C214" t="s">
        <v>896</v>
      </c>
      <c r="D214" t="s">
        <v>340</v>
      </c>
      <c r="E214">
        <v>4</v>
      </c>
      <c r="F214" t="s">
        <v>60</v>
      </c>
      <c r="G214" s="2">
        <v>43672</v>
      </c>
      <c r="H214" t="s">
        <v>191</v>
      </c>
      <c r="Q214">
        <f>P214 / (300 * 300) * 6.4516</f>
        <v>0</v>
      </c>
      <c r="AB214">
        <v>73.510930619999996</v>
      </c>
      <c r="AC214" t="s">
        <v>1607</v>
      </c>
    </row>
    <row r="215" spans="1:29" x14ac:dyDescent="0.25">
      <c r="A215">
        <v>213</v>
      </c>
      <c r="B215" t="s">
        <v>518</v>
      </c>
      <c r="D215" t="s">
        <v>366</v>
      </c>
      <c r="E215">
        <v>5</v>
      </c>
      <c r="F215" t="s">
        <v>269</v>
      </c>
      <c r="H215" t="s">
        <v>192</v>
      </c>
      <c r="I215">
        <v>7.1</v>
      </c>
      <c r="K215">
        <v>7.0000000000000007E-2</v>
      </c>
      <c r="L215">
        <v>13</v>
      </c>
      <c r="M215">
        <f>PI()*((I215/2)^2)/100 * L215</f>
        <v>5.1469497841924978</v>
      </c>
      <c r="Q215">
        <f>P215 / (300 * 300) * 6.4516</f>
        <v>0</v>
      </c>
      <c r="S215" t="s">
        <v>201</v>
      </c>
      <c r="T215">
        <v>10</v>
      </c>
      <c r="U215">
        <v>47.26</v>
      </c>
      <c r="V215">
        <v>17.37</v>
      </c>
      <c r="W215">
        <f>(((U215/2) * (V215/2)) * PI())</f>
        <v>644.73822180157833</v>
      </c>
      <c r="X215">
        <f>IF(ISNUMBER(T215), T215*W215, W215)</f>
        <v>6447.3822180157831</v>
      </c>
      <c r="Y215">
        <v>0.28000000000000003</v>
      </c>
      <c r="Z215">
        <v>0.24</v>
      </c>
      <c r="AA215">
        <v>0.24</v>
      </c>
      <c r="AB215">
        <f>M215/K215</f>
        <v>73.527854059892817</v>
      </c>
    </row>
    <row r="216" spans="1:29" x14ac:dyDescent="0.25">
      <c r="A216">
        <v>219</v>
      </c>
      <c r="B216" t="s">
        <v>525</v>
      </c>
      <c r="D216" t="s">
        <v>366</v>
      </c>
      <c r="E216">
        <v>4</v>
      </c>
      <c r="F216" t="s">
        <v>269</v>
      </c>
      <c r="H216" t="s">
        <v>192</v>
      </c>
      <c r="I216">
        <v>7.1</v>
      </c>
      <c r="K216">
        <v>7.0000000000000007E-2</v>
      </c>
      <c r="L216">
        <v>13</v>
      </c>
      <c r="M216">
        <f>PI()*((I216/2)^2)/100 * L216</f>
        <v>5.1469497841924978</v>
      </c>
      <c r="Q216">
        <f>P216 / (300 * 300) * 6.4516</f>
        <v>0</v>
      </c>
      <c r="S216" t="s">
        <v>201</v>
      </c>
      <c r="T216">
        <v>8</v>
      </c>
      <c r="U216">
        <v>69.77</v>
      </c>
      <c r="V216">
        <v>23.88</v>
      </c>
      <c r="W216">
        <f>(((U216/2) * (V216/2)) * PI())</f>
        <v>1308.5578490625303</v>
      </c>
      <c r="X216">
        <f>IF(ISNUMBER(T216), T216*W216, W216)</f>
        <v>10468.462792500242</v>
      </c>
      <c r="Y216">
        <v>0.24</v>
      </c>
      <c r="Z216">
        <v>0.25</v>
      </c>
      <c r="AA216">
        <v>0.24</v>
      </c>
      <c r="AB216">
        <f>M216/K216</f>
        <v>73.527854059892817</v>
      </c>
    </row>
    <row r="217" spans="1:29" x14ac:dyDescent="0.25">
      <c r="A217">
        <v>647</v>
      </c>
      <c r="B217" t="s">
        <v>1515</v>
      </c>
      <c r="C217" t="s">
        <v>435</v>
      </c>
      <c r="D217" t="s">
        <v>377</v>
      </c>
      <c r="E217">
        <v>4</v>
      </c>
      <c r="F217" t="s">
        <v>222</v>
      </c>
      <c r="G217" s="2">
        <v>43635</v>
      </c>
      <c r="H217" t="s">
        <v>191</v>
      </c>
      <c r="Q217">
        <f>P217 / (300 * 300) * 6.4516</f>
        <v>0</v>
      </c>
      <c r="AB217">
        <v>73.768029389999995</v>
      </c>
      <c r="AC217" t="s">
        <v>1607</v>
      </c>
    </row>
    <row r="218" spans="1:29" x14ac:dyDescent="0.25">
      <c r="A218">
        <v>447</v>
      </c>
      <c r="B218" t="s">
        <v>1062</v>
      </c>
      <c r="D218" t="s">
        <v>809</v>
      </c>
      <c r="E218">
        <v>5</v>
      </c>
      <c r="F218" t="s">
        <v>810</v>
      </c>
      <c r="G218" s="2">
        <v>42950</v>
      </c>
      <c r="H218" t="s">
        <v>192</v>
      </c>
      <c r="I218">
        <v>7.1</v>
      </c>
      <c r="K218">
        <v>5.8999999999999997E-2</v>
      </c>
      <c r="L218">
        <v>11</v>
      </c>
      <c r="M218">
        <f>PI()*((I218/2)^2)/100 * L218</f>
        <v>4.3551113558551906</v>
      </c>
      <c r="Q218">
        <f>P218 / (300 * 300) * 6.4516</f>
        <v>0</v>
      </c>
      <c r="S218" t="s">
        <v>201</v>
      </c>
      <c r="T218">
        <v>11</v>
      </c>
      <c r="U218">
        <v>39.26</v>
      </c>
      <c r="V218">
        <v>13.01</v>
      </c>
      <c r="W218">
        <f>(((U218/2) * (V218/2)) * PI())</f>
        <v>401.15986195373944</v>
      </c>
      <c r="X218">
        <f>IF(ISNUMBER(T218), T218*W218, W218)</f>
        <v>4412.7584814911334</v>
      </c>
      <c r="Y218">
        <v>0.23</v>
      </c>
      <c r="Z218">
        <v>0.25</v>
      </c>
      <c r="AA218">
        <v>0.25</v>
      </c>
      <c r="AB218">
        <f>M218/K218</f>
        <v>73.815446709410011</v>
      </c>
    </row>
    <row r="219" spans="1:29" x14ac:dyDescent="0.25">
      <c r="A219">
        <v>492</v>
      </c>
      <c r="B219" t="s">
        <v>1317</v>
      </c>
      <c r="C219" t="s">
        <v>1193</v>
      </c>
      <c r="D219" t="s">
        <v>384</v>
      </c>
      <c r="E219">
        <v>3</v>
      </c>
      <c r="F219" t="s">
        <v>252</v>
      </c>
      <c r="G219" s="2">
        <v>43637</v>
      </c>
      <c r="H219" t="s">
        <v>191</v>
      </c>
      <c r="Q219">
        <f>P219 / (300 * 300) * 6.4516</f>
        <v>0</v>
      </c>
      <c r="AB219">
        <v>73.870424200000002</v>
      </c>
      <c r="AC219" t="s">
        <v>1607</v>
      </c>
    </row>
    <row r="220" spans="1:29" x14ac:dyDescent="0.25">
      <c r="A220">
        <v>76</v>
      </c>
      <c r="B220" t="s">
        <v>112</v>
      </c>
      <c r="D220" t="s">
        <v>369</v>
      </c>
      <c r="E220">
        <v>3</v>
      </c>
      <c r="F220" t="s">
        <v>93</v>
      </c>
      <c r="H220" t="s">
        <v>191</v>
      </c>
      <c r="I220" t="s">
        <v>135</v>
      </c>
      <c r="J220">
        <v>3.7690000000000001</v>
      </c>
      <c r="K220">
        <v>1.62</v>
      </c>
      <c r="L220" t="s">
        <v>135</v>
      </c>
      <c r="N220">
        <f>(J220-K220)/J220</f>
        <v>0.5701777659856726</v>
      </c>
      <c r="O220" t="s">
        <v>165</v>
      </c>
      <c r="P220">
        <v>1669634</v>
      </c>
      <c r="Q220">
        <f>P220 / (300 * 300) * 6.4516</f>
        <v>119.68678571555557</v>
      </c>
      <c r="R220">
        <v>5</v>
      </c>
      <c r="S220" t="s">
        <v>195</v>
      </c>
      <c r="T220" t="s">
        <v>135</v>
      </c>
      <c r="U220" t="s">
        <v>135</v>
      </c>
      <c r="V220" t="s">
        <v>135</v>
      </c>
      <c r="W220">
        <f>Q220*100/R220</f>
        <v>2393.7357143111117</v>
      </c>
      <c r="X220">
        <f>W220</f>
        <v>2393.7357143111117</v>
      </c>
      <c r="Y220">
        <v>0.32</v>
      </c>
      <c r="Z220">
        <v>0.28000000000000003</v>
      </c>
      <c r="AA220">
        <v>0.24</v>
      </c>
      <c r="AB220">
        <f>(Q220)/K220</f>
        <v>73.880731923182452</v>
      </c>
      <c r="AC220" t="s">
        <v>113</v>
      </c>
    </row>
    <row r="221" spans="1:29" x14ac:dyDescent="0.25">
      <c r="A221">
        <v>253</v>
      </c>
      <c r="B221" t="s">
        <v>610</v>
      </c>
      <c r="D221" t="s">
        <v>336</v>
      </c>
      <c r="E221">
        <v>5</v>
      </c>
      <c r="F221" t="s">
        <v>59</v>
      </c>
      <c r="H221" t="s">
        <v>192</v>
      </c>
      <c r="I221">
        <v>9.6999999999999993</v>
      </c>
      <c r="K221">
        <v>0.11</v>
      </c>
      <c r="L221">
        <v>11</v>
      </c>
      <c r="M221">
        <f>PI()*((I221/2)^2)/100 * L221</f>
        <v>8.1287924513472483</v>
      </c>
      <c r="Q221">
        <f>P221 / (300 * 300) * 6.4516</f>
        <v>0</v>
      </c>
      <c r="S221" t="s">
        <v>195</v>
      </c>
      <c r="T221" t="s">
        <v>135</v>
      </c>
      <c r="U221">
        <v>154.5</v>
      </c>
      <c r="V221">
        <v>102.38</v>
      </c>
      <c r="W221">
        <f>(((U221/2) * (V221/2)) * PI())</f>
        <v>12423.200383153451</v>
      </c>
      <c r="X221">
        <f>IF(ISNUMBER(T221), T221*W221, W221)</f>
        <v>12423.200383153451</v>
      </c>
      <c r="Y221">
        <v>0.44</v>
      </c>
      <c r="Z221">
        <v>0.41</v>
      </c>
      <c r="AA221">
        <v>0.45</v>
      </c>
      <c r="AB221">
        <f>M221/K221</f>
        <v>73.8981131940659</v>
      </c>
    </row>
    <row r="222" spans="1:29" x14ac:dyDescent="0.25">
      <c r="A222">
        <v>498</v>
      </c>
      <c r="B222" t="s">
        <v>1324</v>
      </c>
      <c r="C222" t="s">
        <v>914</v>
      </c>
      <c r="D222" t="s">
        <v>909</v>
      </c>
      <c r="E222">
        <v>3</v>
      </c>
      <c r="F222" t="s">
        <v>910</v>
      </c>
      <c r="G222" s="2">
        <v>43645</v>
      </c>
      <c r="H222" t="s">
        <v>191</v>
      </c>
      <c r="Q222">
        <f>P222 / (300 * 300) * 6.4516</f>
        <v>0</v>
      </c>
      <c r="AB222">
        <v>73.937851030000004</v>
      </c>
      <c r="AC222" t="s">
        <v>1607</v>
      </c>
    </row>
    <row r="223" spans="1:29" x14ac:dyDescent="0.25">
      <c r="A223">
        <v>646</v>
      </c>
      <c r="B223" t="s">
        <v>1514</v>
      </c>
      <c r="C223" t="s">
        <v>403</v>
      </c>
      <c r="D223" t="s">
        <v>377</v>
      </c>
      <c r="E223">
        <v>3</v>
      </c>
      <c r="F223" t="s">
        <v>222</v>
      </c>
      <c r="G223" s="2">
        <v>43635</v>
      </c>
      <c r="H223" t="s">
        <v>191</v>
      </c>
      <c r="Q223">
        <f>P223 / (300 * 300) * 6.4516</f>
        <v>0</v>
      </c>
      <c r="AB223">
        <v>74.07708135</v>
      </c>
      <c r="AC223" t="s">
        <v>1607</v>
      </c>
    </row>
    <row r="224" spans="1:29" x14ac:dyDescent="0.25">
      <c r="A224">
        <v>193</v>
      </c>
      <c r="B224" t="s">
        <v>460</v>
      </c>
      <c r="D224" t="s">
        <v>348</v>
      </c>
      <c r="E224">
        <v>3</v>
      </c>
      <c r="F224" t="s">
        <v>328</v>
      </c>
      <c r="H224" t="s">
        <v>192</v>
      </c>
      <c r="I224">
        <v>7.1</v>
      </c>
      <c r="K224">
        <v>8.5000000000000006E-2</v>
      </c>
      <c r="L224">
        <v>16</v>
      </c>
      <c r="M224">
        <f>PI()*((I224/2)^2)/100 * L224</f>
        <v>6.3347074266984587</v>
      </c>
      <c r="Q224">
        <f>P224 / (300 * 300) * 6.4516</f>
        <v>0</v>
      </c>
      <c r="S224" t="s">
        <v>195</v>
      </c>
      <c r="T224" t="s">
        <v>135</v>
      </c>
      <c r="U224">
        <v>129.28</v>
      </c>
      <c r="V224">
        <v>52.58</v>
      </c>
      <c r="W224">
        <f>(((U224/2) * (V224/2)) * PI())</f>
        <v>5338.7773165762828</v>
      </c>
      <c r="X224">
        <f>IF(ISNUMBER(T224), T224*W224, W224)</f>
        <v>5338.7773165762828</v>
      </c>
      <c r="Y224">
        <v>0.5</v>
      </c>
      <c r="Z224">
        <v>0.43</v>
      </c>
      <c r="AA224">
        <v>0.55000000000000004</v>
      </c>
      <c r="AB224">
        <f>M224/K224</f>
        <v>74.525969725864215</v>
      </c>
    </row>
    <row r="225" spans="1:29" x14ac:dyDescent="0.25">
      <c r="A225">
        <v>761</v>
      </c>
      <c r="B225" t="s">
        <v>1727</v>
      </c>
      <c r="D225" t="s">
        <v>1272</v>
      </c>
      <c r="E225">
        <v>5</v>
      </c>
      <c r="F225" t="s">
        <v>1695</v>
      </c>
      <c r="G225" s="3">
        <v>43650</v>
      </c>
      <c r="H225" t="s">
        <v>191</v>
      </c>
      <c r="K225">
        <v>2.9119999999999999</v>
      </c>
      <c r="P225">
        <v>3029412</v>
      </c>
      <c r="Q225">
        <f>P225 / (300 * 300) * 6.4516</f>
        <v>217.16171621333334</v>
      </c>
      <c r="Y225">
        <v>0.22</v>
      </c>
      <c r="Z225">
        <v>2.5</v>
      </c>
      <c r="AA225">
        <v>0.19</v>
      </c>
      <c r="AB225">
        <f>Q225/K225</f>
        <v>74.574765183150191</v>
      </c>
    </row>
    <row r="226" spans="1:29" x14ac:dyDescent="0.25">
      <c r="A226">
        <v>148</v>
      </c>
      <c r="B226" t="s">
        <v>404</v>
      </c>
      <c r="D226" t="s">
        <v>381</v>
      </c>
      <c r="E226">
        <v>4</v>
      </c>
      <c r="F226" t="s">
        <v>232</v>
      </c>
      <c r="H226" t="s">
        <v>192</v>
      </c>
      <c r="I226">
        <v>9.6999999999999993</v>
      </c>
      <c r="J226" t="s">
        <v>135</v>
      </c>
      <c r="K226">
        <v>9.9000000000000005E-2</v>
      </c>
      <c r="L226">
        <v>10</v>
      </c>
      <c r="M226">
        <f>PI()*((I226/2)^2)/100 * L226</f>
        <v>7.38981131940659</v>
      </c>
      <c r="N226" t="s">
        <v>135</v>
      </c>
      <c r="O226" t="s">
        <v>135</v>
      </c>
      <c r="Q226">
        <f>P226 / (300 * 300) * 6.4516</f>
        <v>0</v>
      </c>
      <c r="R226" t="s">
        <v>135</v>
      </c>
      <c r="S226" t="s">
        <v>201</v>
      </c>
      <c r="T226">
        <v>7</v>
      </c>
      <c r="U226">
        <v>115.26</v>
      </c>
      <c r="V226">
        <v>34.85</v>
      </c>
      <c r="W226">
        <f>(((U226/2) * (V226/2)) * PI())</f>
        <v>3154.7959821146678</v>
      </c>
      <c r="X226">
        <f>IF(ISNUMBER(T226), T226*W226, W226)</f>
        <v>22083.571874802674</v>
      </c>
      <c r="Y226">
        <v>0.37</v>
      </c>
      <c r="Z226">
        <v>0.39</v>
      </c>
      <c r="AA226">
        <v>0.38</v>
      </c>
      <c r="AB226">
        <f>M226/K226</f>
        <v>74.64455878188474</v>
      </c>
    </row>
    <row r="227" spans="1:29" x14ac:dyDescent="0.25">
      <c r="A227">
        <v>285</v>
      </c>
      <c r="B227" t="s">
        <v>754</v>
      </c>
      <c r="D227" t="s">
        <v>430</v>
      </c>
      <c r="E227">
        <v>5</v>
      </c>
      <c r="F227" t="s">
        <v>431</v>
      </c>
      <c r="G227" s="2">
        <v>42923</v>
      </c>
      <c r="H227" t="s">
        <v>192</v>
      </c>
      <c r="I227">
        <v>9.6999999999999993</v>
      </c>
      <c r="K227">
        <v>9.9000000000000005E-2</v>
      </c>
      <c r="L227">
        <v>10</v>
      </c>
      <c r="M227">
        <f>PI()*((I227/2)^2)/100 * L227</f>
        <v>7.38981131940659</v>
      </c>
      <c r="Q227">
        <f>P227 / (300 * 300) * 6.4516</f>
        <v>0</v>
      </c>
      <c r="S227" t="s">
        <v>195</v>
      </c>
      <c r="T227" t="s">
        <v>135</v>
      </c>
      <c r="U227">
        <v>70.27</v>
      </c>
      <c r="V227">
        <v>34.799999999999997</v>
      </c>
      <c r="W227">
        <f>(((U227/2) * (V227/2)) * PI())</f>
        <v>1920.6095271794661</v>
      </c>
      <c r="X227">
        <f>IF(ISNUMBER(T227), T227*W227, W227)</f>
        <v>1920.6095271794661</v>
      </c>
      <c r="Y227">
        <v>0.41</v>
      </c>
      <c r="Z227">
        <v>0.42</v>
      </c>
      <c r="AA227">
        <v>0.41</v>
      </c>
      <c r="AB227">
        <f>M227/K227</f>
        <v>74.64455878188474</v>
      </c>
    </row>
    <row r="228" spans="1:29" x14ac:dyDescent="0.25">
      <c r="A228">
        <v>257</v>
      </c>
      <c r="B228" t="s">
        <v>615</v>
      </c>
      <c r="D228" t="s">
        <v>385</v>
      </c>
      <c r="E228">
        <v>2</v>
      </c>
      <c r="F228" t="s">
        <v>255</v>
      </c>
      <c r="H228" t="s">
        <v>192</v>
      </c>
      <c r="I228">
        <v>7.1</v>
      </c>
      <c r="K228">
        <v>5.2999999999999999E-2</v>
      </c>
      <c r="L228">
        <v>10</v>
      </c>
      <c r="M228">
        <f>PI()*((I228/2)^2)/100 * L228</f>
        <v>3.9591921416865365</v>
      </c>
      <c r="Q228">
        <f>P228 / (300 * 300) * 6.4516</f>
        <v>0</v>
      </c>
      <c r="S228" t="s">
        <v>201</v>
      </c>
      <c r="T228">
        <v>5</v>
      </c>
      <c r="U228">
        <v>100.43</v>
      </c>
      <c r="V228">
        <v>32.56</v>
      </c>
      <c r="W228">
        <f>(((U228/2) * (V228/2)) * PI())</f>
        <v>2568.2526226281866</v>
      </c>
      <c r="X228">
        <f>IF(ISNUMBER(T228), T228*W228, W228)</f>
        <v>12841.263113140933</v>
      </c>
      <c r="Y228">
        <v>0.39</v>
      </c>
      <c r="Z228">
        <v>0.36</v>
      </c>
      <c r="AA228">
        <v>0.37</v>
      </c>
      <c r="AB228">
        <f>M228/K228</f>
        <v>74.701738522387487</v>
      </c>
    </row>
    <row r="229" spans="1:29" x14ac:dyDescent="0.25">
      <c r="A229">
        <v>284</v>
      </c>
      <c r="B229" t="s">
        <v>753</v>
      </c>
      <c r="D229" t="s">
        <v>613</v>
      </c>
      <c r="E229">
        <v>4</v>
      </c>
      <c r="F229" t="s">
        <v>605</v>
      </c>
      <c r="G229" s="2">
        <v>42923</v>
      </c>
      <c r="H229" t="s">
        <v>192</v>
      </c>
      <c r="I229">
        <v>7.1</v>
      </c>
      <c r="K229">
        <v>5.2999999999999999E-2</v>
      </c>
      <c r="L229">
        <v>10</v>
      </c>
      <c r="M229">
        <f>PI()*((I229/2)^2)/100 * L229</f>
        <v>3.9591921416865365</v>
      </c>
      <c r="Q229">
        <f>P229 / (300 * 300) * 6.4516</f>
        <v>0</v>
      </c>
      <c r="S229" t="s">
        <v>195</v>
      </c>
      <c r="T229" t="s">
        <v>135</v>
      </c>
      <c r="U229">
        <v>78.239999999999995</v>
      </c>
      <c r="V229">
        <v>27.24</v>
      </c>
      <c r="W229">
        <f>(((U229/2) * (V229/2)) * PI())</f>
        <v>1673.8858047668534</v>
      </c>
      <c r="X229">
        <f>IF(ISNUMBER(T229), T229*W229, W229)</f>
        <v>1673.8858047668534</v>
      </c>
      <c r="Y229">
        <v>0.35</v>
      </c>
      <c r="Z229">
        <v>0.32</v>
      </c>
      <c r="AA229">
        <v>0.36</v>
      </c>
      <c r="AB229">
        <f>M229/K229</f>
        <v>74.701738522387487</v>
      </c>
    </row>
    <row r="230" spans="1:29" x14ac:dyDescent="0.25">
      <c r="A230">
        <v>181</v>
      </c>
      <c r="B230" t="s">
        <v>445</v>
      </c>
      <c r="D230" t="s">
        <v>446</v>
      </c>
      <c r="E230">
        <v>2</v>
      </c>
      <c r="F230" t="s">
        <v>447</v>
      </c>
      <c r="H230" t="s">
        <v>192</v>
      </c>
      <c r="I230">
        <v>7.1</v>
      </c>
      <c r="K230">
        <v>7.3999999999999996E-2</v>
      </c>
      <c r="L230">
        <v>14</v>
      </c>
      <c r="M230">
        <f>PI()*((I230/2)^2)/100 * L230</f>
        <v>5.5428689983611514</v>
      </c>
      <c r="Q230">
        <f>P230 / (300 * 300) * 6.4516</f>
        <v>0</v>
      </c>
      <c r="S230" t="s">
        <v>195</v>
      </c>
      <c r="T230" t="s">
        <v>135</v>
      </c>
      <c r="U230">
        <v>110.9</v>
      </c>
      <c r="V230">
        <v>32.94</v>
      </c>
      <c r="W230">
        <f>(((U230/2) * (V230/2)) * PI())</f>
        <v>2869.0956192063945</v>
      </c>
      <c r="X230">
        <f>IF(ISNUMBER(T230), T230*W230, W230)</f>
        <v>2869.0956192063945</v>
      </c>
      <c r="Y230">
        <v>0.4</v>
      </c>
      <c r="Z230">
        <v>0.39</v>
      </c>
      <c r="AA230">
        <v>0.33</v>
      </c>
      <c r="AB230">
        <f>M230/K230</f>
        <v>74.903635112988539</v>
      </c>
    </row>
    <row r="231" spans="1:29" x14ac:dyDescent="0.25">
      <c r="A231">
        <v>644</v>
      </c>
      <c r="B231" t="s">
        <v>1512</v>
      </c>
      <c r="C231" t="s">
        <v>1239</v>
      </c>
      <c r="D231" t="s">
        <v>377</v>
      </c>
      <c r="E231">
        <v>1</v>
      </c>
      <c r="F231" t="s">
        <v>222</v>
      </c>
      <c r="G231" s="2">
        <v>43635</v>
      </c>
      <c r="H231" t="s">
        <v>191</v>
      </c>
      <c r="Q231">
        <f>P231 / (300 * 300) * 6.4516</f>
        <v>0</v>
      </c>
      <c r="AB231">
        <v>75.068332749999996</v>
      </c>
      <c r="AC231" t="s">
        <v>1607</v>
      </c>
    </row>
    <row r="232" spans="1:29" x14ac:dyDescent="0.25">
      <c r="A232">
        <v>135</v>
      </c>
      <c r="B232" t="s">
        <v>1204</v>
      </c>
      <c r="C232" t="s">
        <v>293</v>
      </c>
      <c r="D232" t="s">
        <v>358</v>
      </c>
      <c r="E232">
        <v>3</v>
      </c>
      <c r="F232" t="s">
        <v>257</v>
      </c>
      <c r="H232" t="s">
        <v>192</v>
      </c>
      <c r="I232">
        <v>7.1</v>
      </c>
      <c r="J232" t="s">
        <v>135</v>
      </c>
      <c r="K232">
        <v>5.8000000000000003E-2</v>
      </c>
      <c r="L232">
        <v>11</v>
      </c>
      <c r="M232">
        <f>PI()*((I232/2)^2)/100 * L232</f>
        <v>4.3551113558551906</v>
      </c>
      <c r="N232" t="s">
        <v>135</v>
      </c>
      <c r="O232" t="s">
        <v>135</v>
      </c>
      <c r="Q232">
        <f>P232 / (300 * 300) * 6.4516</f>
        <v>0</v>
      </c>
      <c r="R232" t="s">
        <v>135</v>
      </c>
      <c r="S232" t="s">
        <v>195</v>
      </c>
      <c r="T232" t="s">
        <v>135</v>
      </c>
      <c r="U232">
        <v>34.43</v>
      </c>
      <c r="V232">
        <v>12.5</v>
      </c>
      <c r="W232">
        <f>(((U232/2) * (V232/2)) * PI())</f>
        <v>338.01573457217683</v>
      </c>
      <c r="X232">
        <f>IF(ISNUMBER(T232), T232*W232, W232)</f>
        <v>338.01573457217683</v>
      </c>
      <c r="Y232">
        <v>0.3</v>
      </c>
      <c r="Z232">
        <v>0.27</v>
      </c>
      <c r="AA232">
        <v>0.26</v>
      </c>
      <c r="AB232">
        <f>M232/K232</f>
        <v>75.088126825089489</v>
      </c>
    </row>
    <row r="233" spans="1:29" x14ac:dyDescent="0.25">
      <c r="A233">
        <v>403</v>
      </c>
      <c r="B233" t="s">
        <v>958</v>
      </c>
      <c r="D233" t="s">
        <v>338</v>
      </c>
      <c r="E233">
        <v>6</v>
      </c>
      <c r="F233" t="s">
        <v>19</v>
      </c>
      <c r="G233" s="2">
        <v>42940</v>
      </c>
      <c r="H233" t="s">
        <v>192</v>
      </c>
      <c r="I233">
        <v>7.1</v>
      </c>
      <c r="K233">
        <v>5.8000000000000003E-2</v>
      </c>
      <c r="L233">
        <v>11</v>
      </c>
      <c r="M233">
        <f>PI()*((I233/2)^2)/100 * L233</f>
        <v>4.3551113558551906</v>
      </c>
      <c r="Q233">
        <f>P233 / (300 * 300) * 6.4516</f>
        <v>0</v>
      </c>
      <c r="S233" t="s">
        <v>201</v>
      </c>
      <c r="T233">
        <v>520</v>
      </c>
      <c r="U233">
        <v>14.19</v>
      </c>
      <c r="V233">
        <v>10.23</v>
      </c>
      <c r="W233">
        <f>(((U233/2) * (V233/2)) * PI())</f>
        <v>114.01130337197817</v>
      </c>
      <c r="X233">
        <f>IF(ISNUMBER(T233), T233*W233, W233)</f>
        <v>59285.877753428649</v>
      </c>
      <c r="Y233">
        <v>0.18</v>
      </c>
      <c r="Z233">
        <v>0.18</v>
      </c>
      <c r="AA233">
        <v>0.16</v>
      </c>
      <c r="AB233">
        <f>M233/K233</f>
        <v>75.088126825089489</v>
      </c>
    </row>
    <row r="234" spans="1:29" x14ac:dyDescent="0.25">
      <c r="A234">
        <v>91</v>
      </c>
      <c r="B234" t="s">
        <v>1227</v>
      </c>
      <c r="C234" t="s">
        <v>196</v>
      </c>
      <c r="D234" t="s">
        <v>332</v>
      </c>
      <c r="E234">
        <v>4</v>
      </c>
      <c r="F234" t="s">
        <v>197</v>
      </c>
      <c r="H234" t="s">
        <v>192</v>
      </c>
      <c r="I234">
        <v>7.1</v>
      </c>
      <c r="J234" t="s">
        <v>135</v>
      </c>
      <c r="K234">
        <v>6.3E-2</v>
      </c>
      <c r="L234">
        <v>12</v>
      </c>
      <c r="M234">
        <f>PI()*((I234/2)^2)/100 * L234</f>
        <v>4.7510305700238442</v>
      </c>
      <c r="N234" t="s">
        <v>135</v>
      </c>
      <c r="O234" t="s">
        <v>135</v>
      </c>
      <c r="Q234">
        <f>P234 / (300 * 300) * 6.4516</f>
        <v>0</v>
      </c>
      <c r="R234" t="s">
        <v>135</v>
      </c>
      <c r="S234" t="s">
        <v>195</v>
      </c>
      <c r="T234" t="s">
        <v>135</v>
      </c>
      <c r="U234">
        <v>62.69</v>
      </c>
      <c r="V234">
        <v>41.3</v>
      </c>
      <c r="W234">
        <f>(((U234/2) * (V234/2)) * PI())</f>
        <v>2033.4720286578429</v>
      </c>
      <c r="X234">
        <f>IF(ISNUMBER(T234), T234*W234, W234)</f>
        <v>2033.4720286578429</v>
      </c>
      <c r="Y234">
        <v>0.41</v>
      </c>
      <c r="Z234">
        <v>0.43</v>
      </c>
      <c r="AA234">
        <v>0.36</v>
      </c>
      <c r="AB234">
        <f>M234/K234</f>
        <v>75.413183651172133</v>
      </c>
      <c r="AC234" t="s">
        <v>198</v>
      </c>
    </row>
    <row r="235" spans="1:29" x14ac:dyDescent="0.25">
      <c r="A235">
        <v>520</v>
      </c>
      <c r="B235" t="s">
        <v>1350</v>
      </c>
      <c r="C235" t="s">
        <v>21</v>
      </c>
      <c r="D235" t="s">
        <v>340</v>
      </c>
      <c r="E235">
        <v>1</v>
      </c>
      <c r="F235" t="s">
        <v>60</v>
      </c>
      <c r="G235" s="2">
        <v>43672</v>
      </c>
      <c r="H235" t="s">
        <v>191</v>
      </c>
      <c r="Q235">
        <f>P235 / (300 * 300) * 6.4516</f>
        <v>0</v>
      </c>
      <c r="AB235">
        <v>75.458562409999999</v>
      </c>
      <c r="AC235" t="s">
        <v>1607</v>
      </c>
    </row>
    <row r="236" spans="1:29" x14ac:dyDescent="0.25">
      <c r="A236">
        <v>517</v>
      </c>
      <c r="B236" t="s">
        <v>1347</v>
      </c>
      <c r="C236" t="s">
        <v>614</v>
      </c>
      <c r="D236" t="s">
        <v>389</v>
      </c>
      <c r="E236">
        <v>3</v>
      </c>
      <c r="F236" t="s">
        <v>317</v>
      </c>
      <c r="G236" s="2">
        <v>43649</v>
      </c>
      <c r="H236" t="s">
        <v>191</v>
      </c>
      <c r="Q236">
        <f>P236 / (300 * 300) * 6.4516</f>
        <v>0</v>
      </c>
      <c r="AB236">
        <v>75.467041030000004</v>
      </c>
      <c r="AC236" t="s">
        <v>1607</v>
      </c>
    </row>
    <row r="237" spans="1:29" x14ac:dyDescent="0.25">
      <c r="A237">
        <v>31</v>
      </c>
      <c r="B237" t="s">
        <v>1194</v>
      </c>
      <c r="C237" t="s">
        <v>39</v>
      </c>
      <c r="D237" t="s">
        <v>384</v>
      </c>
      <c r="E237">
        <v>2</v>
      </c>
      <c r="F237" t="s">
        <v>252</v>
      </c>
      <c r="H237" t="s">
        <v>191</v>
      </c>
      <c r="I237" t="s">
        <v>135</v>
      </c>
      <c r="J237">
        <v>6.6050000000000004</v>
      </c>
      <c r="K237">
        <v>2.8580000000000001</v>
      </c>
      <c r="L237" t="s">
        <v>135</v>
      </c>
      <c r="N237">
        <f>(J237-K237)/J237</f>
        <v>0.56729750189250572</v>
      </c>
      <c r="P237">
        <v>3011132</v>
      </c>
      <c r="Q237">
        <f>P237 / (300 * 300) * 6.4516</f>
        <v>215.85132456888888</v>
      </c>
      <c r="R237">
        <v>5</v>
      </c>
      <c r="S237" t="s">
        <v>195</v>
      </c>
      <c r="T237" t="s">
        <v>135</v>
      </c>
      <c r="U237" t="s">
        <v>135</v>
      </c>
      <c r="V237" t="s">
        <v>135</v>
      </c>
      <c r="W237">
        <f>Q237/5 * 100</f>
        <v>4317.0264913777783</v>
      </c>
      <c r="X237">
        <f>W237</f>
        <v>4317.0264913777783</v>
      </c>
      <c r="Y237">
        <v>0.32</v>
      </c>
      <c r="Z237">
        <v>0.33</v>
      </c>
      <c r="AA237">
        <v>0.35</v>
      </c>
      <c r="AB237">
        <f>(Q237)/K237</f>
        <v>75.525306007308913</v>
      </c>
    </row>
    <row r="238" spans="1:29" x14ac:dyDescent="0.25">
      <c r="A238">
        <v>602</v>
      </c>
      <c r="B238" t="s">
        <v>1460</v>
      </c>
      <c r="C238" t="s">
        <v>472</v>
      </c>
      <c r="D238" t="s">
        <v>335</v>
      </c>
      <c r="E238">
        <v>1</v>
      </c>
      <c r="F238" t="s">
        <v>473</v>
      </c>
      <c r="G238" s="2">
        <v>43632</v>
      </c>
      <c r="H238" t="s">
        <v>191</v>
      </c>
      <c r="Q238">
        <f>P238 / (300 * 300) * 6.4516</f>
        <v>0</v>
      </c>
      <c r="AB238">
        <v>75.656226889999999</v>
      </c>
      <c r="AC238" t="s">
        <v>1607</v>
      </c>
    </row>
    <row r="239" spans="1:29" x14ac:dyDescent="0.25">
      <c r="A239">
        <v>95</v>
      </c>
      <c r="B239" t="s">
        <v>1235</v>
      </c>
      <c r="C239" t="s">
        <v>208</v>
      </c>
      <c r="D239" t="s">
        <v>352</v>
      </c>
      <c r="E239">
        <v>4</v>
      </c>
      <c r="F239" t="s">
        <v>209</v>
      </c>
      <c r="H239" t="s">
        <v>192</v>
      </c>
      <c r="I239">
        <v>7.1</v>
      </c>
      <c r="J239" t="s">
        <v>135</v>
      </c>
      <c r="K239">
        <v>6.8000000000000005E-2</v>
      </c>
      <c r="L239">
        <v>13</v>
      </c>
      <c r="M239">
        <f>PI()*((I239/2)^2)/100 * L239</f>
        <v>5.1469497841924978</v>
      </c>
      <c r="N239" t="s">
        <v>135</v>
      </c>
      <c r="O239" t="s">
        <v>135</v>
      </c>
      <c r="Q239">
        <f>P239 / (300 * 300) * 6.4516</f>
        <v>0</v>
      </c>
      <c r="R239" t="s">
        <v>135</v>
      </c>
      <c r="S239" t="s">
        <v>195</v>
      </c>
      <c r="T239" t="s">
        <v>135</v>
      </c>
      <c r="U239">
        <v>61.5</v>
      </c>
      <c r="V239">
        <v>36.5</v>
      </c>
      <c r="W239">
        <f>(((U239/2) * (V239/2)) * PI())</f>
        <v>1763.022527286422</v>
      </c>
      <c r="X239">
        <f>IF(ISNUMBER(T239), T239*W239, W239)</f>
        <v>1763.022527286422</v>
      </c>
      <c r="Y239">
        <v>0.34</v>
      </c>
      <c r="Z239">
        <v>0.28999999999999998</v>
      </c>
      <c r="AA239">
        <v>0.25</v>
      </c>
      <c r="AB239">
        <f>M239/K239</f>
        <v>75.690438002830845</v>
      </c>
      <c r="AC239" t="s">
        <v>210</v>
      </c>
    </row>
    <row r="240" spans="1:29" x14ac:dyDescent="0.25">
      <c r="A240">
        <v>146</v>
      </c>
      <c r="B240" t="s">
        <v>402</v>
      </c>
      <c r="D240" t="s">
        <v>345</v>
      </c>
      <c r="E240">
        <v>4</v>
      </c>
      <c r="F240" t="s">
        <v>350</v>
      </c>
      <c r="H240" t="s">
        <v>192</v>
      </c>
      <c r="I240">
        <v>9.6999999999999993</v>
      </c>
      <c r="J240" t="s">
        <v>135</v>
      </c>
      <c r="K240">
        <v>0.11700000000000001</v>
      </c>
      <c r="L240">
        <v>12</v>
      </c>
      <c r="M240">
        <f>PI()*((I240/2)^2)/100 * L240</f>
        <v>8.8677735832879065</v>
      </c>
      <c r="N240" t="s">
        <v>135</v>
      </c>
      <c r="O240" t="s">
        <v>135</v>
      </c>
      <c r="Q240">
        <f>P240 / (300 * 300) * 6.4516</f>
        <v>0</v>
      </c>
      <c r="R240" t="s">
        <v>135</v>
      </c>
      <c r="S240" t="s">
        <v>195</v>
      </c>
      <c r="T240" t="s">
        <v>135</v>
      </c>
      <c r="U240">
        <v>145.96</v>
      </c>
      <c r="V240">
        <v>23.41</v>
      </c>
      <c r="W240">
        <f>(((U240/2) * (V240/2)) * PI())</f>
        <v>2683.6455199093971</v>
      </c>
      <c r="X240">
        <f>IF(ISNUMBER(T240), T240*W240, W240)</f>
        <v>2683.6455199093971</v>
      </c>
      <c r="Y240">
        <v>0.41</v>
      </c>
      <c r="Z240">
        <v>0.38</v>
      </c>
      <c r="AA240">
        <v>0.4</v>
      </c>
      <c r="AB240">
        <f>M240/K240</f>
        <v>75.792936609298337</v>
      </c>
    </row>
    <row r="241" spans="1:29" x14ac:dyDescent="0.25">
      <c r="A241">
        <v>508</v>
      </c>
      <c r="B241" t="s">
        <v>1338</v>
      </c>
      <c r="C241" t="s">
        <v>622</v>
      </c>
      <c r="D241" t="s">
        <v>373</v>
      </c>
      <c r="E241">
        <v>4</v>
      </c>
      <c r="F241" t="s">
        <v>204</v>
      </c>
      <c r="G241" s="2">
        <v>43654</v>
      </c>
      <c r="H241" t="s">
        <v>191</v>
      </c>
      <c r="Q241">
        <f>P241 / (300 * 300) * 6.4516</f>
        <v>0</v>
      </c>
      <c r="AB241">
        <v>75.88878982</v>
      </c>
      <c r="AC241" t="s">
        <v>1607</v>
      </c>
    </row>
    <row r="242" spans="1:29" x14ac:dyDescent="0.25">
      <c r="A242">
        <v>300</v>
      </c>
      <c r="B242" t="s">
        <v>1252</v>
      </c>
      <c r="C242" t="s">
        <v>67</v>
      </c>
      <c r="D242" t="s">
        <v>332</v>
      </c>
      <c r="E242">
        <v>6</v>
      </c>
      <c r="F242" t="s">
        <v>363</v>
      </c>
      <c r="H242" t="s">
        <v>191</v>
      </c>
      <c r="K242">
        <v>1.9</v>
      </c>
      <c r="P242">
        <v>2015400</v>
      </c>
      <c r="Q242">
        <f>P242 / (300 * 300) * 6.4516</f>
        <v>144.47282933333335</v>
      </c>
      <c r="R242">
        <v>16</v>
      </c>
      <c r="S242" t="s">
        <v>195</v>
      </c>
      <c r="T242" t="s">
        <v>135</v>
      </c>
      <c r="U242" t="s">
        <v>135</v>
      </c>
      <c r="V242" t="s">
        <v>135</v>
      </c>
      <c r="W242">
        <f>Q242*100/R242</f>
        <v>902.95518333333348</v>
      </c>
      <c r="X242">
        <f>W242</f>
        <v>902.95518333333348</v>
      </c>
      <c r="Y242" t="s">
        <v>135</v>
      </c>
      <c r="Z242" t="s">
        <v>135</v>
      </c>
      <c r="AA242" t="s">
        <v>135</v>
      </c>
      <c r="AB242">
        <f>Q242/K242</f>
        <v>76.038331228070192</v>
      </c>
    </row>
    <row r="243" spans="1:29" x14ac:dyDescent="0.25">
      <c r="A243">
        <v>258</v>
      </c>
      <c r="B243" t="s">
        <v>616</v>
      </c>
      <c r="D243" t="s">
        <v>332</v>
      </c>
      <c r="E243">
        <v>4</v>
      </c>
      <c r="F243" t="s">
        <v>363</v>
      </c>
      <c r="H243" t="s">
        <v>192</v>
      </c>
      <c r="I243">
        <v>9.6999999999999993</v>
      </c>
      <c r="K243">
        <v>6.8000000000000005E-2</v>
      </c>
      <c r="L243">
        <v>7</v>
      </c>
      <c r="M243">
        <f>PI()*((I243/2)^2)/100 * L243</f>
        <v>5.1728679235846124</v>
      </c>
      <c r="Q243">
        <f>P243 / (300 * 300) * 6.4516</f>
        <v>0</v>
      </c>
      <c r="S243" t="s">
        <v>195</v>
      </c>
      <c r="T243" t="s">
        <v>135</v>
      </c>
      <c r="U243">
        <v>100.4</v>
      </c>
      <c r="V243">
        <v>37.58</v>
      </c>
      <c r="W243">
        <f>(((U243/2) * (V243/2)) * PI())</f>
        <v>2963.3324032398014</v>
      </c>
      <c r="X243">
        <f>IF(ISNUMBER(T243), T243*W243, W243)</f>
        <v>2963.3324032398014</v>
      </c>
      <c r="Y243">
        <v>0.41</v>
      </c>
      <c r="Z243">
        <v>0.4</v>
      </c>
      <c r="AA243">
        <v>0.39</v>
      </c>
      <c r="AB243">
        <f>M243/K243</f>
        <v>76.071587111538406</v>
      </c>
    </row>
    <row r="244" spans="1:29" x14ac:dyDescent="0.25">
      <c r="A244">
        <v>679</v>
      </c>
      <c r="B244" t="s">
        <v>1558</v>
      </c>
      <c r="C244" t="s">
        <v>596</v>
      </c>
      <c r="D244" t="s">
        <v>369</v>
      </c>
      <c r="F244" t="s">
        <v>93</v>
      </c>
      <c r="G244" s="2">
        <v>43660</v>
      </c>
      <c r="H244" t="s">
        <v>191</v>
      </c>
      <c r="Q244">
        <f>P244 / (300 * 300) * 6.4516</f>
        <v>0</v>
      </c>
      <c r="AB244">
        <v>76.095195349999997</v>
      </c>
      <c r="AC244" t="s">
        <v>1607</v>
      </c>
    </row>
    <row r="245" spans="1:29" x14ac:dyDescent="0.25">
      <c r="A245">
        <v>96</v>
      </c>
      <c r="B245" t="s">
        <v>1236</v>
      </c>
      <c r="C245" t="s">
        <v>211</v>
      </c>
      <c r="D245" t="s">
        <v>352</v>
      </c>
      <c r="E245">
        <v>5</v>
      </c>
      <c r="F245" t="s">
        <v>209</v>
      </c>
      <c r="H245" t="s">
        <v>192</v>
      </c>
      <c r="I245">
        <v>7.1</v>
      </c>
      <c r="J245" t="s">
        <v>135</v>
      </c>
      <c r="K245">
        <v>7.8E-2</v>
      </c>
      <c r="L245">
        <v>15</v>
      </c>
      <c r="M245">
        <f>PI()*((I245/2)^2)/100 * L245</f>
        <v>5.938788212529805</v>
      </c>
      <c r="N245" t="s">
        <v>135</v>
      </c>
      <c r="O245" t="s">
        <v>135</v>
      </c>
      <c r="Q245">
        <f>P245 / (300 * 300) * 6.4516</f>
        <v>0</v>
      </c>
      <c r="R245" t="s">
        <v>135</v>
      </c>
      <c r="S245" t="s">
        <v>195</v>
      </c>
      <c r="T245" t="s">
        <v>135</v>
      </c>
      <c r="U245">
        <v>77.3</v>
      </c>
      <c r="V245">
        <v>24.36</v>
      </c>
      <c r="W245">
        <f>(((U245/2) * (V245/2)) * PI())</f>
        <v>1478.92673282597</v>
      </c>
      <c r="X245">
        <f>IF(ISNUMBER(T245), T245*W245, W245)</f>
        <v>1478.92673282597</v>
      </c>
      <c r="Y245">
        <v>0.25</v>
      </c>
      <c r="Z245">
        <v>0.27</v>
      </c>
      <c r="AA245">
        <v>0.28000000000000003</v>
      </c>
      <c r="AB245">
        <f>M245/K245</f>
        <v>76.138310417048785</v>
      </c>
      <c r="AC245" t="s">
        <v>212</v>
      </c>
    </row>
    <row r="246" spans="1:29" x14ac:dyDescent="0.25">
      <c r="A246">
        <v>167</v>
      </c>
      <c r="B246" t="s">
        <v>433</v>
      </c>
      <c r="D246" t="s">
        <v>374</v>
      </c>
      <c r="E246">
        <v>4</v>
      </c>
      <c r="F246" t="s">
        <v>185</v>
      </c>
      <c r="H246" t="s">
        <v>192</v>
      </c>
      <c r="I246">
        <v>7.1</v>
      </c>
      <c r="K246">
        <v>0.104</v>
      </c>
      <c r="L246">
        <v>20</v>
      </c>
      <c r="M246">
        <f>PI()*((I246/2)^2)/100 * L246</f>
        <v>7.9183842833730731</v>
      </c>
      <c r="Q246">
        <f>P246 / (300 * 300) * 6.4516</f>
        <v>0</v>
      </c>
      <c r="S246" t="s">
        <v>201</v>
      </c>
      <c r="T246">
        <v>3</v>
      </c>
      <c r="U246">
        <v>84.7</v>
      </c>
      <c r="V246">
        <v>71.650000000000006</v>
      </c>
      <c r="W246">
        <f>(((U246/2) * (V246/2)) * PI())</f>
        <v>4766.3890311090818</v>
      </c>
      <c r="X246">
        <f>IF(ISNUMBER(T246), T246*W246, W246)</f>
        <v>14299.167093327245</v>
      </c>
      <c r="Y246">
        <v>0.55000000000000004</v>
      </c>
      <c r="Z246">
        <v>0.54</v>
      </c>
      <c r="AA246">
        <v>0.45</v>
      </c>
      <c r="AB246">
        <f>M246/K246</f>
        <v>76.138310417048785</v>
      </c>
    </row>
    <row r="247" spans="1:29" x14ac:dyDescent="0.25">
      <c r="A247">
        <v>268</v>
      </c>
      <c r="B247" t="s">
        <v>729</v>
      </c>
      <c r="D247" t="s">
        <v>449</v>
      </c>
      <c r="E247">
        <v>3</v>
      </c>
      <c r="F247" t="s">
        <v>450</v>
      </c>
      <c r="G247" s="2">
        <v>42921</v>
      </c>
      <c r="H247" t="s">
        <v>192</v>
      </c>
      <c r="I247">
        <v>9.6999999999999993</v>
      </c>
      <c r="K247">
        <v>9.7000000000000003E-2</v>
      </c>
      <c r="L247">
        <v>10</v>
      </c>
      <c r="M247">
        <f>PI()*((I247/2)^2)/100 * L247</f>
        <v>7.38981131940659</v>
      </c>
      <c r="Q247">
        <f>P247 / (300 * 300) * 6.4516</f>
        <v>0</v>
      </c>
      <c r="S247" t="s">
        <v>195</v>
      </c>
      <c r="T247" t="s">
        <v>135</v>
      </c>
      <c r="U247">
        <v>91.48</v>
      </c>
      <c r="V247">
        <v>50.53</v>
      </c>
      <c r="W247">
        <f>(((U247/2) * (V247/2)) * PI())</f>
        <v>3630.4907580933559</v>
      </c>
      <c r="X247">
        <f>IF(ISNUMBER(T247), T247*W247, W247)</f>
        <v>3630.4907580933559</v>
      </c>
      <c r="Y247">
        <v>0.33</v>
      </c>
      <c r="Z247">
        <v>0.28000000000000003</v>
      </c>
      <c r="AA247">
        <v>0.28999999999999998</v>
      </c>
      <c r="AB247">
        <f>M247/K247</f>
        <v>76.183621849552466</v>
      </c>
    </row>
    <row r="248" spans="1:29" x14ac:dyDescent="0.25">
      <c r="A248">
        <v>359</v>
      </c>
      <c r="B248" t="s">
        <v>883</v>
      </c>
      <c r="D248" t="s">
        <v>343</v>
      </c>
      <c r="E248">
        <v>2</v>
      </c>
      <c r="F248" t="s">
        <v>323</v>
      </c>
      <c r="G248" s="2">
        <v>42934</v>
      </c>
      <c r="H248" t="s">
        <v>192</v>
      </c>
      <c r="I248">
        <v>9.6999999999999993</v>
      </c>
      <c r="K248">
        <v>9.7000000000000003E-2</v>
      </c>
      <c r="L248">
        <v>10</v>
      </c>
      <c r="M248">
        <f>PI()*((I248/2)^2)/100 * L248</f>
        <v>7.38981131940659</v>
      </c>
      <c r="Q248">
        <f>P248 / (300 * 300) * 6.4516</f>
        <v>0</v>
      </c>
      <c r="S248" t="s">
        <v>195</v>
      </c>
      <c r="T248">
        <v>5</v>
      </c>
      <c r="U248">
        <v>95.64</v>
      </c>
      <c r="V248">
        <v>73.459999999999994</v>
      </c>
      <c r="W248">
        <f>(((U248/2) * (V248/2)) * PI())</f>
        <v>5517.9831863150048</v>
      </c>
      <c r="X248">
        <f>IF(ISNUMBER(T248), T248*W248, W248)</f>
        <v>27589.915931575022</v>
      </c>
      <c r="Y248">
        <v>0.23</v>
      </c>
      <c r="Z248">
        <v>0.2</v>
      </c>
      <c r="AA248">
        <v>0.23</v>
      </c>
      <c r="AB248">
        <f>M248/K248</f>
        <v>76.183621849552466</v>
      </c>
    </row>
    <row r="249" spans="1:29" x14ac:dyDescent="0.25">
      <c r="A249">
        <v>457</v>
      </c>
      <c r="B249" t="s">
        <v>1074</v>
      </c>
      <c r="D249" t="s">
        <v>858</v>
      </c>
      <c r="E249">
        <v>4</v>
      </c>
      <c r="F249" t="s">
        <v>859</v>
      </c>
      <c r="G249" s="2">
        <v>42951</v>
      </c>
      <c r="H249" t="s">
        <v>192</v>
      </c>
      <c r="I249">
        <v>9.6999999999999993</v>
      </c>
      <c r="K249">
        <v>9.7000000000000003E-2</v>
      </c>
      <c r="L249">
        <v>10</v>
      </c>
      <c r="M249">
        <f>PI()*((I249/2)^2)/100 * L249</f>
        <v>7.38981131940659</v>
      </c>
      <c r="Q249">
        <f>P249 / (300 * 300) * 6.4516</f>
        <v>0</v>
      </c>
      <c r="S249" t="s">
        <v>1073</v>
      </c>
      <c r="T249" t="s">
        <v>135</v>
      </c>
      <c r="U249">
        <v>107.8</v>
      </c>
      <c r="V249">
        <v>118.54</v>
      </c>
      <c r="W249">
        <f>(((U249/2) * (V249/2)) * PI())</f>
        <v>10036.298395568594</v>
      </c>
      <c r="X249">
        <f>IF(ISNUMBER(T249), T249*W249, W249)</f>
        <v>10036.298395568594</v>
      </c>
      <c r="Y249">
        <v>0.47</v>
      </c>
      <c r="Z249">
        <v>0.46</v>
      </c>
      <c r="AA249">
        <v>0.45</v>
      </c>
      <c r="AB249">
        <f>M249/K249</f>
        <v>76.183621849552466</v>
      </c>
    </row>
    <row r="250" spans="1:29" x14ac:dyDescent="0.25">
      <c r="A250">
        <v>137</v>
      </c>
      <c r="B250" t="s">
        <v>295</v>
      </c>
      <c r="D250" t="s">
        <v>374</v>
      </c>
      <c r="E250">
        <v>3</v>
      </c>
      <c r="F250" t="s">
        <v>185</v>
      </c>
      <c r="H250" t="s">
        <v>192</v>
      </c>
      <c r="I250">
        <v>9.6999999999999993</v>
      </c>
      <c r="J250" t="s">
        <v>135</v>
      </c>
      <c r="K250">
        <v>0.14499999999999999</v>
      </c>
      <c r="L250">
        <v>15</v>
      </c>
      <c r="M250">
        <f>PI()*((I250/2)^2)/100 * L250</f>
        <v>11.084716979109885</v>
      </c>
      <c r="N250" t="s">
        <v>135</v>
      </c>
      <c r="O250" t="s">
        <v>135</v>
      </c>
      <c r="Q250">
        <f>P250 / (300 * 300) * 6.4516</f>
        <v>0</v>
      </c>
      <c r="R250" t="s">
        <v>135</v>
      </c>
      <c r="S250" t="s">
        <v>201</v>
      </c>
      <c r="T250">
        <v>3</v>
      </c>
      <c r="U250">
        <v>95.78</v>
      </c>
      <c r="V250">
        <v>89.14</v>
      </c>
      <c r="W250">
        <f>(((U250/2) * (V250/2)) * PI())</f>
        <v>6705.5953730811052</v>
      </c>
      <c r="X250">
        <f>IF(ISNUMBER(T250), T250*W250, W250)</f>
        <v>20116.786119243316</v>
      </c>
      <c r="Y250">
        <v>0.49</v>
      </c>
      <c r="Z250">
        <v>0.43</v>
      </c>
      <c r="AA250">
        <v>0.42</v>
      </c>
      <c r="AB250">
        <f>M250/K250</f>
        <v>76.446323993861284</v>
      </c>
      <c r="AC250" t="s">
        <v>296</v>
      </c>
    </row>
    <row r="251" spans="1:29" x14ac:dyDescent="0.25">
      <c r="A251">
        <v>207</v>
      </c>
      <c r="B251" t="s">
        <v>509</v>
      </c>
      <c r="D251" t="s">
        <v>510</v>
      </c>
      <c r="E251">
        <v>1</v>
      </c>
      <c r="F251" t="s">
        <v>511</v>
      </c>
      <c r="H251" t="s">
        <v>192</v>
      </c>
      <c r="I251">
        <v>9.6999999999999993</v>
      </c>
      <c r="K251">
        <v>8.6999999999999994E-2</v>
      </c>
      <c r="L251">
        <v>9</v>
      </c>
      <c r="M251">
        <f>PI()*((I251/2)^2)/100 * L251</f>
        <v>6.6508301874659308</v>
      </c>
      <c r="Q251">
        <f>P251 / (300 * 300) * 6.4516</f>
        <v>0</v>
      </c>
      <c r="S251" t="s">
        <v>201</v>
      </c>
      <c r="T251">
        <v>87</v>
      </c>
      <c r="U251">
        <v>25.67</v>
      </c>
      <c r="V251">
        <v>21.51</v>
      </c>
      <c r="W251">
        <f>(((U251/2) * (V251/2)) * PI())</f>
        <v>433.66678507841289</v>
      </c>
      <c r="X251">
        <f>IF(ISNUMBER(T251), T251*W251, W251)</f>
        <v>37729.010301821923</v>
      </c>
      <c r="Y251">
        <v>0.27</v>
      </c>
      <c r="Z251">
        <v>0.22</v>
      </c>
      <c r="AA251">
        <v>0.22</v>
      </c>
      <c r="AB251">
        <f>M251/K251</f>
        <v>76.446323993861284</v>
      </c>
    </row>
    <row r="252" spans="1:29" x14ac:dyDescent="0.25">
      <c r="A252">
        <v>80</v>
      </c>
      <c r="B252" t="s">
        <v>117</v>
      </c>
      <c r="D252" t="s">
        <v>340</v>
      </c>
      <c r="E252">
        <v>3</v>
      </c>
      <c r="F252" t="s">
        <v>60</v>
      </c>
      <c r="H252" t="s">
        <v>191</v>
      </c>
      <c r="I252" t="s">
        <v>135</v>
      </c>
      <c r="J252">
        <v>16.07</v>
      </c>
      <c r="K252">
        <f>8.65-3.04</f>
        <v>5.61</v>
      </c>
      <c r="L252" t="s">
        <v>135</v>
      </c>
      <c r="N252">
        <f>(J252-K252)/J252</f>
        <v>0.65090230242688241</v>
      </c>
      <c r="O252" t="s">
        <v>180</v>
      </c>
      <c r="P252">
        <f>3295903 + 2692635</f>
        <v>5988538</v>
      </c>
      <c r="Q252">
        <f>P252 / (300 * 300) * 6.4516</f>
        <v>429.2850195644445</v>
      </c>
      <c r="R252">
        <v>1</v>
      </c>
      <c r="S252" t="s">
        <v>201</v>
      </c>
      <c r="T252">
        <v>877</v>
      </c>
      <c r="U252" t="s">
        <v>135</v>
      </c>
      <c r="V252" t="s">
        <v>135</v>
      </c>
      <c r="W252">
        <f>Q252*100 / T252</f>
        <v>48.949261067781585</v>
      </c>
      <c r="X252">
        <f>Q252*100</f>
        <v>42928.501956444452</v>
      </c>
      <c r="Y252">
        <v>0.2</v>
      </c>
      <c r="Z252">
        <v>0.17</v>
      </c>
      <c r="AA252">
        <v>0.18</v>
      </c>
      <c r="AB252">
        <f>(Q252)/K252</f>
        <v>76.521393861754802</v>
      </c>
    </row>
    <row r="253" spans="1:29" x14ac:dyDescent="0.25">
      <c r="A253">
        <v>161</v>
      </c>
      <c r="B253" t="s">
        <v>423</v>
      </c>
      <c r="D253" t="s">
        <v>390</v>
      </c>
      <c r="E253">
        <v>2</v>
      </c>
      <c r="F253" t="s">
        <v>298</v>
      </c>
      <c r="H253" t="s">
        <v>192</v>
      </c>
      <c r="I253">
        <v>7.1</v>
      </c>
      <c r="K253">
        <v>6.2E-2</v>
      </c>
      <c r="L253">
        <v>12</v>
      </c>
      <c r="M253">
        <f>PI()*((I253/2)^2)/100 * L253</f>
        <v>4.7510305700238442</v>
      </c>
      <c r="Q253">
        <f>P253 / (300 * 300) * 6.4516</f>
        <v>0</v>
      </c>
      <c r="R253" t="s">
        <v>135</v>
      </c>
      <c r="S253" t="s">
        <v>195</v>
      </c>
      <c r="T253" t="s">
        <v>135</v>
      </c>
      <c r="U253">
        <v>72.83</v>
      </c>
      <c r="V253">
        <v>37.020000000000003</v>
      </c>
      <c r="W253">
        <f>(((U253/2) * (V253/2)) * PI())</f>
        <v>2117.5642958535427</v>
      </c>
      <c r="X253">
        <f>IF(ISNUMBER(T253), T253*W253, W253)</f>
        <v>2117.5642958535427</v>
      </c>
      <c r="Y253">
        <v>0.42</v>
      </c>
      <c r="Z253">
        <v>0.4</v>
      </c>
      <c r="AA253">
        <v>0.39</v>
      </c>
      <c r="AB253">
        <f>M253/K253</f>
        <v>76.629525322965236</v>
      </c>
    </row>
    <row r="254" spans="1:29" x14ac:dyDescent="0.25">
      <c r="A254">
        <v>645</v>
      </c>
      <c r="B254" t="s">
        <v>1513</v>
      </c>
      <c r="C254" t="s">
        <v>1240</v>
      </c>
      <c r="D254" t="s">
        <v>377</v>
      </c>
      <c r="E254">
        <v>2</v>
      </c>
      <c r="F254" t="s">
        <v>222</v>
      </c>
      <c r="G254" s="2">
        <v>43635</v>
      </c>
      <c r="H254" t="s">
        <v>191</v>
      </c>
      <c r="Q254">
        <f>P254 / (300 * 300) * 6.4516</f>
        <v>0</v>
      </c>
      <c r="AB254">
        <v>76.631943289999995</v>
      </c>
      <c r="AC254" t="s">
        <v>1607</v>
      </c>
    </row>
    <row r="255" spans="1:29" x14ac:dyDescent="0.25">
      <c r="A255">
        <v>706</v>
      </c>
      <c r="B255" t="s">
        <v>1590</v>
      </c>
      <c r="C255" t="s">
        <v>578</v>
      </c>
      <c r="D255" t="s">
        <v>488</v>
      </c>
      <c r="F255" t="s">
        <v>489</v>
      </c>
      <c r="G255" s="2">
        <v>43651</v>
      </c>
      <c r="H255" t="s">
        <v>191</v>
      </c>
      <c r="Q255">
        <f>P255 / (300 * 300) * 6.4516</f>
        <v>0</v>
      </c>
      <c r="AB255">
        <v>76.643499669999997</v>
      </c>
      <c r="AC255" t="s">
        <v>1607</v>
      </c>
    </row>
    <row r="256" spans="1:29" x14ac:dyDescent="0.25">
      <c r="A256">
        <v>750</v>
      </c>
      <c r="B256" t="s">
        <v>1709</v>
      </c>
      <c r="D256" t="s">
        <v>1275</v>
      </c>
      <c r="E256">
        <v>4</v>
      </c>
      <c r="F256" t="s">
        <v>1276</v>
      </c>
      <c r="G256" s="3">
        <v>43643</v>
      </c>
      <c r="H256" t="s">
        <v>191</v>
      </c>
      <c r="K256">
        <v>2.4119999999999999</v>
      </c>
      <c r="P256">
        <v>2580462</v>
      </c>
      <c r="Q256">
        <f>P256 / (300 * 300) * 6.4516</f>
        <v>184.97898488000001</v>
      </c>
      <c r="S256" t="s">
        <v>1073</v>
      </c>
      <c r="Y256">
        <v>0.3</v>
      </c>
      <c r="Z256">
        <v>0.27</v>
      </c>
      <c r="AA256">
        <v>0.39</v>
      </c>
      <c r="AB256">
        <f>Q256/K256</f>
        <v>76.691121426202329</v>
      </c>
    </row>
    <row r="257" spans="1:29" x14ac:dyDescent="0.25">
      <c r="A257">
        <v>78</v>
      </c>
      <c r="B257" t="s">
        <v>115</v>
      </c>
      <c r="D257" t="s">
        <v>331</v>
      </c>
      <c r="E257">
        <v>3</v>
      </c>
      <c r="F257" t="s">
        <v>5</v>
      </c>
      <c r="H257" t="s">
        <v>191</v>
      </c>
      <c r="I257" t="s">
        <v>135</v>
      </c>
      <c r="J257">
        <v>4.0220000000000002</v>
      </c>
      <c r="K257">
        <v>1.7490000000000001</v>
      </c>
      <c r="L257" t="s">
        <v>135</v>
      </c>
      <c r="N257">
        <f>(J257-K257)/J257</f>
        <v>0.56514172053704625</v>
      </c>
      <c r="O257" t="s">
        <v>155</v>
      </c>
      <c r="P257">
        <v>1872299</v>
      </c>
      <c r="Q257">
        <f>P257 / (300 * 300) * 6.4516</f>
        <v>134.21471364888887</v>
      </c>
      <c r="R257">
        <v>5</v>
      </c>
      <c r="S257" t="s">
        <v>195</v>
      </c>
      <c r="T257" t="s">
        <v>135</v>
      </c>
      <c r="U257" t="s">
        <v>135</v>
      </c>
      <c r="V257" t="s">
        <v>135</v>
      </c>
      <c r="W257">
        <f>Q257*100/R257</f>
        <v>2684.2942729777778</v>
      </c>
      <c r="X257">
        <f>W257</f>
        <v>2684.2942729777778</v>
      </c>
      <c r="Y257">
        <v>0.25</v>
      </c>
      <c r="Z257">
        <v>0.26</v>
      </c>
      <c r="AA257">
        <v>0.3</v>
      </c>
      <c r="AB257">
        <f>(Q257)/K257</f>
        <v>76.737972354996487</v>
      </c>
    </row>
    <row r="258" spans="1:29" x14ac:dyDescent="0.25">
      <c r="A258">
        <v>789</v>
      </c>
      <c r="B258" t="s">
        <v>1756</v>
      </c>
      <c r="D258" t="s">
        <v>1055</v>
      </c>
      <c r="E258">
        <v>2</v>
      </c>
      <c r="F258" t="s">
        <v>188</v>
      </c>
      <c r="G258" s="3">
        <v>43650</v>
      </c>
      <c r="H258" t="s">
        <v>191</v>
      </c>
      <c r="K258">
        <v>1.48</v>
      </c>
      <c r="P258">
        <v>1587562</v>
      </c>
      <c r="Q258">
        <f>P258 / (300 * 300) * 6.4516</f>
        <v>113.80349999111111</v>
      </c>
      <c r="Y258">
        <v>0.23</v>
      </c>
      <c r="Z258">
        <v>0.25</v>
      </c>
      <c r="AA258">
        <v>0.28000000000000003</v>
      </c>
      <c r="AB258">
        <f>Q258/K258</f>
        <v>76.894256750750756</v>
      </c>
    </row>
    <row r="259" spans="1:29" x14ac:dyDescent="0.25">
      <c r="A259">
        <v>82</v>
      </c>
      <c r="B259" t="s">
        <v>101</v>
      </c>
      <c r="D259" t="s">
        <v>337</v>
      </c>
      <c r="E259">
        <v>4</v>
      </c>
      <c r="F259" t="s">
        <v>15</v>
      </c>
      <c r="H259" t="s">
        <v>191</v>
      </c>
      <c r="I259" t="s">
        <v>135</v>
      </c>
      <c r="J259">
        <v>4.7160000000000002</v>
      </c>
      <c r="K259">
        <v>1.79</v>
      </c>
      <c r="L259" t="s">
        <v>135</v>
      </c>
      <c r="N259">
        <f>(J259-K259)/J259</f>
        <v>0.62044105173876163</v>
      </c>
      <c r="O259" t="s">
        <v>171</v>
      </c>
      <c r="P259">
        <v>1921518</v>
      </c>
      <c r="Q259">
        <f>P259 / (300 * 300) * 6.4516</f>
        <v>137.74295032000001</v>
      </c>
      <c r="R259">
        <v>5</v>
      </c>
      <c r="S259" t="s">
        <v>195</v>
      </c>
      <c r="T259" t="s">
        <v>135</v>
      </c>
      <c r="U259" t="s">
        <v>135</v>
      </c>
      <c r="V259" t="s">
        <v>135</v>
      </c>
      <c r="W259">
        <f>Q259*100/R259</f>
        <v>2754.8590064</v>
      </c>
      <c r="X259">
        <f>W259</f>
        <v>2754.8590064</v>
      </c>
      <c r="Y259">
        <v>0.28999999999999998</v>
      </c>
      <c r="Z259">
        <v>0.28999999999999998</v>
      </c>
      <c r="AA259">
        <v>0.27</v>
      </c>
      <c r="AB259">
        <f>(Q259)/K259</f>
        <v>76.951368893854749</v>
      </c>
      <c r="AC259" t="s">
        <v>120</v>
      </c>
    </row>
    <row r="260" spans="1:29" x14ac:dyDescent="0.25">
      <c r="A260">
        <v>165</v>
      </c>
      <c r="B260" t="s">
        <v>429</v>
      </c>
      <c r="D260" t="s">
        <v>430</v>
      </c>
      <c r="E260">
        <v>1</v>
      </c>
      <c r="F260" t="s">
        <v>431</v>
      </c>
      <c r="H260" t="s">
        <v>192</v>
      </c>
      <c r="I260">
        <v>9.6999999999999993</v>
      </c>
      <c r="K260">
        <v>0.115</v>
      </c>
      <c r="L260">
        <v>12</v>
      </c>
      <c r="M260">
        <f>PI()*((I260/2)^2)/100 * L260</f>
        <v>8.8677735832879065</v>
      </c>
      <c r="Q260">
        <f>P260 / (300 * 300) * 6.4516</f>
        <v>0</v>
      </c>
      <c r="R260" t="s">
        <v>135</v>
      </c>
      <c r="S260" t="s">
        <v>195</v>
      </c>
      <c r="T260" t="s">
        <v>135</v>
      </c>
      <c r="U260">
        <v>93.4</v>
      </c>
      <c r="V260">
        <v>42.9</v>
      </c>
      <c r="W260">
        <f>(((U260/2) * (V260/2)) * PI())</f>
        <v>3146.9804849906996</v>
      </c>
      <c r="X260">
        <f>IF(ISNUMBER(T260), T260*W260, W260)</f>
        <v>3146.9804849906996</v>
      </c>
      <c r="Y260">
        <v>0.37</v>
      </c>
      <c r="Z260">
        <v>0.38</v>
      </c>
      <c r="AA260">
        <v>0.39</v>
      </c>
      <c r="AB260">
        <f>M260/K260</f>
        <v>77.111074637286137</v>
      </c>
    </row>
    <row r="261" spans="1:29" x14ac:dyDescent="0.25">
      <c r="A261">
        <v>677</v>
      </c>
      <c r="B261" t="s">
        <v>1556</v>
      </c>
      <c r="C261" t="s">
        <v>112</v>
      </c>
      <c r="D261" t="s">
        <v>369</v>
      </c>
      <c r="F261" t="s">
        <v>93</v>
      </c>
      <c r="G261" s="2">
        <v>43651</v>
      </c>
      <c r="H261" t="s">
        <v>191</v>
      </c>
      <c r="Q261">
        <f>P261 / (300 * 300) * 6.4516</f>
        <v>0</v>
      </c>
      <c r="AB261">
        <v>77.285926099999998</v>
      </c>
      <c r="AC261" t="s">
        <v>1607</v>
      </c>
    </row>
    <row r="262" spans="1:29" x14ac:dyDescent="0.25">
      <c r="A262">
        <v>711</v>
      </c>
      <c r="B262" t="s">
        <v>1596</v>
      </c>
      <c r="C262" t="s">
        <v>122</v>
      </c>
      <c r="D262" t="s">
        <v>344</v>
      </c>
      <c r="F262" t="s">
        <v>278</v>
      </c>
      <c r="H262" t="s">
        <v>191</v>
      </c>
      <c r="Q262">
        <f>P262 / (300 * 300) * 6.4516</f>
        <v>0</v>
      </c>
      <c r="AB262">
        <v>77.368509239999995</v>
      </c>
      <c r="AC262" t="s">
        <v>1607</v>
      </c>
    </row>
    <row r="263" spans="1:29" x14ac:dyDescent="0.25">
      <c r="A263">
        <v>143</v>
      </c>
      <c r="B263" t="s">
        <v>1212</v>
      </c>
      <c r="C263" t="s">
        <v>307</v>
      </c>
      <c r="D263" t="s">
        <v>342</v>
      </c>
      <c r="E263">
        <v>6</v>
      </c>
      <c r="F263" t="s">
        <v>214</v>
      </c>
      <c r="H263" t="s">
        <v>192</v>
      </c>
      <c r="I263">
        <v>9.6999999999999993</v>
      </c>
      <c r="J263" t="s">
        <v>135</v>
      </c>
      <c r="K263">
        <v>0.105</v>
      </c>
      <c r="L263">
        <v>11</v>
      </c>
      <c r="M263">
        <f>PI()*((I263/2)^2)/100 * L263</f>
        <v>8.1287924513472483</v>
      </c>
      <c r="N263" t="s">
        <v>135</v>
      </c>
      <c r="O263" t="s">
        <v>135</v>
      </c>
      <c r="Q263">
        <f>P263 / (300 * 300) * 6.4516</f>
        <v>0</v>
      </c>
      <c r="R263" t="s">
        <v>135</v>
      </c>
      <c r="S263" t="s">
        <v>195</v>
      </c>
      <c r="T263" t="s">
        <v>135</v>
      </c>
      <c r="U263">
        <v>106.97</v>
      </c>
      <c r="V263">
        <v>60.5</v>
      </c>
      <c r="W263">
        <f>(((U263/2) * (V263/2)) * PI())</f>
        <v>5082.849513086815</v>
      </c>
      <c r="X263">
        <f>IF(ISNUMBER(T263), T263*W263, W263)</f>
        <v>5082.849513086815</v>
      </c>
      <c r="Y263">
        <v>0.33</v>
      </c>
      <c r="Z263">
        <v>0.31</v>
      </c>
      <c r="AA263">
        <v>0.33</v>
      </c>
      <c r="AB263">
        <f>M263/K263</f>
        <v>77.417070965211892</v>
      </c>
      <c r="AC263" t="s">
        <v>308</v>
      </c>
    </row>
    <row r="264" spans="1:29" x14ac:dyDescent="0.25">
      <c r="A264">
        <v>713</v>
      </c>
      <c r="B264" t="s">
        <v>1598</v>
      </c>
      <c r="C264" t="s">
        <v>1259</v>
      </c>
      <c r="D264" t="s">
        <v>344</v>
      </c>
      <c r="F264" t="s">
        <v>278</v>
      </c>
      <c r="H264" t="s">
        <v>191</v>
      </c>
      <c r="Q264">
        <f>P264 / (300 * 300) * 6.4516</f>
        <v>0</v>
      </c>
      <c r="AB264">
        <v>77.448455730000006</v>
      </c>
      <c r="AC264" t="s">
        <v>1607</v>
      </c>
    </row>
    <row r="265" spans="1:29" x14ac:dyDescent="0.25">
      <c r="A265">
        <v>483</v>
      </c>
      <c r="B265" t="s">
        <v>1307</v>
      </c>
      <c r="C265" t="s">
        <v>461</v>
      </c>
      <c r="D265" t="s">
        <v>357</v>
      </c>
      <c r="E265">
        <v>5</v>
      </c>
      <c r="F265" t="s">
        <v>1303</v>
      </c>
      <c r="G265" s="2">
        <v>43620</v>
      </c>
      <c r="H265" t="s">
        <v>191</v>
      </c>
      <c r="Q265">
        <f>P265 / (300 * 300) * 6.4516</f>
        <v>0</v>
      </c>
      <c r="AB265">
        <v>77.495856549999999</v>
      </c>
      <c r="AC265" t="s">
        <v>1607</v>
      </c>
    </row>
    <row r="266" spans="1:29" x14ac:dyDescent="0.25">
      <c r="A266">
        <v>448</v>
      </c>
      <c r="B266" t="s">
        <v>1063</v>
      </c>
      <c r="D266" t="s">
        <v>735</v>
      </c>
      <c r="E266">
        <v>3</v>
      </c>
      <c r="F266" t="s">
        <v>1064</v>
      </c>
      <c r="G266" s="2">
        <v>42950</v>
      </c>
      <c r="H266" t="s">
        <v>192</v>
      </c>
      <c r="I266">
        <v>7.1</v>
      </c>
      <c r="K266">
        <v>5.0999999999999997E-2</v>
      </c>
      <c r="L266">
        <v>10</v>
      </c>
      <c r="M266">
        <f>PI()*((I266/2)^2)/100 * L266</f>
        <v>3.9591921416865365</v>
      </c>
      <c r="Q266">
        <f>P266 / (300 * 300) * 6.4516</f>
        <v>0</v>
      </c>
      <c r="S266" t="s">
        <v>195</v>
      </c>
      <c r="T266" t="s">
        <v>135</v>
      </c>
      <c r="U266">
        <v>21.95</v>
      </c>
      <c r="V266">
        <v>29.23</v>
      </c>
      <c r="W266">
        <f>(((U266/2) * (V266/2)) * PI())</f>
        <v>503.91028353855768</v>
      </c>
      <c r="X266">
        <f>IF(ISNUMBER(T266), T266*W266, W266)</f>
        <v>503.91028353855768</v>
      </c>
      <c r="Y266">
        <v>0.36</v>
      </c>
      <c r="Z266">
        <v>0.44</v>
      </c>
      <c r="AA266">
        <v>0.4</v>
      </c>
      <c r="AB266">
        <f>M266/K266</f>
        <v>77.631218464441901</v>
      </c>
    </row>
    <row r="267" spans="1:29" x14ac:dyDescent="0.25">
      <c r="A267">
        <v>519</v>
      </c>
      <c r="B267" t="s">
        <v>1349</v>
      </c>
      <c r="C267" t="s">
        <v>589</v>
      </c>
      <c r="D267" t="s">
        <v>389</v>
      </c>
      <c r="E267">
        <v>5</v>
      </c>
      <c r="F267" t="s">
        <v>317</v>
      </c>
      <c r="G267" s="2">
        <v>43656</v>
      </c>
      <c r="H267" t="s">
        <v>191</v>
      </c>
      <c r="Q267">
        <f>P267 / (300 * 300) * 6.4516</f>
        <v>0</v>
      </c>
      <c r="AB267">
        <v>77.728529690000002</v>
      </c>
      <c r="AC267" t="s">
        <v>1607</v>
      </c>
    </row>
    <row r="268" spans="1:29" x14ac:dyDescent="0.25">
      <c r="A268">
        <v>565</v>
      </c>
      <c r="B268" t="s">
        <v>1413</v>
      </c>
      <c r="C268" t="s">
        <v>79</v>
      </c>
      <c r="D268" t="s">
        <v>346</v>
      </c>
      <c r="E268">
        <v>4</v>
      </c>
      <c r="F268" t="s">
        <v>372</v>
      </c>
      <c r="G268" s="2">
        <v>43618</v>
      </c>
      <c r="H268" t="s">
        <v>191</v>
      </c>
      <c r="Q268">
        <f>P268 / (300 * 300) * 6.4516</f>
        <v>0</v>
      </c>
      <c r="AB268">
        <v>77.874354019999998</v>
      </c>
      <c r="AC268" t="s">
        <v>1607</v>
      </c>
    </row>
    <row r="269" spans="1:29" x14ac:dyDescent="0.25">
      <c r="A269">
        <v>18</v>
      </c>
      <c r="B269" t="s">
        <v>24</v>
      </c>
      <c r="D269" t="s">
        <v>337</v>
      </c>
      <c r="E269">
        <v>1</v>
      </c>
      <c r="F269" t="s">
        <v>15</v>
      </c>
      <c r="H269" t="s">
        <v>191</v>
      </c>
      <c r="I269" t="s">
        <v>135</v>
      </c>
      <c r="J269">
        <v>2.8639999999999999</v>
      </c>
      <c r="K269">
        <v>1.5029999999999999</v>
      </c>
      <c r="L269" t="s">
        <v>135</v>
      </c>
      <c r="N269">
        <f>(J269-K269)/J269</f>
        <v>0.47520949720670391</v>
      </c>
      <c r="P269">
        <v>1637283</v>
      </c>
      <c r="Q269">
        <f>P269 / (300 * 300) * 6.4516</f>
        <v>117.36772225333334</v>
      </c>
      <c r="R269">
        <v>5</v>
      </c>
      <c r="S269" t="s">
        <v>195</v>
      </c>
      <c r="T269" t="s">
        <v>135</v>
      </c>
      <c r="U269" t="s">
        <v>135</v>
      </c>
      <c r="V269" t="s">
        <v>135</v>
      </c>
      <c r="W269">
        <f>Q269*100/5</f>
        <v>2347.3544450666668</v>
      </c>
      <c r="X269">
        <f>W269</f>
        <v>2347.3544450666668</v>
      </c>
      <c r="Y269">
        <v>0.22</v>
      </c>
      <c r="Z269">
        <v>0.24</v>
      </c>
      <c r="AA269">
        <v>0.22</v>
      </c>
      <c r="AB269">
        <f>(Q269)/K269</f>
        <v>78.088970228432032</v>
      </c>
    </row>
    <row r="270" spans="1:29" x14ac:dyDescent="0.25">
      <c r="A270">
        <v>200</v>
      </c>
      <c r="B270" t="s">
        <v>497</v>
      </c>
      <c r="D270" t="s">
        <v>498</v>
      </c>
      <c r="E270">
        <v>1</v>
      </c>
      <c r="F270" t="s">
        <v>499</v>
      </c>
      <c r="H270" t="s">
        <v>192</v>
      </c>
      <c r="I270">
        <v>9.6999999999999993</v>
      </c>
      <c r="K270">
        <v>0.122</v>
      </c>
      <c r="L270">
        <v>13</v>
      </c>
      <c r="M270">
        <f>PI()*((I270/2)^2)/100 * L270</f>
        <v>9.6067547152285666</v>
      </c>
      <c r="Q270">
        <f>P270 / (300 * 300) * 6.4516</f>
        <v>0</v>
      </c>
      <c r="S270" t="s">
        <v>195</v>
      </c>
      <c r="T270" t="s">
        <v>135</v>
      </c>
      <c r="U270">
        <v>86.6</v>
      </c>
      <c r="V270">
        <v>77.400000000000006</v>
      </c>
      <c r="W270">
        <f>(((U270/2) * (V270/2)) * PI())</f>
        <v>5264.3982255469527</v>
      </c>
      <c r="X270">
        <f>IF(ISNUMBER(T270), T270*W270, W270)</f>
        <v>5264.3982255469527</v>
      </c>
      <c r="Y270">
        <v>0.48</v>
      </c>
      <c r="Z270">
        <v>0.51</v>
      </c>
      <c r="AA270">
        <v>0.5</v>
      </c>
      <c r="AB270">
        <f>M270/K270</f>
        <v>78.743891108430873</v>
      </c>
      <c r="AC270" t="s">
        <v>1017</v>
      </c>
    </row>
    <row r="271" spans="1:29" x14ac:dyDescent="0.25">
      <c r="A271">
        <v>751</v>
      </c>
      <c r="B271" t="s">
        <v>1710</v>
      </c>
      <c r="D271" t="s">
        <v>1275</v>
      </c>
      <c r="E271">
        <v>5</v>
      </c>
      <c r="F271" t="s">
        <v>1276</v>
      </c>
      <c r="G271" s="3">
        <v>43643</v>
      </c>
      <c r="H271" t="s">
        <v>191</v>
      </c>
      <c r="K271">
        <v>2.7869999999999999</v>
      </c>
      <c r="P271">
        <v>3068727</v>
      </c>
      <c r="Q271">
        <f>P271 / (300 * 300) * 6.4516</f>
        <v>219.97999014666667</v>
      </c>
      <c r="S271" t="s">
        <v>1073</v>
      </c>
      <c r="Y271">
        <v>0.28999999999999998</v>
      </c>
      <c r="Z271">
        <v>0.33</v>
      </c>
      <c r="AA271">
        <v>0.31</v>
      </c>
      <c r="AB271">
        <f>Q271/K271</f>
        <v>78.93074637483555</v>
      </c>
    </row>
    <row r="272" spans="1:29" x14ac:dyDescent="0.25">
      <c r="A272">
        <v>43</v>
      </c>
      <c r="B272" t="s">
        <v>78</v>
      </c>
      <c r="D272" t="s">
        <v>357</v>
      </c>
      <c r="E272">
        <v>3</v>
      </c>
      <c r="F272" t="s">
        <v>272</v>
      </c>
      <c r="H272" t="s">
        <v>191</v>
      </c>
      <c r="I272" t="s">
        <v>135</v>
      </c>
      <c r="J272">
        <v>10.1</v>
      </c>
      <c r="K272">
        <v>3.5680000000000001</v>
      </c>
      <c r="L272" t="s">
        <v>135</v>
      </c>
      <c r="N272">
        <f>(J272-K272)/J272</f>
        <v>0.64673267326732675</v>
      </c>
      <c r="P272">
        <v>3937831</v>
      </c>
      <c r="Q272">
        <f>P272 / (300 * 300) * 6.4516</f>
        <v>282.2812275511111</v>
      </c>
      <c r="R272">
        <v>7</v>
      </c>
      <c r="S272" t="s">
        <v>195</v>
      </c>
      <c r="T272" t="s">
        <v>135</v>
      </c>
      <c r="U272" t="s">
        <v>135</v>
      </c>
      <c r="V272" t="s">
        <v>135</v>
      </c>
      <c r="W272">
        <f>Q272*100/R272</f>
        <v>4032.5889650158729</v>
      </c>
      <c r="X272">
        <f>W272</f>
        <v>4032.5889650158729</v>
      </c>
      <c r="Y272">
        <v>0.26</v>
      </c>
      <c r="Z272">
        <v>0.34</v>
      </c>
      <c r="AA272">
        <v>0.28000000000000003</v>
      </c>
      <c r="AB272">
        <f>(Q272)/K272</f>
        <v>79.114693820378676</v>
      </c>
    </row>
    <row r="273" spans="1:29" x14ac:dyDescent="0.25">
      <c r="A273">
        <v>182</v>
      </c>
      <c r="B273" t="s">
        <v>448</v>
      </c>
      <c r="D273" t="s">
        <v>449</v>
      </c>
      <c r="E273">
        <v>1</v>
      </c>
      <c r="F273" t="s">
        <v>450</v>
      </c>
      <c r="H273" t="s">
        <v>192</v>
      </c>
      <c r="I273">
        <v>9.6999999999999993</v>
      </c>
      <c r="K273">
        <v>0.16800000000000001</v>
      </c>
      <c r="L273">
        <v>18</v>
      </c>
      <c r="M273">
        <f>PI()*((I273/2)^2)/100 * L273</f>
        <v>13.301660374931862</v>
      </c>
      <c r="Q273">
        <f>P273 / (300 * 300) * 6.4516</f>
        <v>0</v>
      </c>
      <c r="S273" t="s">
        <v>195</v>
      </c>
      <c r="T273" t="s">
        <v>135</v>
      </c>
      <c r="U273">
        <v>142.4</v>
      </c>
      <c r="V273">
        <v>69.44</v>
      </c>
      <c r="W273">
        <f>(((U273/2) * (V273/2)) * PI())</f>
        <v>7766.2181016037975</v>
      </c>
      <c r="X273">
        <f>IF(ISNUMBER(T273), T273*W273, W273)</f>
        <v>7766.2181016037975</v>
      </c>
      <c r="Y273">
        <v>0.3</v>
      </c>
      <c r="Z273">
        <v>0.32</v>
      </c>
      <c r="AA273">
        <v>0.27</v>
      </c>
      <c r="AB273">
        <f>M273/K273</f>
        <v>79.17654985078488</v>
      </c>
    </row>
    <row r="274" spans="1:29" x14ac:dyDescent="0.25">
      <c r="A274">
        <v>228</v>
      </c>
      <c r="B274" t="s">
        <v>579</v>
      </c>
      <c r="D274" t="s">
        <v>488</v>
      </c>
      <c r="E274">
        <v>3</v>
      </c>
      <c r="F274" t="s">
        <v>489</v>
      </c>
      <c r="H274" t="s">
        <v>192</v>
      </c>
      <c r="I274">
        <v>7.1</v>
      </c>
      <c r="K274">
        <v>0.05</v>
      </c>
      <c r="L274">
        <v>10</v>
      </c>
      <c r="M274">
        <f>PI()*((I274/2)^2)/100 * L274</f>
        <v>3.9591921416865365</v>
      </c>
      <c r="Q274">
        <f>P274 / (300 * 300) * 6.4516</f>
        <v>0</v>
      </c>
      <c r="S274" t="s">
        <v>195</v>
      </c>
      <c r="T274" t="s">
        <v>135</v>
      </c>
      <c r="U274">
        <v>101.9</v>
      </c>
      <c r="V274">
        <v>41.42</v>
      </c>
      <c r="W274">
        <f>(((U274/2) * (V274/2)) * PI())</f>
        <v>3314.9284574552835</v>
      </c>
      <c r="X274">
        <f>IF(ISNUMBER(T274), T274*W274, W274)</f>
        <v>3314.9284574552835</v>
      </c>
      <c r="Y274">
        <v>0.27</v>
      </c>
      <c r="Z274">
        <v>0.22</v>
      </c>
      <c r="AA274">
        <v>0.26</v>
      </c>
      <c r="AB274">
        <f>M274/K274</f>
        <v>79.183842833730722</v>
      </c>
    </row>
    <row r="275" spans="1:29" x14ac:dyDescent="0.25">
      <c r="A275">
        <v>244</v>
      </c>
      <c r="B275" t="s">
        <v>597</v>
      </c>
      <c r="D275" t="s">
        <v>510</v>
      </c>
      <c r="E275">
        <v>2</v>
      </c>
      <c r="F275" t="s">
        <v>511</v>
      </c>
      <c r="H275" t="s">
        <v>192</v>
      </c>
      <c r="I275">
        <v>7.1</v>
      </c>
      <c r="K275">
        <v>7.0000000000000007E-2</v>
      </c>
      <c r="L275">
        <v>14</v>
      </c>
      <c r="M275">
        <f>PI()*((I275/2)^2)/100 * L275</f>
        <v>5.5428689983611514</v>
      </c>
      <c r="Q275">
        <f>P275 / (300 * 300) * 6.4516</f>
        <v>0</v>
      </c>
      <c r="S275" t="s">
        <v>201</v>
      </c>
      <c r="T275">
        <v>130</v>
      </c>
      <c r="U275">
        <v>20.66</v>
      </c>
      <c r="V275">
        <v>16.62</v>
      </c>
      <c r="W275">
        <f>(((U275/2) * (V275/2)) * PI())</f>
        <v>269.68153904725114</v>
      </c>
      <c r="X275">
        <f>IF(ISNUMBER(T275), T275*W275, W275)</f>
        <v>35058.600076142648</v>
      </c>
      <c r="Y275">
        <v>0.28999999999999998</v>
      </c>
      <c r="Z275">
        <v>0.25</v>
      </c>
      <c r="AA275">
        <v>0.27</v>
      </c>
      <c r="AB275">
        <f>M275/K275</f>
        <v>79.183842833730722</v>
      </c>
    </row>
    <row r="276" spans="1:29" x14ac:dyDescent="0.25">
      <c r="A276">
        <v>260</v>
      </c>
      <c r="B276" t="s">
        <v>618</v>
      </c>
      <c r="D276" t="s">
        <v>575</v>
      </c>
      <c r="E276">
        <v>1</v>
      </c>
      <c r="F276" t="s">
        <v>576</v>
      </c>
      <c r="H276" t="s">
        <v>192</v>
      </c>
      <c r="I276">
        <v>7.1</v>
      </c>
      <c r="K276">
        <v>0.05</v>
      </c>
      <c r="L276">
        <v>10</v>
      </c>
      <c r="M276">
        <f>PI()*((I276/2)^2)/100 * L276</f>
        <v>3.9591921416865365</v>
      </c>
      <c r="Q276">
        <f>P276 / (300 * 300) * 6.4516</f>
        <v>0</v>
      </c>
      <c r="S276" t="s">
        <v>195</v>
      </c>
      <c r="T276" t="s">
        <v>135</v>
      </c>
      <c r="U276">
        <v>40.270000000000003</v>
      </c>
      <c r="V276">
        <v>16.149999999999999</v>
      </c>
      <c r="W276">
        <f>(((U276/2) * (V276/2)) * PI())</f>
        <v>510.79194224624615</v>
      </c>
      <c r="X276">
        <f>IF(ISNUMBER(T276), T276*W276, W276)</f>
        <v>510.79194224624615</v>
      </c>
      <c r="Y276">
        <v>0.23</v>
      </c>
      <c r="Z276">
        <v>0.28000000000000003</v>
      </c>
      <c r="AA276">
        <v>0.28000000000000003</v>
      </c>
      <c r="AB276">
        <f>M276/K276</f>
        <v>79.183842833730722</v>
      </c>
    </row>
    <row r="277" spans="1:29" x14ac:dyDescent="0.25">
      <c r="A277">
        <v>267</v>
      </c>
      <c r="B277" t="s">
        <v>727</v>
      </c>
      <c r="D277" t="s">
        <v>593</v>
      </c>
      <c r="E277">
        <v>3</v>
      </c>
      <c r="F277" t="s">
        <v>728</v>
      </c>
      <c r="G277" s="2">
        <v>42921</v>
      </c>
      <c r="H277" t="s">
        <v>192</v>
      </c>
      <c r="I277">
        <v>7.1</v>
      </c>
      <c r="K277">
        <v>0.05</v>
      </c>
      <c r="L277">
        <v>10</v>
      </c>
      <c r="M277">
        <f>PI()*((I277/2)^2)/100 * L277</f>
        <v>3.9591921416865365</v>
      </c>
      <c r="Q277">
        <f>P277 / (300 * 300) * 6.4516</f>
        <v>0</v>
      </c>
      <c r="S277" t="s">
        <v>201</v>
      </c>
      <c r="T277">
        <v>5</v>
      </c>
      <c r="U277">
        <v>74.569999999999993</v>
      </c>
      <c r="V277">
        <v>29.82</v>
      </c>
      <c r="W277">
        <f>(((U277/2) * (V277/2)) * PI())</f>
        <v>1746.4721459484131</v>
      </c>
      <c r="X277">
        <f>IF(ISNUMBER(T277), T277*W277, W277)</f>
        <v>8732.3607297420658</v>
      </c>
      <c r="Y277">
        <v>0.42</v>
      </c>
      <c r="Z277">
        <v>0.44</v>
      </c>
      <c r="AA277">
        <v>0.41</v>
      </c>
      <c r="AB277">
        <f>M277/K277</f>
        <v>79.183842833730722</v>
      </c>
    </row>
    <row r="278" spans="1:29" x14ac:dyDescent="0.25">
      <c r="A278">
        <v>290</v>
      </c>
      <c r="B278" t="s">
        <v>759</v>
      </c>
      <c r="D278" t="s">
        <v>348</v>
      </c>
      <c r="E278">
        <v>5</v>
      </c>
      <c r="F278" t="s">
        <v>328</v>
      </c>
      <c r="G278" s="2">
        <v>42923</v>
      </c>
      <c r="H278" t="s">
        <v>192</v>
      </c>
      <c r="I278">
        <v>7.1</v>
      </c>
      <c r="K278">
        <v>0.05</v>
      </c>
      <c r="L278">
        <v>10</v>
      </c>
      <c r="M278">
        <f>PI()*((I278/2)^2)/100 * L278</f>
        <v>3.9591921416865365</v>
      </c>
      <c r="Q278">
        <f>P278 / (300 * 300) * 6.4516</f>
        <v>0</v>
      </c>
      <c r="S278" t="s">
        <v>195</v>
      </c>
      <c r="T278" t="s">
        <v>135</v>
      </c>
      <c r="U278">
        <v>140.41</v>
      </c>
      <c r="V278">
        <v>42.72</v>
      </c>
      <c r="W278">
        <f>(((U278/2) * (V278/2)) * PI())</f>
        <v>4711.0657415589976</v>
      </c>
      <c r="X278">
        <f>IF(ISNUMBER(T278), T278*W278, W278)</f>
        <v>4711.0657415589976</v>
      </c>
      <c r="Y278">
        <v>0.28999999999999998</v>
      </c>
      <c r="Z278">
        <v>0.28000000000000003</v>
      </c>
      <c r="AA278">
        <v>0.28000000000000003</v>
      </c>
      <c r="AB278">
        <f>M278/K278</f>
        <v>79.183842833730722</v>
      </c>
    </row>
    <row r="279" spans="1:29" x14ac:dyDescent="0.25">
      <c r="A279">
        <v>412</v>
      </c>
      <c r="B279" t="s">
        <v>967</v>
      </c>
      <c r="D279" t="s">
        <v>968</v>
      </c>
      <c r="E279">
        <v>1</v>
      </c>
      <c r="F279" t="s">
        <v>969</v>
      </c>
      <c r="G279" s="2">
        <v>42940</v>
      </c>
      <c r="H279" t="s">
        <v>192</v>
      </c>
      <c r="I279">
        <v>7.1</v>
      </c>
      <c r="K279">
        <v>0.05</v>
      </c>
      <c r="L279">
        <v>10</v>
      </c>
      <c r="M279">
        <f>PI()*((I279/2)^2)/100 * L279</f>
        <v>3.9591921416865365</v>
      </c>
      <c r="Q279">
        <f>P279 / (300 * 300) * 6.4516</f>
        <v>0</v>
      </c>
      <c r="S279" t="s">
        <v>195</v>
      </c>
      <c r="T279" t="s">
        <v>135</v>
      </c>
      <c r="U279">
        <v>49.24</v>
      </c>
      <c r="V279">
        <v>17.91</v>
      </c>
      <c r="W279">
        <f>(((U279/2) * (V279/2)) * PI())</f>
        <v>692.63352968151423</v>
      </c>
      <c r="X279">
        <f>IF(ISNUMBER(T279), T279*W279, W279)</f>
        <v>692.63352968151423</v>
      </c>
      <c r="Y279">
        <v>0.26</v>
      </c>
      <c r="Z279">
        <v>0.28000000000000003</v>
      </c>
      <c r="AA279">
        <v>0.26</v>
      </c>
      <c r="AB279">
        <f>M279/K279</f>
        <v>79.183842833730722</v>
      </c>
    </row>
    <row r="280" spans="1:29" x14ac:dyDescent="0.25">
      <c r="A280">
        <v>126</v>
      </c>
      <c r="B280" t="s">
        <v>283</v>
      </c>
      <c r="D280" t="s">
        <v>388</v>
      </c>
      <c r="E280">
        <v>2</v>
      </c>
      <c r="F280" t="s">
        <v>284</v>
      </c>
      <c r="H280" t="s">
        <v>192</v>
      </c>
      <c r="I280">
        <v>7.1</v>
      </c>
      <c r="J280" t="s">
        <v>135</v>
      </c>
      <c r="K280">
        <v>5.5E-2</v>
      </c>
      <c r="L280">
        <v>11</v>
      </c>
      <c r="M280">
        <f>PI()*((I280/2)^2)/100 * L280</f>
        <v>4.3551113558551906</v>
      </c>
      <c r="N280" t="s">
        <v>135</v>
      </c>
      <c r="O280" t="s">
        <v>135</v>
      </c>
      <c r="Q280">
        <f>P280 / (300 * 300) * 6.4516</f>
        <v>0</v>
      </c>
      <c r="R280" t="s">
        <v>135</v>
      </c>
      <c r="S280" t="s">
        <v>195</v>
      </c>
      <c r="T280" t="s">
        <v>135</v>
      </c>
      <c r="U280">
        <v>79.23</v>
      </c>
      <c r="V280">
        <v>25.92</v>
      </c>
      <c r="W280">
        <f>(((U280/2) * (V280/2)) * PI())</f>
        <v>1612.9263409165974</v>
      </c>
      <c r="X280">
        <f>IF(ISNUMBER(T280), T280*W280, W280)</f>
        <v>1612.9263409165974</v>
      </c>
      <c r="Y280">
        <v>0.36</v>
      </c>
      <c r="Z280">
        <v>0.38</v>
      </c>
      <c r="AA280">
        <v>0.31</v>
      </c>
      <c r="AB280">
        <f>M280/K280</f>
        <v>79.183842833730736</v>
      </c>
    </row>
    <row r="281" spans="1:29" x14ac:dyDescent="0.25">
      <c r="A281">
        <v>704</v>
      </c>
      <c r="B281" t="s">
        <v>1588</v>
      </c>
      <c r="C281" t="s">
        <v>765</v>
      </c>
      <c r="D281" t="s">
        <v>376</v>
      </c>
      <c r="F281" t="s">
        <v>312</v>
      </c>
      <c r="G281" s="2">
        <v>43649</v>
      </c>
      <c r="H281" t="s">
        <v>191</v>
      </c>
      <c r="Q281">
        <f>P281 / (300 * 300) * 6.4516</f>
        <v>0</v>
      </c>
      <c r="AB281">
        <v>79.199004930000001</v>
      </c>
      <c r="AC281" t="s">
        <v>1607</v>
      </c>
    </row>
    <row r="282" spans="1:29" x14ac:dyDescent="0.25">
      <c r="A282">
        <v>642</v>
      </c>
      <c r="B282" t="s">
        <v>1510</v>
      </c>
      <c r="C282" t="s">
        <v>1088</v>
      </c>
      <c r="D282" t="s">
        <v>1083</v>
      </c>
      <c r="E282">
        <v>5</v>
      </c>
      <c r="F282" t="s">
        <v>1084</v>
      </c>
      <c r="G282" s="2">
        <v>43656</v>
      </c>
      <c r="H282" t="s">
        <v>191</v>
      </c>
      <c r="Q282">
        <f>P282 / (300 * 300) * 6.4516</f>
        <v>0</v>
      </c>
      <c r="AB282">
        <v>79.34360744</v>
      </c>
      <c r="AC282" t="s">
        <v>1607</v>
      </c>
    </row>
    <row r="283" spans="1:29" x14ac:dyDescent="0.25">
      <c r="A283">
        <v>479</v>
      </c>
      <c r="B283" t="s">
        <v>1302</v>
      </c>
      <c r="C283" t="s">
        <v>87</v>
      </c>
      <c r="D283" t="s">
        <v>357</v>
      </c>
      <c r="E283">
        <v>1</v>
      </c>
      <c r="F283" t="s">
        <v>1303</v>
      </c>
      <c r="G283" s="2">
        <v>43620</v>
      </c>
      <c r="H283" t="s">
        <v>191</v>
      </c>
      <c r="Q283">
        <f>P283 / (300 * 300) * 6.4516</f>
        <v>0</v>
      </c>
      <c r="AB283">
        <v>79.846184980000004</v>
      </c>
      <c r="AC283" t="s">
        <v>1607</v>
      </c>
    </row>
    <row r="284" spans="1:29" x14ac:dyDescent="0.25">
      <c r="A284">
        <v>778</v>
      </c>
      <c r="B284" t="s">
        <v>1746</v>
      </c>
      <c r="D284" t="s">
        <v>1763</v>
      </c>
      <c r="E284">
        <v>2</v>
      </c>
      <c r="F284" t="s">
        <v>1768</v>
      </c>
      <c r="G284" s="3">
        <v>43650</v>
      </c>
      <c r="H284" t="s">
        <v>191</v>
      </c>
      <c r="K284">
        <v>3.133</v>
      </c>
      <c r="P284">
        <v>3491162</v>
      </c>
      <c r="Q284">
        <f>P284 / (300 * 300) * 6.4516</f>
        <v>250.26200843555554</v>
      </c>
      <c r="Y284">
        <v>0.27</v>
      </c>
      <c r="Z284">
        <v>0.27</v>
      </c>
      <c r="AA284">
        <v>0.25</v>
      </c>
      <c r="AB284">
        <f>Q284/K284</f>
        <v>79.879351559385739</v>
      </c>
    </row>
    <row r="285" spans="1:29" x14ac:dyDescent="0.25">
      <c r="A285">
        <v>511</v>
      </c>
      <c r="B285" t="s">
        <v>1341</v>
      </c>
      <c r="C285" t="s">
        <v>424</v>
      </c>
      <c r="D285" t="s">
        <v>359</v>
      </c>
      <c r="E285">
        <v>2</v>
      </c>
      <c r="F285" t="s">
        <v>370</v>
      </c>
      <c r="G285" s="2">
        <v>43672</v>
      </c>
      <c r="H285" t="s">
        <v>191</v>
      </c>
      <c r="Q285">
        <f>P285 / (300 * 300) * 6.4516</f>
        <v>0</v>
      </c>
      <c r="AB285">
        <v>79.899216280000005</v>
      </c>
      <c r="AC285" t="s">
        <v>1607</v>
      </c>
    </row>
    <row r="286" spans="1:29" x14ac:dyDescent="0.25">
      <c r="A286">
        <v>577</v>
      </c>
      <c r="B286" t="s">
        <v>1429</v>
      </c>
      <c r="C286" t="s">
        <v>84</v>
      </c>
      <c r="D286" t="s">
        <v>366</v>
      </c>
      <c r="E286">
        <v>2</v>
      </c>
      <c r="F286" t="s">
        <v>269</v>
      </c>
      <c r="G286" s="2">
        <v>43651</v>
      </c>
      <c r="H286" t="s">
        <v>191</v>
      </c>
      <c r="Q286">
        <f>P286 / (300 * 300) * 6.4516</f>
        <v>0</v>
      </c>
      <c r="AB286">
        <v>80.166299969999997</v>
      </c>
      <c r="AC286" t="s">
        <v>1607</v>
      </c>
    </row>
    <row r="287" spans="1:29" x14ac:dyDescent="0.25">
      <c r="A287">
        <v>591</v>
      </c>
      <c r="B287" t="s">
        <v>1444</v>
      </c>
      <c r="C287" t="s">
        <v>81</v>
      </c>
      <c r="D287" t="s">
        <v>358</v>
      </c>
      <c r="E287">
        <v>1</v>
      </c>
      <c r="F287" t="s">
        <v>257</v>
      </c>
      <c r="G287" s="2">
        <v>43616</v>
      </c>
      <c r="H287" t="s">
        <v>191</v>
      </c>
      <c r="Q287">
        <f>P287 / (300 * 300) * 6.4516</f>
        <v>0</v>
      </c>
      <c r="AB287">
        <v>80.235071899999994</v>
      </c>
      <c r="AC287" t="s">
        <v>1607</v>
      </c>
    </row>
    <row r="288" spans="1:29" x14ac:dyDescent="0.25">
      <c r="A288">
        <v>159</v>
      </c>
      <c r="B288" t="s">
        <v>419</v>
      </c>
      <c r="D288" t="s">
        <v>420</v>
      </c>
      <c r="E288">
        <v>3</v>
      </c>
      <c r="F288" t="s">
        <v>421</v>
      </c>
      <c r="H288" t="s">
        <v>192</v>
      </c>
      <c r="I288">
        <v>9.6999999999999993</v>
      </c>
      <c r="J288" t="s">
        <v>135</v>
      </c>
      <c r="K288">
        <v>9.1999999999999998E-2</v>
      </c>
      <c r="L288">
        <v>10</v>
      </c>
      <c r="M288">
        <f>PI()*((I288/2)^2)/100 * L288</f>
        <v>7.38981131940659</v>
      </c>
      <c r="N288" t="s">
        <v>135</v>
      </c>
      <c r="O288" t="s">
        <v>135</v>
      </c>
      <c r="Q288">
        <f>P288 / (300 * 300) * 6.4516</f>
        <v>0</v>
      </c>
      <c r="R288" t="s">
        <v>135</v>
      </c>
      <c r="S288" t="s">
        <v>195</v>
      </c>
      <c r="T288" t="s">
        <v>135</v>
      </c>
      <c r="U288">
        <v>91.41</v>
      </c>
      <c r="V288">
        <v>63.9</v>
      </c>
      <c r="W288">
        <f>(((U288/2) * (V288/2)) * PI())</f>
        <v>4587.588426822671</v>
      </c>
      <c r="X288">
        <f>IF(ISNUMBER(T288), T288*W288, W288)</f>
        <v>4587.588426822671</v>
      </c>
      <c r="Y288">
        <v>0.41</v>
      </c>
      <c r="Z288">
        <v>0.42</v>
      </c>
      <c r="AA288">
        <v>0.43</v>
      </c>
      <c r="AB288">
        <f>M288/K288</f>
        <v>80.324036080506417</v>
      </c>
    </row>
    <row r="289" spans="1:29" x14ac:dyDescent="0.25">
      <c r="A289">
        <v>179</v>
      </c>
      <c r="B289" t="s">
        <v>443</v>
      </c>
      <c r="D289" t="s">
        <v>345</v>
      </c>
      <c r="E289">
        <v>3</v>
      </c>
      <c r="F289" t="s">
        <v>350</v>
      </c>
      <c r="H289" t="s">
        <v>192</v>
      </c>
      <c r="I289">
        <v>9.6999999999999993</v>
      </c>
      <c r="K289">
        <v>9.1999999999999998E-2</v>
      </c>
      <c r="L289">
        <v>10</v>
      </c>
      <c r="M289">
        <f>PI()*((I289/2)^2)/100 * L289</f>
        <v>7.38981131940659</v>
      </c>
      <c r="Q289">
        <f>P289 / (300 * 300) * 6.4516</f>
        <v>0</v>
      </c>
      <c r="S289" t="s">
        <v>195</v>
      </c>
      <c r="T289" t="s">
        <v>135</v>
      </c>
      <c r="U289">
        <v>129.87</v>
      </c>
      <c r="V289">
        <v>40.85</v>
      </c>
      <c r="W289">
        <f>(((U289/2) * (V289/2)) * PI())</f>
        <v>4166.6860897754268</v>
      </c>
      <c r="X289">
        <f>IF(ISNUMBER(T289), T289*W289, W289)</f>
        <v>4166.6860897754268</v>
      </c>
      <c r="Y289">
        <v>0.37</v>
      </c>
      <c r="Z289">
        <v>0.39</v>
      </c>
      <c r="AA289">
        <v>0.38</v>
      </c>
      <c r="AB289">
        <f>M289/K289</f>
        <v>80.324036080506417</v>
      </c>
    </row>
    <row r="290" spans="1:29" x14ac:dyDescent="0.25">
      <c r="A290">
        <v>246</v>
      </c>
      <c r="B290" t="s">
        <v>601</v>
      </c>
      <c r="D290" t="s">
        <v>335</v>
      </c>
      <c r="E290">
        <v>3</v>
      </c>
      <c r="F290" t="s">
        <v>473</v>
      </c>
      <c r="H290" t="s">
        <v>192</v>
      </c>
      <c r="I290">
        <v>9.6999999999999993</v>
      </c>
      <c r="K290">
        <v>9.1999999999999998E-2</v>
      </c>
      <c r="L290">
        <v>10</v>
      </c>
      <c r="M290">
        <f>PI()*((I290/2)^2)/100 * L290</f>
        <v>7.38981131940659</v>
      </c>
      <c r="Q290">
        <f>P290 / (300 * 300) * 6.4516</f>
        <v>0</v>
      </c>
      <c r="S290" t="s">
        <v>195</v>
      </c>
      <c r="T290" t="s">
        <v>135</v>
      </c>
      <c r="U290">
        <v>56.42</v>
      </c>
      <c r="V290">
        <v>29.8</v>
      </c>
      <c r="W290">
        <f>(((U290/2) * (V290/2)) * PI())</f>
        <v>1320.5024984907441</v>
      </c>
      <c r="X290">
        <f>IF(ISNUMBER(T290), T290*W290, W290)</f>
        <v>1320.5024984907441</v>
      </c>
      <c r="Y290">
        <v>0.24</v>
      </c>
      <c r="Z290">
        <v>0.25</v>
      </c>
      <c r="AA290">
        <v>0.28000000000000003</v>
      </c>
      <c r="AB290">
        <f>M290/K290</f>
        <v>80.324036080506417</v>
      </c>
    </row>
    <row r="291" spans="1:29" x14ac:dyDescent="0.25">
      <c r="A291">
        <v>507</v>
      </c>
      <c r="B291" t="s">
        <v>1337</v>
      </c>
      <c r="C291" t="s">
        <v>594</v>
      </c>
      <c r="D291" t="s">
        <v>373</v>
      </c>
      <c r="E291">
        <v>3</v>
      </c>
      <c r="F291" t="s">
        <v>204</v>
      </c>
      <c r="G291" s="2">
        <v>43654</v>
      </c>
      <c r="H291" t="s">
        <v>191</v>
      </c>
      <c r="Q291">
        <f>P291 / (300 * 300) * 6.4516</f>
        <v>0</v>
      </c>
      <c r="AB291">
        <v>80.395637219999998</v>
      </c>
      <c r="AC291" t="s">
        <v>1607</v>
      </c>
    </row>
    <row r="292" spans="1:29" x14ac:dyDescent="0.25">
      <c r="A292">
        <v>154</v>
      </c>
      <c r="B292" t="s">
        <v>1189</v>
      </c>
      <c r="D292" t="s">
        <v>498</v>
      </c>
      <c r="E292">
        <v>4</v>
      </c>
      <c r="F292" t="s">
        <v>499</v>
      </c>
      <c r="H292" t="s">
        <v>192</v>
      </c>
      <c r="I292">
        <v>7.1</v>
      </c>
      <c r="J292" t="s">
        <v>135</v>
      </c>
      <c r="K292">
        <v>6.4000000000000001E-2</v>
      </c>
      <c r="L292">
        <v>13</v>
      </c>
      <c r="M292">
        <f>PI()*((I292/2)^2)/100 * L292</f>
        <v>5.1469497841924978</v>
      </c>
      <c r="N292" t="s">
        <v>135</v>
      </c>
      <c r="O292" t="s">
        <v>135</v>
      </c>
      <c r="Q292">
        <f>P292 / (300 * 300) * 6.4516</f>
        <v>0</v>
      </c>
      <c r="R292" t="s">
        <v>135</v>
      </c>
      <c r="S292" t="s">
        <v>195</v>
      </c>
      <c r="T292" t="s">
        <v>135</v>
      </c>
      <c r="U292">
        <v>84.81</v>
      </c>
      <c r="V292">
        <v>81.89</v>
      </c>
      <c r="W292">
        <f>(((U292/2) * (V292/2)) * PI())</f>
        <v>5454.6616374883315</v>
      </c>
      <c r="X292">
        <f>IF(ISNUMBER(T292), T292*W292, W292)</f>
        <v>5454.6616374883315</v>
      </c>
      <c r="Y292">
        <v>0.46</v>
      </c>
      <c r="Z292">
        <v>0.39</v>
      </c>
      <c r="AA292">
        <v>0.5</v>
      </c>
      <c r="AB292">
        <f>M292/K292</f>
        <v>80.421090378007776</v>
      </c>
      <c r="AC292" t="s">
        <v>1105</v>
      </c>
    </row>
    <row r="293" spans="1:29" x14ac:dyDescent="0.25">
      <c r="A293">
        <v>299</v>
      </c>
      <c r="B293" t="s">
        <v>1254</v>
      </c>
      <c r="C293" t="s">
        <v>66</v>
      </c>
      <c r="D293" t="s">
        <v>344</v>
      </c>
      <c r="E293">
        <v>6</v>
      </c>
      <c r="F293" t="s">
        <v>278</v>
      </c>
      <c r="H293" t="s">
        <v>191</v>
      </c>
      <c r="K293">
        <v>3.3</v>
      </c>
      <c r="P293">
        <v>3704521</v>
      </c>
      <c r="Q293">
        <f>P293 / (300 * 300) * 6.4516</f>
        <v>265.5565298177778</v>
      </c>
      <c r="R293">
        <v>20</v>
      </c>
      <c r="S293" t="s">
        <v>195</v>
      </c>
      <c r="T293" t="s">
        <v>135</v>
      </c>
      <c r="U293" t="s">
        <v>135</v>
      </c>
      <c r="V293" t="s">
        <v>135</v>
      </c>
      <c r="W293">
        <f>Q293*100/R293</f>
        <v>1327.782649088889</v>
      </c>
      <c r="X293">
        <f>W293</f>
        <v>1327.782649088889</v>
      </c>
      <c r="Y293" t="s">
        <v>135</v>
      </c>
      <c r="Z293" t="s">
        <v>135</v>
      </c>
      <c r="AA293" t="s">
        <v>135</v>
      </c>
      <c r="AB293">
        <f>Q293/K293</f>
        <v>80.471675702356919</v>
      </c>
    </row>
    <row r="294" spans="1:29" x14ac:dyDescent="0.25">
      <c r="A294">
        <v>177</v>
      </c>
      <c r="B294" t="s">
        <v>441</v>
      </c>
      <c r="D294" t="s">
        <v>345</v>
      </c>
      <c r="E294">
        <v>2</v>
      </c>
      <c r="F294" t="s">
        <v>350</v>
      </c>
      <c r="H294" t="s">
        <v>192</v>
      </c>
      <c r="I294">
        <v>9.6999999999999993</v>
      </c>
      <c r="K294">
        <v>0.156</v>
      </c>
      <c r="L294">
        <v>17</v>
      </c>
      <c r="M294">
        <f>PI()*((I294/2)^2)/100 * L294</f>
        <v>12.562679242991202</v>
      </c>
      <c r="Q294">
        <f>P294 / (300 * 300) * 6.4516</f>
        <v>0</v>
      </c>
      <c r="S294" t="s">
        <v>195</v>
      </c>
      <c r="T294" t="s">
        <v>135</v>
      </c>
      <c r="U294">
        <f>40.36+153.97</f>
        <v>194.32999999999998</v>
      </c>
      <c r="V294">
        <v>49.93</v>
      </c>
      <c r="W294">
        <f>(((U294/2) * (V294/2)) * PI())</f>
        <v>7620.6374048947946</v>
      </c>
      <c r="X294">
        <f>IF(ISNUMBER(T294), T294*W294, W294)</f>
        <v>7620.6374048947946</v>
      </c>
      <c r="Y294">
        <v>0.36</v>
      </c>
      <c r="Z294">
        <v>0.37</v>
      </c>
      <c r="AA294">
        <v>0.37</v>
      </c>
      <c r="AB294">
        <f>M294/K294</f>
        <v>80.529995147379495</v>
      </c>
    </row>
    <row r="295" spans="1:29" x14ac:dyDescent="0.25">
      <c r="A295">
        <v>712</v>
      </c>
      <c r="B295" t="s">
        <v>1597</v>
      </c>
      <c r="C295" t="s">
        <v>468</v>
      </c>
      <c r="D295" t="s">
        <v>344</v>
      </c>
      <c r="F295" t="s">
        <v>278</v>
      </c>
      <c r="H295" t="s">
        <v>191</v>
      </c>
      <c r="Q295">
        <f>P295 / (300 * 300) * 6.4516</f>
        <v>0</v>
      </c>
      <c r="AB295">
        <v>80.534793399999998</v>
      </c>
      <c r="AC295" t="s">
        <v>1607</v>
      </c>
    </row>
    <row r="296" spans="1:29" x14ac:dyDescent="0.25">
      <c r="A296">
        <v>714</v>
      </c>
      <c r="B296" t="s">
        <v>1599</v>
      </c>
      <c r="C296" t="s">
        <v>817</v>
      </c>
      <c r="D296" t="s">
        <v>344</v>
      </c>
      <c r="F296" t="s">
        <v>278</v>
      </c>
      <c r="H296" t="s">
        <v>191</v>
      </c>
      <c r="Q296">
        <f>P296 / (300 * 300) * 6.4516</f>
        <v>0</v>
      </c>
      <c r="AB296">
        <v>80.576984859999996</v>
      </c>
      <c r="AC296" t="s">
        <v>1607</v>
      </c>
    </row>
    <row r="297" spans="1:29" x14ac:dyDescent="0.25">
      <c r="A297">
        <v>804</v>
      </c>
      <c r="B297" t="s">
        <v>1787</v>
      </c>
      <c r="D297" t="s">
        <v>1284</v>
      </c>
      <c r="E297">
        <v>5</v>
      </c>
      <c r="F297" t="s">
        <v>1697</v>
      </c>
      <c r="G297" s="3">
        <v>43662</v>
      </c>
      <c r="H297" t="s">
        <v>191</v>
      </c>
      <c r="K297">
        <v>2.7290000000000001</v>
      </c>
      <c r="P297">
        <v>3068043</v>
      </c>
      <c r="Q297">
        <f>P297 / (300 * 300) * 6.4516</f>
        <v>219.93095798666664</v>
      </c>
      <c r="Y297">
        <v>0.28999999999999998</v>
      </c>
      <c r="Z297">
        <v>0.26</v>
      </c>
      <c r="AA297">
        <v>0.28999999999999998</v>
      </c>
      <c r="AB297">
        <f>Q297/K297</f>
        <v>80.590310731647719</v>
      </c>
    </row>
    <row r="298" spans="1:29" x14ac:dyDescent="0.25">
      <c r="A298">
        <v>264</v>
      </c>
      <c r="B298" t="s">
        <v>622</v>
      </c>
      <c r="D298" t="s">
        <v>373</v>
      </c>
      <c r="E298">
        <v>4</v>
      </c>
      <c r="F298" t="s">
        <v>204</v>
      </c>
      <c r="H298" t="s">
        <v>192</v>
      </c>
      <c r="I298">
        <v>9.6999999999999993</v>
      </c>
      <c r="K298">
        <v>0.11</v>
      </c>
      <c r="L298">
        <v>12</v>
      </c>
      <c r="M298">
        <f>PI()*((I298/2)^2)/100 * L298</f>
        <v>8.8677735832879065</v>
      </c>
      <c r="Q298">
        <f>P298 / (300 * 300) * 6.4516</f>
        <v>0</v>
      </c>
      <c r="S298" t="s">
        <v>195</v>
      </c>
      <c r="T298" t="s">
        <v>135</v>
      </c>
      <c r="U298">
        <v>74.680000000000007</v>
      </c>
      <c r="V298">
        <v>33.26</v>
      </c>
      <c r="W298">
        <f>(((U298/2) * (V298/2)) * PI())</f>
        <v>1950.816568862263</v>
      </c>
      <c r="X298">
        <f>IF(ISNUMBER(T298), T298*W298, W298)</f>
        <v>1950.816568862263</v>
      </c>
      <c r="Y298">
        <v>0.44</v>
      </c>
      <c r="Z298">
        <v>0.4</v>
      </c>
      <c r="AA298">
        <v>0.33</v>
      </c>
      <c r="AB298">
        <f>M298/K298</f>
        <v>80.616123484435519</v>
      </c>
    </row>
    <row r="299" spans="1:29" x14ac:dyDescent="0.25">
      <c r="A299">
        <v>109</v>
      </c>
      <c r="B299" t="s">
        <v>1230</v>
      </c>
      <c r="C299" t="s">
        <v>242</v>
      </c>
      <c r="D299" t="s">
        <v>351</v>
      </c>
      <c r="E299">
        <v>4</v>
      </c>
      <c r="F299" t="s">
        <v>219</v>
      </c>
      <c r="H299" t="s">
        <v>192</v>
      </c>
      <c r="I299">
        <v>7.1</v>
      </c>
      <c r="J299" t="s">
        <v>135</v>
      </c>
      <c r="K299">
        <v>5.3999999999999999E-2</v>
      </c>
      <c r="L299">
        <v>11</v>
      </c>
      <c r="M299">
        <f>PI()*((I299/2)^2)/100 * L299</f>
        <v>4.3551113558551906</v>
      </c>
      <c r="N299" t="s">
        <v>135</v>
      </c>
      <c r="O299" t="s">
        <v>135</v>
      </c>
      <c r="Q299">
        <f>P299 / (300 * 300) * 6.4516</f>
        <v>0</v>
      </c>
      <c r="R299" t="s">
        <v>135</v>
      </c>
      <c r="S299" t="s">
        <v>201</v>
      </c>
      <c r="T299">
        <v>9</v>
      </c>
      <c r="U299">
        <v>58.69</v>
      </c>
      <c r="V299">
        <v>25.94</v>
      </c>
      <c r="W299">
        <f>(((U299/2) * (V299/2)) * PI())</f>
        <v>1195.7047723621145</v>
      </c>
      <c r="X299">
        <f>IF(ISNUMBER(T299), T299*W299, W299)</f>
        <v>10761.34295125903</v>
      </c>
      <c r="Y299">
        <v>0.28999999999999998</v>
      </c>
      <c r="Z299">
        <v>0.3</v>
      </c>
      <c r="AA299">
        <v>0.33</v>
      </c>
      <c r="AB299">
        <f>M299/K299</f>
        <v>80.650210293614649</v>
      </c>
      <c r="AC299" t="s">
        <v>243</v>
      </c>
    </row>
    <row r="300" spans="1:29" x14ac:dyDescent="0.25">
      <c r="A300">
        <v>254</v>
      </c>
      <c r="B300" t="s">
        <v>611</v>
      </c>
      <c r="D300" t="s">
        <v>373</v>
      </c>
      <c r="E300">
        <v>5</v>
      </c>
      <c r="F300" t="s">
        <v>204</v>
      </c>
      <c r="H300" t="s">
        <v>192</v>
      </c>
      <c r="I300">
        <v>7.1</v>
      </c>
      <c r="K300">
        <v>4.9000000000000002E-2</v>
      </c>
      <c r="L300">
        <v>10</v>
      </c>
      <c r="M300">
        <f>PI()*((I300/2)^2)/100 * L300</f>
        <v>3.9591921416865365</v>
      </c>
      <c r="Q300">
        <f>P300 / (300 * 300) * 6.4516</f>
        <v>0</v>
      </c>
      <c r="S300" t="s">
        <v>195</v>
      </c>
      <c r="T300" t="s">
        <v>135</v>
      </c>
      <c r="U300">
        <v>73.27</v>
      </c>
      <c r="V300">
        <v>25.11</v>
      </c>
      <c r="W300">
        <f>(((U300/2) * (V300/2)) * PI())</f>
        <v>1444.9831593808101</v>
      </c>
      <c r="X300">
        <f>IF(ISNUMBER(T300), T300*W300, W300)</f>
        <v>1444.9831593808101</v>
      </c>
      <c r="Y300">
        <v>0.22</v>
      </c>
      <c r="Z300">
        <v>0.27</v>
      </c>
      <c r="AA300">
        <v>0.26</v>
      </c>
      <c r="AB300">
        <f>M300/K300</f>
        <v>80.799839626255846</v>
      </c>
    </row>
    <row r="301" spans="1:29" x14ac:dyDescent="0.25">
      <c r="A301">
        <v>472</v>
      </c>
      <c r="B301" t="s">
        <v>1108</v>
      </c>
      <c r="D301" t="s">
        <v>426</v>
      </c>
      <c r="E301">
        <v>4</v>
      </c>
      <c r="F301" t="s">
        <v>427</v>
      </c>
      <c r="G301" s="2">
        <v>42955</v>
      </c>
      <c r="H301" t="s">
        <v>192</v>
      </c>
      <c r="I301">
        <v>7.1</v>
      </c>
      <c r="K301">
        <v>4.9000000000000002E-2</v>
      </c>
      <c r="L301">
        <v>10</v>
      </c>
      <c r="M301">
        <f>PI()*((I301/2)^2)/100 * L301</f>
        <v>3.9591921416865365</v>
      </c>
      <c r="Q301">
        <f>P301 / (300 * 300) * 6.4516</f>
        <v>0</v>
      </c>
      <c r="S301" t="s">
        <v>201</v>
      </c>
      <c r="T301">
        <v>5</v>
      </c>
      <c r="U301">
        <v>95.87</v>
      </c>
      <c r="V301">
        <v>26.54</v>
      </c>
      <c r="W301">
        <f>(((U301/2) * (V301/2)) * PI())</f>
        <v>1998.3590758872008</v>
      </c>
      <c r="X301">
        <f>IF(ISNUMBER(T301), T301*W301, W301)</f>
        <v>9991.7953794360037</v>
      </c>
      <c r="Y301">
        <v>0.24</v>
      </c>
      <c r="Z301">
        <v>0.27</v>
      </c>
      <c r="AA301">
        <v>0.27</v>
      </c>
      <c r="AB301">
        <f>M301/K301</f>
        <v>80.799839626255846</v>
      </c>
    </row>
    <row r="302" spans="1:29" x14ac:dyDescent="0.25">
      <c r="A302">
        <v>50</v>
      </c>
      <c r="B302" t="s">
        <v>1202</v>
      </c>
      <c r="C302" t="s">
        <v>85</v>
      </c>
      <c r="D302" t="s">
        <v>335</v>
      </c>
      <c r="E302">
        <v>4</v>
      </c>
      <c r="F302" t="s">
        <v>473</v>
      </c>
      <c r="H302" t="s">
        <v>191</v>
      </c>
      <c r="I302" t="s">
        <v>135</v>
      </c>
      <c r="J302">
        <v>0.89300000000000002</v>
      </c>
      <c r="K302">
        <v>0.46800000000000003</v>
      </c>
      <c r="L302" t="s">
        <v>135</v>
      </c>
      <c r="N302">
        <f>(J302-K302)/J302</f>
        <v>0.47592385218365058</v>
      </c>
      <c r="P302">
        <v>529271</v>
      </c>
      <c r="Q302">
        <f>P302 / (300 * 300) * 6.4516</f>
        <v>37.940497595555556</v>
      </c>
      <c r="R302">
        <v>5</v>
      </c>
      <c r="S302" t="s">
        <v>195</v>
      </c>
      <c r="T302" t="s">
        <v>135</v>
      </c>
      <c r="U302" t="s">
        <v>135</v>
      </c>
      <c r="V302" t="s">
        <v>135</v>
      </c>
      <c r="W302">
        <f>Q302*100/R302</f>
        <v>758.80995191111117</v>
      </c>
      <c r="X302">
        <f>W302</f>
        <v>758.80995191111117</v>
      </c>
      <c r="Y302">
        <v>0.25</v>
      </c>
      <c r="Z302">
        <v>0.23</v>
      </c>
      <c r="AA302">
        <v>0.22</v>
      </c>
      <c r="AB302">
        <f>(Q302)/K302</f>
        <v>81.069439306742638</v>
      </c>
    </row>
    <row r="303" spans="1:29" x14ac:dyDescent="0.25">
      <c r="A303">
        <v>72</v>
      </c>
      <c r="B303" t="s">
        <v>108</v>
      </c>
      <c r="D303" t="s">
        <v>338</v>
      </c>
      <c r="E303">
        <v>2</v>
      </c>
      <c r="F303" t="s">
        <v>19</v>
      </c>
      <c r="H303" t="s">
        <v>191</v>
      </c>
      <c r="I303" t="s">
        <v>135</v>
      </c>
      <c r="J303">
        <v>7.7220000000000004</v>
      </c>
      <c r="K303">
        <v>2.778</v>
      </c>
      <c r="L303" t="s">
        <v>135</v>
      </c>
      <c r="N303">
        <f>(J303-K303)/J303</f>
        <v>0.64024864024864037</v>
      </c>
      <c r="P303">
        <v>3143247</v>
      </c>
      <c r="Q303">
        <f>P303 / (300 * 300) * 6.4516</f>
        <v>225.32191494666668</v>
      </c>
      <c r="R303">
        <v>1</v>
      </c>
      <c r="S303" t="s">
        <v>201</v>
      </c>
      <c r="T303">
        <v>232</v>
      </c>
      <c r="U303" t="s">
        <v>135</v>
      </c>
      <c r="V303" t="s">
        <v>135</v>
      </c>
      <c r="W303">
        <f>Q303/T303*100</f>
        <v>97.121515063218396</v>
      </c>
      <c r="X303">
        <f>Q303*100/R303</f>
        <v>22532.191494666669</v>
      </c>
      <c r="Y303">
        <v>0.25</v>
      </c>
      <c r="Z303">
        <v>0.22</v>
      </c>
      <c r="AA303">
        <v>0.19</v>
      </c>
      <c r="AB303">
        <f>(Q303)/K303</f>
        <v>81.109400628749711</v>
      </c>
    </row>
    <row r="304" spans="1:29" x14ac:dyDescent="0.25">
      <c r="A304">
        <v>46</v>
      </c>
      <c r="B304" t="s">
        <v>81</v>
      </c>
      <c r="D304" t="s">
        <v>358</v>
      </c>
      <c r="E304">
        <v>1</v>
      </c>
      <c r="F304" t="s">
        <v>257</v>
      </c>
      <c r="H304" t="s">
        <v>191</v>
      </c>
      <c r="I304" t="s">
        <v>135</v>
      </c>
      <c r="J304">
        <v>3.3620000000000001</v>
      </c>
      <c r="K304">
        <v>2.06</v>
      </c>
      <c r="L304" t="s">
        <v>135</v>
      </c>
      <c r="N304">
        <f>(J304-K304)/J304</f>
        <v>0.38726948245092208</v>
      </c>
      <c r="O304" t="s">
        <v>158</v>
      </c>
      <c r="P304">
        <v>2334389</v>
      </c>
      <c r="Q304">
        <f>P304 / (300 * 300) * 6.4516</f>
        <v>167.33937858222222</v>
      </c>
      <c r="R304">
        <v>75</v>
      </c>
      <c r="T304" t="s">
        <v>135</v>
      </c>
      <c r="U304" t="s">
        <v>135</v>
      </c>
      <c r="V304" t="s">
        <v>135</v>
      </c>
      <c r="W304">
        <f>Q304*100/R304</f>
        <v>223.11917144296297</v>
      </c>
      <c r="X304">
        <f>W304</f>
        <v>223.11917144296297</v>
      </c>
      <c r="Y304">
        <v>0.26</v>
      </c>
      <c r="Z304">
        <v>0.23</v>
      </c>
      <c r="AA304">
        <v>0.24</v>
      </c>
      <c r="AB304">
        <f>(Q304)/K304</f>
        <v>81.232708049622431</v>
      </c>
    </row>
    <row r="305" spans="1:29" x14ac:dyDescent="0.25">
      <c r="A305">
        <v>777</v>
      </c>
      <c r="B305" t="s">
        <v>1745</v>
      </c>
      <c r="D305" t="s">
        <v>1763</v>
      </c>
      <c r="E305">
        <v>1</v>
      </c>
      <c r="F305" t="s">
        <v>1768</v>
      </c>
      <c r="G305" s="3">
        <v>43650</v>
      </c>
      <c r="H305" t="s">
        <v>191</v>
      </c>
      <c r="K305">
        <v>2.7909999999999999</v>
      </c>
      <c r="P305">
        <v>3165314</v>
      </c>
      <c r="Q305">
        <f>P305 / (300 * 300) * 6.4516</f>
        <v>226.90377558222221</v>
      </c>
      <c r="Y305">
        <v>0.25</v>
      </c>
      <c r="Z305">
        <v>0.26</v>
      </c>
      <c r="AA305">
        <v>0.28000000000000003</v>
      </c>
      <c r="AB305">
        <f>Q305/K305</f>
        <v>81.298378925912658</v>
      </c>
    </row>
    <row r="306" spans="1:29" x14ac:dyDescent="0.25">
      <c r="A306">
        <v>731</v>
      </c>
      <c r="B306" t="s">
        <v>1287</v>
      </c>
      <c r="D306" t="s">
        <v>1284</v>
      </c>
      <c r="E306">
        <v>3</v>
      </c>
      <c r="F306" t="s">
        <v>1697</v>
      </c>
      <c r="G306" s="3">
        <v>43634</v>
      </c>
      <c r="H306" t="s">
        <v>191</v>
      </c>
      <c r="K306">
        <v>1.8260000000000001</v>
      </c>
      <c r="P306">
        <v>2074129</v>
      </c>
      <c r="Q306">
        <f>P306 / (300 * 300) * 6.4516</f>
        <v>148.68278507111111</v>
      </c>
      <c r="S306" t="s">
        <v>1073</v>
      </c>
      <c r="AB306">
        <f>Q306/K306</f>
        <v>81.42540255811123</v>
      </c>
    </row>
    <row r="307" spans="1:29" x14ac:dyDescent="0.25">
      <c r="A307">
        <v>502</v>
      </c>
      <c r="B307" t="s">
        <v>1329</v>
      </c>
      <c r="C307" t="s">
        <v>1330</v>
      </c>
      <c r="D307" t="s">
        <v>909</v>
      </c>
      <c r="E307">
        <v>7</v>
      </c>
      <c r="F307" t="s">
        <v>910</v>
      </c>
      <c r="G307" s="2">
        <v>43645</v>
      </c>
      <c r="H307" t="s">
        <v>191</v>
      </c>
      <c r="Q307">
        <f>P307 / (300 * 300) * 6.4516</f>
        <v>0</v>
      </c>
      <c r="AB307">
        <v>81.495433989999995</v>
      </c>
      <c r="AC307" t="s">
        <v>1607</v>
      </c>
    </row>
    <row r="308" spans="1:29" x14ac:dyDescent="0.25">
      <c r="A308">
        <v>589</v>
      </c>
      <c r="B308" t="s">
        <v>1442</v>
      </c>
      <c r="C308" t="s">
        <v>407</v>
      </c>
      <c r="D308" t="s">
        <v>379</v>
      </c>
      <c r="E308">
        <v>4</v>
      </c>
      <c r="F308" t="s">
        <v>234</v>
      </c>
      <c r="G308" s="2">
        <v>43646</v>
      </c>
      <c r="H308" t="s">
        <v>191</v>
      </c>
      <c r="Q308">
        <f>P308 / (300 * 300) * 6.4516</f>
        <v>0</v>
      </c>
      <c r="AB308">
        <v>81.51165598</v>
      </c>
      <c r="AC308" t="s">
        <v>1607</v>
      </c>
    </row>
    <row r="309" spans="1:29" x14ac:dyDescent="0.25">
      <c r="A309">
        <v>692</v>
      </c>
      <c r="B309" t="s">
        <v>1575</v>
      </c>
      <c r="C309" t="s">
        <v>726</v>
      </c>
      <c r="D309" t="s">
        <v>613</v>
      </c>
      <c r="F309" t="s">
        <v>605</v>
      </c>
      <c r="G309" s="2">
        <v>43663</v>
      </c>
      <c r="H309" t="s">
        <v>191</v>
      </c>
      <c r="Q309">
        <f>P309 / (300 * 300) * 6.4516</f>
        <v>0</v>
      </c>
      <c r="AB309">
        <v>81.582739880000005</v>
      </c>
      <c r="AC309" t="s">
        <v>1607</v>
      </c>
    </row>
    <row r="310" spans="1:29" x14ac:dyDescent="0.25">
      <c r="A310">
        <v>566</v>
      </c>
      <c r="B310" t="s">
        <v>1414</v>
      </c>
      <c r="C310" t="s">
        <v>1231</v>
      </c>
      <c r="D310" t="s">
        <v>346</v>
      </c>
      <c r="E310">
        <v>5</v>
      </c>
      <c r="F310" t="s">
        <v>372</v>
      </c>
      <c r="G310" s="2">
        <v>43618</v>
      </c>
      <c r="H310" t="s">
        <v>191</v>
      </c>
      <c r="Q310">
        <f>P310 / (300 * 300) * 6.4516</f>
        <v>0</v>
      </c>
      <c r="AB310">
        <v>81.707550659999995</v>
      </c>
      <c r="AC310" t="s">
        <v>1607</v>
      </c>
    </row>
    <row r="311" spans="1:29" x14ac:dyDescent="0.25">
      <c r="A311">
        <v>580</v>
      </c>
      <c r="B311" t="s">
        <v>1432</v>
      </c>
      <c r="C311" t="s">
        <v>518</v>
      </c>
      <c r="D311" t="s">
        <v>366</v>
      </c>
      <c r="E311">
        <v>5</v>
      </c>
      <c r="F311" t="s">
        <v>269</v>
      </c>
      <c r="G311" s="2">
        <v>43660</v>
      </c>
      <c r="H311" t="s">
        <v>191</v>
      </c>
      <c r="Q311">
        <f>P311 / (300 * 300) * 6.4516</f>
        <v>0</v>
      </c>
      <c r="AB311">
        <v>81.746497950000006</v>
      </c>
      <c r="AC311" t="s">
        <v>1607</v>
      </c>
    </row>
    <row r="312" spans="1:29" x14ac:dyDescent="0.25">
      <c r="A312">
        <v>597</v>
      </c>
      <c r="B312" t="s">
        <v>1452</v>
      </c>
      <c r="C312" t="s">
        <v>437</v>
      </c>
      <c r="D312" t="s">
        <v>358</v>
      </c>
      <c r="E312">
        <v>5</v>
      </c>
      <c r="F312" t="s">
        <v>257</v>
      </c>
      <c r="G312" s="2">
        <v>43650</v>
      </c>
      <c r="H312" t="s">
        <v>191</v>
      </c>
      <c r="Q312">
        <f>P312 / (300 * 300) * 6.4516</f>
        <v>0</v>
      </c>
      <c r="AB312">
        <v>81.80093608</v>
      </c>
      <c r="AC312" t="s">
        <v>1607</v>
      </c>
    </row>
    <row r="313" spans="1:29" x14ac:dyDescent="0.25">
      <c r="A313">
        <v>57</v>
      </c>
      <c r="B313" t="s">
        <v>91</v>
      </c>
      <c r="D313" t="s">
        <v>369</v>
      </c>
      <c r="E313">
        <v>1</v>
      </c>
      <c r="F313" t="s">
        <v>93</v>
      </c>
      <c r="H313" t="s">
        <v>191</v>
      </c>
      <c r="I313" t="s">
        <v>135</v>
      </c>
      <c r="J313">
        <v>1.335</v>
      </c>
      <c r="K313">
        <v>0.58799999999999997</v>
      </c>
      <c r="L313" t="s">
        <v>135</v>
      </c>
      <c r="N313">
        <f>(J313-K313)/J313</f>
        <v>0.55955056179775287</v>
      </c>
      <c r="P313">
        <v>671407</v>
      </c>
      <c r="Q313">
        <f>P313 / (300 * 300) * 6.4516</f>
        <v>48.129437791111108</v>
      </c>
      <c r="R313">
        <v>5</v>
      </c>
      <c r="S313" t="s">
        <v>195</v>
      </c>
      <c r="T313" t="s">
        <v>135</v>
      </c>
      <c r="U313" t="s">
        <v>135</v>
      </c>
      <c r="V313" t="s">
        <v>135</v>
      </c>
      <c r="W313">
        <f>Q313*100/R313</f>
        <v>962.58875582222208</v>
      </c>
      <c r="X313">
        <f>W313</f>
        <v>962.58875582222208</v>
      </c>
      <c r="Y313">
        <v>0.25</v>
      </c>
      <c r="Z313">
        <v>0.26</v>
      </c>
      <c r="AA313">
        <v>0.28999999999999998</v>
      </c>
      <c r="AB313">
        <f>(Q313)/K313</f>
        <v>81.852785359032495</v>
      </c>
      <c r="AC313" t="s">
        <v>92</v>
      </c>
    </row>
    <row r="314" spans="1:29" x14ac:dyDescent="0.25">
      <c r="A314">
        <v>486</v>
      </c>
      <c r="B314" t="s">
        <v>1311</v>
      </c>
      <c r="C314" t="s">
        <v>457</v>
      </c>
      <c r="D314" t="s">
        <v>416</v>
      </c>
      <c r="E314">
        <v>2</v>
      </c>
      <c r="F314" t="s">
        <v>1310</v>
      </c>
      <c r="G314" s="2">
        <v>43657</v>
      </c>
      <c r="H314" t="s">
        <v>191</v>
      </c>
      <c r="Q314">
        <f>P314 / (300 * 300) * 6.4516</f>
        <v>0</v>
      </c>
      <c r="AB314">
        <v>81.974272679999999</v>
      </c>
      <c r="AC314" t="s">
        <v>1607</v>
      </c>
    </row>
    <row r="315" spans="1:29" x14ac:dyDescent="0.25">
      <c r="A315">
        <v>691</v>
      </c>
      <c r="B315" t="s">
        <v>1574</v>
      </c>
      <c r="C315" t="s">
        <v>612</v>
      </c>
      <c r="D315" t="s">
        <v>613</v>
      </c>
      <c r="F315" t="s">
        <v>605</v>
      </c>
      <c r="G315" s="2">
        <v>43662</v>
      </c>
      <c r="H315" t="s">
        <v>191</v>
      </c>
      <c r="Q315">
        <f>P315 / (300 * 300) * 6.4516</f>
        <v>0</v>
      </c>
      <c r="AB315">
        <v>82.069350760000006</v>
      </c>
      <c r="AC315" t="s">
        <v>1607</v>
      </c>
    </row>
    <row r="316" spans="1:29" x14ac:dyDescent="0.25">
      <c r="A316">
        <v>118</v>
      </c>
      <c r="B316" t="s">
        <v>1237</v>
      </c>
      <c r="C316" t="s">
        <v>258</v>
      </c>
      <c r="D316" t="s">
        <v>352</v>
      </c>
      <c r="E316">
        <v>6</v>
      </c>
      <c r="F316" t="s">
        <v>209</v>
      </c>
      <c r="H316" t="s">
        <v>192</v>
      </c>
      <c r="I316">
        <v>7.1</v>
      </c>
      <c r="J316" t="s">
        <v>135</v>
      </c>
      <c r="K316">
        <v>8.2000000000000003E-2</v>
      </c>
      <c r="L316">
        <v>17</v>
      </c>
      <c r="M316">
        <f>PI()*((I316/2)^2)/100 * L316</f>
        <v>6.7306266408671123</v>
      </c>
      <c r="N316" t="s">
        <v>135</v>
      </c>
      <c r="O316" t="s">
        <v>135</v>
      </c>
      <c r="Q316">
        <f>P316 / (300 * 300) * 6.4516</f>
        <v>0</v>
      </c>
      <c r="R316" t="s">
        <v>135</v>
      </c>
      <c r="S316" t="s">
        <v>195</v>
      </c>
      <c r="T316" t="s">
        <v>135</v>
      </c>
      <c r="U316">
        <v>81.290000000000006</v>
      </c>
      <c r="V316">
        <v>30.49</v>
      </c>
      <c r="W316">
        <f>(((U316/2) * (V316/2)) * PI())</f>
        <v>1946.6345592616206</v>
      </c>
      <c r="X316">
        <f>IF(ISNUMBER(T316), T316*W316, W316)</f>
        <v>1946.6345592616206</v>
      </c>
      <c r="Y316">
        <v>0.28000000000000003</v>
      </c>
      <c r="Z316">
        <v>0.26</v>
      </c>
      <c r="AA316">
        <v>0.26</v>
      </c>
      <c r="AB316">
        <f>M316/K316</f>
        <v>82.080812693501372</v>
      </c>
      <c r="AC316" t="s">
        <v>262</v>
      </c>
    </row>
    <row r="317" spans="1:29" x14ac:dyDescent="0.25">
      <c r="A317">
        <v>289</v>
      </c>
      <c r="B317" t="s">
        <v>758</v>
      </c>
      <c r="D317" t="s">
        <v>387</v>
      </c>
      <c r="E317">
        <v>4</v>
      </c>
      <c r="F317" t="s">
        <v>281</v>
      </c>
      <c r="G317" s="2">
        <v>42923</v>
      </c>
      <c r="H317" t="s">
        <v>192</v>
      </c>
      <c r="I317">
        <v>7.1</v>
      </c>
      <c r="K317">
        <v>5.2999999999999999E-2</v>
      </c>
      <c r="L317">
        <v>11</v>
      </c>
      <c r="M317">
        <f>PI()*((I317/2)^2)/100 * L317</f>
        <v>4.3551113558551906</v>
      </c>
      <c r="Q317">
        <f>P317 / (300 * 300) * 6.4516</f>
        <v>0</v>
      </c>
      <c r="S317" t="s">
        <v>195</v>
      </c>
      <c r="T317" t="s">
        <v>135</v>
      </c>
      <c r="U317">
        <v>41.25</v>
      </c>
      <c r="V317">
        <v>18.059999999999999</v>
      </c>
      <c r="W317">
        <f>(((U317/2) * (V317/2)) * PI())</f>
        <v>585.10199677701394</v>
      </c>
      <c r="X317">
        <f>IF(ISNUMBER(T317), T317*W317, W317)</f>
        <v>585.10199677701394</v>
      </c>
      <c r="Y317">
        <v>0.24</v>
      </c>
      <c r="Z317">
        <v>0.3</v>
      </c>
      <c r="AA317">
        <v>0.24</v>
      </c>
      <c r="AB317">
        <f>M317/K317</f>
        <v>82.171912374626245</v>
      </c>
    </row>
    <row r="318" spans="1:29" x14ac:dyDescent="0.25">
      <c r="A318">
        <v>100</v>
      </c>
      <c r="B318" t="s">
        <v>1239</v>
      </c>
      <c r="C318" t="s">
        <v>221</v>
      </c>
      <c r="D318" t="s">
        <v>377</v>
      </c>
      <c r="E318">
        <v>1</v>
      </c>
      <c r="F318" t="s">
        <v>222</v>
      </c>
      <c r="H318" t="s">
        <v>192</v>
      </c>
      <c r="I318">
        <v>7.1</v>
      </c>
      <c r="J318" t="s">
        <v>135</v>
      </c>
      <c r="K318">
        <v>7.6999999999999999E-2</v>
      </c>
      <c r="L318">
        <v>16</v>
      </c>
      <c r="M318">
        <f>PI()*((I318/2)^2)/100 * L318</f>
        <v>6.3347074266984587</v>
      </c>
      <c r="N318" t="s">
        <v>135</v>
      </c>
      <c r="O318" t="s">
        <v>135</v>
      </c>
      <c r="Q318">
        <f>P318 / (300 * 300) * 6.4516</f>
        <v>0</v>
      </c>
      <c r="R318" t="s">
        <v>135</v>
      </c>
      <c r="S318" t="s">
        <v>195</v>
      </c>
      <c r="T318" t="s">
        <v>135</v>
      </c>
      <c r="U318">
        <v>99.56</v>
      </c>
      <c r="V318">
        <v>67.069999999999993</v>
      </c>
      <c r="W318">
        <f>(((U318/2) * (V318/2)) * PI())</f>
        <v>5244.4877537862958</v>
      </c>
      <c r="X318">
        <f>IF(ISNUMBER(T318), T318*W318, W318)</f>
        <v>5244.4877537862958</v>
      </c>
      <c r="Y318">
        <v>0.26</v>
      </c>
      <c r="Z318">
        <v>0.22</v>
      </c>
      <c r="AA318">
        <v>0.25</v>
      </c>
      <c r="AB318">
        <f>M318/K318</f>
        <v>82.268927619460499</v>
      </c>
      <c r="AC318" t="s">
        <v>223</v>
      </c>
    </row>
    <row r="319" spans="1:29" x14ac:dyDescent="0.25">
      <c r="A319">
        <v>700</v>
      </c>
      <c r="B319" t="s">
        <v>1583</v>
      </c>
      <c r="C319" t="s">
        <v>1255</v>
      </c>
      <c r="D319" t="s">
        <v>376</v>
      </c>
      <c r="F319" t="s">
        <v>312</v>
      </c>
      <c r="G319" s="2">
        <v>43645</v>
      </c>
      <c r="H319" t="s">
        <v>191</v>
      </c>
      <c r="Q319">
        <f>P319 / (300 * 300) * 6.4516</f>
        <v>0</v>
      </c>
      <c r="AB319">
        <v>82.425673759999995</v>
      </c>
      <c r="AC319" t="s">
        <v>1607</v>
      </c>
    </row>
    <row r="320" spans="1:29" x14ac:dyDescent="0.25">
      <c r="A320">
        <v>563</v>
      </c>
      <c r="B320" t="s">
        <v>1411</v>
      </c>
      <c r="C320" t="s">
        <v>83</v>
      </c>
      <c r="D320" t="s">
        <v>346</v>
      </c>
      <c r="E320">
        <v>2</v>
      </c>
      <c r="F320" t="s">
        <v>372</v>
      </c>
      <c r="G320" s="2">
        <v>43618</v>
      </c>
      <c r="H320" t="s">
        <v>191</v>
      </c>
      <c r="Q320">
        <f>P320 / (300 * 300) * 6.4516</f>
        <v>0</v>
      </c>
      <c r="AB320">
        <v>82.463463379999993</v>
      </c>
      <c r="AC320" t="s">
        <v>1607</v>
      </c>
    </row>
    <row r="321" spans="1:29" x14ac:dyDescent="0.25">
      <c r="A321">
        <v>248</v>
      </c>
      <c r="B321" t="s">
        <v>603</v>
      </c>
      <c r="D321" t="s">
        <v>604</v>
      </c>
      <c r="E321">
        <v>1</v>
      </c>
      <c r="F321" t="s">
        <v>605</v>
      </c>
      <c r="H321" t="s">
        <v>192</v>
      </c>
      <c r="I321">
        <v>7.1</v>
      </c>
      <c r="K321">
        <v>4.8000000000000001E-2</v>
      </c>
      <c r="L321">
        <v>10</v>
      </c>
      <c r="M321">
        <f>PI()*((I321/2)^2)/100 * L321</f>
        <v>3.9591921416865365</v>
      </c>
      <c r="Q321">
        <f>P321 / (300 * 300) * 6.4516</f>
        <v>0</v>
      </c>
      <c r="S321" t="s">
        <v>195</v>
      </c>
      <c r="T321" t="s">
        <v>135</v>
      </c>
      <c r="U321">
        <v>81.61</v>
      </c>
      <c r="V321">
        <v>36.619999999999997</v>
      </c>
      <c r="W321">
        <f>(((U321/2) * (V321/2)) * PI())</f>
        <v>2347.2081214863838</v>
      </c>
      <c r="X321">
        <f>IF(ISNUMBER(T321), T321*W321, W321)</f>
        <v>2347.2081214863838</v>
      </c>
      <c r="Y321">
        <v>0.35</v>
      </c>
      <c r="Z321">
        <v>0.37</v>
      </c>
      <c r="AA321">
        <v>0.36</v>
      </c>
      <c r="AB321">
        <f>M321/K321</f>
        <v>82.483169618469503</v>
      </c>
    </row>
    <row r="322" spans="1:29" x14ac:dyDescent="0.25">
      <c r="A322">
        <v>475</v>
      </c>
      <c r="B322" t="s">
        <v>1773</v>
      </c>
      <c r="D322" t="s">
        <v>1777</v>
      </c>
      <c r="E322">
        <v>2</v>
      </c>
      <c r="F322" t="s">
        <v>1771</v>
      </c>
      <c r="G322" s="2">
        <v>43297</v>
      </c>
      <c r="H322" t="s">
        <v>192</v>
      </c>
      <c r="I322">
        <v>11.55</v>
      </c>
      <c r="K322">
        <v>0.127</v>
      </c>
      <c r="L322">
        <v>10</v>
      </c>
      <c r="M322">
        <v>10.477407850000001</v>
      </c>
      <c r="Q322">
        <f>P322 / (300 * 300) * 6.4516</f>
        <v>0</v>
      </c>
      <c r="S322" t="s">
        <v>1073</v>
      </c>
      <c r="T322" t="s">
        <v>135</v>
      </c>
      <c r="AB322">
        <v>82.499274400000004</v>
      </c>
    </row>
    <row r="323" spans="1:29" x14ac:dyDescent="0.25">
      <c r="A323">
        <v>632</v>
      </c>
      <c r="B323" t="s">
        <v>1496</v>
      </c>
      <c r="C323" t="s">
        <v>756</v>
      </c>
      <c r="D323" t="s">
        <v>331</v>
      </c>
      <c r="E323">
        <v>4</v>
      </c>
      <c r="F323" t="s">
        <v>5</v>
      </c>
      <c r="G323" s="2">
        <v>43618</v>
      </c>
      <c r="H323" t="s">
        <v>191</v>
      </c>
      <c r="Q323">
        <f>P323 / (300 * 300) * 6.4516</f>
        <v>0</v>
      </c>
      <c r="AB323">
        <v>82.710606690000006</v>
      </c>
      <c r="AC323" t="s">
        <v>1607</v>
      </c>
    </row>
    <row r="324" spans="1:29" x14ac:dyDescent="0.25">
      <c r="A324">
        <v>729</v>
      </c>
      <c r="B324" t="s">
        <v>1283</v>
      </c>
      <c r="D324" t="s">
        <v>1284</v>
      </c>
      <c r="E324">
        <v>2</v>
      </c>
      <c r="F324" t="s">
        <v>1697</v>
      </c>
      <c r="G324" s="3">
        <v>43634</v>
      </c>
      <c r="H324" t="s">
        <v>191</v>
      </c>
      <c r="K324">
        <v>1.3440000000000001</v>
      </c>
      <c r="P324">
        <v>1552289</v>
      </c>
      <c r="Q324">
        <f>P324 / (300 * 300) * 6.4516</f>
        <v>111.27497458222223</v>
      </c>
      <c r="S324" t="s">
        <v>1073</v>
      </c>
      <c r="AB324">
        <f>Q324/K324</f>
        <v>82.793879897486775</v>
      </c>
    </row>
    <row r="325" spans="1:29" x14ac:dyDescent="0.25">
      <c r="A325">
        <v>25</v>
      </c>
      <c r="B325" t="s">
        <v>33</v>
      </c>
      <c r="D325" t="s">
        <v>340</v>
      </c>
      <c r="E325">
        <v>2</v>
      </c>
      <c r="F325" t="s">
        <v>60</v>
      </c>
      <c r="H325" t="s">
        <v>191</v>
      </c>
      <c r="I325" t="s">
        <v>135</v>
      </c>
      <c r="J325">
        <v>10.351000000000001</v>
      </c>
      <c r="K325">
        <v>4.7549999999999999</v>
      </c>
      <c r="L325" t="s">
        <v>135</v>
      </c>
      <c r="N325">
        <f>(J325-K325)/J325</f>
        <v>0.54062409429040681</v>
      </c>
      <c r="O325" t="s">
        <v>56</v>
      </c>
      <c r="P325">
        <f>3227860 + 2266096</f>
        <v>5493956</v>
      </c>
      <c r="Q325">
        <f>P325 / (300 * 300) * 6.4516</f>
        <v>393.8311836622222</v>
      </c>
      <c r="R325">
        <v>1</v>
      </c>
      <c r="S325" t="s">
        <v>201</v>
      </c>
      <c r="T325">
        <f>(32+28+20)/3 * 25</f>
        <v>666.66666666666674</v>
      </c>
      <c r="U325" t="s">
        <v>135</v>
      </c>
      <c r="V325" t="s">
        <v>135</v>
      </c>
      <c r="W325">
        <f>Q325*100/T325</f>
        <v>59.074677549333316</v>
      </c>
      <c r="X325">
        <f>Q325 * 100</f>
        <v>39383.118366222217</v>
      </c>
      <c r="Y325">
        <v>0.2</v>
      </c>
      <c r="Z325">
        <v>0.31</v>
      </c>
      <c r="AA325">
        <v>0.21</v>
      </c>
      <c r="AB325">
        <f>(Q325)/K325</f>
        <v>82.824644303306457</v>
      </c>
      <c r="AC325" t="s">
        <v>41</v>
      </c>
    </row>
    <row r="326" spans="1:29" x14ac:dyDescent="0.25">
      <c r="A326">
        <v>173</v>
      </c>
      <c r="B326" t="s">
        <v>438</v>
      </c>
      <c r="D326" t="s">
        <v>387</v>
      </c>
      <c r="E326">
        <v>3</v>
      </c>
      <c r="F326" t="s">
        <v>281</v>
      </c>
      <c r="H326" t="s">
        <v>192</v>
      </c>
      <c r="I326">
        <v>7.1</v>
      </c>
      <c r="K326">
        <v>8.5999999999999993E-2</v>
      </c>
      <c r="L326">
        <v>18</v>
      </c>
      <c r="M326">
        <f>PI()*((I326/2)^2)/100 * L326</f>
        <v>7.1265458550357659</v>
      </c>
      <c r="Q326">
        <f>P326 / (300 * 300) * 6.4516</f>
        <v>0</v>
      </c>
      <c r="S326" t="s">
        <v>195</v>
      </c>
      <c r="T326" t="s">
        <v>135</v>
      </c>
      <c r="U326">
        <v>33.700000000000003</v>
      </c>
      <c r="V326">
        <v>19.28</v>
      </c>
      <c r="W326">
        <f>(((U326/2) * (V326/2)) * PI())</f>
        <v>510.30146109320452</v>
      </c>
      <c r="X326">
        <f>IF(ISNUMBER(T326), T326*W326, W326)</f>
        <v>510.30146109320452</v>
      </c>
      <c r="Y326">
        <v>0.25</v>
      </c>
      <c r="Z326">
        <v>0.22</v>
      </c>
      <c r="AA326">
        <v>0.22</v>
      </c>
      <c r="AB326">
        <f>M326/K326</f>
        <v>82.866812267857753</v>
      </c>
    </row>
    <row r="327" spans="1:29" x14ac:dyDescent="0.25">
      <c r="A327">
        <v>243</v>
      </c>
      <c r="B327" t="s">
        <v>596</v>
      </c>
      <c r="D327" t="s">
        <v>369</v>
      </c>
      <c r="E327">
        <v>5</v>
      </c>
      <c r="F327" t="s">
        <v>93</v>
      </c>
      <c r="H327" t="s">
        <v>192</v>
      </c>
      <c r="I327">
        <v>9.6999999999999993</v>
      </c>
      <c r="K327">
        <v>8.8999999999999996E-2</v>
      </c>
      <c r="L327">
        <v>10</v>
      </c>
      <c r="M327">
        <f>PI()*((I327/2)^2)/100 * L327</f>
        <v>7.38981131940659</v>
      </c>
      <c r="Q327">
        <f>P327 / (300 * 300) * 6.4516</f>
        <v>0</v>
      </c>
      <c r="S327" t="s">
        <v>195</v>
      </c>
      <c r="T327" t="s">
        <v>135</v>
      </c>
      <c r="U327">
        <v>120.98</v>
      </c>
      <c r="V327">
        <v>57.75</v>
      </c>
      <c r="W327">
        <f>(((U327/2) * (V327/2)) * PI())</f>
        <v>5487.2588814017954</v>
      </c>
      <c r="X327">
        <f>IF(ISNUMBER(T327), T327*W327, W327)</f>
        <v>5487.2588814017954</v>
      </c>
      <c r="Y327">
        <v>0.38</v>
      </c>
      <c r="Z327">
        <v>0.37</v>
      </c>
      <c r="AA327">
        <v>0.36</v>
      </c>
      <c r="AB327">
        <f>M327/K327</f>
        <v>83.031587858501013</v>
      </c>
    </row>
    <row r="328" spans="1:29" x14ac:dyDescent="0.25">
      <c r="A328">
        <v>316</v>
      </c>
      <c r="B328" t="s">
        <v>815</v>
      </c>
      <c r="D328" t="s">
        <v>383</v>
      </c>
      <c r="E328">
        <v>5</v>
      </c>
      <c r="F328" t="s">
        <v>249</v>
      </c>
      <c r="G328" s="2">
        <v>42927</v>
      </c>
      <c r="H328" t="s">
        <v>192</v>
      </c>
      <c r="I328">
        <v>9.6999999999999993</v>
      </c>
      <c r="K328">
        <v>8.8999999999999996E-2</v>
      </c>
      <c r="L328">
        <v>10</v>
      </c>
      <c r="M328">
        <f>PI()*((I328/2)^2)/100 * L328</f>
        <v>7.38981131940659</v>
      </c>
      <c r="Q328">
        <f>P328 / (300 * 300) * 6.4516</f>
        <v>0</v>
      </c>
      <c r="S328" t="s">
        <v>195</v>
      </c>
      <c r="T328" t="s">
        <v>135</v>
      </c>
      <c r="U328">
        <v>98.91</v>
      </c>
      <c r="V328">
        <v>32</v>
      </c>
      <c r="W328">
        <f>(((U328/2) * (V328/2)) * PI())</f>
        <v>2485.8794349325312</v>
      </c>
      <c r="X328">
        <f>IF(ISNUMBER(T328), T328*W328, W328)</f>
        <v>2485.8794349325312</v>
      </c>
      <c r="Y328">
        <v>0.35</v>
      </c>
      <c r="Z328">
        <v>0.36</v>
      </c>
      <c r="AA328">
        <v>0.33</v>
      </c>
      <c r="AB328">
        <f>M328/K328</f>
        <v>83.031587858501013</v>
      </c>
    </row>
    <row r="329" spans="1:29" x14ac:dyDescent="0.25">
      <c r="A329">
        <v>690</v>
      </c>
      <c r="B329" t="s">
        <v>1573</v>
      </c>
      <c r="C329" t="s">
        <v>603</v>
      </c>
      <c r="D329" t="s">
        <v>613</v>
      </c>
      <c r="F329" t="s">
        <v>605</v>
      </c>
      <c r="G329" s="2">
        <v>43662</v>
      </c>
      <c r="H329" t="s">
        <v>191</v>
      </c>
      <c r="Q329">
        <f>P329 / (300 * 300) * 6.4516</f>
        <v>0</v>
      </c>
      <c r="AB329">
        <v>83.038103219999996</v>
      </c>
      <c r="AC329" t="s">
        <v>1607</v>
      </c>
    </row>
    <row r="330" spans="1:29" x14ac:dyDescent="0.25">
      <c r="A330">
        <v>15</v>
      </c>
      <c r="B330" t="s">
        <v>21</v>
      </c>
      <c r="D330" t="s">
        <v>340</v>
      </c>
      <c r="E330">
        <v>1</v>
      </c>
      <c r="F330" t="s">
        <v>60</v>
      </c>
      <c r="H330" t="s">
        <v>191</v>
      </c>
      <c r="I330" t="s">
        <v>135</v>
      </c>
      <c r="J330">
        <v>13.959</v>
      </c>
      <c r="K330">
        <v>6.319</v>
      </c>
      <c r="L330" t="s">
        <v>135</v>
      </c>
      <c r="N330">
        <f>(J330-K330)/J330</f>
        <v>0.54731714306182389</v>
      </c>
      <c r="O330" t="s">
        <v>54</v>
      </c>
      <c r="P330">
        <f>2649046 + 3028649 + 1644073</f>
        <v>7321768</v>
      </c>
      <c r="Q330">
        <f>P330 / (300 * 300) * 6.4516</f>
        <v>524.85687143111113</v>
      </c>
      <c r="R330">
        <v>1</v>
      </c>
      <c r="S330" t="s">
        <v>201</v>
      </c>
      <c r="T330">
        <f>26*30</f>
        <v>780</v>
      </c>
      <c r="U330" t="s">
        <v>135</v>
      </c>
      <c r="V330" t="s">
        <v>135</v>
      </c>
      <c r="W330">
        <f>Q330*100/T330</f>
        <v>67.2893424911681</v>
      </c>
      <c r="X330">
        <f>Q330 * 100</f>
        <v>52485.687143111114</v>
      </c>
      <c r="Y330">
        <v>0.15</v>
      </c>
      <c r="Z330">
        <v>0.19</v>
      </c>
      <c r="AA330">
        <v>0.15</v>
      </c>
      <c r="AB330">
        <f>(Q330)/K330</f>
        <v>83.060115751085789</v>
      </c>
      <c r="AC330" t="s">
        <v>55</v>
      </c>
    </row>
    <row r="331" spans="1:29" x14ac:dyDescent="0.25">
      <c r="A331">
        <v>37</v>
      </c>
      <c r="B331" t="s">
        <v>73</v>
      </c>
      <c r="D331" t="s">
        <v>355</v>
      </c>
      <c r="E331">
        <v>3</v>
      </c>
      <c r="F331" t="s">
        <v>305</v>
      </c>
      <c r="H331" t="s">
        <v>191</v>
      </c>
      <c r="I331" t="s">
        <v>135</v>
      </c>
      <c r="J331">
        <v>0.73899999999999999</v>
      </c>
      <c r="K331">
        <v>0.38400000000000001</v>
      </c>
      <c r="L331" t="s">
        <v>135</v>
      </c>
      <c r="N331">
        <f>(J331-K331)/J331</f>
        <v>0.48037889039242215</v>
      </c>
      <c r="O331" t="s">
        <v>170</v>
      </c>
      <c r="P331">
        <v>446363</v>
      </c>
      <c r="Q331">
        <f>P331 / (300 * 300) * 6.4516</f>
        <v>31.997283675555554</v>
      </c>
      <c r="R331">
        <v>29</v>
      </c>
      <c r="T331" t="s">
        <v>135</v>
      </c>
      <c r="U331" t="s">
        <v>135</v>
      </c>
      <c r="V331" t="s">
        <v>135</v>
      </c>
      <c r="W331">
        <f>Q331*100/R331</f>
        <v>110.33546095019156</v>
      </c>
      <c r="X331">
        <f>W331</f>
        <v>110.33546095019156</v>
      </c>
      <c r="Y331">
        <v>0.34</v>
      </c>
      <c r="Z331">
        <v>0.24</v>
      </c>
      <c r="AA331">
        <v>0.2</v>
      </c>
      <c r="AB331">
        <f>(Q331)/K331</f>
        <v>83.326259571759252</v>
      </c>
    </row>
    <row r="332" spans="1:29" x14ac:dyDescent="0.25">
      <c r="A332">
        <v>552</v>
      </c>
      <c r="B332" t="s">
        <v>1394</v>
      </c>
      <c r="C332" t="s">
        <v>1395</v>
      </c>
      <c r="D332" t="s">
        <v>351</v>
      </c>
      <c r="E332">
        <v>10</v>
      </c>
      <c r="F332" t="s">
        <v>219</v>
      </c>
      <c r="G332" s="2">
        <v>43633</v>
      </c>
      <c r="H332" t="s">
        <v>191</v>
      </c>
      <c r="Q332">
        <f>P332 / (300 * 300) * 6.4516</f>
        <v>0</v>
      </c>
      <c r="AB332">
        <v>83.490402660000001</v>
      </c>
      <c r="AC332" t="s">
        <v>1607</v>
      </c>
    </row>
    <row r="333" spans="1:29" x14ac:dyDescent="0.25">
      <c r="A333">
        <v>600</v>
      </c>
      <c r="B333" t="s">
        <v>1456</v>
      </c>
      <c r="C333" t="s">
        <v>1457</v>
      </c>
      <c r="D333" t="s">
        <v>358</v>
      </c>
      <c r="E333">
        <v>8</v>
      </c>
      <c r="F333" t="s">
        <v>257</v>
      </c>
      <c r="G333" s="2">
        <v>43650</v>
      </c>
      <c r="H333" t="s">
        <v>191</v>
      </c>
      <c r="Q333">
        <f>P333 / (300 * 300) * 6.4516</f>
        <v>0</v>
      </c>
      <c r="AB333">
        <v>83.614170220000005</v>
      </c>
      <c r="AC333" t="s">
        <v>1607</v>
      </c>
    </row>
    <row r="334" spans="1:29" x14ac:dyDescent="0.25">
      <c r="A334">
        <v>180</v>
      </c>
      <c r="B334" t="s">
        <v>444</v>
      </c>
      <c r="D334" t="s">
        <v>347</v>
      </c>
      <c r="E334">
        <v>4</v>
      </c>
      <c r="F334" t="s">
        <v>361</v>
      </c>
      <c r="H334" t="s">
        <v>192</v>
      </c>
      <c r="I334">
        <v>9.6999999999999993</v>
      </c>
      <c r="K334">
        <v>0.106</v>
      </c>
      <c r="L334">
        <v>12</v>
      </c>
      <c r="M334">
        <f>PI()*((I334/2)^2)/100 * L334</f>
        <v>8.8677735832879065</v>
      </c>
      <c r="Q334">
        <f>P334 / (300 * 300) * 6.4516</f>
        <v>0</v>
      </c>
      <c r="S334" t="s">
        <v>195</v>
      </c>
      <c r="T334" t="s">
        <v>135</v>
      </c>
      <c r="U334">
        <v>112.91</v>
      </c>
      <c r="V334">
        <v>63.91</v>
      </c>
      <c r="W334">
        <f>(((U334/2) * (V334/2)) * PI())</f>
        <v>5667.4944866725482</v>
      </c>
      <c r="X334">
        <f>IF(ISNUMBER(T334), T334*W334, W334)</f>
        <v>5667.4944866725482</v>
      </c>
      <c r="Y334">
        <v>0.49</v>
      </c>
      <c r="Z334">
        <v>0.49</v>
      </c>
      <c r="AA334">
        <v>0.56000000000000005</v>
      </c>
      <c r="AB334">
        <f>M334/K334</f>
        <v>83.658241351772702</v>
      </c>
    </row>
    <row r="335" spans="1:29" x14ac:dyDescent="0.25">
      <c r="A335">
        <v>513</v>
      </c>
      <c r="B335" t="s">
        <v>1343</v>
      </c>
      <c r="C335" t="s">
        <v>733</v>
      </c>
      <c r="D335" t="s">
        <v>359</v>
      </c>
      <c r="E335">
        <v>4</v>
      </c>
      <c r="F335" t="s">
        <v>370</v>
      </c>
      <c r="G335" s="2">
        <v>43672</v>
      </c>
      <c r="H335" t="s">
        <v>191</v>
      </c>
      <c r="Q335">
        <f>P335 / (300 * 300) * 6.4516</f>
        <v>0</v>
      </c>
      <c r="AB335">
        <v>83.764757270000004</v>
      </c>
      <c r="AC335" t="s">
        <v>1607</v>
      </c>
    </row>
    <row r="336" spans="1:29" x14ac:dyDescent="0.25">
      <c r="A336">
        <v>573</v>
      </c>
      <c r="B336" t="s">
        <v>1425</v>
      </c>
      <c r="C336" t="s">
        <v>609</v>
      </c>
      <c r="D336" t="s">
        <v>368</v>
      </c>
      <c r="E336">
        <v>3</v>
      </c>
      <c r="F336" t="s">
        <v>322</v>
      </c>
      <c r="G336" s="2">
        <v>43652</v>
      </c>
      <c r="H336" t="s">
        <v>191</v>
      </c>
      <c r="Q336">
        <f>P336 / (300 * 300) * 6.4516</f>
        <v>0</v>
      </c>
      <c r="AB336">
        <v>83.901337789999999</v>
      </c>
      <c r="AC336" t="s">
        <v>1607</v>
      </c>
    </row>
    <row r="337" spans="1:29" x14ac:dyDescent="0.25">
      <c r="A337">
        <v>578</v>
      </c>
      <c r="B337" t="s">
        <v>1430</v>
      </c>
      <c r="C337" t="s">
        <v>1232</v>
      </c>
      <c r="D337" t="s">
        <v>366</v>
      </c>
      <c r="E337">
        <v>3</v>
      </c>
      <c r="F337" t="s">
        <v>269</v>
      </c>
      <c r="G337" s="2">
        <v>43653</v>
      </c>
      <c r="H337" t="s">
        <v>191</v>
      </c>
      <c r="Q337">
        <f>P337 / (300 * 300) * 6.4516</f>
        <v>0</v>
      </c>
      <c r="AB337">
        <v>83.987483870000005</v>
      </c>
      <c r="AC337" t="s">
        <v>1607</v>
      </c>
    </row>
    <row r="338" spans="1:29" x14ac:dyDescent="0.25">
      <c r="A338">
        <v>522</v>
      </c>
      <c r="B338" t="s">
        <v>1352</v>
      </c>
      <c r="C338" t="s">
        <v>117</v>
      </c>
      <c r="D338" t="s">
        <v>340</v>
      </c>
      <c r="E338">
        <v>3</v>
      </c>
      <c r="F338" t="s">
        <v>60</v>
      </c>
      <c r="G338" s="2">
        <v>43672</v>
      </c>
      <c r="H338" t="s">
        <v>191</v>
      </c>
      <c r="Q338">
        <f>P338 / (300 * 300) * 6.4516</f>
        <v>0</v>
      </c>
      <c r="AB338">
        <v>84.050367359999996</v>
      </c>
      <c r="AC338" t="s">
        <v>1607</v>
      </c>
    </row>
    <row r="339" spans="1:29" x14ac:dyDescent="0.25">
      <c r="A339">
        <v>561</v>
      </c>
      <c r="B339" t="s">
        <v>1408</v>
      </c>
      <c r="C339" t="s">
        <v>30</v>
      </c>
      <c r="D339" t="s">
        <v>346</v>
      </c>
      <c r="E339">
        <v>1</v>
      </c>
      <c r="F339" t="s">
        <v>372</v>
      </c>
      <c r="G339" s="2">
        <v>43618</v>
      </c>
      <c r="H339" t="s">
        <v>191</v>
      </c>
      <c r="Q339">
        <f>P339 / (300 * 300) * 6.4516</f>
        <v>0</v>
      </c>
      <c r="AB339">
        <v>84.127323079999996</v>
      </c>
      <c r="AC339" t="s">
        <v>1607</v>
      </c>
    </row>
    <row r="340" spans="1:29" x14ac:dyDescent="0.25">
      <c r="A340">
        <v>571</v>
      </c>
      <c r="B340" t="s">
        <v>1423</v>
      </c>
      <c r="C340" t="s">
        <v>6</v>
      </c>
      <c r="D340" t="s">
        <v>368</v>
      </c>
      <c r="E340">
        <v>1</v>
      </c>
      <c r="F340" t="s">
        <v>322</v>
      </c>
      <c r="G340" s="2">
        <v>43652</v>
      </c>
      <c r="H340" t="s">
        <v>191</v>
      </c>
      <c r="Q340">
        <f>P340 / (300 * 300) * 6.4516</f>
        <v>0</v>
      </c>
      <c r="AB340">
        <v>84.179598189999993</v>
      </c>
      <c r="AC340" t="s">
        <v>1607</v>
      </c>
    </row>
    <row r="341" spans="1:29" x14ac:dyDescent="0.25">
      <c r="A341">
        <v>21</v>
      </c>
      <c r="B341" t="s">
        <v>27</v>
      </c>
      <c r="D341" t="s">
        <v>345</v>
      </c>
      <c r="E341">
        <v>1</v>
      </c>
      <c r="F341" t="s">
        <v>350</v>
      </c>
      <c r="H341" t="s">
        <v>191</v>
      </c>
      <c r="I341" t="s">
        <v>135</v>
      </c>
      <c r="J341">
        <v>9.4499999999999993</v>
      </c>
      <c r="K341">
        <v>3.1059999999999999</v>
      </c>
      <c r="L341" t="s">
        <v>135</v>
      </c>
      <c r="N341">
        <f>(J341-K341)/J341</f>
        <v>0.67132275132275132</v>
      </c>
      <c r="P341">
        <v>3648239</v>
      </c>
      <c r="Q341">
        <f>P341 / (300 * 300) * 6.4516</f>
        <v>261.52198591555555</v>
      </c>
      <c r="R341">
        <v>5</v>
      </c>
      <c r="S341" t="s">
        <v>195</v>
      </c>
      <c r="T341" t="s">
        <v>135</v>
      </c>
      <c r="U341" t="s">
        <v>135</v>
      </c>
      <c r="V341" t="s">
        <v>135</v>
      </c>
      <c r="W341">
        <f>Q341/R341 *100</f>
        <v>5230.4397183111105</v>
      </c>
      <c r="X341">
        <f>W341</f>
        <v>5230.4397183111105</v>
      </c>
      <c r="Y341">
        <v>0.3</v>
      </c>
      <c r="Z341">
        <v>0.31</v>
      </c>
      <c r="AA341">
        <v>0.33</v>
      </c>
      <c r="AB341">
        <f>(Q341)/K341</f>
        <v>84.198965201402302</v>
      </c>
    </row>
    <row r="342" spans="1:29" x14ac:dyDescent="0.25">
      <c r="A342">
        <v>238</v>
      </c>
      <c r="B342" t="s">
        <v>591</v>
      </c>
      <c r="D342" t="s">
        <v>510</v>
      </c>
      <c r="E342">
        <v>3</v>
      </c>
      <c r="F342" t="s">
        <v>511</v>
      </c>
      <c r="H342" t="s">
        <v>192</v>
      </c>
      <c r="I342">
        <v>7.1</v>
      </c>
      <c r="K342">
        <v>4.7E-2</v>
      </c>
      <c r="L342">
        <v>10</v>
      </c>
      <c r="M342">
        <f>PI()*((I342/2)^2)/100 * L342</f>
        <v>3.9591921416865365</v>
      </c>
      <c r="Q342">
        <f>P342 / (300 * 300) * 6.4516</f>
        <v>0</v>
      </c>
      <c r="S342" t="s">
        <v>201</v>
      </c>
      <c r="T342">
        <v>120</v>
      </c>
      <c r="U342">
        <v>21.1</v>
      </c>
      <c r="V342">
        <v>15.75</v>
      </c>
      <c r="W342">
        <f>(((U342/2) * (V342/2)) * PI())</f>
        <v>261.00744465105703</v>
      </c>
      <c r="X342">
        <f>IF(ISNUMBER(T342), T342*W342, W342)</f>
        <v>31320.893358126843</v>
      </c>
      <c r="Y342">
        <v>0.17</v>
      </c>
      <c r="Z342">
        <v>0.19</v>
      </c>
      <c r="AA342">
        <v>0.17</v>
      </c>
      <c r="AB342">
        <f>M342/K342</f>
        <v>84.238130674181633</v>
      </c>
    </row>
    <row r="343" spans="1:29" x14ac:dyDescent="0.25">
      <c r="A343">
        <v>288</v>
      </c>
      <c r="B343" t="s">
        <v>757</v>
      </c>
      <c r="D343" t="s">
        <v>593</v>
      </c>
      <c r="E343">
        <v>4</v>
      </c>
      <c r="F343" t="s">
        <v>728</v>
      </c>
      <c r="G343" s="2">
        <v>42923</v>
      </c>
      <c r="H343" t="s">
        <v>192</v>
      </c>
      <c r="I343">
        <v>7.1</v>
      </c>
      <c r="K343">
        <v>4.7E-2</v>
      </c>
      <c r="L343">
        <v>10</v>
      </c>
      <c r="M343">
        <f>PI()*((I343/2)^2)/100 * L343</f>
        <v>3.9591921416865365</v>
      </c>
      <c r="Q343">
        <f>P343 / (300 * 300) * 6.4516</f>
        <v>0</v>
      </c>
      <c r="S343" t="s">
        <v>201</v>
      </c>
      <c r="T343">
        <v>5</v>
      </c>
      <c r="U343">
        <v>68.34</v>
      </c>
      <c r="V343">
        <v>31.61</v>
      </c>
      <c r="W343">
        <f>(((U343/2) * (V343/2)) * PI())</f>
        <v>1696.638632480845</v>
      </c>
      <c r="X343">
        <f>IF(ISNUMBER(T343), T343*W343, W343)</f>
        <v>8483.1931624042245</v>
      </c>
      <c r="Y343">
        <v>0.35</v>
      </c>
      <c r="Z343">
        <v>0.31</v>
      </c>
      <c r="AA343">
        <v>0.35</v>
      </c>
      <c r="AB343">
        <f>M343/K343</f>
        <v>84.238130674181633</v>
      </c>
    </row>
    <row r="344" spans="1:29" x14ac:dyDescent="0.25">
      <c r="A344">
        <v>309</v>
      </c>
      <c r="B344" t="s">
        <v>804</v>
      </c>
      <c r="D344" t="s">
        <v>331</v>
      </c>
      <c r="E344">
        <v>5</v>
      </c>
      <c r="F344" t="s">
        <v>5</v>
      </c>
      <c r="G344" s="2">
        <v>42927</v>
      </c>
      <c r="H344" t="s">
        <v>192</v>
      </c>
      <c r="I344">
        <v>7.1</v>
      </c>
      <c r="K344">
        <v>4.7E-2</v>
      </c>
      <c r="L344">
        <v>10</v>
      </c>
      <c r="M344">
        <f>PI()*((I344/2)^2)/100 * L344</f>
        <v>3.9591921416865365</v>
      </c>
      <c r="Q344">
        <f>P344 / (300 * 300) * 6.4516</f>
        <v>0</v>
      </c>
      <c r="S344" t="s">
        <v>195</v>
      </c>
      <c r="T344" t="s">
        <v>135</v>
      </c>
      <c r="U344">
        <v>68.680000000000007</v>
      </c>
      <c r="V344">
        <v>42.09</v>
      </c>
      <c r="W344">
        <f>(((U344/2) * (V344/2)) * PI())</f>
        <v>2270.3828293373358</v>
      </c>
      <c r="X344">
        <f>IF(ISNUMBER(T344), T344*W344, W344)</f>
        <v>2270.3828293373358</v>
      </c>
      <c r="Y344">
        <v>0.28000000000000003</v>
      </c>
      <c r="Z344">
        <v>0.23</v>
      </c>
      <c r="AA344">
        <v>0.25</v>
      </c>
      <c r="AB344">
        <f>M344/K344</f>
        <v>84.238130674181633</v>
      </c>
    </row>
    <row r="345" spans="1:29" x14ac:dyDescent="0.25">
      <c r="A345">
        <v>318</v>
      </c>
      <c r="B345" t="s">
        <v>817</v>
      </c>
      <c r="D345" t="s">
        <v>344</v>
      </c>
      <c r="E345">
        <v>5</v>
      </c>
      <c r="F345" t="s">
        <v>278</v>
      </c>
      <c r="G345" s="2">
        <v>42927</v>
      </c>
      <c r="H345" t="s">
        <v>192</v>
      </c>
      <c r="I345">
        <v>7.1</v>
      </c>
      <c r="K345">
        <v>4.7E-2</v>
      </c>
      <c r="L345">
        <v>10</v>
      </c>
      <c r="M345">
        <f>PI()*((I345/2)^2)/100 * L345</f>
        <v>3.9591921416865365</v>
      </c>
      <c r="Q345">
        <f>P345 / (300 * 300) * 6.4516</f>
        <v>0</v>
      </c>
      <c r="S345" t="s">
        <v>195</v>
      </c>
      <c r="T345" t="s">
        <v>135</v>
      </c>
      <c r="U345">
        <v>77.2</v>
      </c>
      <c r="V345">
        <v>24.32</v>
      </c>
      <c r="W345">
        <f>(((U345/2) * (V345/2)) * PI())</f>
        <v>1474.5881933713629</v>
      </c>
      <c r="X345">
        <f>IF(ISNUMBER(T345), T345*W345, W345)</f>
        <v>1474.5881933713629</v>
      </c>
      <c r="Y345">
        <v>0.32</v>
      </c>
      <c r="Z345">
        <v>0.31</v>
      </c>
      <c r="AA345">
        <v>0.33</v>
      </c>
      <c r="AB345">
        <f>M345/K345</f>
        <v>84.238130674181633</v>
      </c>
    </row>
    <row r="346" spans="1:29" x14ac:dyDescent="0.25">
      <c r="A346">
        <v>212</v>
      </c>
      <c r="B346" t="s">
        <v>1016</v>
      </c>
      <c r="D346" t="s">
        <v>369</v>
      </c>
      <c r="E346">
        <v>6</v>
      </c>
      <c r="F346" t="s">
        <v>93</v>
      </c>
      <c r="H346" t="s">
        <v>192</v>
      </c>
      <c r="I346">
        <v>7.1</v>
      </c>
      <c r="K346">
        <v>6.0999999999999999E-2</v>
      </c>
      <c r="L346">
        <v>13</v>
      </c>
      <c r="M346">
        <f>PI()*((I346/2)^2)/100 * L346</f>
        <v>5.1469497841924978</v>
      </c>
      <c r="Q346">
        <f>P346 / (300 * 300) * 6.4516</f>
        <v>0</v>
      </c>
      <c r="S346" t="s">
        <v>195</v>
      </c>
      <c r="T346" t="s">
        <v>135</v>
      </c>
      <c r="U346">
        <v>81.03</v>
      </c>
      <c r="V346">
        <v>36.25</v>
      </c>
      <c r="W346">
        <f>(((U346/2) * (V346/2)) * PI())</f>
        <v>2306.9794777784523</v>
      </c>
      <c r="X346">
        <f>IF(ISNUMBER(T346), T346*W346, W346)</f>
        <v>2306.9794777784523</v>
      </c>
      <c r="Y346">
        <v>0.28999999999999998</v>
      </c>
      <c r="Z346">
        <v>0.3</v>
      </c>
      <c r="AA346">
        <v>0.28999999999999998</v>
      </c>
      <c r="AB346">
        <f>M346/K346</f>
        <v>84.376225970368822</v>
      </c>
      <c r="AC346" t="s">
        <v>742</v>
      </c>
    </row>
    <row r="347" spans="1:29" x14ac:dyDescent="0.25">
      <c r="A347">
        <v>694</v>
      </c>
      <c r="B347" t="s">
        <v>1577</v>
      </c>
      <c r="C347" t="s">
        <v>746</v>
      </c>
      <c r="D347" t="s">
        <v>613</v>
      </c>
      <c r="F347" t="s">
        <v>605</v>
      </c>
      <c r="G347" s="2">
        <v>43663</v>
      </c>
      <c r="H347" t="s">
        <v>191</v>
      </c>
      <c r="Q347">
        <f>P347 / (300 * 300) * 6.4516</f>
        <v>0</v>
      </c>
      <c r="AB347">
        <v>84.534134120000004</v>
      </c>
      <c r="AC347" t="s">
        <v>1607</v>
      </c>
    </row>
    <row r="348" spans="1:29" x14ac:dyDescent="0.25">
      <c r="A348">
        <v>22</v>
      </c>
      <c r="B348" t="s">
        <v>28</v>
      </c>
      <c r="D348" t="s">
        <v>337</v>
      </c>
      <c r="E348">
        <v>2</v>
      </c>
      <c r="F348" t="s">
        <v>15</v>
      </c>
      <c r="H348" t="s">
        <v>191</v>
      </c>
      <c r="I348" t="s">
        <v>135</v>
      </c>
      <c r="J348">
        <v>3.448</v>
      </c>
      <c r="K348">
        <v>1.4219999999999999</v>
      </c>
      <c r="L348" t="s">
        <v>135</v>
      </c>
      <c r="N348">
        <f>(J348-K348)/J348</f>
        <v>0.58758700696055677</v>
      </c>
      <c r="P348">
        <v>1676946</v>
      </c>
      <c r="Q348">
        <f>P348 / (300 * 300) * 6.4516</f>
        <v>120.21094237333334</v>
      </c>
      <c r="R348">
        <v>5</v>
      </c>
      <c r="S348" t="s">
        <v>195</v>
      </c>
      <c r="T348" t="s">
        <v>135</v>
      </c>
      <c r="U348" t="s">
        <v>135</v>
      </c>
      <c r="V348" t="s">
        <v>135</v>
      </c>
      <c r="W348">
        <f>Q348*100/5</f>
        <v>2404.2188474666668</v>
      </c>
      <c r="X348">
        <f>W348</f>
        <v>2404.2188474666668</v>
      </c>
      <c r="Y348">
        <v>0.22</v>
      </c>
      <c r="Z348">
        <v>0.24</v>
      </c>
      <c r="AA348">
        <v>0.28000000000000003</v>
      </c>
      <c r="AB348">
        <f>(Q348)/K348</f>
        <v>84.536527688701369</v>
      </c>
      <c r="AC348" t="s">
        <v>43</v>
      </c>
    </row>
    <row r="349" spans="1:29" x14ac:dyDescent="0.25">
      <c r="A349">
        <v>164</v>
      </c>
      <c r="B349" t="s">
        <v>428</v>
      </c>
      <c r="D349" t="s">
        <v>347</v>
      </c>
      <c r="E349">
        <v>2</v>
      </c>
      <c r="F349" t="s">
        <v>361</v>
      </c>
      <c r="H349" t="s">
        <v>192</v>
      </c>
      <c r="I349">
        <v>9.6999999999999993</v>
      </c>
      <c r="K349">
        <v>0.1222</v>
      </c>
      <c r="L349">
        <v>14</v>
      </c>
      <c r="M349">
        <f>PI()*((I349/2)^2)/100 * L349</f>
        <v>10.345735847169225</v>
      </c>
      <c r="Q349">
        <f>P349 / (300 * 300) * 6.4516</f>
        <v>0</v>
      </c>
      <c r="R349" t="s">
        <v>135</v>
      </c>
      <c r="S349" t="s">
        <v>195</v>
      </c>
      <c r="T349" t="s">
        <v>135</v>
      </c>
      <c r="U349">
        <v>129.91</v>
      </c>
      <c r="V349">
        <v>84.48</v>
      </c>
      <c r="W349">
        <f>(((U349/2) * (V349/2)) * PI())</f>
        <v>8619.5852503801925</v>
      </c>
      <c r="X349">
        <f>IF(ISNUMBER(T349), T349*W349, W349)</f>
        <v>8619.5852503801925</v>
      </c>
      <c r="Y349">
        <v>0.62</v>
      </c>
      <c r="Z349">
        <v>0.69</v>
      </c>
      <c r="AA349">
        <v>0.67</v>
      </c>
      <c r="AB349">
        <f>M349/K349</f>
        <v>84.662322808258793</v>
      </c>
    </row>
    <row r="350" spans="1:29" x14ac:dyDescent="0.25">
      <c r="A350">
        <v>17</v>
      </c>
      <c r="B350" t="s">
        <v>23</v>
      </c>
      <c r="D350" t="s">
        <v>342</v>
      </c>
      <c r="E350">
        <v>1</v>
      </c>
      <c r="F350" t="s">
        <v>214</v>
      </c>
      <c r="H350" t="s">
        <v>191</v>
      </c>
      <c r="I350" t="s">
        <v>135</v>
      </c>
      <c r="J350">
        <v>5.1130000000000004</v>
      </c>
      <c r="K350">
        <v>2.2909999999999999</v>
      </c>
      <c r="L350" t="s">
        <v>135</v>
      </c>
      <c r="N350">
        <f>(J350-K350)/J350</f>
        <v>0.55192646195971062</v>
      </c>
      <c r="P350">
        <v>2706244</v>
      </c>
      <c r="Q350">
        <f>P350 / (300 * 300) * 6.4516</f>
        <v>193.99559767111111</v>
      </c>
      <c r="R350">
        <v>5</v>
      </c>
      <c r="S350" t="s">
        <v>195</v>
      </c>
      <c r="T350" t="s">
        <v>135</v>
      </c>
      <c r="U350" t="s">
        <v>135</v>
      </c>
      <c r="V350" t="s">
        <v>135</v>
      </c>
      <c r="W350">
        <f>Q350*100/R350</f>
        <v>3879.9119534222218</v>
      </c>
      <c r="X350">
        <f>W350</f>
        <v>3879.9119534222218</v>
      </c>
      <c r="Y350">
        <v>0.52</v>
      </c>
      <c r="Z350">
        <v>0.47</v>
      </c>
      <c r="AA350">
        <v>0.43</v>
      </c>
      <c r="AB350">
        <f>(Q350)/K350</f>
        <v>84.677257822396825</v>
      </c>
    </row>
    <row r="351" spans="1:29" x14ac:dyDescent="0.25">
      <c r="A351">
        <v>110</v>
      </c>
      <c r="B351" t="s">
        <v>1240</v>
      </c>
      <c r="C351" t="s">
        <v>279</v>
      </c>
      <c r="D351" t="s">
        <v>377</v>
      </c>
      <c r="E351">
        <v>2</v>
      </c>
      <c r="F351" t="s">
        <v>222</v>
      </c>
      <c r="H351" t="s">
        <v>192</v>
      </c>
      <c r="I351">
        <v>7.1</v>
      </c>
      <c r="J351" t="s">
        <v>135</v>
      </c>
      <c r="K351">
        <v>4.2000000000000003E-2</v>
      </c>
      <c r="L351">
        <v>9</v>
      </c>
      <c r="M351">
        <f>PI()*((I351/2)^2)/100 * L351</f>
        <v>3.5632729275178829</v>
      </c>
      <c r="N351" t="s">
        <v>135</v>
      </c>
      <c r="O351" t="s">
        <v>135</v>
      </c>
      <c r="Q351">
        <f>P351 / (300 * 300) * 6.4516</f>
        <v>0</v>
      </c>
      <c r="R351" t="s">
        <v>135</v>
      </c>
      <c r="S351" t="s">
        <v>195</v>
      </c>
      <c r="T351" t="s">
        <v>135</v>
      </c>
      <c r="U351">
        <v>66.17</v>
      </c>
      <c r="V351">
        <v>52.17</v>
      </c>
      <c r="W351">
        <f>(((U351/2) * (V351/2)) * PI())</f>
        <v>2711.2642819447178</v>
      </c>
      <c r="X351">
        <f>IF(ISNUMBER(T351), T351*W351, W351)</f>
        <v>2711.2642819447178</v>
      </c>
      <c r="Y351">
        <v>0.25</v>
      </c>
      <c r="Z351">
        <v>0.24</v>
      </c>
      <c r="AA351">
        <v>0.26</v>
      </c>
      <c r="AB351">
        <f>M351/K351</f>
        <v>84.839831607568641</v>
      </c>
      <c r="AC351" t="s">
        <v>244</v>
      </c>
    </row>
    <row r="352" spans="1:29" x14ac:dyDescent="0.25">
      <c r="A352">
        <v>74</v>
      </c>
      <c r="B352" t="s">
        <v>110</v>
      </c>
      <c r="D352" t="s">
        <v>338</v>
      </c>
      <c r="E352">
        <v>4</v>
      </c>
      <c r="F352" t="s">
        <v>19</v>
      </c>
      <c r="H352" t="s">
        <v>191</v>
      </c>
      <c r="I352" t="s">
        <v>135</v>
      </c>
      <c r="J352">
        <v>8.0329999999999995</v>
      </c>
      <c r="K352">
        <f>6.564-3.016</f>
        <v>3.548</v>
      </c>
      <c r="L352" t="s">
        <v>135</v>
      </c>
      <c r="N352">
        <f>(J352-K352)/J352</f>
        <v>0.55832192207145526</v>
      </c>
      <c r="O352" t="s">
        <v>176</v>
      </c>
      <c r="P352">
        <f>1755440 + 2447408</f>
        <v>4202848</v>
      </c>
      <c r="Q352">
        <f>P352 / (300 * 300) * 6.4516</f>
        <v>301.27882396444443</v>
      </c>
      <c r="R352">
        <v>2</v>
      </c>
      <c r="S352" t="s">
        <v>201</v>
      </c>
      <c r="T352">
        <v>314</v>
      </c>
      <c r="U352" t="s">
        <v>135</v>
      </c>
      <c r="V352" t="s">
        <v>135</v>
      </c>
      <c r="W352">
        <f>Q352*100/T352</f>
        <v>95.948670052370829</v>
      </c>
      <c r="X352">
        <f>Q352*100/R352</f>
        <v>15063.941198222221</v>
      </c>
      <c r="Y352">
        <v>0.18</v>
      </c>
      <c r="Z352">
        <v>0.18</v>
      </c>
      <c r="AA352">
        <v>0.16</v>
      </c>
      <c r="AB352">
        <f>(Q352)/K352</f>
        <v>84.915113856946007</v>
      </c>
    </row>
    <row r="353" spans="1:29" x14ac:dyDescent="0.25">
      <c r="A353">
        <v>262</v>
      </c>
      <c r="B353" t="s">
        <v>620</v>
      </c>
      <c r="D353" t="s">
        <v>420</v>
      </c>
      <c r="E353">
        <v>6</v>
      </c>
      <c r="F353" t="s">
        <v>467</v>
      </c>
      <c r="H353" t="s">
        <v>192</v>
      </c>
      <c r="I353">
        <v>9.6999999999999993</v>
      </c>
      <c r="K353">
        <v>8.6999999999999994E-2</v>
      </c>
      <c r="L353">
        <v>10</v>
      </c>
      <c r="M353">
        <f>PI()*((I353/2)^2)/100 * L353</f>
        <v>7.38981131940659</v>
      </c>
      <c r="Q353">
        <f>P353 / (300 * 300) * 6.4516</f>
        <v>0</v>
      </c>
      <c r="S353" t="s">
        <v>195</v>
      </c>
      <c r="T353" t="s">
        <v>135</v>
      </c>
      <c r="U353">
        <v>90.24</v>
      </c>
      <c r="V353">
        <v>61.62</v>
      </c>
      <c r="W353">
        <f>(((U353/2) * (V353/2)) * PI())</f>
        <v>4367.2762309284208</v>
      </c>
      <c r="X353">
        <f>IF(ISNUMBER(T353), T353*W353, W353)</f>
        <v>4367.2762309284208</v>
      </c>
      <c r="Y353">
        <v>0.39</v>
      </c>
      <c r="Z353">
        <v>0.41</v>
      </c>
      <c r="AA353">
        <v>0.42</v>
      </c>
      <c r="AB353">
        <f>M353/K353</f>
        <v>84.9403599931792</v>
      </c>
    </row>
    <row r="354" spans="1:29" x14ac:dyDescent="0.25">
      <c r="A354">
        <v>461</v>
      </c>
      <c r="B354" t="s">
        <v>1078</v>
      </c>
      <c r="D354" t="s">
        <v>865</v>
      </c>
      <c r="E354">
        <v>5</v>
      </c>
      <c r="F354" t="s">
        <v>866</v>
      </c>
      <c r="G354" s="2">
        <v>42951</v>
      </c>
      <c r="H354" t="s">
        <v>192</v>
      </c>
      <c r="I354">
        <v>9.6999999999999993</v>
      </c>
      <c r="K354">
        <v>8.6999999999999994E-2</v>
      </c>
      <c r="L354">
        <v>10</v>
      </c>
      <c r="M354">
        <f>PI()*((I354/2)^2)/100 * L354</f>
        <v>7.38981131940659</v>
      </c>
      <c r="Q354">
        <f>P354 / (300 * 300) * 6.4516</f>
        <v>0</v>
      </c>
      <c r="S354" t="s">
        <v>1073</v>
      </c>
      <c r="T354" t="s">
        <v>135</v>
      </c>
      <c r="U354">
        <v>128.07</v>
      </c>
      <c r="V354">
        <v>79.150000000000006</v>
      </c>
      <c r="W354">
        <f>(((U354/2) * (V354/2)) * PI())</f>
        <v>7961.3773715365314</v>
      </c>
      <c r="X354">
        <f>IF(ISNUMBER(T354), T354*W354, W354)</f>
        <v>7961.3773715365314</v>
      </c>
      <c r="Y354">
        <v>0.43</v>
      </c>
      <c r="Z354">
        <v>0.45</v>
      </c>
      <c r="AA354">
        <v>0.44</v>
      </c>
      <c r="AB354">
        <f>M354/K354</f>
        <v>84.9403599931792</v>
      </c>
    </row>
    <row r="355" spans="1:29" x14ac:dyDescent="0.25">
      <c r="A355">
        <v>650</v>
      </c>
      <c r="B355" t="s">
        <v>1518</v>
      </c>
      <c r="C355" t="s">
        <v>876</v>
      </c>
      <c r="D355" t="s">
        <v>426</v>
      </c>
      <c r="E355">
        <v>2</v>
      </c>
      <c r="F355" t="s">
        <v>427</v>
      </c>
      <c r="G355" s="2">
        <v>43664</v>
      </c>
      <c r="H355" t="s">
        <v>191</v>
      </c>
      <c r="Q355">
        <f>P355 / (300 * 300) * 6.4516</f>
        <v>0</v>
      </c>
      <c r="AB355">
        <v>85.028656560000002</v>
      </c>
      <c r="AC355" t="s">
        <v>1607</v>
      </c>
    </row>
    <row r="356" spans="1:29" x14ac:dyDescent="0.25">
      <c r="A356">
        <v>203</v>
      </c>
      <c r="B356" t="s">
        <v>504</v>
      </c>
      <c r="D356" t="s">
        <v>420</v>
      </c>
      <c r="E356">
        <v>4</v>
      </c>
      <c r="F356" t="s">
        <v>467</v>
      </c>
      <c r="H356" t="s">
        <v>192</v>
      </c>
      <c r="I356">
        <v>9.6999999999999993</v>
      </c>
      <c r="K356">
        <v>7.8E-2</v>
      </c>
      <c r="L356">
        <v>9</v>
      </c>
      <c r="M356">
        <f>PI()*((I356/2)^2)/100 * L356</f>
        <v>6.6508301874659308</v>
      </c>
      <c r="Q356">
        <f>P356 / (300 * 300) * 6.4516</f>
        <v>0</v>
      </c>
      <c r="S356" t="s">
        <v>195</v>
      </c>
      <c r="T356" t="s">
        <v>135</v>
      </c>
      <c r="U356">
        <v>84.08</v>
      </c>
      <c r="V356">
        <v>70.150000000000006</v>
      </c>
      <c r="W356">
        <f>(((U356/2) * (V356/2)) * PI())</f>
        <v>4632.4448721287908</v>
      </c>
      <c r="X356">
        <f>IF(ISNUMBER(T356), T356*W356, W356)</f>
        <v>4632.4448721287908</v>
      </c>
      <c r="Y356">
        <v>0.5</v>
      </c>
      <c r="Z356">
        <v>0.51</v>
      </c>
      <c r="AA356">
        <v>0.45</v>
      </c>
      <c r="AB356">
        <f>M356/K356</f>
        <v>85.267053685460652</v>
      </c>
    </row>
    <row r="357" spans="1:29" x14ac:dyDescent="0.25">
      <c r="A357">
        <v>99</v>
      </c>
      <c r="B357" t="s">
        <v>1228</v>
      </c>
      <c r="C357" t="s">
        <v>218</v>
      </c>
      <c r="D357" t="s">
        <v>351</v>
      </c>
      <c r="E357">
        <v>2</v>
      </c>
      <c r="F357" t="s">
        <v>219</v>
      </c>
      <c r="H357" t="s">
        <v>192</v>
      </c>
      <c r="I357">
        <v>7.1</v>
      </c>
      <c r="J357" t="s">
        <v>135</v>
      </c>
      <c r="K357">
        <v>7.3999999999999996E-2</v>
      </c>
      <c r="L357">
        <v>16</v>
      </c>
      <c r="M357">
        <f>PI()*((I357/2)^2)/100 * L357</f>
        <v>6.3347074266984587</v>
      </c>
      <c r="N357" t="s">
        <v>135</v>
      </c>
      <c r="O357" t="s">
        <v>135</v>
      </c>
      <c r="Q357">
        <f>P357 / (300 * 300) * 6.4516</f>
        <v>0</v>
      </c>
      <c r="R357" t="s">
        <v>135</v>
      </c>
      <c r="S357" t="s">
        <v>201</v>
      </c>
      <c r="T357">
        <v>9</v>
      </c>
      <c r="U357">
        <v>54.92</v>
      </c>
      <c r="V357">
        <v>23.98</v>
      </c>
      <c r="W357">
        <f>(((U357/2) * (V357/2)) * PI())</f>
        <v>1034.3549298682328</v>
      </c>
      <c r="X357">
        <f>IF(ISNUMBER(T357), T357*W357, W357)</f>
        <v>9309.1943688140964</v>
      </c>
      <c r="Y357">
        <v>0.28999999999999998</v>
      </c>
      <c r="Z357">
        <v>0.28000000000000003</v>
      </c>
      <c r="AA357">
        <v>0.33</v>
      </c>
      <c r="AB357">
        <f>M357/K357</f>
        <v>85.604154414844047</v>
      </c>
      <c r="AC357" t="s">
        <v>220</v>
      </c>
    </row>
    <row r="358" spans="1:29" x14ac:dyDescent="0.25">
      <c r="A358">
        <v>676</v>
      </c>
      <c r="B358" t="s">
        <v>1555</v>
      </c>
      <c r="C358" t="s">
        <v>118</v>
      </c>
      <c r="D358" t="s">
        <v>369</v>
      </c>
      <c r="F358" t="s">
        <v>93</v>
      </c>
      <c r="G358" s="2">
        <v>43651</v>
      </c>
      <c r="H358" t="s">
        <v>191</v>
      </c>
      <c r="Q358">
        <f>P358 / (300 * 300) * 6.4516</f>
        <v>0</v>
      </c>
      <c r="AB358">
        <v>85.69039472</v>
      </c>
      <c r="AC358" t="s">
        <v>1607</v>
      </c>
    </row>
    <row r="359" spans="1:29" x14ac:dyDescent="0.25">
      <c r="A359">
        <v>108</v>
      </c>
      <c r="B359" t="s">
        <v>1244</v>
      </c>
      <c r="C359" t="s">
        <v>231</v>
      </c>
      <c r="D359" t="s">
        <v>381</v>
      </c>
      <c r="E359">
        <v>1</v>
      </c>
      <c r="F359" t="s">
        <v>232</v>
      </c>
      <c r="H359" t="s">
        <v>192</v>
      </c>
      <c r="I359">
        <v>7.1</v>
      </c>
      <c r="J359" t="s">
        <v>135</v>
      </c>
      <c r="K359">
        <v>0.06</v>
      </c>
      <c r="L359">
        <v>13</v>
      </c>
      <c r="M359">
        <f>PI()*((I359/2)^2)/100 * L359</f>
        <v>5.1469497841924978</v>
      </c>
      <c r="N359" t="s">
        <v>135</v>
      </c>
      <c r="O359" t="s">
        <v>135</v>
      </c>
      <c r="Q359">
        <f>P359 / (300 * 300) * 6.4516</f>
        <v>0</v>
      </c>
      <c r="R359" t="s">
        <v>135</v>
      </c>
      <c r="S359" t="s">
        <v>201</v>
      </c>
      <c r="T359">
        <v>7</v>
      </c>
      <c r="U359">
        <v>115.08</v>
      </c>
      <c r="V359">
        <v>24.84</v>
      </c>
      <c r="W359">
        <f>(((U359/2) * (V359/2)) * PI())</f>
        <v>2245.1291367914541</v>
      </c>
      <c r="X359">
        <f>IF(ISNUMBER(T359), T359*W359, W359)</f>
        <v>15715.903957540178</v>
      </c>
      <c r="Y359">
        <v>0.35</v>
      </c>
      <c r="Z359">
        <v>0.35</v>
      </c>
      <c r="AA359">
        <v>0.34</v>
      </c>
      <c r="AB359">
        <f>M359/K359</f>
        <v>85.782496403208299</v>
      </c>
      <c r="AC359" t="s">
        <v>241</v>
      </c>
    </row>
    <row r="360" spans="1:29" x14ac:dyDescent="0.25">
      <c r="A360">
        <v>675</v>
      </c>
      <c r="B360" t="s">
        <v>1554</v>
      </c>
      <c r="C360" t="s">
        <v>91</v>
      </c>
      <c r="D360" t="s">
        <v>369</v>
      </c>
      <c r="F360" t="s">
        <v>93</v>
      </c>
      <c r="G360" s="2">
        <v>43650</v>
      </c>
      <c r="H360" t="s">
        <v>191</v>
      </c>
      <c r="Q360">
        <f>P360 / (300 * 300) * 6.4516</f>
        <v>0</v>
      </c>
      <c r="AB360">
        <v>85.882678179999999</v>
      </c>
      <c r="AC360" t="s">
        <v>1607</v>
      </c>
    </row>
    <row r="361" spans="1:29" x14ac:dyDescent="0.25">
      <c r="A361">
        <v>497</v>
      </c>
      <c r="B361" t="s">
        <v>1323</v>
      </c>
      <c r="C361" t="s">
        <v>912</v>
      </c>
      <c r="D361" t="s">
        <v>909</v>
      </c>
      <c r="E361">
        <v>2</v>
      </c>
      <c r="F361" t="s">
        <v>910</v>
      </c>
      <c r="G361" s="2">
        <v>43645</v>
      </c>
      <c r="H361" t="s">
        <v>191</v>
      </c>
      <c r="Q361">
        <f>P361 / (300 * 300) * 6.4516</f>
        <v>0</v>
      </c>
      <c r="AB361">
        <v>86.019374290000002</v>
      </c>
      <c r="AC361" t="s">
        <v>1607</v>
      </c>
    </row>
    <row r="362" spans="1:29" x14ac:dyDescent="0.25">
      <c r="A362">
        <v>41</v>
      </c>
      <c r="B362" t="s">
        <v>76</v>
      </c>
      <c r="D362" t="s">
        <v>356</v>
      </c>
      <c r="E362">
        <v>1</v>
      </c>
      <c r="F362" t="s">
        <v>360</v>
      </c>
      <c r="H362" t="s">
        <v>191</v>
      </c>
      <c r="I362" t="s">
        <v>135</v>
      </c>
      <c r="J362">
        <v>2.6819999999999999</v>
      </c>
      <c r="K362">
        <v>1.286</v>
      </c>
      <c r="L362" t="s">
        <v>135</v>
      </c>
      <c r="N362">
        <f>(J362-K362)/J362</f>
        <v>0.52050708426547354</v>
      </c>
      <c r="O362" t="s">
        <v>161</v>
      </c>
      <c r="P362">
        <v>1543821</v>
      </c>
      <c r="Q362">
        <f>P362 / (300 * 300) * 6.4516</f>
        <v>110.66795070666666</v>
      </c>
      <c r="R362">
        <v>4</v>
      </c>
      <c r="S362" t="s">
        <v>201</v>
      </c>
      <c r="T362">
        <v>53</v>
      </c>
      <c r="U362" t="s">
        <v>135</v>
      </c>
      <c r="V362" t="s">
        <v>135</v>
      </c>
      <c r="W362">
        <f>Q362*100/T362</f>
        <v>208.80745416352198</v>
      </c>
      <c r="X362">
        <f>Q362*100/R362</f>
        <v>2766.6987676666663</v>
      </c>
      <c r="Y362">
        <v>0.16</v>
      </c>
      <c r="Z362">
        <v>0.22</v>
      </c>
      <c r="AA362">
        <v>0.21</v>
      </c>
      <c r="AB362">
        <f>(Q362)/K362</f>
        <v>86.055949227579049</v>
      </c>
    </row>
    <row r="363" spans="1:29" x14ac:dyDescent="0.25">
      <c r="A363">
        <v>292</v>
      </c>
      <c r="B363" t="s">
        <v>761</v>
      </c>
      <c r="D363" t="s">
        <v>335</v>
      </c>
      <c r="E363">
        <v>5</v>
      </c>
      <c r="F363" t="s">
        <v>473</v>
      </c>
      <c r="G363" s="2">
        <v>42923</v>
      </c>
      <c r="H363" t="s">
        <v>192</v>
      </c>
      <c r="I363">
        <v>7.1</v>
      </c>
      <c r="J363" t="s">
        <v>135</v>
      </c>
      <c r="K363">
        <v>4.5999999999999999E-2</v>
      </c>
      <c r="L363">
        <v>10</v>
      </c>
      <c r="M363">
        <f>PI()*((I363/2)^2)/100 * L363</f>
        <v>3.9591921416865365</v>
      </c>
      <c r="Q363">
        <f>P363 / (300 * 300) * 6.4516</f>
        <v>0</v>
      </c>
      <c r="S363" t="s">
        <v>195</v>
      </c>
      <c r="T363" t="s">
        <v>135</v>
      </c>
      <c r="U363">
        <v>88.18</v>
      </c>
      <c r="V363">
        <v>44.13</v>
      </c>
      <c r="W363">
        <f>(((U363/2) * (V363/2)) * PI())</f>
        <v>3056.2853754353182</v>
      </c>
      <c r="X363">
        <f>IF(ISNUMBER(T363), T363*W363, W363)</f>
        <v>3056.2853754353182</v>
      </c>
      <c r="Y363">
        <v>0.21</v>
      </c>
      <c r="Z363">
        <v>0.22</v>
      </c>
      <c r="AA363">
        <v>0.24</v>
      </c>
      <c r="AB363">
        <f>M363/K363</f>
        <v>86.069394384489925</v>
      </c>
    </row>
    <row r="364" spans="1:29" x14ac:dyDescent="0.25">
      <c r="A364">
        <v>293</v>
      </c>
      <c r="B364" t="s">
        <v>762</v>
      </c>
      <c r="D364" t="s">
        <v>763</v>
      </c>
      <c r="E364">
        <v>2</v>
      </c>
      <c r="F364" t="s">
        <v>764</v>
      </c>
      <c r="G364" s="2">
        <v>42923</v>
      </c>
      <c r="H364" t="s">
        <v>192</v>
      </c>
      <c r="I364">
        <v>7.1</v>
      </c>
      <c r="K364">
        <v>4.5999999999999999E-2</v>
      </c>
      <c r="L364">
        <v>10</v>
      </c>
      <c r="M364">
        <f>PI()*((I364/2)^2)/100 * L364</f>
        <v>3.9591921416865365</v>
      </c>
      <c r="Q364">
        <f>P364 / (300 * 300) * 6.4516</f>
        <v>0</v>
      </c>
      <c r="S364" t="s">
        <v>195</v>
      </c>
      <c r="T364" t="s">
        <v>135</v>
      </c>
      <c r="U364">
        <v>59.6</v>
      </c>
      <c r="V364">
        <v>42.6</v>
      </c>
      <c r="W364">
        <f>(((U364/2) * (V364/2)) * PI())</f>
        <v>1994.0945209395852</v>
      </c>
      <c r="X364">
        <f>IF(ISNUMBER(T364), T364*W364, W364)</f>
        <v>1994.0945209395852</v>
      </c>
      <c r="Y364">
        <v>0.23</v>
      </c>
      <c r="Z364">
        <v>0.26</v>
      </c>
      <c r="AA364">
        <v>0.25</v>
      </c>
      <c r="AB364">
        <f>M364/K364</f>
        <v>86.069394384489925</v>
      </c>
    </row>
    <row r="365" spans="1:29" x14ac:dyDescent="0.25">
      <c r="A365">
        <v>294</v>
      </c>
      <c r="B365" t="s">
        <v>765</v>
      </c>
      <c r="D365" t="s">
        <v>376</v>
      </c>
      <c r="E365">
        <v>5</v>
      </c>
      <c r="F365" t="s">
        <v>200</v>
      </c>
      <c r="G365" s="2">
        <v>42923</v>
      </c>
      <c r="H365" t="s">
        <v>192</v>
      </c>
      <c r="I365">
        <v>7.1</v>
      </c>
      <c r="K365">
        <v>4.5999999999999999E-2</v>
      </c>
      <c r="L365">
        <v>10</v>
      </c>
      <c r="M365">
        <f>PI()*((I365/2)^2)/100 * L365</f>
        <v>3.9591921416865365</v>
      </c>
      <c r="Q365">
        <f>P365 / (300 * 300) * 6.4516</f>
        <v>0</v>
      </c>
      <c r="S365" t="s">
        <v>201</v>
      </c>
      <c r="T365">
        <v>9</v>
      </c>
      <c r="U365">
        <v>75.819999999999993</v>
      </c>
      <c r="V365">
        <v>25.15</v>
      </c>
      <c r="W365">
        <f>(((U365/2) * (V365/2)) * PI())</f>
        <v>1497.6545520321822</v>
      </c>
      <c r="X365">
        <f>IF(ISNUMBER(T365), T365*W365, W365)</f>
        <v>13478.890968289639</v>
      </c>
      <c r="Y365">
        <v>0.2</v>
      </c>
      <c r="Z365">
        <v>0.23</v>
      </c>
      <c r="AA365">
        <v>0.23</v>
      </c>
      <c r="AB365">
        <f>M365/K365</f>
        <v>86.069394384489925</v>
      </c>
    </row>
    <row r="366" spans="1:29" x14ac:dyDescent="0.25">
      <c r="A366">
        <v>356</v>
      </c>
      <c r="B366" t="s">
        <v>873</v>
      </c>
      <c r="D366" t="s">
        <v>874</v>
      </c>
      <c r="E366">
        <v>1</v>
      </c>
      <c r="F366" t="s">
        <v>875</v>
      </c>
      <c r="G366" s="2">
        <v>42931</v>
      </c>
      <c r="H366" t="s">
        <v>192</v>
      </c>
      <c r="I366">
        <v>7.1</v>
      </c>
      <c r="K366">
        <v>4.5999999999999999E-2</v>
      </c>
      <c r="L366">
        <v>10</v>
      </c>
      <c r="M366">
        <f>PI()*((I366/2)^2)/100 * L366</f>
        <v>3.9591921416865365</v>
      </c>
      <c r="Q366">
        <f>P366 / (300 * 300) * 6.4516</f>
        <v>0</v>
      </c>
      <c r="S366" t="s">
        <v>201</v>
      </c>
      <c r="T366">
        <v>4</v>
      </c>
      <c r="U366">
        <v>70.23</v>
      </c>
      <c r="V366">
        <v>36.28</v>
      </c>
      <c r="W366">
        <f>(((U366/2) * (V366/2)) * PI())</f>
        <v>2001.1508521988135</v>
      </c>
      <c r="X366">
        <f>IF(ISNUMBER(T366), T366*W366, W366)</f>
        <v>8004.6034087952539</v>
      </c>
      <c r="Y366">
        <v>0.28000000000000003</v>
      </c>
      <c r="Z366">
        <v>0.35</v>
      </c>
      <c r="AA366">
        <v>0.33</v>
      </c>
      <c r="AB366">
        <f>M366/K366</f>
        <v>86.069394384489925</v>
      </c>
      <c r="AC366">
        <v>2841</v>
      </c>
    </row>
    <row r="367" spans="1:29" x14ac:dyDescent="0.25">
      <c r="A367">
        <v>416</v>
      </c>
      <c r="B367" t="s">
        <v>973</v>
      </c>
      <c r="D367" t="s">
        <v>968</v>
      </c>
      <c r="E367">
        <v>2</v>
      </c>
      <c r="F367" t="s">
        <v>969</v>
      </c>
      <c r="G367" s="2">
        <v>42940</v>
      </c>
      <c r="H367" t="s">
        <v>192</v>
      </c>
      <c r="I367">
        <v>7.1</v>
      </c>
      <c r="K367">
        <v>4.5999999999999999E-2</v>
      </c>
      <c r="L367">
        <v>10</v>
      </c>
      <c r="M367">
        <f>PI()*((I367/2)^2)/100 * L367</f>
        <v>3.9591921416865365</v>
      </c>
      <c r="Q367">
        <f>P367 / (300 * 300) * 6.4516</f>
        <v>0</v>
      </c>
      <c r="S367" t="s">
        <v>195</v>
      </c>
      <c r="T367" t="s">
        <v>135</v>
      </c>
      <c r="U367">
        <v>52.44</v>
      </c>
      <c r="V367">
        <v>20.82</v>
      </c>
      <c r="W367">
        <f>(((U367/2) * (V367/2)) * PI())</f>
        <v>857.49834311586471</v>
      </c>
      <c r="X367">
        <f>IF(ISNUMBER(T367), T367*W367, W367)</f>
        <v>857.49834311586471</v>
      </c>
      <c r="Y367">
        <v>0.26</v>
      </c>
      <c r="Z367">
        <v>0.24</v>
      </c>
      <c r="AA367">
        <v>0.25</v>
      </c>
      <c r="AB367">
        <f>M367/K367</f>
        <v>86.069394384489925</v>
      </c>
    </row>
    <row r="368" spans="1:29" x14ac:dyDescent="0.25">
      <c r="A368">
        <v>788</v>
      </c>
      <c r="B368" t="s">
        <v>1219</v>
      </c>
      <c r="D368" t="s">
        <v>1055</v>
      </c>
      <c r="E368">
        <v>1</v>
      </c>
      <c r="F368" t="s">
        <v>188</v>
      </c>
      <c r="G368" s="3">
        <v>43650</v>
      </c>
      <c r="H368" t="s">
        <v>191</v>
      </c>
      <c r="K368">
        <v>1.0569999999999999</v>
      </c>
      <c r="P368">
        <v>1270347</v>
      </c>
      <c r="Q368">
        <f>P368 / (300 * 300) * 6.4516</f>
        <v>91.064118946666667</v>
      </c>
      <c r="Y368">
        <v>0.23</v>
      </c>
      <c r="Z368">
        <v>0.21</v>
      </c>
      <c r="AA368">
        <v>0.25</v>
      </c>
      <c r="AB368">
        <f>Q368/K368</f>
        <v>86.153376486912649</v>
      </c>
    </row>
    <row r="369" spans="1:29" x14ac:dyDescent="0.25">
      <c r="A369">
        <v>187</v>
      </c>
      <c r="B369" t="s">
        <v>454</v>
      </c>
      <c r="D369" t="s">
        <v>430</v>
      </c>
      <c r="E369">
        <v>3</v>
      </c>
      <c r="F369" t="s">
        <v>431</v>
      </c>
      <c r="H369" t="s">
        <v>192</v>
      </c>
      <c r="I369">
        <v>9.6999999999999993</v>
      </c>
      <c r="K369">
        <v>0.154</v>
      </c>
      <c r="L369">
        <v>18</v>
      </c>
      <c r="M369">
        <f>PI()*((I369/2)^2)/100 * L369</f>
        <v>13.301660374931862</v>
      </c>
      <c r="Q369">
        <f>P369 / (300 * 300) * 6.4516</f>
        <v>0</v>
      </c>
      <c r="S369" t="s">
        <v>195</v>
      </c>
      <c r="T369" t="s">
        <v>135</v>
      </c>
      <c r="U369">
        <v>85.4</v>
      </c>
      <c r="V369">
        <v>38.869999999999997</v>
      </c>
      <c r="W369">
        <f>(((U369/2) * (V369/2)) * PI())</f>
        <v>2607.1276326015027</v>
      </c>
      <c r="X369">
        <f>IF(ISNUMBER(T369), T369*W369, W369)</f>
        <v>2607.1276326015027</v>
      </c>
      <c r="Y369">
        <v>0.31</v>
      </c>
      <c r="Z369">
        <v>0.3</v>
      </c>
      <c r="AA369">
        <v>0.33</v>
      </c>
      <c r="AB369">
        <f>M369/K369</f>
        <v>86.37441801903806</v>
      </c>
    </row>
    <row r="370" spans="1:29" x14ac:dyDescent="0.25">
      <c r="A370">
        <v>596</v>
      </c>
      <c r="B370" t="s">
        <v>1451</v>
      </c>
      <c r="C370" t="s">
        <v>293</v>
      </c>
      <c r="D370" t="s">
        <v>358</v>
      </c>
      <c r="E370">
        <v>4</v>
      </c>
      <c r="F370" t="s">
        <v>257</v>
      </c>
      <c r="G370" s="2">
        <v>43646</v>
      </c>
      <c r="H370" t="s">
        <v>191</v>
      </c>
      <c r="Q370">
        <f>P370 / (300 * 300) * 6.4516</f>
        <v>0</v>
      </c>
      <c r="AB370">
        <v>86.391393739999998</v>
      </c>
      <c r="AC370" t="s">
        <v>1607</v>
      </c>
    </row>
    <row r="371" spans="1:29" x14ac:dyDescent="0.25">
      <c r="A371">
        <v>702</v>
      </c>
      <c r="B371" t="s">
        <v>1585</v>
      </c>
      <c r="C371" t="s">
        <v>282</v>
      </c>
      <c r="D371" t="s">
        <v>376</v>
      </c>
      <c r="F371" t="s">
        <v>312</v>
      </c>
      <c r="G371" s="2">
        <v>43649</v>
      </c>
      <c r="H371" t="s">
        <v>191</v>
      </c>
      <c r="Q371">
        <f>P371 / (300 * 300) * 6.4516</f>
        <v>0</v>
      </c>
      <c r="AB371">
        <v>86.566601349999999</v>
      </c>
      <c r="AC371" t="s">
        <v>1607</v>
      </c>
    </row>
    <row r="372" spans="1:29" x14ac:dyDescent="0.25">
      <c r="A372">
        <v>73</v>
      </c>
      <c r="B372" t="s">
        <v>109</v>
      </c>
      <c r="D372" t="s">
        <v>366</v>
      </c>
      <c r="E372">
        <v>1</v>
      </c>
      <c r="F372" t="s">
        <v>269</v>
      </c>
      <c r="H372" t="s">
        <v>191</v>
      </c>
      <c r="I372" t="s">
        <v>135</v>
      </c>
      <c r="J372">
        <v>6.6449999999999996</v>
      </c>
      <c r="K372">
        <v>2.8439999999999999</v>
      </c>
      <c r="L372" t="s">
        <v>135</v>
      </c>
      <c r="N372">
        <f>(J372-K372)/J372</f>
        <v>0.57200902934537246</v>
      </c>
      <c r="O372" t="s">
        <v>109</v>
      </c>
      <c r="P372">
        <v>3435595</v>
      </c>
      <c r="Q372">
        <f>P372 / (300 * 300) * 6.4516</f>
        <v>246.2787189111111</v>
      </c>
      <c r="R372">
        <v>2</v>
      </c>
      <c r="S372" t="s">
        <v>201</v>
      </c>
      <c r="T372">
        <v>21</v>
      </c>
      <c r="U372" t="s">
        <v>135</v>
      </c>
      <c r="V372" t="s">
        <v>135</v>
      </c>
      <c r="W372">
        <f>Q372*100/T372</f>
        <v>1172.7558043386243</v>
      </c>
      <c r="X372">
        <f>Q372*100/R372</f>
        <v>12313.935945555555</v>
      </c>
      <c r="Y372">
        <v>0.17</v>
      </c>
      <c r="Z372">
        <v>0.19</v>
      </c>
      <c r="AA372">
        <v>0.18</v>
      </c>
      <c r="AB372">
        <f>(Q372)/K372</f>
        <v>86.595892725425841</v>
      </c>
    </row>
    <row r="373" spans="1:29" x14ac:dyDescent="0.25">
      <c r="A373">
        <v>217</v>
      </c>
      <c r="B373" t="s">
        <v>523</v>
      </c>
      <c r="D373" t="s">
        <v>389</v>
      </c>
      <c r="E373">
        <v>2</v>
      </c>
      <c r="F373" t="s">
        <v>290</v>
      </c>
      <c r="H373" t="s">
        <v>192</v>
      </c>
      <c r="I373">
        <v>7.1</v>
      </c>
      <c r="K373">
        <v>7.2999999999999995E-2</v>
      </c>
      <c r="L373">
        <v>16</v>
      </c>
      <c r="M373">
        <f>PI()*((I373/2)^2)/100 * L373</f>
        <v>6.3347074266984587</v>
      </c>
      <c r="Q373">
        <f>P373 / (300 * 300) * 6.4516</f>
        <v>0</v>
      </c>
      <c r="S373" t="s">
        <v>201</v>
      </c>
      <c r="T373">
        <v>8</v>
      </c>
      <c r="U373">
        <v>46.27</v>
      </c>
      <c r="V373">
        <v>24.48</v>
      </c>
      <c r="W373">
        <f>(((U373/2) * (V373/2)) * PI())</f>
        <v>889.61233153939042</v>
      </c>
      <c r="X373">
        <f>IF(ISNUMBER(T373), T373*W373, W373)</f>
        <v>7116.8986523151234</v>
      </c>
      <c r="Y373">
        <v>0.2</v>
      </c>
      <c r="Z373">
        <v>0.22</v>
      </c>
      <c r="AA373">
        <v>0.2</v>
      </c>
      <c r="AB373">
        <f>M373/K373</f>
        <v>86.776814064362455</v>
      </c>
    </row>
    <row r="374" spans="1:29" x14ac:dyDescent="0.25">
      <c r="A374">
        <v>455</v>
      </c>
      <c r="B374" t="s">
        <v>1071</v>
      </c>
      <c r="D374" t="s">
        <v>858</v>
      </c>
      <c r="E374">
        <v>3</v>
      </c>
      <c r="F374" t="s">
        <v>859</v>
      </c>
      <c r="G374" s="2">
        <v>42951</v>
      </c>
      <c r="H374" t="s">
        <v>192</v>
      </c>
      <c r="I374">
        <v>7.1</v>
      </c>
      <c r="K374">
        <v>4.1000000000000002E-2</v>
      </c>
      <c r="L374">
        <v>9</v>
      </c>
      <c r="M374">
        <f>PI()*((I374/2)^2)/100 * L374</f>
        <v>3.5632729275178829</v>
      </c>
      <c r="Q374">
        <f>P374 / (300 * 300) * 6.4516</f>
        <v>0</v>
      </c>
      <c r="S374" t="s">
        <v>195</v>
      </c>
      <c r="T374" t="s">
        <v>135</v>
      </c>
      <c r="U374">
        <v>72.77</v>
      </c>
      <c r="V374">
        <v>64.27</v>
      </c>
      <c r="W374">
        <f>(((U374/2) * (V374/2)) * PI())</f>
        <v>3673.2505830022842</v>
      </c>
      <c r="X374">
        <f>IF(ISNUMBER(T374), T374*W374, W374)</f>
        <v>3673.2505830022842</v>
      </c>
      <c r="Y374">
        <v>0.47</v>
      </c>
      <c r="Z374">
        <v>0.46</v>
      </c>
      <c r="AA374">
        <v>0.47</v>
      </c>
      <c r="AB374">
        <f>M374/K374</f>
        <v>86.909095793119093</v>
      </c>
    </row>
    <row r="375" spans="1:29" x14ac:dyDescent="0.25">
      <c r="A375">
        <v>346</v>
      </c>
      <c r="B375" t="s">
        <v>877</v>
      </c>
      <c r="D375" t="s">
        <v>878</v>
      </c>
      <c r="E375">
        <v>1</v>
      </c>
      <c r="F375" t="s">
        <v>879</v>
      </c>
      <c r="G375" s="2">
        <v>42931</v>
      </c>
      <c r="H375" t="s">
        <v>192</v>
      </c>
      <c r="I375">
        <v>9.6999999999999993</v>
      </c>
      <c r="K375">
        <v>8.5000000000000006E-2</v>
      </c>
      <c r="L375">
        <v>10</v>
      </c>
      <c r="M375">
        <f>PI()*((I375/2)^2)/100 * L375</f>
        <v>7.38981131940659</v>
      </c>
      <c r="Q375">
        <f>P375 / (300 * 300) * 6.4516</f>
        <v>0</v>
      </c>
      <c r="AB375">
        <f>M375/K375</f>
        <v>86.938956698901052</v>
      </c>
      <c r="AC375" t="s">
        <v>1104</v>
      </c>
    </row>
    <row r="376" spans="1:29" x14ac:dyDescent="0.25">
      <c r="A376">
        <v>227</v>
      </c>
      <c r="B376" t="s">
        <v>578</v>
      </c>
      <c r="D376" t="s">
        <v>488</v>
      </c>
      <c r="E376">
        <v>2</v>
      </c>
      <c r="F376" t="s">
        <v>489</v>
      </c>
      <c r="H376" t="s">
        <v>192</v>
      </c>
      <c r="I376">
        <v>7.1</v>
      </c>
      <c r="K376">
        <v>0.05</v>
      </c>
      <c r="L376">
        <v>11</v>
      </c>
      <c r="M376">
        <f>PI()*((I376/2)^2)/100 * L376</f>
        <v>4.3551113558551906</v>
      </c>
      <c r="Q376">
        <f>P376 / (300 * 300) * 6.4516</f>
        <v>0</v>
      </c>
      <c r="S376" t="s">
        <v>195</v>
      </c>
      <c r="T376" t="s">
        <v>135</v>
      </c>
      <c r="U376">
        <v>73.849999999999994</v>
      </c>
      <c r="V376">
        <v>33.58</v>
      </c>
      <c r="W376">
        <f>(((U376/2) * (V376/2)) * PI())</f>
        <v>1947.6955536405542</v>
      </c>
      <c r="X376">
        <f>IF(ISNUMBER(T376), T376*W376, W376)</f>
        <v>1947.6955536405542</v>
      </c>
      <c r="Y376">
        <v>0.15</v>
      </c>
      <c r="Z376">
        <v>0.2</v>
      </c>
      <c r="AA376">
        <v>0.16</v>
      </c>
      <c r="AB376">
        <f>M376/K376</f>
        <v>87.102227117103808</v>
      </c>
    </row>
    <row r="377" spans="1:29" x14ac:dyDescent="0.25">
      <c r="A377">
        <v>20</v>
      </c>
      <c r="B377" t="s">
        <v>26</v>
      </c>
      <c r="D377" t="s">
        <v>344</v>
      </c>
      <c r="E377">
        <v>1</v>
      </c>
      <c r="F377" t="s">
        <v>32</v>
      </c>
      <c r="H377" t="s">
        <v>191</v>
      </c>
      <c r="I377" t="s">
        <v>135</v>
      </c>
      <c r="J377">
        <v>4.5519999999999996</v>
      </c>
      <c r="K377">
        <v>1.5049999999999999</v>
      </c>
      <c r="L377" t="s">
        <v>135</v>
      </c>
      <c r="N377">
        <f>(J377-K377)/J377</f>
        <v>0.66937609841827772</v>
      </c>
      <c r="P377">
        <v>1829019</v>
      </c>
      <c r="Q377">
        <f>P377 / (300 * 300) * 6.4516</f>
        <v>131.11221089333333</v>
      </c>
      <c r="R377">
        <v>6</v>
      </c>
      <c r="S377" t="s">
        <v>195</v>
      </c>
      <c r="T377" t="s">
        <v>135</v>
      </c>
      <c r="U377" t="s">
        <v>135</v>
      </c>
      <c r="V377" t="s">
        <v>135</v>
      </c>
      <c r="W377">
        <f>Q377*100/R377</f>
        <v>2185.2035148888885</v>
      </c>
      <c r="X377">
        <f>W377</f>
        <v>2185.2035148888885</v>
      </c>
      <c r="Y377">
        <v>0.39</v>
      </c>
      <c r="Z377">
        <v>0.42</v>
      </c>
      <c r="AA377">
        <v>0.39</v>
      </c>
      <c r="AB377">
        <f>(Q377)/K377</f>
        <v>87.117748101882611</v>
      </c>
    </row>
    <row r="378" spans="1:29" x14ac:dyDescent="0.25">
      <c r="A378">
        <v>800</v>
      </c>
      <c r="B378" t="s">
        <v>1783</v>
      </c>
      <c r="D378" t="s">
        <v>1272</v>
      </c>
      <c r="E378">
        <v>6</v>
      </c>
      <c r="F378" t="s">
        <v>1695</v>
      </c>
      <c r="G378" s="3">
        <v>43662</v>
      </c>
      <c r="H378" t="s">
        <v>191</v>
      </c>
      <c r="K378">
        <v>2.609</v>
      </c>
      <c r="P378">
        <v>3173872</v>
      </c>
      <c r="Q378">
        <f>P378 / (300 * 300) * 6.4516</f>
        <v>227.51725105777777</v>
      </c>
      <c r="Y378">
        <v>0.24</v>
      </c>
      <c r="Z378">
        <v>0.25</v>
      </c>
      <c r="AA378">
        <v>0.22</v>
      </c>
      <c r="AB378">
        <f>Q378/K378</f>
        <v>87.204772348707465</v>
      </c>
    </row>
    <row r="379" spans="1:29" x14ac:dyDescent="0.25">
      <c r="A379">
        <v>487</v>
      </c>
      <c r="B379" t="s">
        <v>1312</v>
      </c>
      <c r="C379" t="s">
        <v>415</v>
      </c>
      <c r="D379" t="s">
        <v>416</v>
      </c>
      <c r="E379">
        <v>3</v>
      </c>
      <c r="F379" t="s">
        <v>1310</v>
      </c>
      <c r="G379" s="2">
        <v>43657</v>
      </c>
      <c r="H379" t="s">
        <v>191</v>
      </c>
      <c r="Q379">
        <f>P379 / (300 * 300) * 6.4516</f>
        <v>0</v>
      </c>
      <c r="AB379">
        <v>87.234712669999993</v>
      </c>
      <c r="AC379" t="s">
        <v>1607</v>
      </c>
    </row>
    <row r="380" spans="1:29" x14ac:dyDescent="0.25">
      <c r="A380">
        <v>90</v>
      </c>
      <c r="B380" t="s">
        <v>1219</v>
      </c>
      <c r="C380" t="s">
        <v>189</v>
      </c>
      <c r="D380" t="s">
        <v>1055</v>
      </c>
      <c r="E380">
        <v>1</v>
      </c>
      <c r="F380" t="s">
        <v>188</v>
      </c>
      <c r="H380" t="s">
        <v>192</v>
      </c>
      <c r="I380">
        <v>7.1</v>
      </c>
      <c r="J380" t="s">
        <v>135</v>
      </c>
      <c r="K380">
        <v>5.8999999999999997E-2</v>
      </c>
      <c r="L380">
        <v>13</v>
      </c>
      <c r="M380">
        <f>PI()*((I380/2)^2)/100 * L380</f>
        <v>5.1469497841924978</v>
      </c>
      <c r="N380" t="s">
        <v>135</v>
      </c>
      <c r="O380" t="s">
        <v>135</v>
      </c>
      <c r="Q380">
        <f>P380 / (300 * 300) * 6.4516</f>
        <v>0</v>
      </c>
      <c r="R380" t="s">
        <v>135</v>
      </c>
      <c r="S380" t="s">
        <v>195</v>
      </c>
      <c r="T380" t="s">
        <v>135</v>
      </c>
      <c r="U380">
        <v>79</v>
      </c>
      <c r="V380">
        <v>18.5</v>
      </c>
      <c r="W380">
        <f>(((U380/2) * (V380/2)) * PI())</f>
        <v>1147.8594158053706</v>
      </c>
      <c r="X380">
        <f>IF(ISNUMBER(T380), T380*W380, W380)</f>
        <v>1147.8594158053706</v>
      </c>
      <c r="Y380">
        <v>0.27</v>
      </c>
      <c r="Z380">
        <v>0.28999999999999998</v>
      </c>
      <c r="AA380">
        <v>0.2</v>
      </c>
      <c r="AB380">
        <f>M380/K380</f>
        <v>87.236437020211838</v>
      </c>
      <c r="AC380" t="s">
        <v>187</v>
      </c>
    </row>
    <row r="381" spans="1:29" x14ac:dyDescent="0.25">
      <c r="A381">
        <v>251</v>
      </c>
      <c r="B381" t="s">
        <v>608</v>
      </c>
      <c r="D381" t="s">
        <v>430</v>
      </c>
      <c r="E381">
        <v>4</v>
      </c>
      <c r="F381" t="s">
        <v>431</v>
      </c>
      <c r="H381" t="s">
        <v>192</v>
      </c>
      <c r="I381">
        <v>9.6999999999999993</v>
      </c>
      <c r="K381">
        <v>7.5999999999999998E-2</v>
      </c>
      <c r="L381">
        <v>9</v>
      </c>
      <c r="M381">
        <f>PI()*((I381/2)^2)/100 * L381</f>
        <v>6.6508301874659308</v>
      </c>
      <c r="Q381">
        <f>P381 / (300 * 300) * 6.4516</f>
        <v>0</v>
      </c>
      <c r="S381" t="s">
        <v>195</v>
      </c>
      <c r="T381" t="s">
        <v>135</v>
      </c>
      <c r="U381">
        <v>97.37</v>
      </c>
      <c r="V381">
        <v>58.27</v>
      </c>
      <c r="W381">
        <f>(((U381/2) * (V381/2)) * PI())</f>
        <v>4456.1527510364567</v>
      </c>
      <c r="X381">
        <f>IF(ISNUMBER(T381), T381*W381, W381)</f>
        <v>4456.1527510364567</v>
      </c>
      <c r="Y381">
        <v>0.33</v>
      </c>
      <c r="Z381">
        <v>0.36</v>
      </c>
      <c r="AA381">
        <v>0.33</v>
      </c>
      <c r="AB381">
        <f>M381/K381</f>
        <v>87.510923519288568</v>
      </c>
    </row>
    <row r="382" spans="1:29" x14ac:dyDescent="0.25">
      <c r="A382">
        <v>33</v>
      </c>
      <c r="B382" t="s">
        <v>69</v>
      </c>
      <c r="D382" t="s">
        <v>346</v>
      </c>
      <c r="E382">
        <v>3</v>
      </c>
      <c r="F382" t="s">
        <v>372</v>
      </c>
      <c r="H382" t="s">
        <v>191</v>
      </c>
      <c r="I382" t="s">
        <v>135</v>
      </c>
      <c r="J382">
        <v>8.9039999999999999</v>
      </c>
      <c r="K382">
        <v>4.3479999999999999</v>
      </c>
      <c r="L382" t="s">
        <v>135</v>
      </c>
      <c r="N382" t="s">
        <v>135</v>
      </c>
      <c r="O382" t="s">
        <v>160</v>
      </c>
      <c r="P382">
        <v>5318167</v>
      </c>
      <c r="Q382">
        <f>P382 / (300 * 300) * 6.4516</f>
        <v>381.22984685777777</v>
      </c>
      <c r="R382">
        <v>2</v>
      </c>
      <c r="S382" t="s">
        <v>201</v>
      </c>
      <c r="T382">
        <v>30</v>
      </c>
      <c r="U382" t="s">
        <v>135</v>
      </c>
      <c r="V382" t="s">
        <v>135</v>
      </c>
      <c r="W382">
        <f>Q382*100/T382</f>
        <v>1270.7661561925925</v>
      </c>
      <c r="X382">
        <f>Q382*100/R382</f>
        <v>19061.492342888887</v>
      </c>
      <c r="Y382">
        <v>0.22</v>
      </c>
      <c r="Z382">
        <v>0.21</v>
      </c>
      <c r="AA382">
        <v>0.21</v>
      </c>
      <c r="AB382">
        <f>(Q382)/K382</f>
        <v>87.679357602984766</v>
      </c>
    </row>
    <row r="383" spans="1:29" x14ac:dyDescent="0.25">
      <c r="A383">
        <v>44</v>
      </c>
      <c r="B383" t="s">
        <v>79</v>
      </c>
      <c r="D383" t="s">
        <v>346</v>
      </c>
      <c r="E383">
        <v>4</v>
      </c>
      <c r="F383" t="s">
        <v>372</v>
      </c>
      <c r="H383" t="s">
        <v>191</v>
      </c>
      <c r="I383" t="s">
        <v>135</v>
      </c>
      <c r="J383">
        <v>4.6479999999999997</v>
      </c>
      <c r="K383">
        <v>2.3199999999999998</v>
      </c>
      <c r="L383" t="s">
        <v>135</v>
      </c>
      <c r="N383">
        <f>(J383-K383)/J383</f>
        <v>0.50086058519793464</v>
      </c>
      <c r="O383" t="s">
        <v>157</v>
      </c>
      <c r="P383">
        <v>2839769</v>
      </c>
      <c r="Q383">
        <f>P383 / (300 * 300) * 6.4516</f>
        <v>203.56726311555556</v>
      </c>
      <c r="R383">
        <v>2</v>
      </c>
      <c r="S383" t="s">
        <v>201</v>
      </c>
      <c r="T383">
        <v>30</v>
      </c>
      <c r="U383" t="s">
        <v>135</v>
      </c>
      <c r="V383" t="s">
        <v>135</v>
      </c>
      <c r="W383">
        <f>Q383*100/T383</f>
        <v>678.55754371851856</v>
      </c>
      <c r="X383">
        <f>Q383*100/R383</f>
        <v>10178.363155777779</v>
      </c>
      <c r="Y383">
        <v>0.19</v>
      </c>
      <c r="Z383">
        <v>0.19</v>
      </c>
      <c r="AA383">
        <v>0.22</v>
      </c>
      <c r="AB383">
        <f>(Q383)/K383</f>
        <v>87.744509963601544</v>
      </c>
    </row>
    <row r="384" spans="1:29" x14ac:dyDescent="0.25">
      <c r="A384">
        <v>224</v>
      </c>
      <c r="B384" t="s">
        <v>1209</v>
      </c>
      <c r="F384" t="s">
        <v>542</v>
      </c>
      <c r="I384">
        <v>9.6999999999999993</v>
      </c>
      <c r="K384">
        <v>8.4000000000000005E-2</v>
      </c>
      <c r="L384">
        <v>10</v>
      </c>
      <c r="M384">
        <f>PI()*((I384/2)^2)/100 * L384</f>
        <v>7.38981131940659</v>
      </c>
      <c r="Q384">
        <f>P384 / (300 * 300) * 6.4516</f>
        <v>0</v>
      </c>
      <c r="AB384">
        <f>M384/K384</f>
        <v>87.973944278649881</v>
      </c>
    </row>
    <row r="385" spans="1:29" x14ac:dyDescent="0.25">
      <c r="A385">
        <v>277</v>
      </c>
      <c r="B385" t="s">
        <v>741</v>
      </c>
      <c r="D385" t="s">
        <v>347</v>
      </c>
      <c r="E385">
        <v>5</v>
      </c>
      <c r="F385" t="s">
        <v>361</v>
      </c>
      <c r="G385" s="2">
        <v>42921</v>
      </c>
      <c r="H385" t="s">
        <v>192</v>
      </c>
      <c r="I385">
        <v>9.6999999999999993</v>
      </c>
      <c r="K385">
        <v>8.4000000000000005E-2</v>
      </c>
      <c r="L385">
        <v>10</v>
      </c>
      <c r="M385">
        <f>PI()*((I385/2)^2)/100 * L385</f>
        <v>7.38981131940659</v>
      </c>
      <c r="Q385">
        <f>P385 / (300 * 300) * 6.4516</f>
        <v>0</v>
      </c>
      <c r="S385" t="s">
        <v>195</v>
      </c>
      <c r="T385" t="s">
        <v>135</v>
      </c>
      <c r="U385">
        <v>158</v>
      </c>
      <c r="V385">
        <v>88.15</v>
      </c>
      <c r="W385">
        <f>(((U385/2) * (V385/2)) * PI())</f>
        <v>10938.79000035064</v>
      </c>
      <c r="X385">
        <f>IF(ISNUMBER(T385), T385*W385, W385)</f>
        <v>10938.79000035064</v>
      </c>
      <c r="Y385">
        <v>0.56999999999999995</v>
      </c>
      <c r="Z385">
        <v>0.66</v>
      </c>
      <c r="AA385">
        <v>0.67</v>
      </c>
      <c r="AB385">
        <f>M385/K385</f>
        <v>87.973944278649881</v>
      </c>
    </row>
    <row r="386" spans="1:29" x14ac:dyDescent="0.25">
      <c r="A386">
        <v>402</v>
      </c>
      <c r="B386" t="s">
        <v>957</v>
      </c>
      <c r="D386" t="s">
        <v>941</v>
      </c>
      <c r="E386">
        <v>5</v>
      </c>
      <c r="F386" t="s">
        <v>942</v>
      </c>
      <c r="G386" s="2">
        <v>42940</v>
      </c>
      <c r="H386" t="s">
        <v>192</v>
      </c>
      <c r="I386">
        <v>9.6999999999999993</v>
      </c>
      <c r="K386">
        <v>8.4000000000000005E-2</v>
      </c>
      <c r="L386">
        <v>10</v>
      </c>
      <c r="M386">
        <f>PI()*((I386/2)^2)/100 * L386</f>
        <v>7.38981131940659</v>
      </c>
      <c r="Q386">
        <f>P386 / (300 * 300) * 6.4516</f>
        <v>0</v>
      </c>
      <c r="S386" t="s">
        <v>195</v>
      </c>
      <c r="T386" t="s">
        <v>135</v>
      </c>
      <c r="U386">
        <v>65.38</v>
      </c>
      <c r="V386">
        <v>29.59</v>
      </c>
      <c r="W386">
        <f>(((U386/2) * (V386/2)) * PI())</f>
        <v>1519.4267315993557</v>
      </c>
      <c r="X386">
        <f>IF(ISNUMBER(T386), T386*W386, W386)</f>
        <v>1519.4267315993557</v>
      </c>
      <c r="Y386">
        <v>0.3</v>
      </c>
      <c r="Z386">
        <v>0.28000000000000003</v>
      </c>
      <c r="AA386">
        <v>0.31</v>
      </c>
      <c r="AB386">
        <f>M386/K386</f>
        <v>87.973944278649881</v>
      </c>
    </row>
    <row r="387" spans="1:29" x14ac:dyDescent="0.25">
      <c r="A387">
        <v>105</v>
      </c>
      <c r="B387" t="s">
        <v>1234</v>
      </c>
      <c r="C387" t="s">
        <v>236</v>
      </c>
      <c r="D387" t="s">
        <v>379</v>
      </c>
      <c r="E387">
        <v>2</v>
      </c>
      <c r="F387" t="s">
        <v>234</v>
      </c>
      <c r="H387" t="s">
        <v>192</v>
      </c>
      <c r="I387">
        <v>7.1</v>
      </c>
      <c r="J387" t="s">
        <v>135</v>
      </c>
      <c r="K387">
        <v>6.3E-2</v>
      </c>
      <c r="L387">
        <v>14</v>
      </c>
      <c r="M387">
        <f>PI()*((I387/2)^2)/100 * L387</f>
        <v>5.5428689983611514</v>
      </c>
      <c r="N387" t="s">
        <v>135</v>
      </c>
      <c r="O387" t="s">
        <v>135</v>
      </c>
      <c r="Q387">
        <f>P387 / (300 * 300) * 6.4516</f>
        <v>0</v>
      </c>
      <c r="R387" t="s">
        <v>135</v>
      </c>
      <c r="S387" t="s">
        <v>195</v>
      </c>
      <c r="T387" t="s">
        <v>135</v>
      </c>
      <c r="U387">
        <v>68.069999999999993</v>
      </c>
      <c r="V387">
        <v>31.84</v>
      </c>
      <c r="W387">
        <f>(((U387/2) * (V387/2)) * PI())</f>
        <v>1702.2317669616632</v>
      </c>
      <c r="X387">
        <f>IF(ISNUMBER(T387), T387*W387, W387)</f>
        <v>1702.2317669616632</v>
      </c>
      <c r="Y387">
        <v>0.34</v>
      </c>
      <c r="Z387">
        <v>0.32</v>
      </c>
      <c r="AA387">
        <v>0.28999999999999998</v>
      </c>
      <c r="AB387">
        <f>M387/K387</f>
        <v>87.982047593034153</v>
      </c>
      <c r="AC387" t="s">
        <v>237</v>
      </c>
    </row>
    <row r="388" spans="1:29" x14ac:dyDescent="0.25">
      <c r="A388">
        <v>256</v>
      </c>
      <c r="B388" t="s">
        <v>614</v>
      </c>
      <c r="D388" t="s">
        <v>389</v>
      </c>
      <c r="E388">
        <v>3</v>
      </c>
      <c r="F388" t="s">
        <v>290</v>
      </c>
      <c r="H388" t="s">
        <v>192</v>
      </c>
      <c r="I388">
        <v>7.1</v>
      </c>
      <c r="K388">
        <v>4.4999999999999998E-2</v>
      </c>
      <c r="L388">
        <v>10</v>
      </c>
      <c r="M388">
        <f>PI()*((I388/2)^2)/100 * L388</f>
        <v>3.9591921416865365</v>
      </c>
      <c r="Q388">
        <f>P388 / (300 * 300) * 6.4516</f>
        <v>0</v>
      </c>
      <c r="S388" t="s">
        <v>201</v>
      </c>
      <c r="T388">
        <v>7</v>
      </c>
      <c r="U388">
        <v>54.48</v>
      </c>
      <c r="V388">
        <v>24.45</v>
      </c>
      <c r="W388">
        <f>(((U388/2) * (V388/2)) * PI())</f>
        <v>1046.1786279792832</v>
      </c>
      <c r="X388">
        <f>IF(ISNUMBER(T388), T388*W388, W388)</f>
        <v>7323.2503958549823</v>
      </c>
      <c r="Y388">
        <v>0.15</v>
      </c>
      <c r="Z388">
        <v>0.15</v>
      </c>
      <c r="AA388">
        <v>0.16</v>
      </c>
      <c r="AB388">
        <f>M388/K388</f>
        <v>87.982047593034153</v>
      </c>
    </row>
    <row r="389" spans="1:29" x14ac:dyDescent="0.25">
      <c r="A389">
        <v>389</v>
      </c>
      <c r="B389" t="s">
        <v>937</v>
      </c>
      <c r="D389" t="s">
        <v>521</v>
      </c>
      <c r="E389">
        <v>4</v>
      </c>
      <c r="F389" t="s">
        <v>769</v>
      </c>
      <c r="G389" s="2">
        <v>42936</v>
      </c>
      <c r="H389" t="s">
        <v>192</v>
      </c>
      <c r="I389">
        <v>7.1</v>
      </c>
      <c r="K389">
        <v>4.4999999999999998E-2</v>
      </c>
      <c r="L389">
        <v>10</v>
      </c>
      <c r="M389">
        <f>PI()*((I389/2)^2)/100 * L389</f>
        <v>3.9591921416865365</v>
      </c>
      <c r="Q389">
        <f>P389 / (300 * 300) * 6.4516</f>
        <v>0</v>
      </c>
      <c r="S389" t="s">
        <v>195</v>
      </c>
      <c r="T389" t="s">
        <v>135</v>
      </c>
      <c r="U389">
        <v>84.7</v>
      </c>
      <c r="V389">
        <v>17.64</v>
      </c>
      <c r="W389">
        <f>(((U389/2) * (V389/2)) * PI())</f>
        <v>1173.4696791174347</v>
      </c>
      <c r="X389">
        <f>IF(ISNUMBER(T389), T389*W389, W389)</f>
        <v>1173.4696791174347</v>
      </c>
      <c r="Y389">
        <v>0.35</v>
      </c>
      <c r="Z389">
        <v>0.37</v>
      </c>
      <c r="AA389">
        <v>0.31</v>
      </c>
      <c r="AB389">
        <f>M389/K389</f>
        <v>87.982047593034153</v>
      </c>
    </row>
    <row r="390" spans="1:29" x14ac:dyDescent="0.25">
      <c r="A390">
        <v>560</v>
      </c>
      <c r="B390" t="s">
        <v>1406</v>
      </c>
      <c r="C390" t="s">
        <v>1407</v>
      </c>
      <c r="D390" t="s">
        <v>351</v>
      </c>
      <c r="E390">
        <v>9</v>
      </c>
      <c r="F390" t="s">
        <v>219</v>
      </c>
      <c r="G390" s="2">
        <v>43633</v>
      </c>
      <c r="H390" t="s">
        <v>191</v>
      </c>
      <c r="Q390">
        <f>P390 / (300 * 300) * 6.4516</f>
        <v>0</v>
      </c>
      <c r="AB390">
        <v>88.10703384</v>
      </c>
      <c r="AC390" t="s">
        <v>1607</v>
      </c>
    </row>
    <row r="391" spans="1:29" x14ac:dyDescent="0.25">
      <c r="A391">
        <v>605</v>
      </c>
      <c r="B391" t="s">
        <v>1463</v>
      </c>
      <c r="C391" t="s">
        <v>1202</v>
      </c>
      <c r="D391" t="s">
        <v>335</v>
      </c>
      <c r="E391">
        <v>4</v>
      </c>
      <c r="F391" t="s">
        <v>473</v>
      </c>
      <c r="G391" s="2">
        <v>43651</v>
      </c>
      <c r="H391" t="s">
        <v>191</v>
      </c>
      <c r="Q391">
        <f>P391 / (300 * 300) * 6.4516</f>
        <v>0</v>
      </c>
      <c r="AB391">
        <v>88.367700490000004</v>
      </c>
      <c r="AC391" t="s">
        <v>1607</v>
      </c>
    </row>
    <row r="392" spans="1:29" x14ac:dyDescent="0.25">
      <c r="A392">
        <v>516</v>
      </c>
      <c r="B392" t="s">
        <v>1346</v>
      </c>
      <c r="C392" t="s">
        <v>523</v>
      </c>
      <c r="D392" t="s">
        <v>389</v>
      </c>
      <c r="E392">
        <v>2</v>
      </c>
      <c r="F392" t="s">
        <v>317</v>
      </c>
      <c r="G392" s="2">
        <v>43645</v>
      </c>
      <c r="H392" t="s">
        <v>191</v>
      </c>
      <c r="Q392">
        <f>P392 / (300 * 300) * 6.4516</f>
        <v>0</v>
      </c>
      <c r="AB392">
        <v>88.475039890000005</v>
      </c>
      <c r="AC392" t="s">
        <v>1607</v>
      </c>
    </row>
    <row r="393" spans="1:29" x14ac:dyDescent="0.25">
      <c r="A393">
        <v>634</v>
      </c>
      <c r="B393" t="s">
        <v>1498</v>
      </c>
      <c r="C393" t="s">
        <v>1499</v>
      </c>
      <c r="D393" t="s">
        <v>331</v>
      </c>
      <c r="E393">
        <v>6</v>
      </c>
      <c r="F393" t="s">
        <v>5</v>
      </c>
      <c r="G393" s="2">
        <v>43618</v>
      </c>
      <c r="H393" t="s">
        <v>191</v>
      </c>
      <c r="Q393">
        <f>P393 / (300 * 300) * 6.4516</f>
        <v>0</v>
      </c>
      <c r="AB393">
        <v>88.493065810000004</v>
      </c>
      <c r="AC393" t="s">
        <v>1607</v>
      </c>
    </row>
    <row r="394" spans="1:29" x14ac:dyDescent="0.25">
      <c r="A394">
        <v>754</v>
      </c>
      <c r="B394" t="s">
        <v>1717</v>
      </c>
      <c r="D394" t="s">
        <v>1714</v>
      </c>
      <c r="E394">
        <v>2</v>
      </c>
      <c r="F394" t="s">
        <v>1716</v>
      </c>
      <c r="G394" s="3">
        <v>43645</v>
      </c>
      <c r="H394" t="s">
        <v>191</v>
      </c>
      <c r="K394">
        <v>3.2810000000000001</v>
      </c>
      <c r="P394">
        <v>4056044</v>
      </c>
      <c r="Q394">
        <f>P394 / (300 * 300) * 6.4516</f>
        <v>290.75526078222225</v>
      </c>
      <c r="S394" t="s">
        <v>1073</v>
      </c>
      <c r="AB394">
        <f>Q394/K394</f>
        <v>88.617878933929362</v>
      </c>
    </row>
    <row r="395" spans="1:29" x14ac:dyDescent="0.25">
      <c r="A395">
        <v>215</v>
      </c>
      <c r="B395" t="s">
        <v>520</v>
      </c>
      <c r="D395" t="s">
        <v>521</v>
      </c>
      <c r="E395">
        <v>1</v>
      </c>
      <c r="F395" t="s">
        <v>769</v>
      </c>
      <c r="H395" t="s">
        <v>192</v>
      </c>
      <c r="I395">
        <v>7.1</v>
      </c>
      <c r="K395">
        <v>5.8000000000000003E-2</v>
      </c>
      <c r="L395">
        <v>13</v>
      </c>
      <c r="M395">
        <f>PI()*((I395/2)^2)/100 * L395</f>
        <v>5.1469497841924978</v>
      </c>
      <c r="Q395">
        <f>P395 / (300 * 300) * 6.4516</f>
        <v>0</v>
      </c>
      <c r="S395" t="s">
        <v>195</v>
      </c>
      <c r="T395" t="s">
        <v>135</v>
      </c>
      <c r="U395">
        <v>52.79</v>
      </c>
      <c r="V395">
        <v>17.82</v>
      </c>
      <c r="W395">
        <f>(((U395/2) * (V395/2)) * PI())</f>
        <v>738.83803239528811</v>
      </c>
      <c r="X395">
        <f>IF(ISNUMBER(T395), T395*W395, W395)</f>
        <v>738.83803239528811</v>
      </c>
      <c r="Y395">
        <v>0.33</v>
      </c>
      <c r="Z395">
        <v>0.32</v>
      </c>
      <c r="AA395">
        <v>0.34</v>
      </c>
      <c r="AB395">
        <f>M395/K395</f>
        <v>88.740513520560299</v>
      </c>
    </row>
    <row r="396" spans="1:29" x14ac:dyDescent="0.25">
      <c r="A396">
        <v>281</v>
      </c>
      <c r="B396" t="s">
        <v>749</v>
      </c>
      <c r="D396" t="s">
        <v>593</v>
      </c>
      <c r="E396">
        <v>5</v>
      </c>
      <c r="F396" t="s">
        <v>728</v>
      </c>
      <c r="G396" s="2">
        <v>42923</v>
      </c>
      <c r="H396" t="s">
        <v>192</v>
      </c>
      <c r="I396">
        <v>9.6999999999999993</v>
      </c>
      <c r="K396">
        <v>8.3000000000000004E-2</v>
      </c>
      <c r="L396">
        <v>10</v>
      </c>
      <c r="M396">
        <f>PI()*((I396/2)^2)/100 * L396</f>
        <v>7.38981131940659</v>
      </c>
      <c r="Q396">
        <f>P396 / (300 * 300) * 6.4516</f>
        <v>0</v>
      </c>
      <c r="S396" t="s">
        <v>201</v>
      </c>
      <c r="T396">
        <v>5</v>
      </c>
      <c r="U396">
        <v>139.07</v>
      </c>
      <c r="V396">
        <v>57.38</v>
      </c>
      <c r="W396">
        <f>(((U396/2) * (V396/2)) * PI())</f>
        <v>6267.3490098517377</v>
      </c>
      <c r="X396">
        <f>IF(ISNUMBER(T396), T396*W396, W396)</f>
        <v>31336.745049258687</v>
      </c>
      <c r="Y396">
        <v>0.35</v>
      </c>
      <c r="Z396">
        <v>0.35</v>
      </c>
      <c r="AA396">
        <v>0.35</v>
      </c>
      <c r="AB396">
        <f>M396/K396</f>
        <v>89.033871318151682</v>
      </c>
    </row>
    <row r="397" spans="1:29" x14ac:dyDescent="0.25">
      <c r="A397">
        <v>482</v>
      </c>
      <c r="B397" t="s">
        <v>1306</v>
      </c>
      <c r="C397" t="s">
        <v>1220</v>
      </c>
      <c r="D397" t="s">
        <v>357</v>
      </c>
      <c r="E397">
        <v>4</v>
      </c>
      <c r="F397" t="s">
        <v>1303</v>
      </c>
      <c r="G397" s="2">
        <v>43620</v>
      </c>
      <c r="H397" t="s">
        <v>191</v>
      </c>
      <c r="Q397">
        <f>P397 / (300 * 300) * 6.4516</f>
        <v>0</v>
      </c>
      <c r="AB397">
        <v>89.273904939999994</v>
      </c>
      <c r="AC397" t="s">
        <v>1607</v>
      </c>
    </row>
    <row r="398" spans="1:29" x14ac:dyDescent="0.25">
      <c r="A398">
        <v>590</v>
      </c>
      <c r="B398" t="s">
        <v>1443</v>
      </c>
      <c r="C398" t="s">
        <v>500</v>
      </c>
      <c r="D398" t="s">
        <v>379</v>
      </c>
      <c r="E398">
        <v>5</v>
      </c>
      <c r="F398" t="s">
        <v>234</v>
      </c>
      <c r="G398" s="2">
        <v>43652</v>
      </c>
      <c r="H398" t="s">
        <v>191</v>
      </c>
      <c r="Q398">
        <f>P398 / (300 * 300) * 6.4516</f>
        <v>0</v>
      </c>
      <c r="AB398">
        <v>89.305791619999994</v>
      </c>
      <c r="AC398" t="s">
        <v>1607</v>
      </c>
    </row>
    <row r="399" spans="1:29" x14ac:dyDescent="0.25">
      <c r="A399">
        <v>757</v>
      </c>
      <c r="B399" t="s">
        <v>1720</v>
      </c>
      <c r="C399" t="s">
        <v>843</v>
      </c>
      <c r="D399" t="s">
        <v>825</v>
      </c>
      <c r="E399">
        <v>7</v>
      </c>
      <c r="F399" t="s">
        <v>826</v>
      </c>
      <c r="G399" s="3">
        <v>43645</v>
      </c>
      <c r="H399" t="s">
        <v>191</v>
      </c>
      <c r="K399">
        <v>2.5099999999999998</v>
      </c>
      <c r="P399">
        <v>3130049</v>
      </c>
      <c r="Q399">
        <f>P399 / (300 * 300) * 6.4516</f>
        <v>224.37582364888888</v>
      </c>
      <c r="S399" t="s">
        <v>1073</v>
      </c>
      <c r="Y399">
        <v>0.33</v>
      </c>
      <c r="Z399">
        <v>0.38</v>
      </c>
      <c r="AA399">
        <v>0.34</v>
      </c>
      <c r="AB399">
        <f>Q399/K399</f>
        <v>89.392758425852151</v>
      </c>
    </row>
    <row r="400" spans="1:29" x14ac:dyDescent="0.25">
      <c r="A400">
        <v>195</v>
      </c>
      <c r="B400" t="s">
        <v>462</v>
      </c>
      <c r="D400" t="s">
        <v>446</v>
      </c>
      <c r="E400">
        <v>1</v>
      </c>
      <c r="F400" t="s">
        <v>447</v>
      </c>
      <c r="H400" t="s">
        <v>192</v>
      </c>
      <c r="I400">
        <v>7.1</v>
      </c>
      <c r="K400">
        <v>6.2E-2</v>
      </c>
      <c r="L400">
        <v>14</v>
      </c>
      <c r="M400">
        <f>PI()*((I400/2)^2)/100 * L400</f>
        <v>5.5428689983611514</v>
      </c>
      <c r="Q400">
        <f>P400 / (300 * 300) * 6.4516</f>
        <v>0</v>
      </c>
      <c r="S400" t="s">
        <v>195</v>
      </c>
      <c r="T400" t="s">
        <v>135</v>
      </c>
      <c r="U400">
        <v>116.55</v>
      </c>
      <c r="V400">
        <v>52.03</v>
      </c>
      <c r="W400">
        <f>(((U400/2) * (V400/2)) * PI())</f>
        <v>4762.7302537648939</v>
      </c>
      <c r="X400">
        <f>IF(ISNUMBER(T400), T400*W400, W400)</f>
        <v>4762.7302537648939</v>
      </c>
      <c r="Y400">
        <v>0.36</v>
      </c>
      <c r="Z400">
        <v>0.28000000000000003</v>
      </c>
      <c r="AA400">
        <v>0.28999999999999998</v>
      </c>
      <c r="AB400">
        <f>M400/K400</f>
        <v>89.401112876792766</v>
      </c>
    </row>
    <row r="401" spans="1:29" x14ac:dyDescent="0.25">
      <c r="A401">
        <v>86</v>
      </c>
      <c r="B401" t="s">
        <v>124</v>
      </c>
      <c r="D401" t="s">
        <v>339</v>
      </c>
      <c r="E401">
        <v>2</v>
      </c>
      <c r="F401" t="s">
        <v>326</v>
      </c>
      <c r="H401" t="s">
        <v>191</v>
      </c>
      <c r="I401" t="s">
        <v>135</v>
      </c>
      <c r="J401">
        <v>5.9320000000000004</v>
      </c>
      <c r="K401">
        <v>2.54</v>
      </c>
      <c r="L401" t="s">
        <v>135</v>
      </c>
      <c r="N401">
        <f>(J401-K401)/J401</f>
        <v>0.57181389076196898</v>
      </c>
      <c r="O401" t="s">
        <v>178</v>
      </c>
      <c r="P401">
        <v>3170246</v>
      </c>
      <c r="Q401">
        <f>P401 / (300 * 300) * 6.4516</f>
        <v>227.2573232622222</v>
      </c>
      <c r="R401">
        <v>5</v>
      </c>
      <c r="S401" t="s">
        <v>195</v>
      </c>
      <c r="T401" t="s">
        <v>135</v>
      </c>
      <c r="U401" t="s">
        <v>135</v>
      </c>
      <c r="V401" t="s">
        <v>135</v>
      </c>
      <c r="W401">
        <f>Q401 * 100 / R401</f>
        <v>4545.1464652444438</v>
      </c>
      <c r="X401">
        <f>W401</f>
        <v>4545.1464652444438</v>
      </c>
      <c r="Y401">
        <v>0.48</v>
      </c>
      <c r="Z401">
        <v>0.53</v>
      </c>
      <c r="AA401">
        <v>0.45</v>
      </c>
      <c r="AB401">
        <f>(Q401)/K401</f>
        <v>89.471387111111099</v>
      </c>
    </row>
    <row r="402" spans="1:29" x14ac:dyDescent="0.25">
      <c r="A402">
        <v>240</v>
      </c>
      <c r="B402" t="s">
        <v>592</v>
      </c>
      <c r="D402" t="s">
        <v>593</v>
      </c>
      <c r="E402">
        <v>1</v>
      </c>
      <c r="F402" t="s">
        <v>728</v>
      </c>
      <c r="H402" t="s">
        <v>192</v>
      </c>
      <c r="I402">
        <v>9.6999999999999993</v>
      </c>
      <c r="K402">
        <v>9.9000000000000005E-2</v>
      </c>
      <c r="L402">
        <v>12</v>
      </c>
      <c r="M402">
        <f>PI()*((I402/2)^2)/100 * L402</f>
        <v>8.8677735832879065</v>
      </c>
      <c r="Q402">
        <f>P402 / (300 * 300) * 6.4516</f>
        <v>0</v>
      </c>
      <c r="S402" t="s">
        <v>201</v>
      </c>
      <c r="T402">
        <v>3</v>
      </c>
      <c r="U402">
        <v>75.16</v>
      </c>
      <c r="V402">
        <v>35.619999999999997</v>
      </c>
      <c r="W402">
        <f>(((U402/2) * (V402/2)) * PI())</f>
        <v>2102.6673347291176</v>
      </c>
      <c r="X402">
        <f>IF(ISNUMBER(T402), T402*W402, W402)</f>
        <v>6308.0020041873522</v>
      </c>
      <c r="Y402">
        <v>0.35</v>
      </c>
      <c r="Z402">
        <v>0.4</v>
      </c>
      <c r="AA402">
        <v>0.39</v>
      </c>
      <c r="AB402">
        <f>M402/K402</f>
        <v>89.573470538261674</v>
      </c>
    </row>
    <row r="403" spans="1:29" x14ac:dyDescent="0.25">
      <c r="A403">
        <v>737</v>
      </c>
      <c r="B403" t="s">
        <v>1297</v>
      </c>
      <c r="D403" t="s">
        <v>1272</v>
      </c>
      <c r="E403">
        <v>3</v>
      </c>
      <c r="F403" t="s">
        <v>1695</v>
      </c>
      <c r="G403" s="3">
        <v>43640</v>
      </c>
      <c r="H403" t="s">
        <v>191</v>
      </c>
      <c r="K403" s="5">
        <v>1.972</v>
      </c>
      <c r="P403">
        <v>2468031</v>
      </c>
      <c r="Q403">
        <f>P403 / (300 * 300) * 6.4516</f>
        <v>176.91943110666668</v>
      </c>
      <c r="S403" t="s">
        <v>1073</v>
      </c>
      <c r="Y403">
        <v>0.32</v>
      </c>
      <c r="Z403">
        <v>0.36</v>
      </c>
      <c r="AA403">
        <v>0.28999999999999998</v>
      </c>
      <c r="AB403">
        <f>Q403/K403</f>
        <v>89.715735855307642</v>
      </c>
    </row>
    <row r="404" spans="1:29" x14ac:dyDescent="0.25">
      <c r="A404">
        <v>48</v>
      </c>
      <c r="B404" t="s">
        <v>83</v>
      </c>
      <c r="D404" t="s">
        <v>346</v>
      </c>
      <c r="E404">
        <v>2</v>
      </c>
      <c r="F404" t="s">
        <v>61</v>
      </c>
      <c r="H404" t="s">
        <v>191</v>
      </c>
      <c r="I404" t="s">
        <v>135</v>
      </c>
      <c r="J404">
        <v>3.7469999999999999</v>
      </c>
      <c r="K404">
        <v>1.919</v>
      </c>
      <c r="L404" t="s">
        <v>135</v>
      </c>
      <c r="N404">
        <f>(J404-K404)/J404</f>
        <v>0.48785695222844938</v>
      </c>
      <c r="P404">
        <v>2402723</v>
      </c>
      <c r="Q404">
        <f>P404 / (300 * 300) * 6.4516</f>
        <v>172.2378634088889</v>
      </c>
      <c r="R404">
        <v>2</v>
      </c>
      <c r="S404" t="s">
        <v>201</v>
      </c>
      <c r="T404">
        <v>19</v>
      </c>
      <c r="U404" t="s">
        <v>135</v>
      </c>
      <c r="V404" t="s">
        <v>135</v>
      </c>
      <c r="W404">
        <f>Q404*100/T404</f>
        <v>906.51507057309959</v>
      </c>
      <c r="X404">
        <f>Q404*100/R404</f>
        <v>8611.8931704444458</v>
      </c>
      <c r="Y404">
        <v>0.21</v>
      </c>
      <c r="Z404">
        <v>0.23</v>
      </c>
      <c r="AA404">
        <v>0.24</v>
      </c>
      <c r="AB404">
        <f>(Q404)/K404</f>
        <v>89.753967383475199</v>
      </c>
    </row>
    <row r="405" spans="1:29" x14ac:dyDescent="0.25">
      <c r="A405">
        <v>587</v>
      </c>
      <c r="B405" t="s">
        <v>1440</v>
      </c>
      <c r="C405" t="s">
        <v>1234</v>
      </c>
      <c r="D405" t="s">
        <v>379</v>
      </c>
      <c r="E405">
        <v>2</v>
      </c>
      <c r="F405" t="s">
        <v>234</v>
      </c>
      <c r="G405" s="2">
        <v>43646</v>
      </c>
      <c r="H405" t="s">
        <v>191</v>
      </c>
      <c r="Q405">
        <f>P405 / (300 * 300) * 6.4516</f>
        <v>0</v>
      </c>
      <c r="AB405">
        <v>89.809904880000005</v>
      </c>
      <c r="AC405" t="s">
        <v>1607</v>
      </c>
    </row>
    <row r="406" spans="1:29" x14ac:dyDescent="0.25">
      <c r="A406">
        <v>32</v>
      </c>
      <c r="B406" t="s">
        <v>40</v>
      </c>
      <c r="D406" t="s">
        <v>351</v>
      </c>
      <c r="E406">
        <v>1</v>
      </c>
      <c r="F406" t="s">
        <v>219</v>
      </c>
      <c r="H406" t="s">
        <v>191</v>
      </c>
      <c r="I406" t="s">
        <v>135</v>
      </c>
      <c r="J406">
        <v>3.37</v>
      </c>
      <c r="K406">
        <v>1.409</v>
      </c>
      <c r="L406" t="s">
        <v>135</v>
      </c>
      <c r="N406">
        <f>(J406-K406)/J406</f>
        <v>0.58189910979228487</v>
      </c>
      <c r="P406">
        <v>1768120</v>
      </c>
      <c r="Q406">
        <f>P406 / (300 * 300) * 6.4516</f>
        <v>126.74669991111111</v>
      </c>
      <c r="R406">
        <v>4</v>
      </c>
      <c r="S406" t="s">
        <v>201</v>
      </c>
      <c r="T406">
        <v>31</v>
      </c>
      <c r="U406" t="s">
        <v>135</v>
      </c>
      <c r="V406" t="s">
        <v>135</v>
      </c>
      <c r="W406">
        <f>Q406*100 / T406</f>
        <v>408.86032229390679</v>
      </c>
      <c r="X406">
        <f>Q406*100/R406</f>
        <v>3168.6674977777775</v>
      </c>
      <c r="Y406">
        <v>0.24</v>
      </c>
      <c r="Z406">
        <v>0.27</v>
      </c>
      <c r="AA406">
        <v>0.28000000000000003</v>
      </c>
      <c r="AB406">
        <f>(Q406)/K406</f>
        <v>89.95507445785033</v>
      </c>
    </row>
    <row r="407" spans="1:29" x14ac:dyDescent="0.25">
      <c r="A407">
        <v>780</v>
      </c>
      <c r="B407" t="s">
        <v>1748</v>
      </c>
      <c r="D407" t="s">
        <v>1760</v>
      </c>
      <c r="E407">
        <v>3</v>
      </c>
      <c r="F407" t="s">
        <v>1766</v>
      </c>
      <c r="G407" s="3">
        <v>43650</v>
      </c>
      <c r="H407" t="s">
        <v>191</v>
      </c>
      <c r="K407">
        <v>3.3340000000000001</v>
      </c>
      <c r="P407">
        <v>4184978</v>
      </c>
      <c r="Q407">
        <f>P407 / (300 * 300) * 6.4516</f>
        <v>299.99782294222223</v>
      </c>
      <c r="Y407">
        <v>0.16</v>
      </c>
      <c r="Z407">
        <v>0.2</v>
      </c>
      <c r="AA407">
        <v>0.2</v>
      </c>
      <c r="AB407">
        <f>Q407/K407</f>
        <v>89.981350612544162</v>
      </c>
    </row>
    <row r="408" spans="1:29" x14ac:dyDescent="0.25">
      <c r="A408">
        <v>280</v>
      </c>
      <c r="B408" t="s">
        <v>748</v>
      </c>
      <c r="D408" t="s">
        <v>368</v>
      </c>
      <c r="E408">
        <v>5</v>
      </c>
      <c r="F408" t="s">
        <v>322</v>
      </c>
      <c r="G408" s="2">
        <v>42923</v>
      </c>
      <c r="H408" t="s">
        <v>192</v>
      </c>
      <c r="I408">
        <v>7.1</v>
      </c>
      <c r="K408">
        <v>4.3999999999999997E-2</v>
      </c>
      <c r="L408">
        <v>10</v>
      </c>
      <c r="M408">
        <f>PI()*((I408/2)^2)/100 * L408</f>
        <v>3.9591921416865365</v>
      </c>
      <c r="Q408">
        <f>P408 / (300 * 300) * 6.4516</f>
        <v>0</v>
      </c>
      <c r="S408" t="s">
        <v>201</v>
      </c>
      <c r="T408">
        <v>7</v>
      </c>
      <c r="U408">
        <v>48.8</v>
      </c>
      <c r="V408">
        <v>19.04</v>
      </c>
      <c r="W408">
        <f>(((U408/2) * (V408/2)) * PI())</f>
        <v>729.75427431706578</v>
      </c>
      <c r="X408">
        <f>IF(ISNUMBER(T408), T408*W408, W408)</f>
        <v>5108.2799202194601</v>
      </c>
      <c r="Y408">
        <v>0.18</v>
      </c>
      <c r="Z408">
        <v>0.17</v>
      </c>
      <c r="AA408">
        <v>0.17</v>
      </c>
      <c r="AB408">
        <f>M408/K408</f>
        <v>89.981639583784926</v>
      </c>
    </row>
    <row r="409" spans="1:29" x14ac:dyDescent="0.25">
      <c r="A409">
        <v>233</v>
      </c>
      <c r="B409" t="s">
        <v>586</v>
      </c>
      <c r="D409" t="s">
        <v>581</v>
      </c>
      <c r="E409">
        <v>2</v>
      </c>
      <c r="F409" t="s">
        <v>582</v>
      </c>
      <c r="H409" t="s">
        <v>192</v>
      </c>
      <c r="I409">
        <v>9.6999999999999993</v>
      </c>
      <c r="K409">
        <v>0.09</v>
      </c>
      <c r="L409">
        <v>11</v>
      </c>
      <c r="M409">
        <f>PI()*((I409/2)^2)/100 * L409</f>
        <v>8.1287924513472483</v>
      </c>
      <c r="Q409">
        <f>P409 / (300 * 300) * 6.4516</f>
        <v>0</v>
      </c>
      <c r="S409" t="s">
        <v>201</v>
      </c>
      <c r="T409">
        <v>5</v>
      </c>
      <c r="U409">
        <v>72.7</v>
      </c>
      <c r="V409">
        <v>15.81</v>
      </c>
      <c r="W409">
        <f>(((U409/2) * (V409/2)) * PI())</f>
        <v>902.726438832903</v>
      </c>
      <c r="X409">
        <f>IF(ISNUMBER(T409), T409*W409, W409)</f>
        <v>4513.6321941645147</v>
      </c>
      <c r="Y409">
        <v>0.25</v>
      </c>
      <c r="Z409">
        <v>0.23</v>
      </c>
      <c r="AA409">
        <v>0.25</v>
      </c>
      <c r="AB409">
        <f>M409/K409</f>
        <v>90.319916126080543</v>
      </c>
    </row>
    <row r="410" spans="1:29" x14ac:dyDescent="0.25">
      <c r="A410">
        <v>155</v>
      </c>
      <c r="B410" t="s">
        <v>410</v>
      </c>
      <c r="D410" t="s">
        <v>411</v>
      </c>
      <c r="E410">
        <v>2</v>
      </c>
      <c r="F410" t="s">
        <v>412</v>
      </c>
      <c r="H410" t="s">
        <v>192</v>
      </c>
      <c r="I410">
        <v>9.6999999999999993</v>
      </c>
      <c r="J410" t="s">
        <v>135</v>
      </c>
      <c r="K410">
        <v>0.106</v>
      </c>
      <c r="L410">
        <v>13</v>
      </c>
      <c r="M410">
        <f>PI()*((I410/2)^2)/100 * L410</f>
        <v>9.6067547152285666</v>
      </c>
      <c r="N410" t="s">
        <v>135</v>
      </c>
      <c r="O410" t="s">
        <v>135</v>
      </c>
      <c r="Q410">
        <f>P410 / (300 * 300) * 6.4516</f>
        <v>0</v>
      </c>
      <c r="R410" t="s">
        <v>135</v>
      </c>
      <c r="S410" t="s">
        <v>201</v>
      </c>
      <c r="T410">
        <v>17</v>
      </c>
      <c r="U410">
        <v>60.96</v>
      </c>
      <c r="V410">
        <v>21.16</v>
      </c>
      <c r="W410">
        <f>(((U410/2) * (V410/2)) * PI())</f>
        <v>1013.0957723813908</v>
      </c>
      <c r="X410">
        <f>IF(ISNUMBER(T410), T410*W410, W410)</f>
        <v>17222.628130483645</v>
      </c>
      <c r="Y410">
        <v>0.31</v>
      </c>
      <c r="Z410">
        <v>0.28000000000000003</v>
      </c>
      <c r="AA410">
        <v>0.27</v>
      </c>
      <c r="AB410">
        <f>M410/K410</f>
        <v>90.62976146442044</v>
      </c>
    </row>
    <row r="411" spans="1:29" x14ac:dyDescent="0.25">
      <c r="A411">
        <v>208</v>
      </c>
      <c r="B411" t="s">
        <v>512</v>
      </c>
      <c r="D411" t="s">
        <v>336</v>
      </c>
      <c r="E411">
        <v>4</v>
      </c>
      <c r="F411" t="s">
        <v>59</v>
      </c>
      <c r="H411" t="s">
        <v>192</v>
      </c>
      <c r="I411">
        <v>7.1</v>
      </c>
      <c r="K411">
        <v>6.0999999999999999E-2</v>
      </c>
      <c r="L411">
        <v>14</v>
      </c>
      <c r="M411">
        <f>PI()*((I411/2)^2)/100 * L411</f>
        <v>5.5428689983611514</v>
      </c>
      <c r="Q411">
        <f>P411 / (300 * 300) * 6.4516</f>
        <v>0</v>
      </c>
      <c r="S411" t="s">
        <v>195</v>
      </c>
      <c r="T411" t="s">
        <v>135</v>
      </c>
      <c r="U411">
        <v>140</v>
      </c>
      <c r="V411">
        <v>70.42</v>
      </c>
      <c r="W411">
        <f>(((U411/2) * (V411/2)) * PI())</f>
        <v>7743.0834133027638</v>
      </c>
      <c r="X411">
        <f>IF(ISNUMBER(T411), T411*W411, W411)</f>
        <v>7743.0834133027638</v>
      </c>
      <c r="Y411">
        <v>0.42</v>
      </c>
      <c r="Z411">
        <v>0.47</v>
      </c>
      <c r="AA411">
        <v>0.57999999999999996</v>
      </c>
      <c r="AB411">
        <f>M411/K411</f>
        <v>90.866704891166421</v>
      </c>
    </row>
    <row r="412" spans="1:29" x14ac:dyDescent="0.25">
      <c r="A412">
        <v>70</v>
      </c>
      <c r="B412" t="s">
        <v>106</v>
      </c>
      <c r="D412" t="s">
        <v>331</v>
      </c>
      <c r="E412">
        <v>2</v>
      </c>
      <c r="F412" t="s">
        <v>5</v>
      </c>
      <c r="H412" t="s">
        <v>191</v>
      </c>
      <c r="I412" t="s">
        <v>135</v>
      </c>
      <c r="J412">
        <v>1.4610000000000001</v>
      </c>
      <c r="K412">
        <v>0.61899999999999999</v>
      </c>
      <c r="L412" t="s">
        <v>135</v>
      </c>
      <c r="N412">
        <f>(J412-K412)/J412</f>
        <v>0.57631759069130739</v>
      </c>
      <c r="O412" t="s">
        <v>153</v>
      </c>
      <c r="P412">
        <v>785658</v>
      </c>
      <c r="Q412">
        <f>P412 / (300 * 300) * 6.4516</f>
        <v>56.319457253333326</v>
      </c>
      <c r="R412">
        <v>5</v>
      </c>
      <c r="T412" t="s">
        <v>135</v>
      </c>
      <c r="U412" t="s">
        <v>135</v>
      </c>
      <c r="V412" t="s">
        <v>135</v>
      </c>
      <c r="W412">
        <f>Q412*100/R412</f>
        <v>1126.3891450666665</v>
      </c>
      <c r="X412">
        <f>W412</f>
        <v>1126.3891450666665</v>
      </c>
      <c r="Y412">
        <v>0.25</v>
      </c>
      <c r="Z412">
        <v>0.22</v>
      </c>
      <c r="AA412">
        <v>0.22</v>
      </c>
      <c r="AB412">
        <f>(Q412)/K412</f>
        <v>90.984583607969839</v>
      </c>
    </row>
    <row r="413" spans="1:29" x14ac:dyDescent="0.25">
      <c r="A413">
        <v>531</v>
      </c>
      <c r="B413" t="s">
        <v>1362</v>
      </c>
      <c r="C413" t="s">
        <v>124</v>
      </c>
      <c r="D413" t="s">
        <v>339</v>
      </c>
      <c r="E413">
        <v>2</v>
      </c>
      <c r="F413" t="s">
        <v>362</v>
      </c>
      <c r="G413" s="2">
        <v>43653</v>
      </c>
      <c r="H413" t="s">
        <v>191</v>
      </c>
      <c r="Q413">
        <f>P413 / (300 * 300) * 6.4516</f>
        <v>0</v>
      </c>
      <c r="AB413">
        <v>91.207053720000005</v>
      </c>
      <c r="AC413" t="s">
        <v>1607</v>
      </c>
    </row>
    <row r="414" spans="1:29" x14ac:dyDescent="0.25">
      <c r="A414">
        <v>462</v>
      </c>
      <c r="B414" t="s">
        <v>1079</v>
      </c>
      <c r="D414" t="s">
        <v>858</v>
      </c>
      <c r="E414">
        <v>5</v>
      </c>
      <c r="F414" t="s">
        <v>859</v>
      </c>
      <c r="G414" s="2">
        <v>42951</v>
      </c>
      <c r="H414" t="s">
        <v>192</v>
      </c>
      <c r="I414">
        <v>9.6999999999999993</v>
      </c>
      <c r="K414">
        <v>8.1000000000000003E-2</v>
      </c>
      <c r="L414">
        <v>10</v>
      </c>
      <c r="M414">
        <f>PI()*((I414/2)^2)/100 * L414</f>
        <v>7.38981131940659</v>
      </c>
      <c r="Q414">
        <f>P414 / (300 * 300) * 6.4516</f>
        <v>0</v>
      </c>
      <c r="S414" t="s">
        <v>1073</v>
      </c>
      <c r="T414" t="s">
        <v>135</v>
      </c>
      <c r="U414">
        <v>89.67</v>
      </c>
      <c r="V414">
        <v>87.21</v>
      </c>
      <c r="W414">
        <f>(((U414/2) * (V414/2)) * PI())</f>
        <v>6141.908435326367</v>
      </c>
      <c r="X414">
        <f>IF(ISNUMBER(T414), T414*W414, W414)</f>
        <v>6141.908435326367</v>
      </c>
      <c r="Y414">
        <v>0.47</v>
      </c>
      <c r="Z414">
        <v>0.42</v>
      </c>
      <c r="AA414">
        <v>0.47</v>
      </c>
      <c r="AB414">
        <f>M414/K414</f>
        <v>91.232238511192463</v>
      </c>
    </row>
    <row r="415" spans="1:29" x14ac:dyDescent="0.25">
      <c r="A415">
        <v>92</v>
      </c>
      <c r="B415" t="s">
        <v>1255</v>
      </c>
      <c r="C415" t="s">
        <v>199</v>
      </c>
      <c r="D415" t="s">
        <v>376</v>
      </c>
      <c r="E415">
        <v>1</v>
      </c>
      <c r="F415" t="s">
        <v>200</v>
      </c>
      <c r="H415" t="s">
        <v>192</v>
      </c>
      <c r="I415">
        <v>7.1</v>
      </c>
      <c r="J415" t="s">
        <v>135</v>
      </c>
      <c r="K415">
        <v>5.1999999999999998E-2</v>
      </c>
      <c r="L415">
        <v>12</v>
      </c>
      <c r="M415">
        <f>PI()*((I415/2)^2)/100 * L415</f>
        <v>4.7510305700238442</v>
      </c>
      <c r="N415" t="s">
        <v>135</v>
      </c>
      <c r="O415" t="s">
        <v>135</v>
      </c>
      <c r="Q415">
        <f>P415 / (300 * 300) * 6.4516</f>
        <v>0</v>
      </c>
      <c r="R415" t="s">
        <v>135</v>
      </c>
      <c r="S415" t="s">
        <v>201</v>
      </c>
      <c r="T415">
        <v>7.5</v>
      </c>
      <c r="U415">
        <v>111.08</v>
      </c>
      <c r="V415">
        <v>40.9</v>
      </c>
      <c r="W415">
        <f>(((U415/2) * (V415/2)) * PI())</f>
        <v>3568.1989447987116</v>
      </c>
      <c r="X415">
        <f>IF(ISNUMBER(T415), T415*W415)</f>
        <v>26761.492085990336</v>
      </c>
      <c r="Y415">
        <v>0.24</v>
      </c>
      <c r="Z415">
        <v>0.24</v>
      </c>
      <c r="AA415">
        <v>0.24</v>
      </c>
      <c r="AB415">
        <f>M415/K415</f>
        <v>91.36597250045854</v>
      </c>
      <c r="AC415" t="s">
        <v>202</v>
      </c>
    </row>
    <row r="416" spans="1:29" x14ac:dyDescent="0.25">
      <c r="A416">
        <v>255</v>
      </c>
      <c r="B416" t="s">
        <v>612</v>
      </c>
      <c r="D416" t="s">
        <v>613</v>
      </c>
      <c r="E416">
        <v>2</v>
      </c>
      <c r="F416" t="s">
        <v>605</v>
      </c>
      <c r="H416" t="s">
        <v>192</v>
      </c>
      <c r="I416">
        <v>7.1</v>
      </c>
      <c r="K416">
        <v>3.9E-2</v>
      </c>
      <c r="L416">
        <v>9</v>
      </c>
      <c r="M416">
        <f>PI()*((I416/2)^2)/100 * L416</f>
        <v>3.5632729275178829</v>
      </c>
      <c r="Q416">
        <f>P416 / (300 * 300) * 6.4516</f>
        <v>0</v>
      </c>
      <c r="S416" t="s">
        <v>195</v>
      </c>
      <c r="T416" t="s">
        <v>135</v>
      </c>
      <c r="U416">
        <v>100.34</v>
      </c>
      <c r="V416">
        <v>39.79</v>
      </c>
      <c r="W416">
        <f>(((U416/2) * (V416/2)) * PI())</f>
        <v>3135.7246297517854</v>
      </c>
      <c r="X416">
        <f>IF(ISNUMBER(T416), T416*W416, W416)</f>
        <v>3135.7246297517854</v>
      </c>
      <c r="Y416">
        <v>0.36</v>
      </c>
      <c r="Z416">
        <v>0.3</v>
      </c>
      <c r="AA416">
        <v>0.28000000000000003</v>
      </c>
      <c r="AB416">
        <f>M416/K416</f>
        <v>91.36597250045854</v>
      </c>
      <c r="AC416" t="s">
        <v>1101</v>
      </c>
    </row>
    <row r="417" spans="1:29" x14ac:dyDescent="0.25">
      <c r="A417">
        <v>532</v>
      </c>
      <c r="B417" t="s">
        <v>1363</v>
      </c>
      <c r="C417" t="s">
        <v>1000</v>
      </c>
      <c r="D417" t="s">
        <v>339</v>
      </c>
      <c r="E417">
        <v>3</v>
      </c>
      <c r="F417" t="s">
        <v>362</v>
      </c>
      <c r="G417" s="2">
        <v>43653</v>
      </c>
      <c r="H417" t="s">
        <v>191</v>
      </c>
      <c r="Q417">
        <f>P417 / (300 * 300) * 6.4516</f>
        <v>0</v>
      </c>
      <c r="AB417">
        <v>91.391158390000001</v>
      </c>
      <c r="AC417" t="s">
        <v>1607</v>
      </c>
    </row>
    <row r="418" spans="1:29" x14ac:dyDescent="0.25">
      <c r="A418">
        <v>648</v>
      </c>
      <c r="B418" t="s">
        <v>1516</v>
      </c>
      <c r="C418" t="s">
        <v>529</v>
      </c>
      <c r="D418" t="s">
        <v>377</v>
      </c>
      <c r="E418">
        <v>5</v>
      </c>
      <c r="F418" t="s">
        <v>222</v>
      </c>
      <c r="G418" s="2">
        <v>43635</v>
      </c>
      <c r="H418" t="s">
        <v>191</v>
      </c>
      <c r="Q418">
        <f>P418 / (300 * 300) * 6.4516</f>
        <v>0</v>
      </c>
      <c r="AB418">
        <v>91.394806439999996</v>
      </c>
      <c r="AC418" t="s">
        <v>1607</v>
      </c>
    </row>
    <row r="419" spans="1:29" x14ac:dyDescent="0.25">
      <c r="A419">
        <v>480</v>
      </c>
      <c r="B419" t="s">
        <v>1304</v>
      </c>
      <c r="C419" t="s">
        <v>102</v>
      </c>
      <c r="D419" t="s">
        <v>357</v>
      </c>
      <c r="E419">
        <v>2</v>
      </c>
      <c r="F419" t="s">
        <v>1303</v>
      </c>
      <c r="G419" s="2">
        <v>43620</v>
      </c>
      <c r="H419" t="s">
        <v>191</v>
      </c>
      <c r="Q419">
        <f>P419 / (300 * 300) * 6.4516</f>
        <v>0</v>
      </c>
      <c r="AB419">
        <v>91.462268120000005</v>
      </c>
      <c r="AC419" t="s">
        <v>1607</v>
      </c>
    </row>
    <row r="420" spans="1:29" x14ac:dyDescent="0.25">
      <c r="A420">
        <v>695</v>
      </c>
      <c r="B420" t="s">
        <v>1578</v>
      </c>
      <c r="C420" t="s">
        <v>103</v>
      </c>
      <c r="D420" t="s">
        <v>353</v>
      </c>
      <c r="F420" t="s">
        <v>354</v>
      </c>
      <c r="G420" s="2">
        <v>43636</v>
      </c>
      <c r="H420" t="s">
        <v>191</v>
      </c>
      <c r="Q420">
        <f>P420 / (300 * 300) * 6.4516</f>
        <v>0</v>
      </c>
      <c r="AB420">
        <v>91.866876129999994</v>
      </c>
      <c r="AC420" t="s">
        <v>1607</v>
      </c>
    </row>
    <row r="421" spans="1:29" x14ac:dyDescent="0.25">
      <c r="A421">
        <v>113</v>
      </c>
      <c r="B421" t="s">
        <v>1197</v>
      </c>
      <c r="C421" t="s">
        <v>251</v>
      </c>
      <c r="D421" t="s">
        <v>384</v>
      </c>
      <c r="E421">
        <v>5</v>
      </c>
      <c r="F421" t="s">
        <v>252</v>
      </c>
      <c r="H421" t="s">
        <v>192</v>
      </c>
      <c r="I421">
        <v>7.1</v>
      </c>
      <c r="J421" t="s">
        <v>135</v>
      </c>
      <c r="K421">
        <v>5.6000000000000001E-2</v>
      </c>
      <c r="L421">
        <v>13</v>
      </c>
      <c r="M421">
        <f>PI()*((I421/2)^2)/100 * L421</f>
        <v>5.1469497841924978</v>
      </c>
      <c r="N421" t="s">
        <v>135</v>
      </c>
      <c r="O421" t="s">
        <v>135</v>
      </c>
      <c r="Q421">
        <f>P421 / (300 * 300) * 6.4516</f>
        <v>0</v>
      </c>
      <c r="R421" t="s">
        <v>135</v>
      </c>
      <c r="S421" t="s">
        <v>195</v>
      </c>
      <c r="T421" t="s">
        <v>135</v>
      </c>
      <c r="U421">
        <v>69.349999999999994</v>
      </c>
      <c r="V421">
        <v>55.86</v>
      </c>
      <c r="W421">
        <f>(((U421/2) * (V421/2)) * PI())</f>
        <v>3042.5468766019039</v>
      </c>
      <c r="X421">
        <f>IF(ISNUMBER(T421), T421*W421, W421)</f>
        <v>3042.5468766019039</v>
      </c>
      <c r="Y421">
        <v>0.36</v>
      </c>
      <c r="Z421">
        <v>0.39</v>
      </c>
      <c r="AA421">
        <v>0.38</v>
      </c>
      <c r="AB421">
        <f>M421/K421</f>
        <v>91.909817574866025</v>
      </c>
      <c r="AC421" t="s">
        <v>267</v>
      </c>
    </row>
    <row r="422" spans="1:29" x14ac:dyDescent="0.25">
      <c r="A422">
        <v>693</v>
      </c>
      <c r="B422" t="s">
        <v>1576</v>
      </c>
      <c r="C422" t="s">
        <v>753</v>
      </c>
      <c r="D422" t="s">
        <v>613</v>
      </c>
      <c r="F422" t="s">
        <v>605</v>
      </c>
      <c r="G422" s="2">
        <v>43663</v>
      </c>
      <c r="H422" t="s">
        <v>191</v>
      </c>
      <c r="Q422">
        <f>P422 / (300 * 300) * 6.4516</f>
        <v>0</v>
      </c>
      <c r="AB422">
        <v>91.990393260000005</v>
      </c>
      <c r="AC422" t="s">
        <v>1607</v>
      </c>
    </row>
    <row r="423" spans="1:29" x14ac:dyDescent="0.25">
      <c r="A423">
        <v>320</v>
      </c>
      <c r="B423" t="s">
        <v>819</v>
      </c>
      <c r="D423" t="s">
        <v>599</v>
      </c>
      <c r="E423">
        <v>4</v>
      </c>
      <c r="F423" t="s">
        <v>600</v>
      </c>
      <c r="G423" s="2">
        <v>42927</v>
      </c>
      <c r="H423" t="s">
        <v>192</v>
      </c>
      <c r="I423">
        <v>7.1</v>
      </c>
      <c r="K423">
        <v>4.2999999999999997E-2</v>
      </c>
      <c r="L423">
        <v>10</v>
      </c>
      <c r="M423">
        <f>PI()*((I423/2)^2)/100 * L423</f>
        <v>3.9591921416865365</v>
      </c>
      <c r="Q423">
        <f>P423 / (300 * 300) * 6.4516</f>
        <v>0</v>
      </c>
      <c r="S423" t="s">
        <v>195</v>
      </c>
      <c r="T423" t="s">
        <v>135</v>
      </c>
      <c r="U423">
        <v>104.31</v>
      </c>
      <c r="V423">
        <v>57.93</v>
      </c>
      <c r="W423">
        <f>(((U423/2) * (V423/2)) * PI())</f>
        <v>4745.9084388216152</v>
      </c>
      <c r="X423">
        <f>IF(ISNUMBER(T423), T423*W423, W423)</f>
        <v>4745.9084388216152</v>
      </c>
      <c r="Y423">
        <v>0.26</v>
      </c>
      <c r="Z423">
        <v>0.26</v>
      </c>
      <c r="AA423">
        <v>0.26</v>
      </c>
      <c r="AB423">
        <f>M423/K423</f>
        <v>92.074235853175281</v>
      </c>
    </row>
    <row r="424" spans="1:29" x14ac:dyDescent="0.25">
      <c r="A424">
        <v>338</v>
      </c>
      <c r="B424" t="s">
        <v>850</v>
      </c>
      <c r="D424" t="s">
        <v>836</v>
      </c>
      <c r="E424">
        <v>2</v>
      </c>
      <c r="F424" t="s">
        <v>837</v>
      </c>
      <c r="G424" s="2">
        <v>42930</v>
      </c>
      <c r="H424" t="s">
        <v>192</v>
      </c>
      <c r="I424">
        <v>7.1</v>
      </c>
      <c r="K424">
        <v>4.2999999999999997E-2</v>
      </c>
      <c r="L424">
        <v>10</v>
      </c>
      <c r="M424">
        <f>PI()*((I424/2)^2)/100 * L424</f>
        <v>3.9591921416865365</v>
      </c>
      <c r="Q424">
        <f>P424 / (300 * 300) * 6.4516</f>
        <v>0</v>
      </c>
      <c r="S424" t="s">
        <v>195</v>
      </c>
      <c r="T424" t="s">
        <v>135</v>
      </c>
      <c r="U424">
        <v>74.989999999999995</v>
      </c>
      <c r="V424">
        <v>24.19</v>
      </c>
      <c r="W424">
        <f>(((U424/2) * (V424/2)) * PI())</f>
        <v>1424.7186301280947</v>
      </c>
      <c r="X424">
        <f>IF(ISNUMBER(T424), T424*W424, W424)</f>
        <v>1424.7186301280947</v>
      </c>
      <c r="Y424">
        <v>0.26</v>
      </c>
      <c r="Z424">
        <v>0.25</v>
      </c>
      <c r="AA424">
        <v>0.26</v>
      </c>
      <c r="AB424">
        <f>M424/K424</f>
        <v>92.074235853175281</v>
      </c>
    </row>
    <row r="425" spans="1:29" x14ac:dyDescent="0.25">
      <c r="A425">
        <v>637</v>
      </c>
      <c r="B425" t="s">
        <v>1504</v>
      </c>
      <c r="C425" t="s">
        <v>1505</v>
      </c>
      <c r="D425" t="s">
        <v>331</v>
      </c>
      <c r="E425">
        <v>9</v>
      </c>
      <c r="F425" t="s">
        <v>5</v>
      </c>
      <c r="G425" s="2">
        <v>43650</v>
      </c>
      <c r="H425" t="s">
        <v>191</v>
      </c>
      <c r="Q425">
        <f>P425 / (300 * 300) * 6.4516</f>
        <v>0</v>
      </c>
      <c r="AB425">
        <v>92.1905565</v>
      </c>
      <c r="AC425" t="s">
        <v>1607</v>
      </c>
    </row>
    <row r="426" spans="1:29" x14ac:dyDescent="0.25">
      <c r="A426">
        <v>638</v>
      </c>
      <c r="B426" t="s">
        <v>1506</v>
      </c>
      <c r="C426" t="s">
        <v>1082</v>
      </c>
      <c r="D426" t="s">
        <v>1083</v>
      </c>
      <c r="E426">
        <v>1</v>
      </c>
      <c r="F426" t="s">
        <v>1084</v>
      </c>
      <c r="G426" s="2">
        <v>43656</v>
      </c>
      <c r="H426" t="s">
        <v>191</v>
      </c>
      <c r="Q426">
        <f>P426 / (300 * 300) * 6.4516</f>
        <v>0</v>
      </c>
      <c r="AB426">
        <v>92.250781630000006</v>
      </c>
      <c r="AC426" t="s">
        <v>1607</v>
      </c>
    </row>
    <row r="427" spans="1:29" x14ac:dyDescent="0.25">
      <c r="A427">
        <v>306</v>
      </c>
      <c r="B427" t="s">
        <v>799</v>
      </c>
      <c r="D427" t="s">
        <v>800</v>
      </c>
      <c r="E427">
        <v>1</v>
      </c>
      <c r="F427" t="s">
        <v>801</v>
      </c>
      <c r="G427" s="2">
        <v>42927</v>
      </c>
      <c r="H427" t="s">
        <v>192</v>
      </c>
      <c r="I427">
        <v>9.6999999999999993</v>
      </c>
      <c r="K427">
        <v>0.08</v>
      </c>
      <c r="L427">
        <v>10</v>
      </c>
      <c r="M427">
        <f>PI()*((I427/2)^2)/100 * L427</f>
        <v>7.38981131940659</v>
      </c>
      <c r="Q427">
        <f>P427 / (300 * 300) * 6.4516</f>
        <v>0</v>
      </c>
      <c r="S427" t="s">
        <v>195</v>
      </c>
      <c r="T427" t="s">
        <v>135</v>
      </c>
      <c r="U427">
        <v>100.58</v>
      </c>
      <c r="V427">
        <v>94.71</v>
      </c>
      <c r="W427">
        <f>(((U427/2) * (V427/2)) * PI())</f>
        <v>7481.6493403693476</v>
      </c>
      <c r="X427">
        <f>IF(ISNUMBER(T427), T427*W427, W427)</f>
        <v>7481.6493403693476</v>
      </c>
      <c r="Y427">
        <v>0.47</v>
      </c>
      <c r="Z427">
        <v>0.46</v>
      </c>
      <c r="AA427">
        <v>0.47</v>
      </c>
      <c r="AB427">
        <f>M427/K427</f>
        <v>92.372641492582375</v>
      </c>
    </row>
    <row r="428" spans="1:29" x14ac:dyDescent="0.25">
      <c r="A428">
        <v>322</v>
      </c>
      <c r="B428" t="s">
        <v>827</v>
      </c>
      <c r="D428" t="s">
        <v>400</v>
      </c>
      <c r="E428">
        <v>4</v>
      </c>
      <c r="F428" t="s">
        <v>401</v>
      </c>
      <c r="G428" s="2">
        <v>42930</v>
      </c>
      <c r="H428" t="s">
        <v>192</v>
      </c>
      <c r="I428">
        <v>9.6999999999999993</v>
      </c>
      <c r="K428">
        <v>0.08</v>
      </c>
      <c r="L428">
        <v>10</v>
      </c>
      <c r="M428">
        <f>PI()*((I428/2)^2)/100 * L428</f>
        <v>7.38981131940659</v>
      </c>
      <c r="Q428">
        <f>P428 / (300 * 300) * 6.4516</f>
        <v>0</v>
      </c>
      <c r="S428" t="s">
        <v>195</v>
      </c>
      <c r="T428" t="s">
        <v>135</v>
      </c>
      <c r="U428">
        <v>134.68</v>
      </c>
      <c r="V428">
        <v>59.06</v>
      </c>
      <c r="W428">
        <f>(((U428/2) * (V428/2)) * PI())</f>
        <v>6247.2146996145138</v>
      </c>
      <c r="X428">
        <f>IF(ISNUMBER(T428), T428*W428, W428)</f>
        <v>6247.2146996145138</v>
      </c>
      <c r="Y428">
        <v>0.25</v>
      </c>
      <c r="Z428">
        <v>0.28000000000000003</v>
      </c>
      <c r="AA428">
        <v>0.27</v>
      </c>
      <c r="AB428">
        <f>M428/K428</f>
        <v>92.372641492582375</v>
      </c>
    </row>
    <row r="429" spans="1:29" x14ac:dyDescent="0.25">
      <c r="A429">
        <v>150</v>
      </c>
      <c r="B429" t="s">
        <v>406</v>
      </c>
      <c r="D429" t="s">
        <v>355</v>
      </c>
      <c r="E429">
        <v>5</v>
      </c>
      <c r="F429" t="s">
        <v>305</v>
      </c>
      <c r="H429" t="s">
        <v>192</v>
      </c>
      <c r="I429">
        <v>7.1</v>
      </c>
      <c r="J429" t="s">
        <v>135</v>
      </c>
      <c r="K429">
        <v>4.7E-2</v>
      </c>
      <c r="L429">
        <v>11</v>
      </c>
      <c r="M429">
        <f>PI()*((I429/2)^2)/100 * L429</f>
        <v>4.3551113558551906</v>
      </c>
      <c r="N429" t="s">
        <v>135</v>
      </c>
      <c r="O429" t="s">
        <v>135</v>
      </c>
      <c r="Q429">
        <f>P429 / (300 * 300) * 6.4516</f>
        <v>0</v>
      </c>
      <c r="R429" t="s">
        <v>135</v>
      </c>
      <c r="S429" t="s">
        <v>195</v>
      </c>
      <c r="T429" t="s">
        <v>135</v>
      </c>
      <c r="U429">
        <v>10.5</v>
      </c>
      <c r="V429">
        <v>3.96</v>
      </c>
      <c r="W429">
        <f>(((U429/2) * (V429/2)) * PI())</f>
        <v>32.656855634065899</v>
      </c>
      <c r="X429">
        <f>IF(ISNUMBER(T429), T429*W429, W429)</f>
        <v>32.656855634065899</v>
      </c>
      <c r="Y429">
        <v>0.19</v>
      </c>
      <c r="Z429">
        <v>0.18</v>
      </c>
      <c r="AA429">
        <v>0.16</v>
      </c>
      <c r="AB429">
        <f>M429/K429</f>
        <v>92.661943741599799</v>
      </c>
    </row>
    <row r="430" spans="1:29" x14ac:dyDescent="0.25">
      <c r="A430">
        <v>313</v>
      </c>
      <c r="B430" t="s">
        <v>808</v>
      </c>
      <c r="D430" t="s">
        <v>809</v>
      </c>
      <c r="E430">
        <v>1</v>
      </c>
      <c r="F430" t="s">
        <v>810</v>
      </c>
      <c r="G430" s="2">
        <v>42927</v>
      </c>
      <c r="H430" t="s">
        <v>192</v>
      </c>
      <c r="I430">
        <v>7.1</v>
      </c>
      <c r="K430">
        <v>4.7E-2</v>
      </c>
      <c r="L430">
        <v>11</v>
      </c>
      <c r="M430">
        <f>PI()*((I430/2)^2)/100 * L430</f>
        <v>4.3551113558551906</v>
      </c>
      <c r="Q430">
        <f>P430 / (300 * 300) * 6.4516</f>
        <v>0</v>
      </c>
      <c r="S430" t="s">
        <v>201</v>
      </c>
      <c r="T430">
        <v>13</v>
      </c>
      <c r="U430">
        <v>41.01</v>
      </c>
      <c r="V430">
        <v>14.56</v>
      </c>
      <c r="W430">
        <f>(((U430/2) * (V430/2)) * PI())</f>
        <v>468.96564159433137</v>
      </c>
      <c r="X430">
        <f>IF(ISNUMBER(T430), T430*W430, W430)</f>
        <v>6096.5533407263083</v>
      </c>
      <c r="Y430">
        <v>0.2</v>
      </c>
      <c r="Z430">
        <v>0.21</v>
      </c>
      <c r="AA430">
        <v>0.21</v>
      </c>
      <c r="AB430">
        <f>M430/K430</f>
        <v>92.661943741599799</v>
      </c>
    </row>
    <row r="431" spans="1:29" x14ac:dyDescent="0.25">
      <c r="A431">
        <v>314</v>
      </c>
      <c r="B431" t="s">
        <v>811</v>
      </c>
      <c r="D431" t="s">
        <v>812</v>
      </c>
      <c r="E431">
        <v>1</v>
      </c>
      <c r="F431" t="s">
        <v>813</v>
      </c>
      <c r="G431" s="2">
        <v>42927</v>
      </c>
      <c r="H431" t="s">
        <v>192</v>
      </c>
      <c r="I431">
        <v>7.1</v>
      </c>
      <c r="K431">
        <v>4.7E-2</v>
      </c>
      <c r="L431">
        <v>11</v>
      </c>
      <c r="M431">
        <f>PI()*((I431/2)^2)/100 * L431</f>
        <v>4.3551113558551906</v>
      </c>
      <c r="Q431">
        <f>P431 / (300 * 300) * 6.4516</f>
        <v>0</v>
      </c>
      <c r="S431" t="s">
        <v>201</v>
      </c>
      <c r="T431">
        <v>12</v>
      </c>
      <c r="U431">
        <v>99.38</v>
      </c>
      <c r="V431">
        <v>39.19</v>
      </c>
      <c r="W431">
        <f>(((U431/2) * (V431/2)) * PI())</f>
        <v>3058.8919548600011</v>
      </c>
      <c r="X431">
        <f>IF(ISNUMBER(T431), T431*W431, W431)</f>
        <v>36706.703458320015</v>
      </c>
      <c r="Y431">
        <v>0.27</v>
      </c>
      <c r="Z431">
        <v>0.18</v>
      </c>
      <c r="AA431">
        <v>0.23</v>
      </c>
      <c r="AB431">
        <f>M431/K431</f>
        <v>92.661943741599799</v>
      </c>
    </row>
    <row r="432" spans="1:29" x14ac:dyDescent="0.25">
      <c r="A432">
        <v>651</v>
      </c>
      <c r="B432" t="s">
        <v>1519</v>
      </c>
      <c r="C432" t="s">
        <v>962</v>
      </c>
      <c r="D432" t="s">
        <v>426</v>
      </c>
      <c r="E432">
        <v>3</v>
      </c>
      <c r="F432" t="s">
        <v>427</v>
      </c>
      <c r="G432" s="2">
        <v>43664</v>
      </c>
      <c r="H432" t="s">
        <v>191</v>
      </c>
      <c r="Q432">
        <f>P432 / (300 * 300) * 6.4516</f>
        <v>0</v>
      </c>
      <c r="AB432">
        <v>92.873170950000002</v>
      </c>
      <c r="AC432" t="s">
        <v>1607</v>
      </c>
    </row>
    <row r="433" spans="1:29" x14ac:dyDescent="0.25">
      <c r="A433">
        <v>776</v>
      </c>
      <c r="B433" t="s">
        <v>1744</v>
      </c>
      <c r="D433" t="s">
        <v>1762</v>
      </c>
      <c r="E433">
        <v>3</v>
      </c>
      <c r="F433" t="s">
        <v>1250</v>
      </c>
      <c r="G433" s="3">
        <v>43650</v>
      </c>
      <c r="H433" t="s">
        <v>191</v>
      </c>
      <c r="K433">
        <v>1.974</v>
      </c>
      <c r="P433">
        <v>2558536</v>
      </c>
      <c r="Q433">
        <f>P433 / (300 * 300) * 6.4516</f>
        <v>183.40723175111111</v>
      </c>
      <c r="Y433">
        <v>0.33</v>
      </c>
      <c r="Z433">
        <v>0.33</v>
      </c>
      <c r="AA433">
        <v>0.27</v>
      </c>
      <c r="AB433">
        <f>Q433/K433</f>
        <v>92.911464919509172</v>
      </c>
    </row>
    <row r="434" spans="1:29" x14ac:dyDescent="0.25">
      <c r="A434">
        <v>62</v>
      </c>
      <c r="B434" t="s">
        <v>1201</v>
      </c>
      <c r="C434" t="s">
        <v>98</v>
      </c>
      <c r="D434" t="s">
        <v>530</v>
      </c>
      <c r="E434">
        <v>2</v>
      </c>
      <c r="F434" t="s">
        <v>531</v>
      </c>
      <c r="H434" t="s">
        <v>191</v>
      </c>
      <c r="I434" t="s">
        <v>135</v>
      </c>
      <c r="J434">
        <v>11.929</v>
      </c>
      <c r="K434">
        <v>4.2919999999999998</v>
      </c>
      <c r="L434" t="s">
        <v>135</v>
      </c>
      <c r="N434">
        <f>(J434-K434)/J434</f>
        <v>0.64020454354933354</v>
      </c>
      <c r="O434" t="s">
        <v>98</v>
      </c>
      <c r="P434">
        <v>5563556</v>
      </c>
      <c r="Q434">
        <f>P434 / (300 * 300) * 6.4516</f>
        <v>398.82042099555554</v>
      </c>
      <c r="R434">
        <v>4</v>
      </c>
      <c r="S434" t="s">
        <v>195</v>
      </c>
      <c r="T434" t="s">
        <v>135</v>
      </c>
      <c r="U434" t="s">
        <v>135</v>
      </c>
      <c r="V434" t="s">
        <v>135</v>
      </c>
      <c r="W434">
        <f>(Q434/R434) * 100</f>
        <v>9970.5105248888885</v>
      </c>
      <c r="X434">
        <f>W434</f>
        <v>9970.5105248888885</v>
      </c>
      <c r="Y434">
        <v>0.54</v>
      </c>
      <c r="Z434">
        <v>0.54</v>
      </c>
      <c r="AA434">
        <v>0.49</v>
      </c>
      <c r="AB434">
        <f>(Q434)/K434</f>
        <v>92.921812906699799</v>
      </c>
    </row>
    <row r="435" spans="1:29" x14ac:dyDescent="0.25">
      <c r="A435">
        <v>771</v>
      </c>
      <c r="B435" t="s">
        <v>1741</v>
      </c>
      <c r="D435" t="s">
        <v>839</v>
      </c>
      <c r="E435">
        <v>3</v>
      </c>
      <c r="F435" t="s">
        <v>1765</v>
      </c>
      <c r="G435" s="3">
        <v>43650</v>
      </c>
      <c r="H435" t="s">
        <v>191</v>
      </c>
      <c r="K435">
        <v>2.4860000000000002</v>
      </c>
      <c r="P435">
        <v>3229263</v>
      </c>
      <c r="Q435">
        <f>P435 / (300 * 300) * 6.4516</f>
        <v>231.48792411999997</v>
      </c>
      <c r="Y435">
        <v>0.26</v>
      </c>
      <c r="Z435">
        <v>0.27</v>
      </c>
      <c r="AA435">
        <v>0.2</v>
      </c>
      <c r="AB435">
        <f>Q435/K435</f>
        <v>93.116622735317762</v>
      </c>
    </row>
    <row r="436" spans="1:29" x14ac:dyDescent="0.25">
      <c r="A436">
        <v>103</v>
      </c>
      <c r="B436" t="s">
        <v>1229</v>
      </c>
      <c r="C436" t="s">
        <v>229</v>
      </c>
      <c r="D436" t="s">
        <v>351</v>
      </c>
      <c r="E436">
        <v>3</v>
      </c>
      <c r="F436" t="s">
        <v>219</v>
      </c>
      <c r="H436" t="s">
        <v>192</v>
      </c>
      <c r="I436">
        <v>7.1</v>
      </c>
      <c r="J436" t="s">
        <v>135</v>
      </c>
      <c r="K436">
        <v>6.8000000000000005E-2</v>
      </c>
      <c r="L436">
        <v>16</v>
      </c>
      <c r="M436">
        <f>PI()*((I436/2)^2)/100 * L436</f>
        <v>6.3347074266984587</v>
      </c>
      <c r="N436" t="s">
        <v>135</v>
      </c>
      <c r="O436" t="s">
        <v>135</v>
      </c>
      <c r="Q436">
        <f>P436 / (300 * 300) * 6.4516</f>
        <v>0</v>
      </c>
      <c r="R436" t="s">
        <v>135</v>
      </c>
      <c r="S436" t="s">
        <v>201</v>
      </c>
      <c r="T436">
        <v>9</v>
      </c>
      <c r="U436">
        <v>48.8</v>
      </c>
      <c r="V436">
        <v>23.17</v>
      </c>
      <c r="W436">
        <f>(((U436/2) * (V436/2)) * PI())</f>
        <v>888.04656176084109</v>
      </c>
      <c r="X436">
        <f>IF(ISNUMBER(T436), T436*W436, W436)</f>
        <v>7992.4190558475693</v>
      </c>
      <c r="Y436">
        <v>0.24</v>
      </c>
      <c r="Z436">
        <v>0.25</v>
      </c>
      <c r="AA436">
        <v>0.24</v>
      </c>
      <c r="AB436">
        <f>M436/K436</f>
        <v>93.157462157330272</v>
      </c>
      <c r="AC436" t="s">
        <v>230</v>
      </c>
    </row>
    <row r="437" spans="1:29" x14ac:dyDescent="0.25">
      <c r="A437">
        <v>599</v>
      </c>
      <c r="B437" t="s">
        <v>1454</v>
      </c>
      <c r="C437" t="s">
        <v>1455</v>
      </c>
      <c r="D437" t="s">
        <v>358</v>
      </c>
      <c r="E437">
        <v>7</v>
      </c>
      <c r="F437" t="s">
        <v>257</v>
      </c>
      <c r="G437" s="2">
        <v>43650</v>
      </c>
      <c r="H437" t="s">
        <v>191</v>
      </c>
      <c r="Q437">
        <f>P437 / (300 * 300) * 6.4516</f>
        <v>0</v>
      </c>
      <c r="AB437">
        <v>93.356654660000004</v>
      </c>
      <c r="AC437" t="s">
        <v>1607</v>
      </c>
    </row>
    <row r="438" spans="1:29" x14ac:dyDescent="0.25">
      <c r="A438">
        <v>792</v>
      </c>
      <c r="B438" t="s">
        <v>1758</v>
      </c>
      <c r="D438" t="s">
        <v>1761</v>
      </c>
      <c r="E438">
        <v>3</v>
      </c>
      <c r="F438" t="s">
        <v>1767</v>
      </c>
      <c r="G438" s="3">
        <v>43650</v>
      </c>
      <c r="H438" t="s">
        <v>191</v>
      </c>
      <c r="K438">
        <v>2.5110000000000001</v>
      </c>
      <c r="P438">
        <v>3283056</v>
      </c>
      <c r="Q438">
        <f>P438 / (300 * 300) * 6.4516</f>
        <v>235.34404544</v>
      </c>
      <c r="Y438">
        <v>0.23</v>
      </c>
      <c r="Z438">
        <v>0.25</v>
      </c>
      <c r="AA438">
        <v>0.28000000000000003</v>
      </c>
      <c r="AB438">
        <f>Q438/K438</f>
        <v>93.725227176423729</v>
      </c>
    </row>
    <row r="439" spans="1:29" x14ac:dyDescent="0.25">
      <c r="A439">
        <v>649</v>
      </c>
      <c r="B439" t="s">
        <v>1517</v>
      </c>
      <c r="C439" t="s">
        <v>425</v>
      </c>
      <c r="D439" t="s">
        <v>426</v>
      </c>
      <c r="E439">
        <v>1</v>
      </c>
      <c r="F439" t="s">
        <v>427</v>
      </c>
      <c r="G439" s="2">
        <v>43664</v>
      </c>
      <c r="H439" t="s">
        <v>191</v>
      </c>
      <c r="Q439">
        <f>P439 / (300 * 300) * 6.4516</f>
        <v>0</v>
      </c>
      <c r="AB439">
        <v>93.968985709999998</v>
      </c>
      <c r="AC439" t="s">
        <v>1607</v>
      </c>
    </row>
    <row r="440" spans="1:29" x14ac:dyDescent="0.25">
      <c r="A440">
        <v>653</v>
      </c>
      <c r="B440" t="s">
        <v>1521</v>
      </c>
      <c r="C440" t="s">
        <v>1109</v>
      </c>
      <c r="D440" t="s">
        <v>426</v>
      </c>
      <c r="E440">
        <v>5</v>
      </c>
      <c r="F440" t="s">
        <v>427</v>
      </c>
      <c r="G440" s="2">
        <v>43664</v>
      </c>
      <c r="H440" t="s">
        <v>191</v>
      </c>
      <c r="Q440">
        <f>P440 / (300 * 300) * 6.4516</f>
        <v>0</v>
      </c>
      <c r="AB440">
        <v>93.980609740000006</v>
      </c>
      <c r="AC440" t="s">
        <v>1607</v>
      </c>
    </row>
    <row r="441" spans="1:29" x14ac:dyDescent="0.25">
      <c r="A441">
        <v>66</v>
      </c>
      <c r="B441" t="s">
        <v>102</v>
      </c>
      <c r="D441" t="s">
        <v>357</v>
      </c>
      <c r="E441">
        <v>2</v>
      </c>
      <c r="F441" t="s">
        <v>272</v>
      </c>
      <c r="H441" t="s">
        <v>191</v>
      </c>
      <c r="I441" t="s">
        <v>135</v>
      </c>
      <c r="J441">
        <v>7.351</v>
      </c>
      <c r="K441">
        <v>2.1619999999999999</v>
      </c>
      <c r="L441" t="s">
        <v>135</v>
      </c>
      <c r="N441">
        <f>(J441-K441)/J441</f>
        <v>0.70589035505373421</v>
      </c>
      <c r="O441" t="s">
        <v>151</v>
      </c>
      <c r="P441">
        <v>2842828</v>
      </c>
      <c r="Q441">
        <f>P441 / (300 * 300) * 6.4516</f>
        <v>203.78654583111111</v>
      </c>
      <c r="R441">
        <v>5</v>
      </c>
      <c r="T441" t="s">
        <v>135</v>
      </c>
      <c r="U441" t="s">
        <v>135</v>
      </c>
      <c r="V441" t="s">
        <v>135</v>
      </c>
      <c r="W441">
        <f>(Q441/R441) * 100</f>
        <v>4075.7309166222221</v>
      </c>
      <c r="X441">
        <f>W441</f>
        <v>4075.7309166222221</v>
      </c>
      <c r="Y441">
        <v>0.34</v>
      </c>
      <c r="Z441">
        <v>0.36</v>
      </c>
      <c r="AA441">
        <v>0.4</v>
      </c>
      <c r="AB441">
        <f>(Q441)/K441</f>
        <v>94.258346822900606</v>
      </c>
    </row>
    <row r="442" spans="1:29" x14ac:dyDescent="0.25">
      <c r="A442">
        <v>473</v>
      </c>
      <c r="B442" t="s">
        <v>1109</v>
      </c>
      <c r="D442" t="s">
        <v>426</v>
      </c>
      <c r="E442">
        <v>5</v>
      </c>
      <c r="F442" t="s">
        <v>427</v>
      </c>
      <c r="G442" s="2">
        <v>42955</v>
      </c>
      <c r="H442" t="s">
        <v>192</v>
      </c>
      <c r="I442">
        <v>7.1</v>
      </c>
      <c r="K442">
        <v>4.2000000000000003E-2</v>
      </c>
      <c r="L442">
        <v>10</v>
      </c>
      <c r="M442">
        <f>PI()*((I442/2)^2)/100 * L442</f>
        <v>3.9591921416865365</v>
      </c>
      <c r="Q442">
        <f>P442 / (300 * 300) * 6.4516</f>
        <v>0</v>
      </c>
      <c r="S442" t="s">
        <v>201</v>
      </c>
      <c r="T442">
        <v>5</v>
      </c>
      <c r="U442">
        <v>124.39</v>
      </c>
      <c r="V442">
        <v>35.369999999999997</v>
      </c>
      <c r="W442">
        <f>(((U442/2) * (V442/2)) * PI())</f>
        <v>3455.4961147669537</v>
      </c>
      <c r="X442">
        <f>IF(ISNUMBER(T442), T442*W442, W442)</f>
        <v>17277.480573834768</v>
      </c>
      <c r="Y442">
        <v>0.21</v>
      </c>
      <c r="Z442">
        <v>0.21</v>
      </c>
      <c r="AA442">
        <v>0.2</v>
      </c>
      <c r="AB442">
        <f>M442/K442</f>
        <v>94.266479563965149</v>
      </c>
    </row>
    <row r="443" spans="1:29" x14ac:dyDescent="0.25">
      <c r="A443">
        <v>166</v>
      </c>
      <c r="B443" t="s">
        <v>432</v>
      </c>
      <c r="D443" t="s">
        <v>411</v>
      </c>
      <c r="E443">
        <v>1</v>
      </c>
      <c r="F443" t="s">
        <v>412</v>
      </c>
      <c r="H443" t="s">
        <v>192</v>
      </c>
      <c r="I443">
        <v>9.6999999999999993</v>
      </c>
      <c r="K443">
        <v>0.125</v>
      </c>
      <c r="L443">
        <v>16</v>
      </c>
      <c r="M443">
        <f>PI()*((I443/2)^2)/100 * L443</f>
        <v>11.823698111050543</v>
      </c>
      <c r="Q443">
        <f>P443 / (300 * 300) * 6.4516</f>
        <v>0</v>
      </c>
      <c r="R443" t="s">
        <v>135</v>
      </c>
      <c r="S443" t="s">
        <v>201</v>
      </c>
      <c r="T443">
        <v>13</v>
      </c>
      <c r="U443">
        <v>73.400000000000006</v>
      </c>
      <c r="V443">
        <v>20.97</v>
      </c>
      <c r="W443">
        <f>(((U443/2) * (V443/2)) * PI())</f>
        <v>1208.8832823050257</v>
      </c>
      <c r="X443">
        <f>IF(ISNUMBER(T443), T443*W443, W443)</f>
        <v>15715.482669965333</v>
      </c>
      <c r="Y443">
        <v>0.27</v>
      </c>
      <c r="Z443">
        <v>0.26</v>
      </c>
      <c r="AA443">
        <v>0.26</v>
      </c>
      <c r="AB443">
        <f>M443/K443</f>
        <v>94.589584888404346</v>
      </c>
    </row>
    <row r="444" spans="1:29" x14ac:dyDescent="0.25">
      <c r="A444">
        <v>748</v>
      </c>
      <c r="B444" t="s">
        <v>1707</v>
      </c>
      <c r="D444" t="s">
        <v>491</v>
      </c>
      <c r="E444">
        <v>6</v>
      </c>
      <c r="F444" t="s">
        <v>492</v>
      </c>
      <c r="G444" s="3">
        <v>43643</v>
      </c>
      <c r="H444" t="s">
        <v>191</v>
      </c>
      <c r="K444">
        <v>2.7240000000000002</v>
      </c>
      <c r="P444">
        <v>3600037</v>
      </c>
      <c r="Q444">
        <f>P444 / (300 * 300) * 6.4516</f>
        <v>258.06665232444448</v>
      </c>
      <c r="S444" t="s">
        <v>1073</v>
      </c>
      <c r="AB444">
        <f>Q444/K444</f>
        <v>94.738124935552293</v>
      </c>
    </row>
    <row r="445" spans="1:29" x14ac:dyDescent="0.25">
      <c r="A445">
        <v>312</v>
      </c>
      <c r="B445" t="s">
        <v>807</v>
      </c>
      <c r="D445" t="s">
        <v>498</v>
      </c>
      <c r="E445">
        <v>5</v>
      </c>
      <c r="F445" t="s">
        <v>499</v>
      </c>
      <c r="G445" s="2">
        <v>42927</v>
      </c>
      <c r="H445" t="s">
        <v>192</v>
      </c>
      <c r="I445">
        <v>9.6999999999999993</v>
      </c>
      <c r="K445">
        <v>7.8E-2</v>
      </c>
      <c r="L445">
        <v>10</v>
      </c>
      <c r="M445">
        <f>PI()*((I445/2)^2)/100 * L445</f>
        <v>7.38981131940659</v>
      </c>
      <c r="Q445">
        <f>P445 / (300 * 300) * 6.4516</f>
        <v>0</v>
      </c>
      <c r="S445" t="s">
        <v>195</v>
      </c>
      <c r="T445" t="s">
        <v>135</v>
      </c>
      <c r="U445">
        <v>83.44</v>
      </c>
      <c r="V445">
        <v>89.3</v>
      </c>
      <c r="W445">
        <f>(((U445/2) * (V445/2)) * PI())</f>
        <v>5852.1525119217595</v>
      </c>
      <c r="X445">
        <f>IF(ISNUMBER(T445), T445*W445, W445)</f>
        <v>5852.1525119217595</v>
      </c>
      <c r="Y445">
        <v>0.34</v>
      </c>
      <c r="Z445">
        <v>0.36</v>
      </c>
      <c r="AA445">
        <v>0.38</v>
      </c>
      <c r="AB445">
        <f>M445/K445</f>
        <v>94.741170761622953</v>
      </c>
    </row>
    <row r="446" spans="1:29" x14ac:dyDescent="0.25">
      <c r="A446">
        <v>334</v>
      </c>
      <c r="B446" t="s">
        <v>904</v>
      </c>
      <c r="D446" t="s">
        <v>836</v>
      </c>
      <c r="E446">
        <v>6</v>
      </c>
      <c r="F446" t="s">
        <v>837</v>
      </c>
      <c r="G446" s="2">
        <v>42930</v>
      </c>
      <c r="H446" t="s">
        <v>192</v>
      </c>
      <c r="I446">
        <v>9.6999999999999993</v>
      </c>
      <c r="K446">
        <v>7.8E-2</v>
      </c>
      <c r="L446">
        <v>10</v>
      </c>
      <c r="M446">
        <f>PI()*((I446/2)^2)/100 * L446</f>
        <v>7.38981131940659</v>
      </c>
      <c r="Q446">
        <f>P446 / (300 * 300) * 6.4516</f>
        <v>0</v>
      </c>
      <c r="S446" t="s">
        <v>195</v>
      </c>
      <c r="T446" t="s">
        <v>135</v>
      </c>
      <c r="U446">
        <v>132.29</v>
      </c>
      <c r="V446">
        <v>57.32</v>
      </c>
      <c r="W446">
        <f>(((U446/2) * (V446/2)) * PI())</f>
        <v>5955.5665164148322</v>
      </c>
      <c r="X446">
        <f>IF(ISNUMBER(T446), T446*W446, W446)</f>
        <v>5955.5665164148322</v>
      </c>
      <c r="Y446">
        <v>0.24</v>
      </c>
      <c r="Z446">
        <v>0.25</v>
      </c>
      <c r="AA446">
        <v>0.23</v>
      </c>
      <c r="AB446">
        <f>M446/K446</f>
        <v>94.741170761622953</v>
      </c>
      <c r="AC446" t="s">
        <v>854</v>
      </c>
    </row>
    <row r="447" spans="1:29" x14ac:dyDescent="0.25">
      <c r="A447">
        <v>575</v>
      </c>
      <c r="B447" t="s">
        <v>1427</v>
      </c>
      <c r="C447" t="s">
        <v>748</v>
      </c>
      <c r="D447" t="s">
        <v>368</v>
      </c>
      <c r="E447">
        <v>5</v>
      </c>
      <c r="F447" t="s">
        <v>322</v>
      </c>
      <c r="G447" s="2">
        <v>43652</v>
      </c>
      <c r="H447" t="s">
        <v>191</v>
      </c>
      <c r="Q447">
        <f>P447 / (300 * 300) * 6.4516</f>
        <v>0</v>
      </c>
      <c r="AB447">
        <v>94.874300289999994</v>
      </c>
      <c r="AC447" t="s">
        <v>1607</v>
      </c>
    </row>
    <row r="448" spans="1:29" x14ac:dyDescent="0.25">
      <c r="A448">
        <v>773</v>
      </c>
      <c r="B448" t="s">
        <v>1742</v>
      </c>
      <c r="D448" t="s">
        <v>1760</v>
      </c>
      <c r="E448">
        <v>1</v>
      </c>
      <c r="F448" t="s">
        <v>1766</v>
      </c>
      <c r="G448" s="3">
        <v>43650</v>
      </c>
      <c r="H448" t="s">
        <v>191</v>
      </c>
      <c r="K448">
        <v>2.4329999999999998</v>
      </c>
      <c r="P448">
        <v>3227169</v>
      </c>
      <c r="Q448">
        <f>P448 / (300 * 300) * 6.4516</f>
        <v>231.33781689333333</v>
      </c>
      <c r="Y448">
        <v>0.16</v>
      </c>
      <c r="Z448">
        <v>0.17</v>
      </c>
      <c r="AA448">
        <v>0.18</v>
      </c>
      <c r="AB448">
        <f>Q448/K448</f>
        <v>95.083360827510617</v>
      </c>
    </row>
    <row r="449" spans="1:29" x14ac:dyDescent="0.25">
      <c r="A449">
        <v>572</v>
      </c>
      <c r="B449" t="s">
        <v>1424</v>
      </c>
      <c r="C449" t="s">
        <v>595</v>
      </c>
      <c r="D449" t="s">
        <v>368</v>
      </c>
      <c r="E449">
        <v>2</v>
      </c>
      <c r="F449" t="s">
        <v>322</v>
      </c>
      <c r="G449" s="2">
        <v>43652</v>
      </c>
      <c r="H449" t="s">
        <v>191</v>
      </c>
      <c r="Q449">
        <f>P449 / (300 * 300) * 6.4516</f>
        <v>0</v>
      </c>
      <c r="AB449">
        <v>95.528734720000003</v>
      </c>
      <c r="AC449" t="s">
        <v>1607</v>
      </c>
    </row>
    <row r="450" spans="1:29" x14ac:dyDescent="0.25">
      <c r="A450">
        <v>175</v>
      </c>
      <c r="B450" t="s">
        <v>440</v>
      </c>
      <c r="D450" t="s">
        <v>381</v>
      </c>
      <c r="E450">
        <v>3</v>
      </c>
      <c r="F450" t="s">
        <v>232</v>
      </c>
      <c r="H450" t="s">
        <v>192</v>
      </c>
      <c r="I450">
        <v>7.1</v>
      </c>
      <c r="K450">
        <v>5.8000000000000003E-2</v>
      </c>
      <c r="L450">
        <v>14</v>
      </c>
      <c r="M450">
        <f>PI()*((I450/2)^2)/100 * L450</f>
        <v>5.5428689983611514</v>
      </c>
      <c r="Q450">
        <f>P450 / (300 * 300) * 6.4516</f>
        <v>0</v>
      </c>
      <c r="S450" t="s">
        <v>201</v>
      </c>
      <c r="T450">
        <v>7</v>
      </c>
      <c r="U450">
        <v>96.42</v>
      </c>
      <c r="V450">
        <v>26.32</v>
      </c>
      <c r="W450">
        <f>(((U450/2) * (V450/2)) * PI())</f>
        <v>1993.1633528770615</v>
      </c>
      <c r="X450">
        <f>IF(ISNUMBER(T450), T450*W450, W450)</f>
        <v>13952.14347013943</v>
      </c>
      <c r="Y450">
        <v>0.35</v>
      </c>
      <c r="Z450">
        <v>0.28999999999999998</v>
      </c>
      <c r="AA450">
        <v>0.28999999999999998</v>
      </c>
      <c r="AB450">
        <f>M450/K450</f>
        <v>95.566706868295711</v>
      </c>
    </row>
    <row r="451" spans="1:29" x14ac:dyDescent="0.25">
      <c r="A451">
        <v>223</v>
      </c>
      <c r="B451" t="s">
        <v>529</v>
      </c>
      <c r="D451" t="s">
        <v>377</v>
      </c>
      <c r="E451">
        <v>5</v>
      </c>
      <c r="F451" t="s">
        <v>222</v>
      </c>
      <c r="H451" t="s">
        <v>192</v>
      </c>
      <c r="I451">
        <v>7.1</v>
      </c>
      <c r="K451">
        <v>6.2E-2</v>
      </c>
      <c r="L451">
        <v>15</v>
      </c>
      <c r="M451">
        <f>PI()*((I451/2)^2)/100 * L451</f>
        <v>5.938788212529805</v>
      </c>
      <c r="Q451">
        <f>P451 / (300 * 300) * 6.4516</f>
        <v>0</v>
      </c>
      <c r="S451" t="s">
        <v>195</v>
      </c>
      <c r="T451" t="s">
        <v>135</v>
      </c>
      <c r="U451">
        <v>83.26</v>
      </c>
      <c r="V451">
        <v>39.840000000000003</v>
      </c>
      <c r="W451">
        <f>(((U451/2) * (V451/2)) * PI())</f>
        <v>2605.2272832053463</v>
      </c>
      <c r="X451">
        <f>IF(ISNUMBER(T451), T451*W451, W451)</f>
        <v>2605.2272832053463</v>
      </c>
      <c r="Y451">
        <v>0.2</v>
      </c>
      <c r="Z451">
        <v>0.32</v>
      </c>
      <c r="AA451">
        <v>0.24</v>
      </c>
      <c r="AB451">
        <f>M451/K451</f>
        <v>95.786906653706538</v>
      </c>
    </row>
    <row r="452" spans="1:29" x14ac:dyDescent="0.25">
      <c r="A452">
        <v>317</v>
      </c>
      <c r="B452" t="s">
        <v>816</v>
      </c>
      <c r="D452" t="s">
        <v>599</v>
      </c>
      <c r="E452">
        <v>3</v>
      </c>
      <c r="F452" t="s">
        <v>600</v>
      </c>
      <c r="G452" s="2">
        <v>42927</v>
      </c>
      <c r="H452" t="s">
        <v>192</v>
      </c>
      <c r="I452">
        <v>9.6999999999999993</v>
      </c>
      <c r="K452">
        <v>7.6999999999999999E-2</v>
      </c>
      <c r="L452">
        <v>10</v>
      </c>
      <c r="M452">
        <f>PI()*((I452/2)^2)/100 * L452</f>
        <v>7.38981131940659</v>
      </c>
      <c r="Q452">
        <f>P452 / (300 * 300) * 6.4516</f>
        <v>0</v>
      </c>
      <c r="S452" t="s">
        <v>195</v>
      </c>
      <c r="T452" t="s">
        <v>135</v>
      </c>
      <c r="U452">
        <v>117.6</v>
      </c>
      <c r="V452">
        <v>56.1</v>
      </c>
      <c r="W452">
        <f>(((U452/2) * (V452/2)) * PI())</f>
        <v>5181.5544272717889</v>
      </c>
      <c r="X452">
        <f>IF(ISNUMBER(T452), T452*W452, W452)</f>
        <v>5181.5544272717889</v>
      </c>
      <c r="Y452">
        <v>0.24</v>
      </c>
      <c r="Z452">
        <v>0.25</v>
      </c>
      <c r="AA452">
        <v>0.26</v>
      </c>
      <c r="AB452">
        <f>M452/K452</f>
        <v>95.971575576708958</v>
      </c>
    </row>
    <row r="453" spans="1:29" x14ac:dyDescent="0.25">
      <c r="A453">
        <v>793</v>
      </c>
      <c r="B453" t="s">
        <v>1249</v>
      </c>
      <c r="D453" t="s">
        <v>1762</v>
      </c>
      <c r="E453">
        <v>1</v>
      </c>
      <c r="F453" t="s">
        <v>1250</v>
      </c>
      <c r="G453" s="3">
        <v>43650</v>
      </c>
      <c r="H453" t="s">
        <v>191</v>
      </c>
      <c r="K453">
        <v>2.5379999999999998</v>
      </c>
      <c r="P453">
        <v>3401572</v>
      </c>
      <c r="Q453">
        <f>P453 / (300 * 300) * 6.4516</f>
        <v>243.83979905777775</v>
      </c>
      <c r="Y453">
        <v>0.3</v>
      </c>
      <c r="Z453">
        <v>0.28999999999999998</v>
      </c>
      <c r="AA453">
        <v>0.3</v>
      </c>
      <c r="AB453">
        <f>Q453/K453</f>
        <v>96.075570944750893</v>
      </c>
    </row>
    <row r="454" spans="1:29" x14ac:dyDescent="0.25">
      <c r="A454">
        <v>680</v>
      </c>
      <c r="B454" t="s">
        <v>1559</v>
      </c>
      <c r="C454" t="s">
        <v>18</v>
      </c>
      <c r="D454" t="s">
        <v>338</v>
      </c>
      <c r="F454" t="s">
        <v>1560</v>
      </c>
      <c r="G454" s="2">
        <v>43611</v>
      </c>
      <c r="H454" t="s">
        <v>191</v>
      </c>
      <c r="Q454">
        <f>P454 / (300 * 300) * 6.4516</f>
        <v>0</v>
      </c>
      <c r="AB454">
        <v>96.122890190000007</v>
      </c>
      <c r="AC454" t="s">
        <v>1607</v>
      </c>
    </row>
    <row r="455" spans="1:29" x14ac:dyDescent="0.25">
      <c r="A455">
        <v>794</v>
      </c>
      <c r="B455" t="s">
        <v>1778</v>
      </c>
      <c r="D455" t="s">
        <v>1725</v>
      </c>
      <c r="E455">
        <v>4</v>
      </c>
      <c r="F455" t="s">
        <v>1738</v>
      </c>
      <c r="G455" s="3">
        <v>43662</v>
      </c>
      <c r="H455" t="s">
        <v>191</v>
      </c>
      <c r="K455">
        <v>1.0569999999999999</v>
      </c>
      <c r="P455">
        <v>1417354</v>
      </c>
      <c r="Q455">
        <f>P455 / (300 * 300) * 6.4516</f>
        <v>101.60223407111111</v>
      </c>
      <c r="Y455">
        <v>0.24</v>
      </c>
      <c r="Z455">
        <v>0.26</v>
      </c>
      <c r="AA455">
        <v>0.24</v>
      </c>
      <c r="AB455">
        <f>Q455/K455</f>
        <v>96.123211041732375</v>
      </c>
    </row>
    <row r="456" spans="1:29" x14ac:dyDescent="0.25">
      <c r="A456">
        <v>153</v>
      </c>
      <c r="B456" t="s">
        <v>409</v>
      </c>
      <c r="D456" t="s">
        <v>347</v>
      </c>
      <c r="E456">
        <v>3</v>
      </c>
      <c r="F456" t="s">
        <v>361</v>
      </c>
      <c r="H456" t="s">
        <v>192</v>
      </c>
      <c r="I456">
        <v>9.6999999999999993</v>
      </c>
      <c r="J456" t="s">
        <v>135</v>
      </c>
      <c r="K456">
        <v>9.1999999999999998E-2</v>
      </c>
      <c r="L456">
        <v>12</v>
      </c>
      <c r="M456">
        <f>PI()*((I456/2)^2)/100 * L456</f>
        <v>8.8677735832879065</v>
      </c>
      <c r="N456" t="s">
        <v>135</v>
      </c>
      <c r="O456" t="s">
        <v>135</v>
      </c>
      <c r="Q456">
        <f>P456 / (300 * 300) * 6.4516</f>
        <v>0</v>
      </c>
      <c r="R456" t="s">
        <v>135</v>
      </c>
      <c r="S456" t="s">
        <v>195</v>
      </c>
      <c r="T456" t="s">
        <v>135</v>
      </c>
      <c r="U456">
        <v>137.26</v>
      </c>
      <c r="V456">
        <v>73.47</v>
      </c>
      <c r="W456">
        <f>(((U456/2) * (V456/2)) * PI())</f>
        <v>7920.341652675892</v>
      </c>
      <c r="X456">
        <f>IF(ISNUMBER(T456), T456*W456, W456)</f>
        <v>7920.341652675892</v>
      </c>
      <c r="Y456">
        <v>0.56999999999999995</v>
      </c>
      <c r="Z456">
        <v>0.55000000000000004</v>
      </c>
      <c r="AA456">
        <v>0.63</v>
      </c>
      <c r="AB456">
        <f>M456/K456</f>
        <v>96.388843296607675</v>
      </c>
    </row>
    <row r="457" spans="1:29" x14ac:dyDescent="0.25">
      <c r="A457">
        <v>303</v>
      </c>
      <c r="B457" t="s">
        <v>796</v>
      </c>
      <c r="D457" t="s">
        <v>599</v>
      </c>
      <c r="E457">
        <v>5</v>
      </c>
      <c r="F457" t="s">
        <v>600</v>
      </c>
      <c r="G457" s="2">
        <v>42927</v>
      </c>
      <c r="H457" t="s">
        <v>192</v>
      </c>
      <c r="I457">
        <v>7.1</v>
      </c>
      <c r="K457">
        <v>4.1000000000000002E-2</v>
      </c>
      <c r="L457">
        <v>10</v>
      </c>
      <c r="M457">
        <f>PI()*((I457/2)^2)/100 * L457</f>
        <v>3.9591921416865365</v>
      </c>
      <c r="Q457">
        <f>P457 / (300 * 300) * 6.4516</f>
        <v>0</v>
      </c>
      <c r="S457" t="s">
        <v>195</v>
      </c>
      <c r="T457" t="s">
        <v>135</v>
      </c>
      <c r="U457">
        <v>104.63</v>
      </c>
      <c r="V457">
        <v>48.87</v>
      </c>
      <c r="W457">
        <f>(((U457/2) * (V457/2)) * PI())</f>
        <v>4015.9513746987595</v>
      </c>
      <c r="X457">
        <f>IF(ISNUMBER(T457), T457*W457, W457)</f>
        <v>4015.9513746987595</v>
      </c>
      <c r="Y457">
        <v>0.26</v>
      </c>
      <c r="Z457">
        <v>0.2</v>
      </c>
      <c r="AA457">
        <v>0.24</v>
      </c>
      <c r="AB457">
        <f>M457/K457</f>
        <v>96.565661992354549</v>
      </c>
    </row>
    <row r="458" spans="1:29" x14ac:dyDescent="0.25">
      <c r="A458">
        <v>321</v>
      </c>
      <c r="B458" t="s">
        <v>824</v>
      </c>
      <c r="D458" t="s">
        <v>825</v>
      </c>
      <c r="E458">
        <v>2</v>
      </c>
      <c r="F458" t="s">
        <v>826</v>
      </c>
      <c r="G458" s="2">
        <v>42930</v>
      </c>
      <c r="H458" t="s">
        <v>192</v>
      </c>
      <c r="I458">
        <v>7.1</v>
      </c>
      <c r="K458">
        <v>4.1000000000000002E-2</v>
      </c>
      <c r="L458">
        <v>10</v>
      </c>
      <c r="M458">
        <f>PI()*((I458/2)^2)/100 * L458</f>
        <v>3.9591921416865365</v>
      </c>
      <c r="Q458">
        <f>P458 / (300 * 300) * 6.4516</f>
        <v>0</v>
      </c>
      <c r="S458" t="s">
        <v>195</v>
      </c>
      <c r="T458" t="s">
        <v>135</v>
      </c>
      <c r="U458">
        <v>83.01</v>
      </c>
      <c r="V458">
        <v>30.52</v>
      </c>
      <c r="W458">
        <f>(((U458/2) * (V458/2)) * PI())</f>
        <v>1989.7789151113491</v>
      </c>
      <c r="X458">
        <f>IF(ISNUMBER(T458), T458*W458, W458)</f>
        <v>1989.7789151113491</v>
      </c>
      <c r="Y458">
        <v>0.28000000000000003</v>
      </c>
      <c r="Z458">
        <v>0.34</v>
      </c>
      <c r="AA458">
        <v>0.31</v>
      </c>
      <c r="AB458">
        <f>M458/K458</f>
        <v>96.565661992354549</v>
      </c>
    </row>
    <row r="459" spans="1:29" x14ac:dyDescent="0.25">
      <c r="A459">
        <v>340</v>
      </c>
      <c r="B459" t="s">
        <v>855</v>
      </c>
      <c r="D459" t="s">
        <v>833</v>
      </c>
      <c r="E459">
        <v>2</v>
      </c>
      <c r="F459" t="s">
        <v>834</v>
      </c>
      <c r="G459" s="2">
        <v>42930</v>
      </c>
      <c r="H459" t="s">
        <v>192</v>
      </c>
      <c r="I459">
        <v>7.1</v>
      </c>
      <c r="K459">
        <v>4.1000000000000002E-2</v>
      </c>
      <c r="L459">
        <v>10</v>
      </c>
      <c r="M459">
        <f>PI()*((I459/2)^2)/100 * L459</f>
        <v>3.9591921416865365</v>
      </c>
      <c r="Q459">
        <f>P459 / (300 * 300) * 6.4516</f>
        <v>0</v>
      </c>
      <c r="S459" t="s">
        <v>195</v>
      </c>
      <c r="T459" t="s">
        <v>135</v>
      </c>
      <c r="U459">
        <v>77.92</v>
      </c>
      <c r="V459">
        <v>21.18</v>
      </c>
      <c r="W459">
        <f>(((U459/2) * (V459/2)) * PI())</f>
        <v>1296.17840321106</v>
      </c>
      <c r="X459">
        <f>IF(ISNUMBER(T459), T459*W459, W459)</f>
        <v>1296.17840321106</v>
      </c>
      <c r="Y459">
        <v>0.24</v>
      </c>
      <c r="Z459">
        <v>0.26</v>
      </c>
      <c r="AA459">
        <v>0.22</v>
      </c>
      <c r="AB459">
        <f>M459/K459</f>
        <v>96.565661992354549</v>
      </c>
    </row>
    <row r="460" spans="1:29" x14ac:dyDescent="0.25">
      <c r="A460">
        <v>352</v>
      </c>
      <c r="B460" t="s">
        <v>869</v>
      </c>
      <c r="D460" t="s">
        <v>848</v>
      </c>
      <c r="E460">
        <v>2</v>
      </c>
      <c r="F460" t="s">
        <v>849</v>
      </c>
      <c r="G460" s="2">
        <v>42931</v>
      </c>
      <c r="H460" t="s">
        <v>192</v>
      </c>
      <c r="I460">
        <v>7.1</v>
      </c>
      <c r="K460">
        <v>4.1000000000000002E-2</v>
      </c>
      <c r="L460">
        <v>10</v>
      </c>
      <c r="M460">
        <f>PI()*((I460/2)^2)/100 * L460</f>
        <v>3.9591921416865365</v>
      </c>
      <c r="Q460">
        <f>P460 / (300 * 300) * 6.4516</f>
        <v>0</v>
      </c>
      <c r="S460" t="s">
        <v>195</v>
      </c>
      <c r="T460" t="s">
        <v>135</v>
      </c>
      <c r="U460">
        <v>69.790000000000006</v>
      </c>
      <c r="V460">
        <v>39.26</v>
      </c>
      <c r="W460">
        <f>(((U460/2) * (V460/2)) * PI())</f>
        <v>2151.9559389509209</v>
      </c>
      <c r="X460">
        <f>IF(ISNUMBER(T460), T460*W460, W460)</f>
        <v>2151.9559389509209</v>
      </c>
      <c r="Y460">
        <v>0.28000000000000003</v>
      </c>
      <c r="Z460">
        <v>0.32</v>
      </c>
      <c r="AA460">
        <v>0.26</v>
      </c>
      <c r="AB460">
        <f>M460/K460</f>
        <v>96.565661992354549</v>
      </c>
      <c r="AC460">
        <v>2863</v>
      </c>
    </row>
    <row r="461" spans="1:29" x14ac:dyDescent="0.25">
      <c r="A461">
        <v>443</v>
      </c>
      <c r="B461" t="s">
        <v>1058</v>
      </c>
      <c r="D461" t="s">
        <v>356</v>
      </c>
      <c r="E461">
        <v>4</v>
      </c>
      <c r="F461" t="s">
        <v>360</v>
      </c>
      <c r="G461" s="2">
        <v>42950</v>
      </c>
      <c r="H461" t="s">
        <v>192</v>
      </c>
      <c r="I461">
        <v>7.1</v>
      </c>
      <c r="K461">
        <v>4.4999999999999998E-2</v>
      </c>
      <c r="L461">
        <v>11</v>
      </c>
      <c r="M461">
        <f>PI()*((I461/2)^2)/100 * L461</f>
        <v>4.3551113558551906</v>
      </c>
      <c r="Q461">
        <f>P461 / (300 * 300) * 6.4516</f>
        <v>0</v>
      </c>
      <c r="S461" t="s">
        <v>201</v>
      </c>
      <c r="T461">
        <v>18</v>
      </c>
      <c r="U461">
        <v>44.12</v>
      </c>
      <c r="V461">
        <v>16.329999999999998</v>
      </c>
      <c r="W461">
        <f>(((U461/2) * (V461/2)) * PI())</f>
        <v>565.86335460532814</v>
      </c>
      <c r="X461">
        <f>IF(ISNUMBER(T461), T461*W461, W461)</f>
        <v>10185.540382895906</v>
      </c>
      <c r="Y461">
        <v>0.26</v>
      </c>
      <c r="Z461">
        <v>0.25</v>
      </c>
      <c r="AA461">
        <v>0.3</v>
      </c>
      <c r="AB461">
        <f>M461/K461</f>
        <v>96.78025235233757</v>
      </c>
    </row>
    <row r="462" spans="1:29" x14ac:dyDescent="0.25">
      <c r="A462">
        <v>298</v>
      </c>
      <c r="B462" t="s">
        <v>1205</v>
      </c>
      <c r="C462" t="s">
        <v>64</v>
      </c>
      <c r="D462" t="s">
        <v>358</v>
      </c>
      <c r="E462">
        <v>6</v>
      </c>
      <c r="F462" t="s">
        <v>65</v>
      </c>
      <c r="H462" t="s">
        <v>191</v>
      </c>
      <c r="K462">
        <v>0.9</v>
      </c>
      <c r="P462">
        <v>1216143</v>
      </c>
      <c r="Q462">
        <f>P462 / (300 * 300) * 6.4516</f>
        <v>87.178535320000009</v>
      </c>
      <c r="R462">
        <v>54</v>
      </c>
      <c r="S462" t="s">
        <v>195</v>
      </c>
      <c r="T462" t="s">
        <v>135</v>
      </c>
      <c r="U462" t="s">
        <v>135</v>
      </c>
      <c r="V462" t="s">
        <v>135</v>
      </c>
      <c r="W462">
        <f>Q462*100/R462</f>
        <v>161.44173207407408</v>
      </c>
      <c r="X462">
        <f>Q462*100/R462</f>
        <v>161.44173207407408</v>
      </c>
      <c r="Y462" t="s">
        <v>135</v>
      </c>
      <c r="Z462" t="s">
        <v>135</v>
      </c>
      <c r="AA462" t="s">
        <v>135</v>
      </c>
      <c r="AB462">
        <f>Q462/K462</f>
        <v>96.865039244444446</v>
      </c>
    </row>
    <row r="463" spans="1:29" x14ac:dyDescent="0.25">
      <c r="A463">
        <v>652</v>
      </c>
      <c r="B463" t="s">
        <v>1520</v>
      </c>
      <c r="C463" t="s">
        <v>1108</v>
      </c>
      <c r="D463" t="s">
        <v>426</v>
      </c>
      <c r="E463">
        <v>4</v>
      </c>
      <c r="F463" t="s">
        <v>427</v>
      </c>
      <c r="G463" s="2">
        <v>43664</v>
      </c>
      <c r="H463" t="s">
        <v>191</v>
      </c>
      <c r="Q463">
        <f>P463 / (300 * 300) * 6.4516</f>
        <v>0</v>
      </c>
      <c r="AB463">
        <v>97.097322950000006</v>
      </c>
      <c r="AC463" t="s">
        <v>1607</v>
      </c>
    </row>
    <row r="464" spans="1:29" x14ac:dyDescent="0.25">
      <c r="A464">
        <v>791</v>
      </c>
      <c r="B464" t="s">
        <v>1757</v>
      </c>
      <c r="D464" t="s">
        <v>1760</v>
      </c>
      <c r="E464">
        <v>2</v>
      </c>
      <c r="F464" t="s">
        <v>1766</v>
      </c>
      <c r="G464" s="3">
        <v>43650</v>
      </c>
      <c r="H464" t="s">
        <v>191</v>
      </c>
      <c r="K464">
        <v>2.31</v>
      </c>
      <c r="P464">
        <v>3129049</v>
      </c>
      <c r="Q464">
        <f>P464 / (300 * 300) * 6.4516</f>
        <v>224.30413920444443</v>
      </c>
      <c r="Y464">
        <v>0.24</v>
      </c>
      <c r="Z464">
        <v>0.18</v>
      </c>
      <c r="AA464">
        <v>0.2</v>
      </c>
      <c r="AB464">
        <f>Q464/K464</f>
        <v>97.101358962962948</v>
      </c>
    </row>
    <row r="465" spans="1:29" x14ac:dyDescent="0.25">
      <c r="A465">
        <v>196</v>
      </c>
      <c r="B465" t="s">
        <v>487</v>
      </c>
      <c r="D465" t="s">
        <v>488</v>
      </c>
      <c r="E465">
        <v>1</v>
      </c>
      <c r="F465" t="s">
        <v>489</v>
      </c>
      <c r="H465" t="s">
        <v>192</v>
      </c>
      <c r="I465">
        <v>9.6999999999999993</v>
      </c>
      <c r="K465">
        <v>7.5999999999999998E-2</v>
      </c>
      <c r="L465">
        <v>10</v>
      </c>
      <c r="M465">
        <f>PI()*((I465/2)^2)/100 * L465</f>
        <v>7.38981131940659</v>
      </c>
      <c r="Q465">
        <f>P465 / (300 * 300) * 6.4516</f>
        <v>0</v>
      </c>
      <c r="S465" t="s">
        <v>195</v>
      </c>
      <c r="T465" t="s">
        <v>135</v>
      </c>
      <c r="U465">
        <v>120.53</v>
      </c>
      <c r="V465">
        <v>53.56</v>
      </c>
      <c r="W465">
        <f>(((U465/2) * (V465/2)) * PI())</f>
        <v>5070.2060163728102</v>
      </c>
      <c r="X465">
        <f>IF(ISNUMBER(T465), T465*W465, W465)</f>
        <v>5070.2060163728102</v>
      </c>
      <c r="Y465">
        <v>0.27</v>
      </c>
      <c r="Z465">
        <v>0.28000000000000003</v>
      </c>
      <c r="AA465">
        <v>0.28999999999999998</v>
      </c>
      <c r="AB465">
        <f>M465/K465</f>
        <v>97.234359465876182</v>
      </c>
    </row>
    <row r="466" spans="1:29" x14ac:dyDescent="0.25">
      <c r="A466">
        <v>125</v>
      </c>
      <c r="B466" t="s">
        <v>282</v>
      </c>
      <c r="D466" t="s">
        <v>376</v>
      </c>
      <c r="E466">
        <v>3</v>
      </c>
      <c r="F466" t="s">
        <v>200</v>
      </c>
      <c r="H466" t="s">
        <v>192</v>
      </c>
      <c r="I466">
        <v>7.1</v>
      </c>
      <c r="J466" t="s">
        <v>135</v>
      </c>
      <c r="K466">
        <v>5.7000000000000002E-2</v>
      </c>
      <c r="L466">
        <v>14</v>
      </c>
      <c r="M466">
        <f>PI()*((I466/2)^2)/100 * L466</f>
        <v>5.5428689983611514</v>
      </c>
      <c r="N466" t="s">
        <v>135</v>
      </c>
      <c r="O466" t="s">
        <v>135</v>
      </c>
      <c r="Q466">
        <f>P466 / (300 * 300) * 6.4516</f>
        <v>0</v>
      </c>
      <c r="R466" t="s">
        <v>135</v>
      </c>
      <c r="S466" t="s">
        <v>201</v>
      </c>
      <c r="T466">
        <v>5</v>
      </c>
      <c r="U466">
        <v>77.819999999999993</v>
      </c>
      <c r="V466">
        <v>17.79</v>
      </c>
      <c r="W466">
        <f>(((U466/2) * (V466/2)) * PI())</f>
        <v>1087.3191974947356</v>
      </c>
      <c r="X466">
        <f>IF(ISNUMBER(T466), T466*W466, W466)</f>
        <v>5436.5959874736782</v>
      </c>
      <c r="Y466">
        <v>0.2</v>
      </c>
      <c r="Z466">
        <v>0.21</v>
      </c>
      <c r="AA466">
        <v>0.19</v>
      </c>
      <c r="AB466">
        <f>M466/K466</f>
        <v>97.243315760721956</v>
      </c>
    </row>
    <row r="467" spans="1:29" x14ac:dyDescent="0.25">
      <c r="A467">
        <v>265</v>
      </c>
      <c r="B467" t="s">
        <v>623</v>
      </c>
      <c r="D467" t="s">
        <v>338</v>
      </c>
      <c r="E467">
        <v>5</v>
      </c>
      <c r="F467" t="s">
        <v>19</v>
      </c>
      <c r="H467" t="s">
        <v>192</v>
      </c>
      <c r="I467">
        <v>7.1</v>
      </c>
      <c r="K467">
        <v>5.7000000000000002E-2</v>
      </c>
      <c r="L467">
        <v>14</v>
      </c>
      <c r="M467">
        <f>PI()*((I467/2)^2)/100 * L467</f>
        <v>5.5428689983611514</v>
      </c>
      <c r="Q467">
        <f>P467 / (300 * 300) * 6.4516</f>
        <v>0</v>
      </c>
      <c r="S467" t="s">
        <v>201</v>
      </c>
      <c r="T467">
        <v>190</v>
      </c>
      <c r="U467">
        <v>11.08</v>
      </c>
      <c r="V467">
        <v>8.3699999999999992</v>
      </c>
      <c r="W467">
        <f>(((U467/2) * (V467/2)) * PI())</f>
        <v>72.837511514213986</v>
      </c>
      <c r="X467">
        <f>IF(ISNUMBER(T467), T467*W467, W467)</f>
        <v>13839.127187700657</v>
      </c>
      <c r="Y467">
        <v>0.18</v>
      </c>
      <c r="Z467">
        <v>0.19</v>
      </c>
      <c r="AA467">
        <v>0.2</v>
      </c>
      <c r="AB467">
        <f>M467/K467</f>
        <v>97.243315760721956</v>
      </c>
    </row>
    <row r="468" spans="1:29" x14ac:dyDescent="0.25">
      <c r="A468">
        <v>574</v>
      </c>
      <c r="B468" t="s">
        <v>1426</v>
      </c>
      <c r="C468" t="s">
        <v>607</v>
      </c>
      <c r="D468" t="s">
        <v>368</v>
      </c>
      <c r="E468">
        <v>4</v>
      </c>
      <c r="F468" t="s">
        <v>322</v>
      </c>
      <c r="G468" s="2">
        <v>43652</v>
      </c>
      <c r="H468" t="s">
        <v>191</v>
      </c>
      <c r="Q468">
        <f>P468 / (300 * 300) * 6.4516</f>
        <v>0</v>
      </c>
      <c r="AB468">
        <v>97.330332100000007</v>
      </c>
      <c r="AC468" t="s">
        <v>1607</v>
      </c>
    </row>
    <row r="469" spans="1:29" x14ac:dyDescent="0.25">
      <c r="A469">
        <v>134</v>
      </c>
      <c r="B469" t="s">
        <v>292</v>
      </c>
      <c r="D469" t="s">
        <v>387</v>
      </c>
      <c r="E469">
        <v>2</v>
      </c>
      <c r="F469" t="s">
        <v>281</v>
      </c>
      <c r="H469" t="s">
        <v>192</v>
      </c>
      <c r="I469">
        <v>7.1</v>
      </c>
      <c r="J469" t="s">
        <v>135</v>
      </c>
      <c r="K469">
        <v>6.0999999999999999E-2</v>
      </c>
      <c r="L469">
        <v>15</v>
      </c>
      <c r="M469">
        <f>PI()*((I469/2)^2)/100 * L469</f>
        <v>5.938788212529805</v>
      </c>
      <c r="N469" t="s">
        <v>135</v>
      </c>
      <c r="O469" t="s">
        <v>135</v>
      </c>
      <c r="Q469">
        <f>P469 / (300 * 300) * 6.4516</f>
        <v>0</v>
      </c>
      <c r="R469" t="s">
        <v>135</v>
      </c>
      <c r="S469" t="s">
        <v>195</v>
      </c>
      <c r="T469" t="s">
        <v>135</v>
      </c>
      <c r="U469">
        <v>21.95</v>
      </c>
      <c r="V469">
        <v>11.17</v>
      </c>
      <c r="W469">
        <f>(((U469/2) * (V469/2)) * PI())</f>
        <v>192.56509979903146</v>
      </c>
      <c r="X469">
        <f>IF(ISNUMBER(T469), T469*W469, W469)</f>
        <v>192.56509979903146</v>
      </c>
      <c r="Y469">
        <v>0.18</v>
      </c>
      <c r="Z469">
        <v>0.19</v>
      </c>
      <c r="AA469">
        <v>0.19</v>
      </c>
      <c r="AB469">
        <f>M469/K469</f>
        <v>97.35718381196402</v>
      </c>
    </row>
    <row r="470" spans="1:29" x14ac:dyDescent="0.25">
      <c r="A470">
        <v>534</v>
      </c>
      <c r="B470" t="s">
        <v>1365</v>
      </c>
      <c r="C470" t="s">
        <v>995</v>
      </c>
      <c r="D470" t="s">
        <v>339</v>
      </c>
      <c r="E470">
        <v>5</v>
      </c>
      <c r="F470" t="s">
        <v>362</v>
      </c>
      <c r="G470" s="2">
        <v>43653</v>
      </c>
      <c r="H470" t="s">
        <v>191</v>
      </c>
      <c r="Q470">
        <f>P470 / (300 * 300) * 6.4516</f>
        <v>0</v>
      </c>
      <c r="AB470">
        <v>97.461498689999999</v>
      </c>
      <c r="AC470" t="s">
        <v>1607</v>
      </c>
    </row>
    <row r="471" spans="1:29" x14ac:dyDescent="0.25">
      <c r="A471">
        <v>630</v>
      </c>
      <c r="B471" t="s">
        <v>1494</v>
      </c>
      <c r="C471" t="s">
        <v>106</v>
      </c>
      <c r="D471" t="s">
        <v>331</v>
      </c>
      <c r="E471">
        <v>2</v>
      </c>
      <c r="F471" t="s">
        <v>5</v>
      </c>
      <c r="G471" s="2">
        <v>43650</v>
      </c>
      <c r="H471" t="s">
        <v>191</v>
      </c>
      <c r="Q471">
        <f>P471 / (300 * 300) * 6.4516</f>
        <v>0</v>
      </c>
      <c r="AB471">
        <v>97.758615359999993</v>
      </c>
      <c r="AC471" t="s">
        <v>1607</v>
      </c>
    </row>
    <row r="472" spans="1:29" x14ac:dyDescent="0.25">
      <c r="A472">
        <v>779</v>
      </c>
      <c r="B472" t="s">
        <v>1747</v>
      </c>
      <c r="D472" t="s">
        <v>1055</v>
      </c>
      <c r="E472">
        <v>3</v>
      </c>
      <c r="F472" t="s">
        <v>188</v>
      </c>
      <c r="G472" s="3">
        <v>43650</v>
      </c>
      <c r="H472" t="s">
        <v>191</v>
      </c>
      <c r="K472">
        <v>1.8240000000000001</v>
      </c>
      <c r="P472">
        <v>2495528</v>
      </c>
      <c r="Q472">
        <f>P472 / (300 * 300) * 6.4516</f>
        <v>178.89053827555554</v>
      </c>
      <c r="Y472">
        <v>0.21</v>
      </c>
      <c r="Z472">
        <v>0.19</v>
      </c>
      <c r="AA472">
        <v>0.19</v>
      </c>
      <c r="AB472">
        <f>Q472/K472</f>
        <v>98.075953001949301</v>
      </c>
    </row>
    <row r="473" spans="1:29" x14ac:dyDescent="0.25">
      <c r="A473">
        <v>67</v>
      </c>
      <c r="B473" t="s">
        <v>103</v>
      </c>
      <c r="D473" t="s">
        <v>353</v>
      </c>
      <c r="E473">
        <v>1</v>
      </c>
      <c r="F473" t="s">
        <v>354</v>
      </c>
      <c r="H473" t="s">
        <v>191</v>
      </c>
      <c r="I473" t="s">
        <v>135</v>
      </c>
      <c r="J473">
        <v>2.2519999999999998</v>
      </c>
      <c r="K473">
        <v>0.74299999999999999</v>
      </c>
      <c r="L473" t="s">
        <v>135</v>
      </c>
      <c r="N473">
        <f>(J473-K473)/J473</f>
        <v>0.67007104795737127</v>
      </c>
      <c r="P473">
        <v>1019055</v>
      </c>
      <c r="Q473">
        <f>P473 / (300 * 300) * 6.4516</f>
        <v>73.05039153333334</v>
      </c>
      <c r="R473">
        <v>5</v>
      </c>
      <c r="S473" t="s">
        <v>195</v>
      </c>
      <c r="T473" t="s">
        <v>135</v>
      </c>
      <c r="U473" t="s">
        <v>135</v>
      </c>
      <c r="V473" t="s">
        <v>135</v>
      </c>
      <c r="W473">
        <f>Q473*100/R473</f>
        <v>1461.0078306666669</v>
      </c>
      <c r="X473">
        <f>W473</f>
        <v>1461.0078306666669</v>
      </c>
      <c r="Y473">
        <v>0.21</v>
      </c>
      <c r="Z473">
        <v>0.2</v>
      </c>
      <c r="AA473">
        <v>0.21</v>
      </c>
      <c r="AB473">
        <f>(Q473)/K473</f>
        <v>98.318158187528056</v>
      </c>
    </row>
    <row r="474" spans="1:29" x14ac:dyDescent="0.25">
      <c r="A474">
        <v>639</v>
      </c>
      <c r="B474" t="s">
        <v>1507</v>
      </c>
      <c r="C474" t="s">
        <v>1085</v>
      </c>
      <c r="D474" t="s">
        <v>1083</v>
      </c>
      <c r="E474">
        <v>2</v>
      </c>
      <c r="F474" t="s">
        <v>1084</v>
      </c>
      <c r="G474" s="2">
        <v>43656</v>
      </c>
      <c r="H474" t="s">
        <v>191</v>
      </c>
      <c r="Q474">
        <f>P474 / (300 * 300) * 6.4516</f>
        <v>0</v>
      </c>
      <c r="AB474">
        <v>98.350853189999995</v>
      </c>
      <c r="AC474" t="s">
        <v>1607</v>
      </c>
    </row>
    <row r="475" spans="1:29" x14ac:dyDescent="0.25">
      <c r="A475">
        <v>287</v>
      </c>
      <c r="B475" t="s">
        <v>756</v>
      </c>
      <c r="D475" t="s">
        <v>331</v>
      </c>
      <c r="E475">
        <v>4</v>
      </c>
      <c r="F475" t="s">
        <v>5</v>
      </c>
      <c r="G475" s="2">
        <v>42923</v>
      </c>
      <c r="H475" t="s">
        <v>192</v>
      </c>
      <c r="I475">
        <v>9.6999999999999993</v>
      </c>
      <c r="K475">
        <v>0.09</v>
      </c>
      <c r="L475">
        <v>12</v>
      </c>
      <c r="M475">
        <f>PI()*((I475/2)^2)/100 * L475</f>
        <v>8.8677735832879065</v>
      </c>
      <c r="Q475">
        <f>P475 / (300 * 300) * 6.4516</f>
        <v>0</v>
      </c>
      <c r="S475" t="s">
        <v>195</v>
      </c>
      <c r="T475" t="s">
        <v>135</v>
      </c>
      <c r="U475">
        <v>63.51</v>
      </c>
      <c r="V475">
        <v>38.53</v>
      </c>
      <c r="W475">
        <f>(((U475/2) * (V475/2)) * PI())</f>
        <v>1921.9009573795408</v>
      </c>
      <c r="X475">
        <f>IF(ISNUMBER(T475), T475*W475, W475)</f>
        <v>1921.9009573795408</v>
      </c>
      <c r="Y475">
        <v>0.28000000000000003</v>
      </c>
      <c r="Z475">
        <v>0.28000000000000003</v>
      </c>
      <c r="AA475">
        <v>0.22</v>
      </c>
      <c r="AB475">
        <f>M475/K475</f>
        <v>98.530817592087857</v>
      </c>
    </row>
    <row r="476" spans="1:29" x14ac:dyDescent="0.25">
      <c r="A476">
        <v>489</v>
      </c>
      <c r="B476" t="s">
        <v>1314</v>
      </c>
      <c r="C476" t="s">
        <v>943</v>
      </c>
      <c r="D476" t="s">
        <v>416</v>
      </c>
      <c r="E476">
        <v>5</v>
      </c>
      <c r="F476" t="s">
        <v>1310</v>
      </c>
      <c r="G476" s="2">
        <v>43657</v>
      </c>
      <c r="H476" t="s">
        <v>191</v>
      </c>
      <c r="Q476">
        <f>P476 / (300 * 300) * 6.4516</f>
        <v>0</v>
      </c>
      <c r="AB476">
        <v>98.555523359999995</v>
      </c>
      <c r="AC476" t="s">
        <v>1607</v>
      </c>
    </row>
    <row r="477" spans="1:29" x14ac:dyDescent="0.25">
      <c r="A477">
        <v>142</v>
      </c>
      <c r="B477" t="s">
        <v>304</v>
      </c>
      <c r="D477" t="s">
        <v>355</v>
      </c>
      <c r="E477">
        <v>4</v>
      </c>
      <c r="F477" t="s">
        <v>305</v>
      </c>
      <c r="H477" t="s">
        <v>192</v>
      </c>
      <c r="I477">
        <v>7.1</v>
      </c>
      <c r="J477" t="s">
        <v>135</v>
      </c>
      <c r="K477">
        <v>2.8000000000000001E-2</v>
      </c>
      <c r="L477">
        <v>7</v>
      </c>
      <c r="M477">
        <f>PI()*((I477/2)^2)/100 * L477</f>
        <v>2.7714344991805757</v>
      </c>
      <c r="N477" t="s">
        <v>135</v>
      </c>
      <c r="O477" t="s">
        <v>135</v>
      </c>
      <c r="Q477">
        <f>P477 / (300 * 300) * 6.4516</f>
        <v>0</v>
      </c>
      <c r="R477" t="s">
        <v>135</v>
      </c>
      <c r="S477" t="s">
        <v>195</v>
      </c>
      <c r="T477" t="s">
        <v>135</v>
      </c>
      <c r="U477">
        <v>18.93</v>
      </c>
      <c r="V477">
        <v>8.9</v>
      </c>
      <c r="W477">
        <f>(((U477/2) * (V477/2)) * PI())</f>
        <v>132.32152637471191</v>
      </c>
      <c r="X477">
        <f>IF(ISNUMBER(T477), T477*W477, W477)</f>
        <v>132.32152637471191</v>
      </c>
      <c r="Y477">
        <v>0.19</v>
      </c>
      <c r="Z477">
        <v>0.13</v>
      </c>
      <c r="AA477">
        <v>0.14000000000000001</v>
      </c>
      <c r="AB477">
        <f>M477/K477</f>
        <v>98.97980354216341</v>
      </c>
      <c r="AC477" t="s">
        <v>306</v>
      </c>
    </row>
    <row r="478" spans="1:29" x14ac:dyDescent="0.25">
      <c r="A478">
        <v>211</v>
      </c>
      <c r="B478" t="s">
        <v>517</v>
      </c>
      <c r="D478" t="s">
        <v>356</v>
      </c>
      <c r="E478">
        <v>2</v>
      </c>
      <c r="F478" t="s">
        <v>360</v>
      </c>
      <c r="H478" t="s">
        <v>192</v>
      </c>
      <c r="I478">
        <v>7.1</v>
      </c>
      <c r="K478">
        <v>6.4000000000000001E-2</v>
      </c>
      <c r="L478">
        <v>16</v>
      </c>
      <c r="M478">
        <f>PI()*((I478/2)^2)/100 * L478</f>
        <v>6.3347074266984587</v>
      </c>
      <c r="Q478">
        <f>P478 / (300 * 300) * 6.4516</f>
        <v>0</v>
      </c>
      <c r="S478" t="s">
        <v>201</v>
      </c>
      <c r="T478">
        <v>15</v>
      </c>
      <c r="U478">
        <v>28.06</v>
      </c>
      <c r="V478">
        <v>9.01</v>
      </c>
      <c r="W478">
        <f>(((U478/2) * (V478/2)) * PI())</f>
        <v>198.56483490904091</v>
      </c>
      <c r="X478">
        <f>IF(ISNUMBER(T478), T478*W478, W478)</f>
        <v>2978.4725236356135</v>
      </c>
      <c r="Y478">
        <v>0.16</v>
      </c>
      <c r="Z478">
        <v>0.14000000000000001</v>
      </c>
      <c r="AA478">
        <v>0.18</v>
      </c>
      <c r="AB478">
        <f>M478/K478</f>
        <v>98.97980354216341</v>
      </c>
    </row>
    <row r="479" spans="1:29" x14ac:dyDescent="0.25">
      <c r="A479">
        <v>229</v>
      </c>
      <c r="B479" t="s">
        <v>580</v>
      </c>
      <c r="D479" t="s">
        <v>581</v>
      </c>
      <c r="E479">
        <v>1</v>
      </c>
      <c r="F479" t="s">
        <v>582</v>
      </c>
      <c r="H479" t="s">
        <v>192</v>
      </c>
      <c r="I479">
        <v>7.1</v>
      </c>
      <c r="K479">
        <v>0.04</v>
      </c>
      <c r="L479">
        <v>10</v>
      </c>
      <c r="M479">
        <f>PI()*((I479/2)^2)/100 * L479</f>
        <v>3.9591921416865365</v>
      </c>
      <c r="Q479">
        <f>P479 / (300 * 300) * 6.4516</f>
        <v>0</v>
      </c>
      <c r="S479" t="s">
        <v>201</v>
      </c>
      <c r="T479">
        <v>5</v>
      </c>
      <c r="U479">
        <v>73.849999999999994</v>
      </c>
      <c r="V479">
        <v>20.67</v>
      </c>
      <c r="W479">
        <f>(((U479/2) * (V479/2)) * PI())</f>
        <v>1198.8941957638551</v>
      </c>
      <c r="X479">
        <f>IF(ISNUMBER(T479), T479*W479, W479)</f>
        <v>5994.4709788192758</v>
      </c>
      <c r="Y479">
        <v>0.2</v>
      </c>
      <c r="Z479">
        <v>0.17</v>
      </c>
      <c r="AA479">
        <v>0.2</v>
      </c>
      <c r="AB479">
        <f>M479/K479</f>
        <v>98.97980354216341</v>
      </c>
    </row>
    <row r="480" spans="1:29" x14ac:dyDescent="0.25">
      <c r="A480">
        <v>234</v>
      </c>
      <c r="B480" t="s">
        <v>587</v>
      </c>
      <c r="D480" t="s">
        <v>356</v>
      </c>
      <c r="E480">
        <v>3</v>
      </c>
      <c r="F480" t="s">
        <v>360</v>
      </c>
      <c r="H480" t="s">
        <v>192</v>
      </c>
      <c r="I480">
        <v>7.1</v>
      </c>
      <c r="K480">
        <v>0.04</v>
      </c>
      <c r="L480">
        <v>10</v>
      </c>
      <c r="M480">
        <f>PI()*((I480/2)^2)/100 * L480</f>
        <v>3.9591921416865365</v>
      </c>
      <c r="Q480">
        <f>P480 / (300 * 300) * 6.4516</f>
        <v>0</v>
      </c>
      <c r="S480" t="s">
        <v>201</v>
      </c>
      <c r="T480">
        <v>13</v>
      </c>
      <c r="U480">
        <v>24.31</v>
      </c>
      <c r="V480">
        <v>12.12</v>
      </c>
      <c r="W480">
        <f>(((U480/2) * (V480/2)) * PI())</f>
        <v>231.4075157485666</v>
      </c>
      <c r="X480">
        <f>IF(ISNUMBER(T480), T480*W480, W480)</f>
        <v>3008.2977047313657</v>
      </c>
      <c r="Y480">
        <v>0.17</v>
      </c>
      <c r="Z480">
        <v>0.2</v>
      </c>
      <c r="AA480">
        <v>0.2</v>
      </c>
      <c r="AB480">
        <f>M480/K480</f>
        <v>98.97980354216341</v>
      </c>
    </row>
    <row r="481" spans="1:29" x14ac:dyDescent="0.25">
      <c r="A481">
        <v>269</v>
      </c>
      <c r="B481" t="s">
        <v>1216</v>
      </c>
      <c r="C481" t="s">
        <v>732</v>
      </c>
      <c r="D481" t="s">
        <v>382</v>
      </c>
      <c r="E481">
        <v>5</v>
      </c>
      <c r="F481" t="s">
        <v>246</v>
      </c>
      <c r="G481" s="2">
        <v>42921</v>
      </c>
      <c r="H481" t="s">
        <v>192</v>
      </c>
      <c r="I481">
        <v>7.1</v>
      </c>
      <c r="K481">
        <v>0.04</v>
      </c>
      <c r="L481">
        <v>10</v>
      </c>
      <c r="M481">
        <f>PI()*((I481/2)^2)/100 * L481</f>
        <v>3.9591921416865365</v>
      </c>
      <c r="Q481">
        <f>P481 / (300 * 300) * 6.4516</f>
        <v>0</v>
      </c>
      <c r="S481" t="s">
        <v>195</v>
      </c>
      <c r="T481" t="s">
        <v>135</v>
      </c>
      <c r="U481">
        <v>76.099999999999994</v>
      </c>
      <c r="V481">
        <v>18.7</v>
      </c>
      <c r="W481">
        <f>(((U481/2) * (V481/2)) * PI())</f>
        <v>1117.6765643860067</v>
      </c>
      <c r="X481">
        <f>IF(ISNUMBER(T481), T481*W481, W481)</f>
        <v>1117.6765643860067</v>
      </c>
      <c r="Y481">
        <v>0.22</v>
      </c>
      <c r="Z481">
        <v>0.24</v>
      </c>
      <c r="AA481">
        <v>0.23</v>
      </c>
      <c r="AB481">
        <f>M481/K481</f>
        <v>98.97980354216341</v>
      </c>
      <c r="AC481" t="s">
        <v>1015</v>
      </c>
    </row>
    <row r="482" spans="1:29" x14ac:dyDescent="0.25">
      <c r="A482">
        <v>278</v>
      </c>
      <c r="B482" t="s">
        <v>746</v>
      </c>
      <c r="D482" t="s">
        <v>613</v>
      </c>
      <c r="E482">
        <v>5</v>
      </c>
      <c r="F482" t="s">
        <v>605</v>
      </c>
      <c r="G482" s="2">
        <v>42923</v>
      </c>
      <c r="H482" t="s">
        <v>192</v>
      </c>
      <c r="I482">
        <v>7.1</v>
      </c>
      <c r="K482">
        <v>0.04</v>
      </c>
      <c r="L482">
        <v>10</v>
      </c>
      <c r="M482">
        <f>PI()*((I482/2)^2)/100 * L482</f>
        <v>3.9591921416865365</v>
      </c>
      <c r="Q482">
        <f>P482 / (300 * 300) * 6.4516</f>
        <v>0</v>
      </c>
      <c r="S482" t="s">
        <v>195</v>
      </c>
      <c r="T482" t="s">
        <v>135</v>
      </c>
      <c r="U482">
        <v>116.13</v>
      </c>
      <c r="V482">
        <v>39.590000000000003</v>
      </c>
      <c r="W482">
        <f>(((U482/2) * (V482/2)) * PI())</f>
        <v>3610.936150240535</v>
      </c>
      <c r="X482">
        <f>IF(ISNUMBER(T482), T482*W482, W482)</f>
        <v>3610.936150240535</v>
      </c>
      <c r="Y482">
        <v>0.26</v>
      </c>
      <c r="Z482">
        <v>0.27</v>
      </c>
      <c r="AA482">
        <v>0.26</v>
      </c>
      <c r="AB482">
        <f>M482/K482</f>
        <v>98.97980354216341</v>
      </c>
    </row>
    <row r="483" spans="1:29" x14ac:dyDescent="0.25">
      <c r="A483">
        <v>341</v>
      </c>
      <c r="B483" t="s">
        <v>905</v>
      </c>
      <c r="D483" t="s">
        <v>833</v>
      </c>
      <c r="E483">
        <v>6</v>
      </c>
      <c r="F483" t="s">
        <v>834</v>
      </c>
      <c r="G483" s="2">
        <v>42930</v>
      </c>
      <c r="H483" t="s">
        <v>192</v>
      </c>
      <c r="I483">
        <v>7.1</v>
      </c>
      <c r="K483">
        <v>0.04</v>
      </c>
      <c r="L483">
        <v>10</v>
      </c>
      <c r="M483">
        <f>PI()*((I483/2)^2)/100 * L483</f>
        <v>3.9591921416865365</v>
      </c>
      <c r="Q483">
        <f>P483 / (300 * 300) * 6.4516</f>
        <v>0</v>
      </c>
      <c r="S483" t="s">
        <v>195</v>
      </c>
      <c r="T483" t="s">
        <v>135</v>
      </c>
      <c r="U483">
        <v>107.58</v>
      </c>
      <c r="V483">
        <v>26.51</v>
      </c>
      <c r="W483">
        <f>(((U483/2) * (V483/2)) * PI())</f>
        <v>2239.9129934290663</v>
      </c>
      <c r="X483">
        <f>IF(ISNUMBER(T483), T483*W483, W483)</f>
        <v>2239.9129934290663</v>
      </c>
      <c r="Y483">
        <v>0.27</v>
      </c>
      <c r="Z483">
        <v>0.27</v>
      </c>
      <c r="AA483">
        <v>0.24</v>
      </c>
      <c r="AB483">
        <f>M483/K483</f>
        <v>98.97980354216341</v>
      </c>
      <c r="AC483" t="s">
        <v>852</v>
      </c>
    </row>
    <row r="484" spans="1:29" x14ac:dyDescent="0.25">
      <c r="A484">
        <v>390</v>
      </c>
      <c r="B484" t="s">
        <v>899</v>
      </c>
      <c r="D484" t="s">
        <v>900</v>
      </c>
      <c r="E484">
        <v>1</v>
      </c>
      <c r="F484" t="s">
        <v>938</v>
      </c>
      <c r="G484" s="2">
        <v>42936</v>
      </c>
      <c r="H484" t="s">
        <v>192</v>
      </c>
      <c r="I484">
        <v>7.1</v>
      </c>
      <c r="K484">
        <v>0.04</v>
      </c>
      <c r="L484">
        <v>10</v>
      </c>
      <c r="M484">
        <f>PI()*((I484/2)^2)/100 * L484</f>
        <v>3.9591921416865365</v>
      </c>
      <c r="Q484">
        <f>P484 / (300 * 300) * 6.4516</f>
        <v>0</v>
      </c>
      <c r="S484" t="s">
        <v>195</v>
      </c>
      <c r="T484" t="s">
        <v>135</v>
      </c>
      <c r="U484">
        <v>126.04</v>
      </c>
      <c r="V484">
        <v>25.46</v>
      </c>
      <c r="W484">
        <f>(((U484/2) * (V484/2)) * PI())</f>
        <v>2520.3257417420823</v>
      </c>
      <c r="X484">
        <f>IF(ISNUMBER(T484), T484*W484, W484)</f>
        <v>2520.3257417420823</v>
      </c>
      <c r="Y484">
        <v>0.32</v>
      </c>
      <c r="Z484">
        <v>0.23</v>
      </c>
      <c r="AA484">
        <v>0.23</v>
      </c>
      <c r="AB484">
        <f>M484/K484</f>
        <v>98.97980354216341</v>
      </c>
    </row>
    <row r="485" spans="1:29" x14ac:dyDescent="0.25">
      <c r="A485">
        <v>394</v>
      </c>
      <c r="B485" t="s">
        <v>944</v>
      </c>
      <c r="D485" t="s">
        <v>521</v>
      </c>
      <c r="E485">
        <v>5</v>
      </c>
      <c r="F485" t="s">
        <v>769</v>
      </c>
      <c r="G485" s="2">
        <v>42936</v>
      </c>
      <c r="H485" t="s">
        <v>192</v>
      </c>
      <c r="I485">
        <v>7.1</v>
      </c>
      <c r="K485">
        <v>0.04</v>
      </c>
      <c r="L485">
        <v>10</v>
      </c>
      <c r="M485">
        <f>PI()*((I485/2)^2)/100 * L485</f>
        <v>3.9591921416865365</v>
      </c>
      <c r="Q485">
        <f>P485 / (300 * 300) * 6.4516</f>
        <v>0</v>
      </c>
      <c r="S485" t="s">
        <v>195</v>
      </c>
      <c r="T485" t="s">
        <v>135</v>
      </c>
      <c r="U485">
        <v>58.91</v>
      </c>
      <c r="V485">
        <v>15.37</v>
      </c>
      <c r="W485">
        <f>(((U485/2) * (V485/2)) * PI())</f>
        <v>711.13617523428024</v>
      </c>
      <c r="X485">
        <f>IF(ISNUMBER(T485), T485*W485, W485)</f>
        <v>711.13617523428024</v>
      </c>
      <c r="Y485">
        <v>0.31</v>
      </c>
      <c r="Z485">
        <v>0.32</v>
      </c>
      <c r="AA485">
        <v>0.3</v>
      </c>
      <c r="AB485">
        <f>M485/K485</f>
        <v>98.97980354216341</v>
      </c>
    </row>
    <row r="486" spans="1:29" x14ac:dyDescent="0.25">
      <c r="A486">
        <v>631</v>
      </c>
      <c r="B486" t="s">
        <v>1495</v>
      </c>
      <c r="C486" t="s">
        <v>115</v>
      </c>
      <c r="D486" t="s">
        <v>331</v>
      </c>
      <c r="E486">
        <v>3</v>
      </c>
      <c r="F486" t="s">
        <v>5</v>
      </c>
      <c r="G486" s="2">
        <v>43650</v>
      </c>
      <c r="H486" t="s">
        <v>191</v>
      </c>
      <c r="Q486">
        <f>P486 / (300 * 300) * 6.4516</f>
        <v>0</v>
      </c>
      <c r="AB486">
        <v>99.530127829999998</v>
      </c>
      <c r="AC486" t="s">
        <v>1607</v>
      </c>
    </row>
    <row r="487" spans="1:29" x14ac:dyDescent="0.25">
      <c r="A487">
        <v>798</v>
      </c>
      <c r="B487" t="s">
        <v>1781</v>
      </c>
      <c r="D487" t="s">
        <v>1723</v>
      </c>
      <c r="E487">
        <v>4</v>
      </c>
      <c r="F487" t="s">
        <v>1737</v>
      </c>
      <c r="G487" s="3">
        <v>43662</v>
      </c>
      <c r="H487" t="s">
        <v>191</v>
      </c>
      <c r="K487">
        <v>1.0449999999999999</v>
      </c>
      <c r="P487">
        <v>1450989</v>
      </c>
      <c r="Q487">
        <f>P487 / (300 * 300) * 6.4516</f>
        <v>104.01334036</v>
      </c>
      <c r="Y487">
        <v>0.2</v>
      </c>
      <c r="Z487">
        <v>0.2</v>
      </c>
      <c r="AA487">
        <v>0.21</v>
      </c>
      <c r="AB487">
        <f>Q487/K487</f>
        <v>99.534296995215314</v>
      </c>
    </row>
    <row r="488" spans="1:29" x14ac:dyDescent="0.25">
      <c r="A488">
        <v>152</v>
      </c>
      <c r="B488" t="s">
        <v>408</v>
      </c>
      <c r="D488" t="s">
        <v>374</v>
      </c>
      <c r="E488">
        <v>5</v>
      </c>
      <c r="F488" t="s">
        <v>185</v>
      </c>
      <c r="H488" t="s">
        <v>192</v>
      </c>
      <c r="I488">
        <v>9.6999999999999993</v>
      </c>
      <c r="J488" t="s">
        <v>135</v>
      </c>
      <c r="K488">
        <v>7.3999999999999996E-2</v>
      </c>
      <c r="L488">
        <v>10</v>
      </c>
      <c r="M488">
        <f>PI()*((I488/2)^2)/100 * L488</f>
        <v>7.38981131940659</v>
      </c>
      <c r="N488" t="s">
        <v>135</v>
      </c>
      <c r="O488" t="s">
        <v>135</v>
      </c>
      <c r="Q488">
        <f>P488 / (300 * 300) * 6.4516</f>
        <v>0</v>
      </c>
      <c r="R488" t="s">
        <v>135</v>
      </c>
      <c r="S488" t="s">
        <v>201</v>
      </c>
      <c r="T488">
        <v>3</v>
      </c>
      <c r="U488">
        <v>88.4</v>
      </c>
      <c r="V488">
        <v>68.849999999999994</v>
      </c>
      <c r="W488">
        <f>(((U488/2) * (V488/2)) * PI())</f>
        <v>4780.2002578124257</v>
      </c>
      <c r="X488">
        <f>IF(ISNUMBER(T488), T488*W488, W488)</f>
        <v>14340.600773437276</v>
      </c>
      <c r="Y488">
        <v>0.42</v>
      </c>
      <c r="Z488">
        <v>0.4</v>
      </c>
      <c r="AA488">
        <v>0.42</v>
      </c>
      <c r="AB488">
        <f>M488/K488</f>
        <v>99.862315127116091</v>
      </c>
    </row>
    <row r="489" spans="1:29" x14ac:dyDescent="0.25">
      <c r="A489">
        <v>225</v>
      </c>
      <c r="B489" t="s">
        <v>574</v>
      </c>
      <c r="D489" t="s">
        <v>575</v>
      </c>
      <c r="E489">
        <v>3</v>
      </c>
      <c r="F489" t="s">
        <v>576</v>
      </c>
      <c r="H489" t="s">
        <v>192</v>
      </c>
      <c r="I489">
        <v>9.6999999999999993</v>
      </c>
      <c r="K489">
        <v>7.3999999999999996E-2</v>
      </c>
      <c r="L489">
        <v>10</v>
      </c>
      <c r="M489">
        <f>PI()*((I489/2)^2)/100 * L489</f>
        <v>7.38981131940659</v>
      </c>
      <c r="Q489">
        <f>P489 / (300 * 300) * 6.4516</f>
        <v>0</v>
      </c>
      <c r="S489" t="s">
        <v>195</v>
      </c>
      <c r="T489" t="s">
        <v>135</v>
      </c>
      <c r="U489">
        <v>51.91</v>
      </c>
      <c r="V489">
        <v>22.09</v>
      </c>
      <c r="W489">
        <f>(((U489/2) * (V489/2)) * PI())</f>
        <v>900.60971224273032</v>
      </c>
      <c r="X489">
        <f>IF(ISNUMBER(T489), T489*W489, W489)</f>
        <v>900.60971224273032</v>
      </c>
      <c r="Y489">
        <v>0.21</v>
      </c>
      <c r="Z489">
        <v>0.24</v>
      </c>
      <c r="AA489">
        <v>0.24</v>
      </c>
      <c r="AB489">
        <f>M489/K489</f>
        <v>99.862315127116091</v>
      </c>
    </row>
    <row r="490" spans="1:29" x14ac:dyDescent="0.25">
      <c r="A490">
        <v>232</v>
      </c>
      <c r="B490" t="s">
        <v>585</v>
      </c>
      <c r="D490" t="s">
        <v>581</v>
      </c>
      <c r="E490">
        <v>3</v>
      </c>
      <c r="F490" t="s">
        <v>582</v>
      </c>
      <c r="H490" t="s">
        <v>192</v>
      </c>
      <c r="I490">
        <v>9.6999999999999993</v>
      </c>
      <c r="K490">
        <v>7.3999999999999996E-2</v>
      </c>
      <c r="L490">
        <v>10</v>
      </c>
      <c r="M490">
        <f>PI()*((I490/2)^2)/100 * L490</f>
        <v>7.38981131940659</v>
      </c>
      <c r="Q490">
        <f>P490 / (300 * 300) * 6.4516</f>
        <v>0</v>
      </c>
      <c r="S490" t="s">
        <v>201</v>
      </c>
      <c r="T490">
        <v>5</v>
      </c>
      <c r="U490">
        <v>80.709999999999994</v>
      </c>
      <c r="V490">
        <v>26.03</v>
      </c>
      <c r="W490">
        <f>(((U490/2) * (V490/2)) * PI())</f>
        <v>1650.0283145360436</v>
      </c>
      <c r="X490">
        <f>IF(ISNUMBER(T490), T490*W490, W490)</f>
        <v>8250.1415726802188</v>
      </c>
      <c r="Y490">
        <v>0.26</v>
      </c>
      <c r="Z490">
        <v>0.24</v>
      </c>
      <c r="AA490">
        <v>0.22</v>
      </c>
      <c r="AB490">
        <f>M490/K490</f>
        <v>99.862315127116091</v>
      </c>
    </row>
    <row r="491" spans="1:29" x14ac:dyDescent="0.25">
      <c r="A491">
        <v>518</v>
      </c>
      <c r="B491" t="s">
        <v>1348</v>
      </c>
      <c r="C491" t="s">
        <v>584</v>
      </c>
      <c r="D491" t="s">
        <v>389</v>
      </c>
      <c r="E491">
        <v>4</v>
      </c>
      <c r="F491" t="s">
        <v>317</v>
      </c>
      <c r="G491" s="2">
        <v>43649</v>
      </c>
      <c r="H491" t="s">
        <v>191</v>
      </c>
      <c r="Q491">
        <f>P491 / (300 * 300) * 6.4516</f>
        <v>0</v>
      </c>
      <c r="AB491">
        <v>99.993770650000002</v>
      </c>
      <c r="AC491" t="s">
        <v>1607</v>
      </c>
    </row>
    <row r="492" spans="1:29" x14ac:dyDescent="0.25">
      <c r="A492">
        <v>515</v>
      </c>
      <c r="B492" t="s">
        <v>1345</v>
      </c>
      <c r="C492" t="s">
        <v>289</v>
      </c>
      <c r="D492" t="s">
        <v>389</v>
      </c>
      <c r="E492">
        <v>1</v>
      </c>
      <c r="F492" t="s">
        <v>317</v>
      </c>
      <c r="G492" s="2">
        <v>43649</v>
      </c>
      <c r="H492" t="s">
        <v>191</v>
      </c>
      <c r="Q492">
        <f>P492 / (300 * 300) * 6.4516</f>
        <v>0</v>
      </c>
      <c r="AB492">
        <v>100.25521089999999</v>
      </c>
      <c r="AC492" t="s">
        <v>1607</v>
      </c>
    </row>
    <row r="493" spans="1:29" x14ac:dyDescent="0.25">
      <c r="A493">
        <v>104</v>
      </c>
      <c r="B493" t="s">
        <v>1233</v>
      </c>
      <c r="C493" t="s">
        <v>233</v>
      </c>
      <c r="D493" t="s">
        <v>379</v>
      </c>
      <c r="E493">
        <v>1</v>
      </c>
      <c r="F493" t="s">
        <v>234</v>
      </c>
      <c r="H493" t="s">
        <v>192</v>
      </c>
      <c r="I493">
        <v>7.1</v>
      </c>
      <c r="J493" t="s">
        <v>135</v>
      </c>
      <c r="K493">
        <v>5.8999999999999997E-2</v>
      </c>
      <c r="L493">
        <v>15</v>
      </c>
      <c r="M493">
        <f>PI()*((I493/2)^2)/100 * L493</f>
        <v>5.938788212529805</v>
      </c>
      <c r="N493" t="s">
        <v>135</v>
      </c>
      <c r="O493" t="s">
        <v>135</v>
      </c>
      <c r="Q493">
        <f>P493 / (300 * 300) * 6.4516</f>
        <v>0</v>
      </c>
      <c r="R493" t="s">
        <v>135</v>
      </c>
      <c r="S493" t="s">
        <v>195</v>
      </c>
      <c r="T493" t="s">
        <v>135</v>
      </c>
      <c r="U493">
        <v>63.85</v>
      </c>
      <c r="V493">
        <v>24.09</v>
      </c>
      <c r="W493">
        <f>(((U493/2) * (V493/2)) * PI())</f>
        <v>1208.0574361362133</v>
      </c>
      <c r="X493">
        <f>IF(ISNUMBER(T493), T493*W493, W493)</f>
        <v>1208.0574361362133</v>
      </c>
      <c r="Y493">
        <v>0.2</v>
      </c>
      <c r="Z493">
        <v>0.25</v>
      </c>
      <c r="AA493">
        <v>0.25</v>
      </c>
      <c r="AB493">
        <f>M493/K493</f>
        <v>100.65742733101365</v>
      </c>
      <c r="AC493" t="s">
        <v>235</v>
      </c>
    </row>
    <row r="494" spans="1:29" x14ac:dyDescent="0.25">
      <c r="A494">
        <v>122</v>
      </c>
      <c r="B494" t="s">
        <v>274</v>
      </c>
      <c r="D494" t="s">
        <v>379</v>
      </c>
      <c r="E494">
        <v>3</v>
      </c>
      <c r="F494" t="s">
        <v>234</v>
      </c>
      <c r="H494" t="s">
        <v>192</v>
      </c>
      <c r="I494">
        <v>7.1</v>
      </c>
      <c r="J494" t="s">
        <v>135</v>
      </c>
      <c r="K494">
        <v>5.5E-2</v>
      </c>
      <c r="L494">
        <v>14</v>
      </c>
      <c r="M494">
        <f>PI()*((I494/2)^2)/100 * L494</f>
        <v>5.5428689983611514</v>
      </c>
      <c r="N494" t="s">
        <v>135</v>
      </c>
      <c r="O494" t="s">
        <v>135</v>
      </c>
      <c r="Q494">
        <f>P494 / (300 * 300) * 6.4516</f>
        <v>0</v>
      </c>
      <c r="R494" t="s">
        <v>135</v>
      </c>
      <c r="S494" t="s">
        <v>195</v>
      </c>
      <c r="T494" t="s">
        <v>135</v>
      </c>
      <c r="U494">
        <v>56.03</v>
      </c>
      <c r="V494">
        <v>29</v>
      </c>
      <c r="W494">
        <f>(((U494/2) * (V494/2)) * PI())</f>
        <v>1276.169913759612</v>
      </c>
      <c r="X494">
        <f>IF(ISNUMBER(T494), T494*W494, W494)</f>
        <v>1276.169913759612</v>
      </c>
      <c r="Y494">
        <v>0.2</v>
      </c>
      <c r="Z494">
        <v>0.19</v>
      </c>
      <c r="AA494">
        <v>0.19</v>
      </c>
      <c r="AB494">
        <f>M494/K494</f>
        <v>100.77943633383912</v>
      </c>
    </row>
    <row r="495" spans="1:29" x14ac:dyDescent="0.25">
      <c r="A495">
        <v>775</v>
      </c>
      <c r="B495" t="s">
        <v>1743</v>
      </c>
      <c r="D495" t="s">
        <v>1761</v>
      </c>
      <c r="E495">
        <v>1</v>
      </c>
      <c r="F495" t="s">
        <v>1767</v>
      </c>
      <c r="G495" s="3">
        <v>43650</v>
      </c>
      <c r="H495" t="s">
        <v>191</v>
      </c>
      <c r="K495">
        <v>2.2160000000000002</v>
      </c>
      <c r="P495">
        <v>3116926</v>
      </c>
      <c r="Q495">
        <f>P495 / (300 * 300) * 6.4516</f>
        <v>223.43510868444446</v>
      </c>
      <c r="Y495">
        <v>0.27</v>
      </c>
      <c r="Z495">
        <v>0.28000000000000003</v>
      </c>
      <c r="AA495">
        <v>0.28999999999999998</v>
      </c>
      <c r="AB495">
        <f>Q495/K495</f>
        <v>100.82811763738468</v>
      </c>
    </row>
    <row r="496" spans="1:29" x14ac:dyDescent="0.25">
      <c r="A496">
        <v>47</v>
      </c>
      <c r="B496" t="s">
        <v>82</v>
      </c>
      <c r="D496" t="s">
        <v>359</v>
      </c>
      <c r="E496">
        <v>1</v>
      </c>
      <c r="F496" t="s">
        <v>370</v>
      </c>
      <c r="H496" t="s">
        <v>191</v>
      </c>
      <c r="I496" t="s">
        <v>135</v>
      </c>
      <c r="J496">
        <v>2.6059999999999999</v>
      </c>
      <c r="K496">
        <v>1.06</v>
      </c>
      <c r="L496" t="s">
        <v>135</v>
      </c>
      <c r="N496">
        <f>(J496-K496)/J496</f>
        <v>0.59324635456638519</v>
      </c>
      <c r="P496">
        <v>1492268</v>
      </c>
      <c r="Q496">
        <f>P496 / (300 * 300) * 6.4516</f>
        <v>106.97240254222223</v>
      </c>
      <c r="R496">
        <v>14</v>
      </c>
      <c r="S496" t="s">
        <v>195</v>
      </c>
      <c r="T496" t="s">
        <v>135</v>
      </c>
      <c r="U496" t="s">
        <v>135</v>
      </c>
      <c r="V496" t="s">
        <v>135</v>
      </c>
      <c r="W496">
        <f>Q496 / R496 * 100</f>
        <v>764.08858958730161</v>
      </c>
      <c r="X496">
        <f>W496</f>
        <v>764.08858958730161</v>
      </c>
      <c r="Y496">
        <v>0.16</v>
      </c>
      <c r="Z496">
        <v>0.17</v>
      </c>
      <c r="AA496">
        <v>0.21</v>
      </c>
      <c r="AB496">
        <f>(Q496)/K496</f>
        <v>100.91736088888889</v>
      </c>
    </row>
    <row r="497" spans="1:29" x14ac:dyDescent="0.25">
      <c r="A497">
        <v>514</v>
      </c>
      <c r="B497" t="s">
        <v>1344</v>
      </c>
      <c r="C497" t="s">
        <v>752</v>
      </c>
      <c r="D497" t="s">
        <v>359</v>
      </c>
      <c r="E497">
        <v>5</v>
      </c>
      <c r="F497" t="s">
        <v>370</v>
      </c>
      <c r="G497" s="2">
        <v>43672</v>
      </c>
      <c r="H497" t="s">
        <v>191</v>
      </c>
      <c r="Q497">
        <f>P497 / (300 * 300) * 6.4516</f>
        <v>0</v>
      </c>
      <c r="AB497">
        <v>101.0204509</v>
      </c>
      <c r="AC497" t="s">
        <v>1607</v>
      </c>
    </row>
    <row r="498" spans="1:29" x14ac:dyDescent="0.25">
      <c r="A498">
        <v>325</v>
      </c>
      <c r="B498" t="s">
        <v>830</v>
      </c>
      <c r="D498" t="s">
        <v>389</v>
      </c>
      <c r="E498">
        <v>6</v>
      </c>
      <c r="F498" t="s">
        <v>290</v>
      </c>
      <c r="G498" s="2">
        <v>42930</v>
      </c>
      <c r="H498" t="s">
        <v>192</v>
      </c>
      <c r="I498">
        <v>9.6999999999999993</v>
      </c>
      <c r="K498">
        <v>7.2999999999999995E-2</v>
      </c>
      <c r="L498">
        <v>10</v>
      </c>
      <c r="M498">
        <f>PI()*((I498/2)^2)/100 * L498</f>
        <v>7.38981131940659</v>
      </c>
      <c r="Q498">
        <f>P498 / (300 * 300) * 6.4516</f>
        <v>0</v>
      </c>
      <c r="S498" t="s">
        <v>201</v>
      </c>
      <c r="T498">
        <v>6</v>
      </c>
      <c r="U498">
        <v>68.22</v>
      </c>
      <c r="V498">
        <v>33.340000000000003</v>
      </c>
      <c r="W498">
        <f>(((U498/2) * (V498/2)) * PI())</f>
        <v>1786.3526226505105</v>
      </c>
      <c r="X498">
        <f>IF(ISNUMBER(T498), T498*W498, W498)</f>
        <v>10718.115735903062</v>
      </c>
      <c r="Y498">
        <v>0.16</v>
      </c>
      <c r="Z498">
        <v>0.18</v>
      </c>
      <c r="AA498">
        <v>0.17</v>
      </c>
      <c r="AB498">
        <f>M498/K498</f>
        <v>101.23029204666562</v>
      </c>
    </row>
    <row r="499" spans="1:29" x14ac:dyDescent="0.25">
      <c r="A499">
        <v>77</v>
      </c>
      <c r="B499" t="s">
        <v>114</v>
      </c>
      <c r="D499" t="s">
        <v>353</v>
      </c>
      <c r="E499">
        <v>2</v>
      </c>
      <c r="F499" t="s">
        <v>354</v>
      </c>
      <c r="H499" t="s">
        <v>191</v>
      </c>
      <c r="I499" t="s">
        <v>135</v>
      </c>
      <c r="J499">
        <v>3.0990000000000002</v>
      </c>
      <c r="K499">
        <v>1.038</v>
      </c>
      <c r="L499" t="s">
        <v>135</v>
      </c>
      <c r="N499">
        <f>(J499-K499)/J499</f>
        <v>0.66505324298160695</v>
      </c>
      <c r="P499">
        <v>1465883</v>
      </c>
      <c r="Q499">
        <f>P499 / (300 * 300) * 6.4516</f>
        <v>105.08100847555555</v>
      </c>
      <c r="R499">
        <v>5</v>
      </c>
      <c r="S499" t="s">
        <v>195</v>
      </c>
      <c r="T499" t="s">
        <v>135</v>
      </c>
      <c r="U499" t="s">
        <v>135</v>
      </c>
      <c r="V499" t="s">
        <v>135</v>
      </c>
      <c r="W499">
        <f>Q499*100/R499</f>
        <v>2101.6201695111113</v>
      </c>
      <c r="X499">
        <f>W499</f>
        <v>2101.6201695111113</v>
      </c>
      <c r="Y499">
        <v>0.21</v>
      </c>
      <c r="Z499">
        <v>0.15</v>
      </c>
      <c r="AA499">
        <v>0.21</v>
      </c>
      <c r="AB499">
        <f>(Q499)/K499</f>
        <v>101.23411221151787</v>
      </c>
    </row>
    <row r="500" spans="1:29" x14ac:dyDescent="0.25">
      <c r="A500">
        <v>756</v>
      </c>
      <c r="B500" t="s">
        <v>1719</v>
      </c>
      <c r="C500" t="s">
        <v>845</v>
      </c>
      <c r="D500" t="s">
        <v>825</v>
      </c>
      <c r="E500">
        <v>6</v>
      </c>
      <c r="F500" t="s">
        <v>826</v>
      </c>
      <c r="G500" s="3">
        <v>43645</v>
      </c>
      <c r="H500" t="s">
        <v>191</v>
      </c>
      <c r="K500">
        <v>1.929</v>
      </c>
      <c r="P500">
        <v>2728603</v>
      </c>
      <c r="Q500">
        <f>P500 / (300 * 300) * 6.4516</f>
        <v>195.59839016444445</v>
      </c>
      <c r="S500" t="s">
        <v>1073</v>
      </c>
      <c r="Y500">
        <v>0.3</v>
      </c>
      <c r="Z500">
        <v>0.31</v>
      </c>
      <c r="AA500">
        <v>0.34</v>
      </c>
      <c r="AB500">
        <f>Q500/K500</f>
        <v>101.39885441391625</v>
      </c>
    </row>
    <row r="501" spans="1:29" x14ac:dyDescent="0.25">
      <c r="A501">
        <v>239</v>
      </c>
      <c r="B501" t="s">
        <v>638</v>
      </c>
      <c r="C501" t="s">
        <v>588</v>
      </c>
      <c r="D501" t="s">
        <v>411</v>
      </c>
      <c r="E501">
        <v>4</v>
      </c>
      <c r="F501" t="s">
        <v>412</v>
      </c>
      <c r="H501" t="s">
        <v>192</v>
      </c>
      <c r="I501">
        <v>7.1</v>
      </c>
      <c r="K501">
        <v>3.9E-2</v>
      </c>
      <c r="L501">
        <v>10</v>
      </c>
      <c r="M501">
        <f>PI()*((I501/2)^2)/100 * L501</f>
        <v>3.9591921416865365</v>
      </c>
      <c r="Q501">
        <f>P501 / (300 * 300) * 6.4516</f>
        <v>0</v>
      </c>
      <c r="S501" t="s">
        <v>201</v>
      </c>
      <c r="T501">
        <v>15</v>
      </c>
      <c r="U501">
        <v>59.96</v>
      </c>
      <c r="V501">
        <v>13.6</v>
      </c>
      <c r="W501">
        <f>(((U501/2) * (V501/2)) * PI())</f>
        <v>640.45764473142958</v>
      </c>
      <c r="X501">
        <f>IF(ISNUMBER(T501), T501*W501, W501)</f>
        <v>9606.864670971443</v>
      </c>
      <c r="Y501">
        <v>0.25</v>
      </c>
      <c r="Z501">
        <v>0.22</v>
      </c>
      <c r="AA501">
        <v>0.24</v>
      </c>
      <c r="AB501">
        <f>M501/K501</f>
        <v>101.5177472227317</v>
      </c>
    </row>
    <row r="502" spans="1:29" x14ac:dyDescent="0.25">
      <c r="A502">
        <v>249</v>
      </c>
      <c r="B502" t="s">
        <v>606</v>
      </c>
      <c r="D502" t="s">
        <v>599</v>
      </c>
      <c r="E502">
        <v>1</v>
      </c>
      <c r="F502" t="s">
        <v>600</v>
      </c>
      <c r="H502" t="s">
        <v>192</v>
      </c>
      <c r="I502">
        <v>7.1</v>
      </c>
      <c r="K502">
        <v>3.9E-2</v>
      </c>
      <c r="L502">
        <v>10</v>
      </c>
      <c r="M502">
        <f>PI()*((I502/2)^2)/100 * L502</f>
        <v>3.9591921416865365</v>
      </c>
      <c r="Q502">
        <f>P502 / (300 * 300) * 6.4516</f>
        <v>0</v>
      </c>
      <c r="S502" t="s">
        <v>195</v>
      </c>
      <c r="T502" t="s">
        <v>135</v>
      </c>
      <c r="U502">
        <v>66.36</v>
      </c>
      <c r="V502">
        <v>42.55</v>
      </c>
      <c r="W502">
        <f>(((U502/2) * (V502/2)) * PI())</f>
        <v>2217.6643913359762</v>
      </c>
      <c r="X502">
        <f>IF(ISNUMBER(T502), T502*W502, W502)</f>
        <v>2217.6643913359762</v>
      </c>
      <c r="Y502">
        <v>0.28000000000000003</v>
      </c>
      <c r="Z502">
        <v>0.26</v>
      </c>
      <c r="AA502">
        <v>0.27</v>
      </c>
      <c r="AB502">
        <f>M502/K502</f>
        <v>101.5177472227317</v>
      </c>
    </row>
    <row r="503" spans="1:29" x14ac:dyDescent="0.25">
      <c r="A503">
        <v>453</v>
      </c>
      <c r="B503" t="s">
        <v>1068</v>
      </c>
      <c r="D503" t="s">
        <v>735</v>
      </c>
      <c r="E503">
        <v>2</v>
      </c>
      <c r="F503" t="s">
        <v>1064</v>
      </c>
      <c r="G503" s="2">
        <v>42950</v>
      </c>
      <c r="H503" t="s">
        <v>192</v>
      </c>
      <c r="I503">
        <v>7.1</v>
      </c>
      <c r="K503">
        <v>3.9E-2</v>
      </c>
      <c r="L503">
        <v>10</v>
      </c>
      <c r="M503">
        <f>PI()*((I503/2)^2)/100 * L503</f>
        <v>3.9591921416865365</v>
      </c>
      <c r="Q503">
        <f>P503 / (300 * 300) * 6.4516</f>
        <v>0</v>
      </c>
      <c r="S503" t="s">
        <v>195</v>
      </c>
      <c r="T503" t="s">
        <v>135</v>
      </c>
      <c r="U503">
        <v>82.45</v>
      </c>
      <c r="V503">
        <v>51.44</v>
      </c>
      <c r="W503">
        <f>(((U503/2) * (V503/2)) * PI())</f>
        <v>3331.052681749833</v>
      </c>
      <c r="X503">
        <f>IF(ISNUMBER(T503), T503*W503, W503)</f>
        <v>3331.052681749833</v>
      </c>
      <c r="Y503">
        <v>0.34</v>
      </c>
      <c r="Z503">
        <v>0.31</v>
      </c>
      <c r="AA503">
        <v>0.36</v>
      </c>
      <c r="AB503">
        <f>M503/K503</f>
        <v>101.5177472227317</v>
      </c>
    </row>
    <row r="504" spans="1:29" x14ac:dyDescent="0.25">
      <c r="A504">
        <v>24</v>
      </c>
      <c r="B504" t="s">
        <v>30</v>
      </c>
      <c r="D504" t="s">
        <v>346</v>
      </c>
      <c r="E504">
        <v>1</v>
      </c>
      <c r="F504" t="s">
        <v>372</v>
      </c>
      <c r="H504" t="s">
        <v>191</v>
      </c>
      <c r="I504" t="s">
        <v>135</v>
      </c>
      <c r="J504">
        <v>1.835</v>
      </c>
      <c r="K504">
        <v>1.048</v>
      </c>
      <c r="L504" t="s">
        <v>135</v>
      </c>
      <c r="N504">
        <f>(J504-K504)/J504</f>
        <v>0.42888283378746589</v>
      </c>
      <c r="P504">
        <v>1488318</v>
      </c>
      <c r="Q504">
        <f>P504 / (300 * 300) * 6.4516</f>
        <v>106.68924898666668</v>
      </c>
      <c r="R504">
        <v>1</v>
      </c>
      <c r="S504" t="s">
        <v>201</v>
      </c>
      <c r="T504">
        <v>13</v>
      </c>
      <c r="U504" t="s">
        <v>135</v>
      </c>
      <c r="V504" t="s">
        <v>135</v>
      </c>
      <c r="W504">
        <f>Q504*100/T504</f>
        <v>820.68653066666673</v>
      </c>
      <c r="X504">
        <f>Q504*100/R504</f>
        <v>10668.924898666668</v>
      </c>
      <c r="Y504">
        <v>0.19</v>
      </c>
      <c r="Z504">
        <v>0.17</v>
      </c>
      <c r="AA504">
        <v>0.21</v>
      </c>
      <c r="AB504">
        <f>(Q504)/K504</f>
        <v>101.80271849872774</v>
      </c>
      <c r="AC504" t="s">
        <v>62</v>
      </c>
    </row>
    <row r="505" spans="1:29" x14ac:dyDescent="0.25">
      <c r="A505">
        <v>741</v>
      </c>
      <c r="B505" t="s">
        <v>1698</v>
      </c>
      <c r="D505" t="s">
        <v>1295</v>
      </c>
      <c r="E505">
        <v>4</v>
      </c>
      <c r="F505" t="s">
        <v>1296</v>
      </c>
      <c r="G505" s="3">
        <v>43640</v>
      </c>
      <c r="H505" t="s">
        <v>191</v>
      </c>
      <c r="K505">
        <v>3.5190000000000001</v>
      </c>
      <c r="P505">
        <v>5004083</v>
      </c>
      <c r="Q505">
        <f>P505 / (300 * 300) * 6.4516</f>
        <v>358.71490980888888</v>
      </c>
      <c r="S505" t="s">
        <v>1073</v>
      </c>
      <c r="Y505">
        <v>0.28999999999999998</v>
      </c>
      <c r="Z505">
        <v>0.32</v>
      </c>
      <c r="AA505">
        <v>0.32</v>
      </c>
      <c r="AB505">
        <f>Q505/K505</f>
        <v>101.93660409459757</v>
      </c>
    </row>
    <row r="506" spans="1:29" x14ac:dyDescent="0.25">
      <c r="A506">
        <v>670</v>
      </c>
      <c r="B506" t="s">
        <v>1549</v>
      </c>
      <c r="C506" t="s">
        <v>399</v>
      </c>
      <c r="D506" t="s">
        <v>400</v>
      </c>
      <c r="F506" t="s">
        <v>541</v>
      </c>
      <c r="G506" s="2">
        <v>43657</v>
      </c>
      <c r="H506" t="s">
        <v>191</v>
      </c>
      <c r="Q506">
        <f>P506 / (300 * 300) * 6.4516</f>
        <v>0</v>
      </c>
      <c r="AB506">
        <v>102.130793</v>
      </c>
      <c r="AC506" t="s">
        <v>1607</v>
      </c>
    </row>
    <row r="507" spans="1:29" x14ac:dyDescent="0.25">
      <c r="A507">
        <v>797</v>
      </c>
      <c r="B507" t="s">
        <v>1780</v>
      </c>
      <c r="D507" t="s">
        <v>1714</v>
      </c>
      <c r="E507">
        <v>5</v>
      </c>
      <c r="F507" t="s">
        <v>1716</v>
      </c>
      <c r="G507" s="3">
        <v>43662</v>
      </c>
      <c r="H507" t="s">
        <v>191</v>
      </c>
      <c r="K507">
        <v>2.5539999999999998</v>
      </c>
      <c r="P507">
        <v>3644155</v>
      </c>
      <c r="Q507">
        <f>P507 / (300 * 300) * 6.4516</f>
        <v>261.22922664444445</v>
      </c>
      <c r="Y507">
        <v>0.3</v>
      </c>
      <c r="Z507">
        <v>0.28999999999999998</v>
      </c>
      <c r="AA507">
        <v>0.33</v>
      </c>
      <c r="AB507">
        <f>Q507/K507</f>
        <v>102.28239101192031</v>
      </c>
    </row>
    <row r="508" spans="1:29" x14ac:dyDescent="0.25">
      <c r="A508">
        <v>785</v>
      </c>
      <c r="B508" t="s">
        <v>1753</v>
      </c>
      <c r="D508" t="s">
        <v>1761</v>
      </c>
      <c r="E508">
        <v>2</v>
      </c>
      <c r="F508" t="s">
        <v>1767</v>
      </c>
      <c r="G508" s="3">
        <v>43650</v>
      </c>
      <c r="H508" t="s">
        <v>191</v>
      </c>
      <c r="K508">
        <v>2.665</v>
      </c>
      <c r="P508">
        <v>3809078</v>
      </c>
      <c r="Q508">
        <f>P508 / (300 * 300) * 6.4516</f>
        <v>273.05164027555554</v>
      </c>
      <c r="Y508">
        <v>0.28000000000000003</v>
      </c>
      <c r="Z508">
        <v>0.25</v>
      </c>
      <c r="AA508">
        <v>0.26</v>
      </c>
      <c r="AB508">
        <f>Q508/K508</f>
        <v>102.45840160433603</v>
      </c>
    </row>
    <row r="509" spans="1:29" x14ac:dyDescent="0.25">
      <c r="A509">
        <v>641</v>
      </c>
      <c r="B509" t="s">
        <v>1509</v>
      </c>
      <c r="C509" t="s">
        <v>1087</v>
      </c>
      <c r="D509" t="s">
        <v>1083</v>
      </c>
      <c r="E509">
        <v>4</v>
      </c>
      <c r="F509" t="s">
        <v>1084</v>
      </c>
      <c r="G509" s="2">
        <v>43656</v>
      </c>
      <c r="H509" t="s">
        <v>191</v>
      </c>
      <c r="Q509">
        <f>P509 / (300 * 300) * 6.4516</f>
        <v>0</v>
      </c>
      <c r="AB509">
        <v>102.48544889999999</v>
      </c>
      <c r="AC509" t="s">
        <v>1607</v>
      </c>
    </row>
    <row r="510" spans="1:29" x14ac:dyDescent="0.25">
      <c r="A510">
        <v>786</v>
      </c>
      <c r="B510" t="s">
        <v>1754</v>
      </c>
      <c r="D510" t="s">
        <v>1764</v>
      </c>
      <c r="E510">
        <v>2</v>
      </c>
      <c r="F510" t="s">
        <v>1769</v>
      </c>
      <c r="G510" s="3">
        <v>43650</v>
      </c>
      <c r="H510" t="s">
        <v>191</v>
      </c>
      <c r="K510">
        <v>2.5009999999999999</v>
      </c>
      <c r="P510">
        <v>3592970</v>
      </c>
      <c r="Q510">
        <f>P510 / (300 * 300) * 6.4516</f>
        <v>257.56005835555555</v>
      </c>
      <c r="Y510">
        <v>0.33</v>
      </c>
      <c r="Z510">
        <v>0.32</v>
      </c>
      <c r="AA510">
        <v>0.35</v>
      </c>
      <c r="AB510">
        <f>Q510/K510</f>
        <v>102.98283021013818</v>
      </c>
    </row>
    <row r="511" spans="1:29" x14ac:dyDescent="0.25">
      <c r="A511">
        <v>799</v>
      </c>
      <c r="B511" t="s">
        <v>1782</v>
      </c>
      <c r="D511" t="s">
        <v>1723</v>
      </c>
      <c r="E511">
        <v>5</v>
      </c>
      <c r="F511" t="s">
        <v>1737</v>
      </c>
      <c r="G511" s="3">
        <v>43662</v>
      </c>
      <c r="H511" t="s">
        <v>191</v>
      </c>
      <c r="K511">
        <v>2.5169999999999999</v>
      </c>
      <c r="P511">
        <v>3616435</v>
      </c>
      <c r="Q511">
        <f>P511 / (300 * 300) * 6.4516</f>
        <v>259.24213384444448</v>
      </c>
      <c r="Y511">
        <v>0.23</v>
      </c>
      <c r="Z511">
        <v>0.17</v>
      </c>
      <c r="AA511">
        <v>0.15</v>
      </c>
      <c r="AB511">
        <f>Q511/K511</f>
        <v>102.99647749084008</v>
      </c>
    </row>
    <row r="512" spans="1:29" x14ac:dyDescent="0.25">
      <c r="A512">
        <v>755</v>
      </c>
      <c r="B512" t="s">
        <v>1718</v>
      </c>
      <c r="D512" t="s">
        <v>1714</v>
      </c>
      <c r="E512">
        <v>3</v>
      </c>
      <c r="F512" t="s">
        <v>1716</v>
      </c>
      <c r="G512" s="3">
        <v>43645</v>
      </c>
      <c r="H512" t="s">
        <v>191</v>
      </c>
      <c r="K512">
        <v>2.9060000000000001</v>
      </c>
      <c r="P512">
        <v>4182122</v>
      </c>
      <c r="Q512">
        <f>P512 / (300 * 300) * 6.4516</f>
        <v>299.7930921688889</v>
      </c>
      <c r="S512" t="s">
        <v>1073</v>
      </c>
      <c r="AB512">
        <f>Q512/K512</f>
        <v>103.16348663760802</v>
      </c>
    </row>
    <row r="513" spans="1:29" x14ac:dyDescent="0.25">
      <c r="A513">
        <v>117</v>
      </c>
      <c r="B513" t="s">
        <v>1203</v>
      </c>
      <c r="C513" t="s">
        <v>256</v>
      </c>
      <c r="D513" t="s">
        <v>358</v>
      </c>
      <c r="E513">
        <v>2</v>
      </c>
      <c r="F513" t="s">
        <v>257</v>
      </c>
      <c r="H513" t="s">
        <v>192</v>
      </c>
      <c r="I513">
        <v>7.1</v>
      </c>
      <c r="J513" t="s">
        <v>135</v>
      </c>
      <c r="K513">
        <v>4.5999999999999999E-2</v>
      </c>
      <c r="L513">
        <v>12</v>
      </c>
      <c r="M513">
        <f>PI()*((I513/2)^2)/100 * L513</f>
        <v>4.7510305700238442</v>
      </c>
      <c r="N513" t="s">
        <v>135</v>
      </c>
      <c r="O513" t="s">
        <v>135</v>
      </c>
      <c r="Q513">
        <f>P513 / (300 * 300) * 6.4516</f>
        <v>0</v>
      </c>
      <c r="R513" t="s">
        <v>135</v>
      </c>
      <c r="S513" t="s">
        <v>195</v>
      </c>
      <c r="T513" t="s">
        <v>135</v>
      </c>
      <c r="U513">
        <v>27.9</v>
      </c>
      <c r="V513">
        <v>11.12</v>
      </c>
      <c r="W513">
        <f>(((U513/2) * (V513/2)) * PI())</f>
        <v>243.66820939773152</v>
      </c>
      <c r="X513">
        <f>IF(ISNUMBER(T513), T513*W513, W513)</f>
        <v>243.66820939773152</v>
      </c>
      <c r="Y513">
        <v>0.26</v>
      </c>
      <c r="Z513">
        <v>0.26</v>
      </c>
      <c r="AA513">
        <v>0.24</v>
      </c>
      <c r="AB513">
        <f>M513/K513</f>
        <v>103.28327326138792</v>
      </c>
      <c r="AC513" t="s">
        <v>263</v>
      </c>
    </row>
    <row r="514" spans="1:29" x14ac:dyDescent="0.25">
      <c r="A514">
        <v>410</v>
      </c>
      <c r="B514" t="s">
        <v>965</v>
      </c>
      <c r="D514" t="s">
        <v>900</v>
      </c>
      <c r="E514">
        <v>2</v>
      </c>
      <c r="F514" t="s">
        <v>938</v>
      </c>
      <c r="G514" s="2">
        <v>42940</v>
      </c>
      <c r="H514" t="s">
        <v>192</v>
      </c>
      <c r="I514">
        <v>7.1</v>
      </c>
      <c r="K514">
        <v>4.5999999999999999E-2</v>
      </c>
      <c r="L514">
        <v>12</v>
      </c>
      <c r="M514">
        <f>PI()*((I514/2)^2)/100 * L514</f>
        <v>4.7510305700238442</v>
      </c>
      <c r="Q514">
        <f>P514 / (300 * 300) * 6.4516</f>
        <v>0</v>
      </c>
      <c r="S514" t="s">
        <v>195</v>
      </c>
      <c r="T514" t="s">
        <v>135</v>
      </c>
      <c r="U514">
        <v>108.35</v>
      </c>
      <c r="V514">
        <v>25.61</v>
      </c>
      <c r="W514">
        <f>(((U514/2) * (V514/2)) * PI())</f>
        <v>2179.3569886153473</v>
      </c>
      <c r="X514">
        <f>IF(ISNUMBER(T514), T514*W514, W514)</f>
        <v>2179.3569886153473</v>
      </c>
      <c r="Y514">
        <v>0.16</v>
      </c>
      <c r="Z514">
        <v>0.16</v>
      </c>
      <c r="AA514">
        <v>0.16</v>
      </c>
      <c r="AB514">
        <f>M514/K514</f>
        <v>103.28327326138792</v>
      </c>
    </row>
    <row r="515" spans="1:29" x14ac:dyDescent="0.25">
      <c r="A515">
        <v>357</v>
      </c>
      <c r="B515" t="s">
        <v>856</v>
      </c>
      <c r="D515" t="s">
        <v>848</v>
      </c>
      <c r="E515">
        <v>4</v>
      </c>
      <c r="F515" t="s">
        <v>849</v>
      </c>
      <c r="G515" s="2">
        <v>42931</v>
      </c>
      <c r="H515" t="s">
        <v>192</v>
      </c>
      <c r="I515">
        <v>7.1</v>
      </c>
      <c r="K515">
        <v>4.2000000000000003E-2</v>
      </c>
      <c r="L515">
        <v>11</v>
      </c>
      <c r="M515">
        <f>PI()*((I515/2)^2)/100 * L515</f>
        <v>4.3551113558551906</v>
      </c>
      <c r="Q515">
        <f>P515 / (300 * 300) * 6.4516</f>
        <v>0</v>
      </c>
      <c r="AB515">
        <f>M515/K515</f>
        <v>103.69312752036167</v>
      </c>
      <c r="AC515" t="s">
        <v>1106</v>
      </c>
    </row>
    <row r="516" spans="1:29" x14ac:dyDescent="0.25">
      <c r="A516">
        <v>194</v>
      </c>
      <c r="B516" t="s">
        <v>461</v>
      </c>
      <c r="D516" t="s">
        <v>357</v>
      </c>
      <c r="E516">
        <v>5</v>
      </c>
      <c r="F516" t="s">
        <v>272</v>
      </c>
      <c r="H516" t="s">
        <v>192</v>
      </c>
      <c r="I516">
        <v>9.6999999999999993</v>
      </c>
      <c r="K516">
        <v>0.114</v>
      </c>
      <c r="L516">
        <v>16</v>
      </c>
      <c r="M516">
        <f>PI()*((I516/2)^2)/100 * L516</f>
        <v>11.823698111050543</v>
      </c>
      <c r="Q516">
        <f>P516 / (300 * 300) * 6.4516</f>
        <v>0</v>
      </c>
      <c r="S516" t="s">
        <v>195</v>
      </c>
      <c r="T516" t="s">
        <v>135</v>
      </c>
      <c r="U516">
        <v>116.63</v>
      </c>
      <c r="V516">
        <v>61.79</v>
      </c>
      <c r="W516">
        <f>(((U516/2) * (V516/2)) * PI())</f>
        <v>5660.0250359793727</v>
      </c>
      <c r="X516">
        <f>IF(ISNUMBER(T516), T516*W516, W516)</f>
        <v>5660.0250359793727</v>
      </c>
      <c r="Y516">
        <v>0.28999999999999998</v>
      </c>
      <c r="Z516">
        <v>0.34</v>
      </c>
      <c r="AA516">
        <v>0.33</v>
      </c>
      <c r="AB516">
        <f>M516/K516</f>
        <v>103.71665009693459</v>
      </c>
    </row>
    <row r="517" spans="1:29" x14ac:dyDescent="0.25">
      <c r="A517">
        <v>446</v>
      </c>
      <c r="B517" t="s">
        <v>1061</v>
      </c>
      <c r="D517" t="s">
        <v>510</v>
      </c>
      <c r="E517">
        <v>5</v>
      </c>
      <c r="F517" t="s">
        <v>511</v>
      </c>
      <c r="G517" s="2">
        <v>42950</v>
      </c>
      <c r="H517" t="s">
        <v>192</v>
      </c>
      <c r="I517">
        <v>9.6999999999999993</v>
      </c>
      <c r="K517">
        <v>6.4000000000000001E-2</v>
      </c>
      <c r="L517">
        <v>9</v>
      </c>
      <c r="M517">
        <f>PI()*((I517/2)^2)/100 * L517</f>
        <v>6.6508301874659308</v>
      </c>
      <c r="Q517">
        <f>P517 / (300 * 300) * 6.4516</f>
        <v>0</v>
      </c>
      <c r="S517" t="s">
        <v>201</v>
      </c>
      <c r="T517">
        <v>70</v>
      </c>
      <c r="U517">
        <v>30.22</v>
      </c>
      <c r="V517">
        <v>26.97</v>
      </c>
      <c r="W517">
        <f>(((U517/2) * (V517/2)) * PI())</f>
        <v>640.12573546757778</v>
      </c>
      <c r="X517">
        <f>IF(ISNUMBER(T517), T517*W517, W517)</f>
        <v>44808.801482730443</v>
      </c>
      <c r="Y517">
        <v>0.28000000000000003</v>
      </c>
      <c r="Z517">
        <v>0.25</v>
      </c>
      <c r="AA517">
        <v>0.25</v>
      </c>
      <c r="AB517">
        <f>M517/K517</f>
        <v>103.91922167915517</v>
      </c>
    </row>
    <row r="518" spans="1:29" x14ac:dyDescent="0.25">
      <c r="A518">
        <v>350</v>
      </c>
      <c r="B518" t="s">
        <v>867</v>
      </c>
      <c r="D518" t="s">
        <v>491</v>
      </c>
      <c r="E518">
        <v>4</v>
      </c>
      <c r="F518" t="s">
        <v>492</v>
      </c>
      <c r="G518" s="2">
        <v>42931</v>
      </c>
      <c r="H518" t="s">
        <v>192</v>
      </c>
      <c r="I518">
        <v>9.6999999999999993</v>
      </c>
      <c r="K518">
        <v>7.0999999999999994E-2</v>
      </c>
      <c r="L518">
        <v>10</v>
      </c>
      <c r="M518">
        <f>PI()*((I518/2)^2)/100 * L518</f>
        <v>7.38981131940659</v>
      </c>
      <c r="Q518">
        <f>P518 / (300 * 300) * 6.4516</f>
        <v>0</v>
      </c>
      <c r="S518" t="s">
        <v>195</v>
      </c>
      <c r="T518" t="s">
        <v>135</v>
      </c>
      <c r="U518">
        <v>116.72</v>
      </c>
      <c r="V518">
        <v>41.44</v>
      </c>
      <c r="W518">
        <f>(((U518/2) * (V518/2)) * PI())</f>
        <v>3798.8741552997267</v>
      </c>
      <c r="X518">
        <f>IF(ISNUMBER(T518), T518*W518, W518)</f>
        <v>3798.8741552997267</v>
      </c>
      <c r="Y518">
        <v>0.18</v>
      </c>
      <c r="Z518">
        <v>0.23</v>
      </c>
      <c r="AA518">
        <v>0.21</v>
      </c>
      <c r="AB518">
        <f>M518/K518</f>
        <v>104.08184956910691</v>
      </c>
      <c r="AC518">
        <v>2775</v>
      </c>
    </row>
    <row r="519" spans="1:29" x14ac:dyDescent="0.25">
      <c r="A519">
        <v>397</v>
      </c>
      <c r="B519" t="s">
        <v>947</v>
      </c>
      <c r="D519" t="s">
        <v>449</v>
      </c>
      <c r="E519">
        <v>5</v>
      </c>
      <c r="F519" t="s">
        <v>450</v>
      </c>
      <c r="G519" s="2">
        <v>42936</v>
      </c>
      <c r="H519" t="s">
        <v>192</v>
      </c>
      <c r="I519">
        <v>9.6999999999999993</v>
      </c>
      <c r="K519">
        <v>7.0999999999999994E-2</v>
      </c>
      <c r="L519">
        <v>10</v>
      </c>
      <c r="M519">
        <f>PI()*((I519/2)^2)/100 * L519</f>
        <v>7.38981131940659</v>
      </c>
      <c r="Q519">
        <f>P519 / (300 * 300) * 6.4516</f>
        <v>0</v>
      </c>
      <c r="S519" t="s">
        <v>195</v>
      </c>
      <c r="T519" t="s">
        <v>135</v>
      </c>
      <c r="U519">
        <v>167.47</v>
      </c>
      <c r="V519">
        <v>73.62</v>
      </c>
      <c r="W519">
        <f>(((U519/2) * (V519/2)) * PI())</f>
        <v>9683.2850118274437</v>
      </c>
      <c r="X519">
        <f>IF(ISNUMBER(T519), T519*W519, W519)</f>
        <v>9683.2850118274437</v>
      </c>
      <c r="Y519">
        <v>0.35</v>
      </c>
      <c r="Z519">
        <v>0.27</v>
      </c>
      <c r="AA519">
        <v>0.32</v>
      </c>
      <c r="AB519">
        <f>M519/K519</f>
        <v>104.08184956910691</v>
      </c>
    </row>
    <row r="520" spans="1:29" x14ac:dyDescent="0.25">
      <c r="A520">
        <v>204</v>
      </c>
      <c r="B520" t="s">
        <v>505</v>
      </c>
      <c r="D520" t="s">
        <v>359</v>
      </c>
      <c r="E520">
        <v>3</v>
      </c>
      <c r="F520" t="s">
        <v>370</v>
      </c>
      <c r="H520" t="s">
        <v>192</v>
      </c>
      <c r="I520">
        <v>7.1</v>
      </c>
      <c r="K520">
        <v>3.7999999999999999E-2</v>
      </c>
      <c r="L520">
        <v>10</v>
      </c>
      <c r="M520">
        <f>PI()*((I520/2)^2)/100 * L520</f>
        <v>3.9591921416865365</v>
      </c>
      <c r="Q520">
        <f>P520 / (300 * 300) * 6.4516</f>
        <v>0</v>
      </c>
      <c r="S520" t="s">
        <v>195</v>
      </c>
      <c r="T520" t="s">
        <v>135</v>
      </c>
      <c r="U520">
        <v>53.78</v>
      </c>
      <c r="V520">
        <v>22.18</v>
      </c>
      <c r="W520">
        <f>(((U520/2) * (V520/2)) * PI())</f>
        <v>936.8546593862776</v>
      </c>
      <c r="X520">
        <f>IF(ISNUMBER(T520), T520*W520, W520)</f>
        <v>936.8546593862776</v>
      </c>
      <c r="Y520">
        <v>0.15</v>
      </c>
      <c r="Z520">
        <v>0.15</v>
      </c>
      <c r="AA520">
        <v>0.18</v>
      </c>
      <c r="AB520">
        <f>M520/K520</f>
        <v>104.1892668864878</v>
      </c>
    </row>
    <row r="521" spans="1:29" x14ac:dyDescent="0.25">
      <c r="A521">
        <v>242</v>
      </c>
      <c r="B521" t="s">
        <v>595</v>
      </c>
      <c r="D521" t="s">
        <v>368</v>
      </c>
      <c r="E521">
        <v>2</v>
      </c>
      <c r="F521" t="s">
        <v>322</v>
      </c>
      <c r="H521" t="s">
        <v>192</v>
      </c>
      <c r="I521">
        <v>7.1</v>
      </c>
      <c r="K521">
        <v>3.7999999999999999E-2</v>
      </c>
      <c r="L521">
        <v>10</v>
      </c>
      <c r="M521">
        <f>PI()*((I521/2)^2)/100 * L521</f>
        <v>3.9591921416865365</v>
      </c>
      <c r="Q521">
        <f>P521 / (300 * 300) * 6.4516</f>
        <v>0</v>
      </c>
      <c r="S521" t="s">
        <v>201</v>
      </c>
      <c r="T521">
        <v>9</v>
      </c>
      <c r="U521">
        <v>51.21</v>
      </c>
      <c r="V521">
        <v>15.36</v>
      </c>
      <c r="W521">
        <f>(((U521/2) * (V521/2)) * PI())</f>
        <v>617.78288559487987</v>
      </c>
      <c r="X521">
        <f>IF(ISNUMBER(T521), T521*W521, W521)</f>
        <v>5560.0459703539191</v>
      </c>
      <c r="Y521">
        <v>0.19</v>
      </c>
      <c r="Z521">
        <v>0.18</v>
      </c>
      <c r="AA521">
        <v>0.2</v>
      </c>
      <c r="AB521">
        <f>M521/K521</f>
        <v>104.1892668864878</v>
      </c>
    </row>
    <row r="522" spans="1:29" x14ac:dyDescent="0.25">
      <c r="A522">
        <v>311</v>
      </c>
      <c r="B522" t="s">
        <v>806</v>
      </c>
      <c r="D522" t="s">
        <v>502</v>
      </c>
      <c r="E522">
        <v>3</v>
      </c>
      <c r="F522" t="s">
        <v>503</v>
      </c>
      <c r="G522" s="2">
        <v>42927</v>
      </c>
      <c r="H522" t="s">
        <v>192</v>
      </c>
      <c r="I522">
        <v>7.1</v>
      </c>
      <c r="K522">
        <v>3.7999999999999999E-2</v>
      </c>
      <c r="L522">
        <v>10</v>
      </c>
      <c r="M522">
        <f>PI()*((I522/2)^2)/100 * L522</f>
        <v>3.9591921416865365</v>
      </c>
      <c r="Q522">
        <f>P522 / (300 * 300) * 6.4516</f>
        <v>0</v>
      </c>
      <c r="S522" t="s">
        <v>195</v>
      </c>
      <c r="T522" t="s">
        <v>135</v>
      </c>
      <c r="U522">
        <v>98.76</v>
      </c>
      <c r="V522">
        <v>34.85</v>
      </c>
      <c r="W522">
        <f>(((U522/2) * (V522/2)) * PI())</f>
        <v>2703.1724032070501</v>
      </c>
      <c r="X522">
        <f>IF(ISNUMBER(T522), T522*W522, W522)</f>
        <v>2703.1724032070501</v>
      </c>
      <c r="Y522">
        <v>0.24</v>
      </c>
      <c r="Z522">
        <v>0.26</v>
      </c>
      <c r="AA522">
        <v>0.25</v>
      </c>
      <c r="AB522">
        <f>M522/K522</f>
        <v>104.1892668864878</v>
      </c>
    </row>
    <row r="523" spans="1:29" x14ac:dyDescent="0.25">
      <c r="A523">
        <v>342</v>
      </c>
      <c r="B523" t="s">
        <v>853</v>
      </c>
      <c r="D523" t="s">
        <v>825</v>
      </c>
      <c r="E523">
        <v>1</v>
      </c>
      <c r="F523" t="s">
        <v>826</v>
      </c>
      <c r="G523" s="2">
        <v>42930</v>
      </c>
      <c r="H523" t="s">
        <v>192</v>
      </c>
      <c r="I523">
        <v>7.1</v>
      </c>
      <c r="K523">
        <v>3.7999999999999999E-2</v>
      </c>
      <c r="L523">
        <v>10</v>
      </c>
      <c r="M523">
        <f>PI()*((I523/2)^2)/100 * L523</f>
        <v>3.9591921416865365</v>
      </c>
      <c r="Q523">
        <f>P523 / (300 * 300) * 6.4516</f>
        <v>0</v>
      </c>
      <c r="S523" t="s">
        <v>195</v>
      </c>
      <c r="T523" t="s">
        <v>135</v>
      </c>
      <c r="U523">
        <v>76.64</v>
      </c>
      <c r="V523">
        <v>36.94</v>
      </c>
      <c r="W523">
        <f>(((U523/2) * (V523/2)) * PI())</f>
        <v>2223.5262890683093</v>
      </c>
      <c r="X523">
        <f>IF(ISNUMBER(T523), T523*W523, W523)</f>
        <v>2223.5262890683093</v>
      </c>
      <c r="Y523">
        <v>0.25</v>
      </c>
      <c r="Z523">
        <v>0.34</v>
      </c>
      <c r="AA523">
        <v>0.32</v>
      </c>
      <c r="AB523">
        <f>M523/K523</f>
        <v>104.1892668864878</v>
      </c>
    </row>
    <row r="524" spans="1:29" x14ac:dyDescent="0.25">
      <c r="A524">
        <v>378</v>
      </c>
      <c r="B524" t="s">
        <v>924</v>
      </c>
      <c r="D524" t="s">
        <v>925</v>
      </c>
      <c r="E524">
        <v>1</v>
      </c>
      <c r="F524" t="s">
        <v>926</v>
      </c>
      <c r="G524" s="2">
        <v>42936</v>
      </c>
      <c r="H524" t="s">
        <v>192</v>
      </c>
      <c r="I524">
        <v>7.1</v>
      </c>
      <c r="K524">
        <v>3.7999999999999999E-2</v>
      </c>
      <c r="L524">
        <v>10</v>
      </c>
      <c r="M524">
        <f>PI()*((I524/2)^2)/100 * L524</f>
        <v>3.9591921416865365</v>
      </c>
      <c r="Q524">
        <f>P524 / (300 * 300) * 6.4516</f>
        <v>0</v>
      </c>
      <c r="S524" t="s">
        <v>195</v>
      </c>
      <c r="T524" t="s">
        <v>135</v>
      </c>
      <c r="U524">
        <v>61.31</v>
      </c>
      <c r="V524">
        <v>23</v>
      </c>
      <c r="W524">
        <f>(((U524/2) * (V524/2)) * PI())</f>
        <v>1107.5135121516439</v>
      </c>
      <c r="X524">
        <f>IF(ISNUMBER(T524), T524*W524, W524)</f>
        <v>1107.5135121516439</v>
      </c>
      <c r="Y524">
        <v>0.23</v>
      </c>
      <c r="Z524">
        <v>0.23</v>
      </c>
      <c r="AA524">
        <v>0.22</v>
      </c>
      <c r="AB524">
        <f>M524/K524</f>
        <v>104.1892668864878</v>
      </c>
    </row>
    <row r="525" spans="1:29" x14ac:dyDescent="0.25">
      <c r="A525">
        <v>388</v>
      </c>
      <c r="B525" t="s">
        <v>936</v>
      </c>
      <c r="D525" t="s">
        <v>416</v>
      </c>
      <c r="E525">
        <v>6</v>
      </c>
      <c r="F525" t="s">
        <v>417</v>
      </c>
      <c r="G525" s="2">
        <v>42936</v>
      </c>
      <c r="H525" t="s">
        <v>192</v>
      </c>
      <c r="I525">
        <v>7.1</v>
      </c>
      <c r="K525">
        <v>3.7999999999999999E-2</v>
      </c>
      <c r="L525">
        <v>10</v>
      </c>
      <c r="M525">
        <f>PI()*((I525/2)^2)/100 * L525</f>
        <v>3.9591921416865365</v>
      </c>
      <c r="Q525">
        <f>P525 / (300 * 300) * 6.4516</f>
        <v>0</v>
      </c>
      <c r="S525" t="s">
        <v>195</v>
      </c>
      <c r="T525" t="s">
        <v>135</v>
      </c>
      <c r="U525">
        <v>127.09</v>
      </c>
      <c r="V525">
        <v>39.090000000000003</v>
      </c>
      <c r="W525">
        <f>(((U525/2) * (V525/2)) * PI())</f>
        <v>3901.8173135938432</v>
      </c>
      <c r="X525">
        <f>IF(ISNUMBER(T525), T525*W525, W525)</f>
        <v>3901.8173135938432</v>
      </c>
      <c r="Y525">
        <v>0.25</v>
      </c>
      <c r="Z525">
        <v>0.26</v>
      </c>
      <c r="AA525">
        <v>0.26</v>
      </c>
      <c r="AB525">
        <f>M525/K525</f>
        <v>104.1892668864878</v>
      </c>
    </row>
    <row r="526" spans="1:29" x14ac:dyDescent="0.25">
      <c r="A526">
        <v>774</v>
      </c>
      <c r="B526" t="s">
        <v>838</v>
      </c>
      <c r="D526" t="s">
        <v>839</v>
      </c>
      <c r="E526">
        <v>1</v>
      </c>
      <c r="F526" t="s">
        <v>1765</v>
      </c>
      <c r="G526" s="3">
        <v>43650</v>
      </c>
      <c r="H526" t="s">
        <v>191</v>
      </c>
      <c r="K526">
        <v>2.2879999999999998</v>
      </c>
      <c r="P526">
        <v>3336480</v>
      </c>
      <c r="Q526">
        <f>P526 / (300 * 300) * 6.4516</f>
        <v>239.1737152</v>
      </c>
      <c r="Y526">
        <v>0.16</v>
      </c>
      <c r="Z526">
        <v>0.17</v>
      </c>
      <c r="AA526">
        <v>0.2</v>
      </c>
      <c r="AB526">
        <f>Q526/K526</f>
        <v>104.53396643356645</v>
      </c>
    </row>
    <row r="527" spans="1:29" x14ac:dyDescent="0.25">
      <c r="A527">
        <v>533</v>
      </c>
      <c r="B527" t="s">
        <v>1364</v>
      </c>
      <c r="C527" t="s">
        <v>992</v>
      </c>
      <c r="D527" t="s">
        <v>339</v>
      </c>
      <c r="E527">
        <v>4</v>
      </c>
      <c r="F527" t="s">
        <v>362</v>
      </c>
      <c r="G527" s="2">
        <v>43653</v>
      </c>
      <c r="H527" t="s">
        <v>191</v>
      </c>
      <c r="Q527">
        <f>P527 / (300 * 300) * 6.4516</f>
        <v>0</v>
      </c>
      <c r="AB527">
        <v>104.62952749999999</v>
      </c>
      <c r="AC527" t="s">
        <v>1607</v>
      </c>
    </row>
    <row r="528" spans="1:29" x14ac:dyDescent="0.25">
      <c r="A528">
        <v>210</v>
      </c>
      <c r="B528" t="s">
        <v>500</v>
      </c>
      <c r="D528" t="s">
        <v>379</v>
      </c>
      <c r="E528">
        <v>5</v>
      </c>
      <c r="F528" t="s">
        <v>234</v>
      </c>
      <c r="H528" t="s">
        <v>192</v>
      </c>
      <c r="I528">
        <v>7.1</v>
      </c>
      <c r="K528">
        <v>8.6999999999999994E-2</v>
      </c>
      <c r="L528">
        <v>23</v>
      </c>
      <c r="M528">
        <f>PI()*((I528/2)^2)/100 * L528</f>
        <v>9.1061419258790348</v>
      </c>
      <c r="Q528">
        <f>P528 / (300 * 300) * 6.4516</f>
        <v>0</v>
      </c>
      <c r="S528" t="s">
        <v>195</v>
      </c>
      <c r="T528" t="s">
        <v>135</v>
      </c>
      <c r="U528">
        <v>58.05</v>
      </c>
      <c r="V528">
        <v>26.4</v>
      </c>
      <c r="W528">
        <f>(((U528/2) * (V528/2)) * PI())</f>
        <v>1203.6383933698573</v>
      </c>
      <c r="X528">
        <f>IF(ISNUMBER(T528), T528*W528, W528)</f>
        <v>1203.6383933698573</v>
      </c>
      <c r="Y528">
        <v>0.21</v>
      </c>
      <c r="Z528">
        <v>0.24</v>
      </c>
      <c r="AA528">
        <v>0.27</v>
      </c>
      <c r="AB528">
        <f>M528/K528</f>
        <v>104.6682979986096</v>
      </c>
    </row>
    <row r="529" spans="1:29" x14ac:dyDescent="0.25">
      <c r="A529">
        <v>474</v>
      </c>
      <c r="B529" t="s">
        <v>1772</v>
      </c>
      <c r="D529" t="s">
        <v>1777</v>
      </c>
      <c r="E529">
        <v>1</v>
      </c>
      <c r="F529" t="s">
        <v>1771</v>
      </c>
      <c r="G529" s="2">
        <v>43297</v>
      </c>
      <c r="H529" t="s">
        <v>192</v>
      </c>
      <c r="I529">
        <v>11.55</v>
      </c>
      <c r="K529">
        <v>0.1</v>
      </c>
      <c r="L529">
        <v>10</v>
      </c>
      <c r="M529">
        <v>10.477407850000001</v>
      </c>
      <c r="Q529">
        <f>P529 / (300 * 300) * 6.4516</f>
        <v>0</v>
      </c>
      <c r="S529" t="s">
        <v>1073</v>
      </c>
      <c r="T529" t="s">
        <v>135</v>
      </c>
      <c r="AB529">
        <v>104.7740785</v>
      </c>
    </row>
    <row r="530" spans="1:29" x14ac:dyDescent="0.25">
      <c r="A530">
        <v>478</v>
      </c>
      <c r="B530" t="s">
        <v>1776</v>
      </c>
      <c r="D530" t="s">
        <v>1777</v>
      </c>
      <c r="E530">
        <v>5</v>
      </c>
      <c r="F530" t="s">
        <v>1771</v>
      </c>
      <c r="G530" s="2">
        <v>43297</v>
      </c>
      <c r="H530" t="s">
        <v>192</v>
      </c>
      <c r="I530">
        <v>11.55</v>
      </c>
      <c r="K530">
        <v>0.1</v>
      </c>
      <c r="L530">
        <v>10</v>
      </c>
      <c r="M530">
        <v>10.477407850000001</v>
      </c>
      <c r="Q530">
        <f>P530 / (300 * 300) * 6.4516</f>
        <v>0</v>
      </c>
      <c r="S530" t="s">
        <v>1073</v>
      </c>
      <c r="T530" t="s">
        <v>135</v>
      </c>
      <c r="AB530">
        <v>104.7740785</v>
      </c>
    </row>
    <row r="531" spans="1:29" x14ac:dyDescent="0.25">
      <c r="A531">
        <v>772</v>
      </c>
      <c r="B531" t="s">
        <v>538</v>
      </c>
      <c r="D531" t="s">
        <v>1759</v>
      </c>
      <c r="E531">
        <v>2</v>
      </c>
      <c r="F531" t="s">
        <v>539</v>
      </c>
      <c r="G531" s="3">
        <v>43650</v>
      </c>
      <c r="H531" t="s">
        <v>191</v>
      </c>
      <c r="K531">
        <v>2.5150000000000001</v>
      </c>
      <c r="P531">
        <v>3676760</v>
      </c>
      <c r="Q531">
        <f>P531 / (300 * 300) * 6.4516</f>
        <v>263.56649795555558</v>
      </c>
      <c r="Y531">
        <v>0.24</v>
      </c>
      <c r="Z531">
        <v>0.14000000000000001</v>
      </c>
      <c r="AA531">
        <v>0.23</v>
      </c>
      <c r="AB531">
        <f>Q531/K531</f>
        <v>104.79781230837199</v>
      </c>
    </row>
    <row r="532" spans="1:29" x14ac:dyDescent="0.25">
      <c r="A532">
        <v>35</v>
      </c>
      <c r="B532" t="s">
        <v>132</v>
      </c>
      <c r="D532" t="s">
        <v>353</v>
      </c>
      <c r="E532">
        <v>5</v>
      </c>
      <c r="F532" t="s">
        <v>354</v>
      </c>
      <c r="H532" t="s">
        <v>191</v>
      </c>
      <c r="I532" t="s">
        <v>135</v>
      </c>
      <c r="J532">
        <v>2.25</v>
      </c>
      <c r="K532">
        <v>0.85799999999999998</v>
      </c>
      <c r="L532" t="s">
        <v>135</v>
      </c>
      <c r="N532">
        <f>(J532-K532)/J532</f>
        <v>0.61866666666666659</v>
      </c>
      <c r="P532">
        <v>1256063</v>
      </c>
      <c r="Q532">
        <f>P532 / (300 * 300) * 6.4516</f>
        <v>90.040178342222219</v>
      </c>
      <c r="R532">
        <v>5</v>
      </c>
      <c r="S532" t="s">
        <v>195</v>
      </c>
      <c r="T532" t="s">
        <v>135</v>
      </c>
      <c r="U532" t="s">
        <v>135</v>
      </c>
      <c r="V532" t="s">
        <v>135</v>
      </c>
      <c r="W532">
        <f>Q532/R532*100</f>
        <v>1800.8035668444443</v>
      </c>
      <c r="X532">
        <f>W532</f>
        <v>1800.8035668444443</v>
      </c>
      <c r="Y532">
        <v>0.26</v>
      </c>
      <c r="Z532">
        <v>0.23</v>
      </c>
      <c r="AA532">
        <v>0.25</v>
      </c>
      <c r="AB532">
        <f>(Q532)/K532</f>
        <v>104.9419327997928</v>
      </c>
      <c r="AC532" t="s">
        <v>46</v>
      </c>
    </row>
    <row r="533" spans="1:29" x14ac:dyDescent="0.25">
      <c r="A533">
        <v>107</v>
      </c>
      <c r="B533" t="s">
        <v>468</v>
      </c>
      <c r="D533" t="s">
        <v>344</v>
      </c>
      <c r="E533">
        <v>3</v>
      </c>
      <c r="F533" t="s">
        <v>278</v>
      </c>
      <c r="H533" t="s">
        <v>192</v>
      </c>
      <c r="I533">
        <v>7.1</v>
      </c>
      <c r="J533" t="s">
        <v>135</v>
      </c>
      <c r="K533">
        <v>4.9000000000000002E-2</v>
      </c>
      <c r="L533">
        <v>13</v>
      </c>
      <c r="M533">
        <f>PI()*((I533/2)^2)/100 * L533</f>
        <v>5.1469497841924978</v>
      </c>
      <c r="N533" t="s">
        <v>135</v>
      </c>
      <c r="O533" t="s">
        <v>135</v>
      </c>
      <c r="Q533">
        <f>P533 / (300 * 300) * 6.4516</f>
        <v>0</v>
      </c>
      <c r="R533" t="s">
        <v>135</v>
      </c>
      <c r="S533" t="s">
        <v>195</v>
      </c>
      <c r="T533" t="s">
        <v>135</v>
      </c>
      <c r="U533">
        <v>80.5</v>
      </c>
      <c r="V533">
        <v>43.58</v>
      </c>
      <c r="W533">
        <f>(((U533/2) * (V533/2)) * PI())</f>
        <v>2755.3259828492942</v>
      </c>
      <c r="X533">
        <f>IF(ISNUMBER(T533), T533*W533, W533)</f>
        <v>2755.3259828492942</v>
      </c>
      <c r="Y533">
        <v>0.23</v>
      </c>
      <c r="Z533">
        <v>0.28999999999999998</v>
      </c>
      <c r="AA533">
        <v>0.28000000000000003</v>
      </c>
      <c r="AB533">
        <f>M533/K533</f>
        <v>105.0397915141326</v>
      </c>
      <c r="AC533" t="s">
        <v>469</v>
      </c>
    </row>
    <row r="534" spans="1:29" x14ac:dyDescent="0.25">
      <c r="A534">
        <v>747</v>
      </c>
      <c r="B534" t="s">
        <v>1706</v>
      </c>
      <c r="D534" t="s">
        <v>1714</v>
      </c>
      <c r="E534">
        <v>1</v>
      </c>
      <c r="F534" t="s">
        <v>1716</v>
      </c>
      <c r="G534" s="3">
        <v>43643</v>
      </c>
      <c r="H534" t="s">
        <v>191</v>
      </c>
      <c r="K534">
        <v>2.585</v>
      </c>
      <c r="P534">
        <v>3805082</v>
      </c>
      <c r="Q534">
        <f>P534 / (300 * 300) * 6.4516</f>
        <v>272.76518923555557</v>
      </c>
      <c r="S534" t="s">
        <v>1073</v>
      </c>
      <c r="AB534">
        <f>Q534/K534</f>
        <v>105.51844844702343</v>
      </c>
    </row>
    <row r="535" spans="1:29" x14ac:dyDescent="0.25">
      <c r="A535">
        <v>231</v>
      </c>
      <c r="B535" t="s">
        <v>584</v>
      </c>
      <c r="D535" t="s">
        <v>389</v>
      </c>
      <c r="E535">
        <v>4</v>
      </c>
      <c r="F535" t="s">
        <v>290</v>
      </c>
      <c r="H535" t="s">
        <v>192</v>
      </c>
      <c r="I535">
        <v>9.6999999999999993</v>
      </c>
      <c r="K535">
        <v>8.4000000000000005E-2</v>
      </c>
      <c r="L535">
        <v>12</v>
      </c>
      <c r="M535">
        <f>PI()*((I535/2)^2)/100 * L535</f>
        <v>8.8677735832879065</v>
      </c>
      <c r="Q535">
        <f>P535 / (300 * 300) * 6.4516</f>
        <v>0</v>
      </c>
      <c r="S535" t="s">
        <v>201</v>
      </c>
      <c r="T535">
        <v>6</v>
      </c>
      <c r="U535">
        <v>48.77</v>
      </c>
      <c r="V535">
        <v>21.97</v>
      </c>
      <c r="W535">
        <f>(((U535/2) * (V535/2)) * PI())</f>
        <v>841.5359893827914</v>
      </c>
      <c r="X535">
        <f>IF(ISNUMBER(T535), T535*W535, W535)</f>
        <v>5049.2159362967486</v>
      </c>
      <c r="Y535">
        <v>0.17</v>
      </c>
      <c r="Z535">
        <v>0.17</v>
      </c>
      <c r="AA535">
        <v>0.18</v>
      </c>
      <c r="AB535">
        <f>M535/K535</f>
        <v>105.56873313437983</v>
      </c>
    </row>
    <row r="536" spans="1:29" x14ac:dyDescent="0.25">
      <c r="A536">
        <v>699</v>
      </c>
      <c r="B536" t="s">
        <v>1582</v>
      </c>
      <c r="C536" t="s">
        <v>132</v>
      </c>
      <c r="D536" t="s">
        <v>353</v>
      </c>
      <c r="F536" t="s">
        <v>354</v>
      </c>
      <c r="G536" s="2">
        <v>43637</v>
      </c>
      <c r="H536" t="s">
        <v>191</v>
      </c>
      <c r="Q536">
        <f>P536 / (300 * 300) * 6.4516</f>
        <v>0</v>
      </c>
      <c r="AB536">
        <v>105.829202</v>
      </c>
      <c r="AC536" t="s">
        <v>1607</v>
      </c>
    </row>
    <row r="537" spans="1:29" x14ac:dyDescent="0.25">
      <c r="A537">
        <v>477</v>
      </c>
      <c r="B537" t="s">
        <v>1775</v>
      </c>
      <c r="D537" t="s">
        <v>1777</v>
      </c>
      <c r="E537">
        <v>4</v>
      </c>
      <c r="F537" t="s">
        <v>1771</v>
      </c>
      <c r="G537" s="2">
        <v>43297</v>
      </c>
      <c r="H537" t="s">
        <v>192</v>
      </c>
      <c r="I537">
        <v>11.55</v>
      </c>
      <c r="K537">
        <v>9.9000000000000005E-2</v>
      </c>
      <c r="L537">
        <v>10</v>
      </c>
      <c r="M537">
        <v>10.477407850000001</v>
      </c>
      <c r="Q537">
        <f>P537 / (300 * 300) * 6.4516</f>
        <v>0</v>
      </c>
      <c r="S537" t="s">
        <v>1073</v>
      </c>
      <c r="T537" t="s">
        <v>135</v>
      </c>
      <c r="AB537">
        <v>105.8324025</v>
      </c>
    </row>
    <row r="538" spans="1:29" x14ac:dyDescent="0.25">
      <c r="A538">
        <v>530</v>
      </c>
      <c r="B538" t="s">
        <v>1361</v>
      </c>
      <c r="C538" t="s">
        <v>20</v>
      </c>
      <c r="D538" t="s">
        <v>339</v>
      </c>
      <c r="E538">
        <v>1</v>
      </c>
      <c r="F538" t="s">
        <v>362</v>
      </c>
      <c r="G538" s="2">
        <v>43653</v>
      </c>
      <c r="H538" t="s">
        <v>191</v>
      </c>
      <c r="Q538">
        <f>P538 / (300 * 300) * 6.4516</f>
        <v>0</v>
      </c>
      <c r="AB538">
        <v>105.8942629</v>
      </c>
      <c r="AC538" t="s">
        <v>1607</v>
      </c>
    </row>
    <row r="539" spans="1:29" x14ac:dyDescent="0.25">
      <c r="A539">
        <v>671</v>
      </c>
      <c r="B539" t="s">
        <v>1550</v>
      </c>
      <c r="C539" t="s">
        <v>870</v>
      </c>
      <c r="D539" t="s">
        <v>400</v>
      </c>
      <c r="F539" t="s">
        <v>541</v>
      </c>
      <c r="G539" s="2">
        <v>43657</v>
      </c>
      <c r="H539" t="s">
        <v>191</v>
      </c>
      <c r="Q539">
        <f>P539 / (300 * 300) * 6.4516</f>
        <v>0</v>
      </c>
      <c r="AB539">
        <v>106.0104398</v>
      </c>
      <c r="AC539" t="s">
        <v>1607</v>
      </c>
    </row>
    <row r="540" spans="1:29" x14ac:dyDescent="0.25">
      <c r="A540">
        <v>83</v>
      </c>
      <c r="B540" t="s">
        <v>71</v>
      </c>
      <c r="D540" t="s">
        <v>353</v>
      </c>
      <c r="E540">
        <v>3</v>
      </c>
      <c r="F540" t="s">
        <v>354</v>
      </c>
      <c r="H540" t="s">
        <v>191</v>
      </c>
      <c r="I540" t="s">
        <v>135</v>
      </c>
      <c r="J540">
        <v>1.2729999999999999</v>
      </c>
      <c r="K540">
        <v>0.42399999999999999</v>
      </c>
      <c r="L540" t="s">
        <v>135</v>
      </c>
      <c r="N540">
        <f>(J540-K540)/J540</f>
        <v>0.66692851531814612</v>
      </c>
      <c r="P540">
        <v>627174</v>
      </c>
      <c r="Q540">
        <f>P540 / (300 * 300) * 6.4516</f>
        <v>44.958619760000005</v>
      </c>
      <c r="R540">
        <v>5</v>
      </c>
      <c r="S540" t="s">
        <v>195</v>
      </c>
      <c r="T540" t="s">
        <v>135</v>
      </c>
      <c r="U540" t="s">
        <v>135</v>
      </c>
      <c r="V540" t="s">
        <v>135</v>
      </c>
      <c r="W540">
        <f>Q540*100/R540</f>
        <v>899.17239519999998</v>
      </c>
      <c r="X540">
        <f>W540</f>
        <v>899.17239519999998</v>
      </c>
      <c r="Y540">
        <v>0.16</v>
      </c>
      <c r="Z540">
        <v>0.19</v>
      </c>
      <c r="AA540">
        <v>0.17</v>
      </c>
      <c r="AB540">
        <f>(Q540)/K540</f>
        <v>106.03448056603774</v>
      </c>
      <c r="AC540" t="s">
        <v>46</v>
      </c>
    </row>
    <row r="541" spans="1:29" x14ac:dyDescent="0.25">
      <c r="A541">
        <v>94</v>
      </c>
      <c r="B541" t="s">
        <v>1231</v>
      </c>
      <c r="C541" t="s">
        <v>206</v>
      </c>
      <c r="D541" t="s">
        <v>346</v>
      </c>
      <c r="E541">
        <v>5</v>
      </c>
      <c r="F541" t="s">
        <v>61</v>
      </c>
      <c r="H541" t="s">
        <v>192</v>
      </c>
      <c r="I541">
        <v>7.1</v>
      </c>
      <c r="J541" t="s">
        <v>135</v>
      </c>
      <c r="K541">
        <v>5.6000000000000001E-2</v>
      </c>
      <c r="L541">
        <v>15</v>
      </c>
      <c r="M541">
        <f>PI()*((I541/2)^2)/100 * L541</f>
        <v>5.938788212529805</v>
      </c>
      <c r="N541" t="s">
        <v>135</v>
      </c>
      <c r="O541" t="s">
        <v>135</v>
      </c>
      <c r="Q541">
        <f>P541 / (300 * 300) * 6.4516</f>
        <v>0</v>
      </c>
      <c r="R541" t="s">
        <v>135</v>
      </c>
      <c r="S541" t="s">
        <v>201</v>
      </c>
      <c r="T541">
        <v>15</v>
      </c>
      <c r="U541">
        <v>88.6</v>
      </c>
      <c r="V541">
        <v>35.5</v>
      </c>
      <c r="W541">
        <f>(((U541/2) * (V541/2)) * PI())</f>
        <v>2470.3128433339939</v>
      </c>
      <c r="X541">
        <f>IF(ISNUMBER(T541), T541*W541, W541)</f>
        <v>37054.692650009907</v>
      </c>
      <c r="Y541">
        <v>0.23</v>
      </c>
      <c r="Z541">
        <v>0.23</v>
      </c>
      <c r="AA541">
        <v>0.22</v>
      </c>
      <c r="AB541">
        <f>M541/K541</f>
        <v>106.04978950946081</v>
      </c>
      <c r="AC541" t="s">
        <v>207</v>
      </c>
    </row>
    <row r="542" spans="1:29" x14ac:dyDescent="0.25">
      <c r="A542">
        <v>116</v>
      </c>
      <c r="B542" t="s">
        <v>1260</v>
      </c>
      <c r="C542" t="s">
        <v>254</v>
      </c>
      <c r="D542" t="s">
        <v>385</v>
      </c>
      <c r="E542">
        <v>1</v>
      </c>
      <c r="F542" t="s">
        <v>255</v>
      </c>
      <c r="H542" t="s">
        <v>192</v>
      </c>
      <c r="I542">
        <v>7.1</v>
      </c>
      <c r="J542" t="s">
        <v>135</v>
      </c>
      <c r="K542">
        <v>7.8E-2</v>
      </c>
      <c r="L542">
        <v>21</v>
      </c>
      <c r="M542">
        <f>PI()*((I542/2)^2)/100 * L542</f>
        <v>8.3143034975417276</v>
      </c>
      <c r="N542" t="s">
        <v>135</v>
      </c>
      <c r="O542" t="s">
        <v>135</v>
      </c>
      <c r="Q542">
        <f>P542 / (300 * 300) * 6.4516</f>
        <v>0</v>
      </c>
      <c r="R542" t="s">
        <v>135</v>
      </c>
      <c r="S542" t="s">
        <v>201</v>
      </c>
      <c r="T542">
        <v>5</v>
      </c>
      <c r="U542">
        <v>115.87</v>
      </c>
      <c r="V542">
        <v>40.86</v>
      </c>
      <c r="W542">
        <f>(((U542/2) * (V542/2)) * PI())</f>
        <v>3718.4269209803547</v>
      </c>
      <c r="X542">
        <f>IF(ISNUMBER(T542), T542*W542, W542)</f>
        <v>18592.134604901774</v>
      </c>
      <c r="Y542">
        <v>0.43</v>
      </c>
      <c r="Z542">
        <v>0.44</v>
      </c>
      <c r="AA542">
        <v>0.4</v>
      </c>
      <c r="AB542">
        <f>M542/K542</f>
        <v>106.59363458386831</v>
      </c>
      <c r="AC542" t="s">
        <v>264</v>
      </c>
    </row>
    <row r="543" spans="1:29" x14ac:dyDescent="0.25">
      <c r="A543">
        <v>132</v>
      </c>
      <c r="B543" t="s">
        <v>289</v>
      </c>
      <c r="D543" t="s">
        <v>389</v>
      </c>
      <c r="E543">
        <v>1</v>
      </c>
      <c r="F543" t="s">
        <v>290</v>
      </c>
      <c r="H543" t="s">
        <v>192</v>
      </c>
      <c r="I543">
        <v>7.1</v>
      </c>
      <c r="J543" t="s">
        <v>135</v>
      </c>
      <c r="K543">
        <v>5.1999999999999998E-2</v>
      </c>
      <c r="L543">
        <v>14</v>
      </c>
      <c r="M543">
        <f>PI()*((I543/2)^2)/100 * L543</f>
        <v>5.5428689983611514</v>
      </c>
      <c r="N543" t="s">
        <v>135</v>
      </c>
      <c r="O543" t="s">
        <v>135</v>
      </c>
      <c r="Q543">
        <f>P543 / (300 * 300) * 6.4516</f>
        <v>0</v>
      </c>
      <c r="R543" t="s">
        <v>135</v>
      </c>
      <c r="S543" t="s">
        <v>201</v>
      </c>
      <c r="T543">
        <v>7</v>
      </c>
      <c r="U543">
        <v>54.32</v>
      </c>
      <c r="V543">
        <v>23.5</v>
      </c>
      <c r="W543">
        <f>(((U543/2) * (V543/2)) * PI())</f>
        <v>1002.5764635401107</v>
      </c>
      <c r="X543">
        <f>IF(ISNUMBER(T543), T543*W543, W543)</f>
        <v>7018.0352447807745</v>
      </c>
      <c r="Y543">
        <v>0.16</v>
      </c>
      <c r="Z543">
        <v>0.14000000000000001</v>
      </c>
      <c r="AA543">
        <v>0.15</v>
      </c>
      <c r="AB543">
        <f>M543/K543</f>
        <v>106.59363458386831</v>
      </c>
    </row>
    <row r="544" spans="1:29" x14ac:dyDescent="0.25">
      <c r="A544">
        <v>120</v>
      </c>
      <c r="B544" t="s">
        <v>1232</v>
      </c>
      <c r="C544" t="s">
        <v>268</v>
      </c>
      <c r="D544" t="s">
        <v>366</v>
      </c>
      <c r="E544">
        <v>3</v>
      </c>
      <c r="F544" t="s">
        <v>269</v>
      </c>
      <c r="H544" t="s">
        <v>192</v>
      </c>
      <c r="I544">
        <v>7.1</v>
      </c>
      <c r="J544" t="s">
        <v>135</v>
      </c>
      <c r="K544">
        <v>3.6999999999999998E-2</v>
      </c>
      <c r="L544">
        <v>10</v>
      </c>
      <c r="M544">
        <f>PI()*((I544/2)^2)/100 * L544</f>
        <v>3.9591921416865365</v>
      </c>
      <c r="N544" t="s">
        <v>135</v>
      </c>
      <c r="O544" t="s">
        <v>135</v>
      </c>
      <c r="Q544">
        <f>P544 / (300 * 300) * 6.4516</f>
        <v>0</v>
      </c>
      <c r="R544" t="s">
        <v>135</v>
      </c>
      <c r="S544" t="s">
        <v>201</v>
      </c>
      <c r="T544">
        <v>7</v>
      </c>
      <c r="U544">
        <v>89.7</v>
      </c>
      <c r="V544">
        <v>32</v>
      </c>
      <c r="W544">
        <f>(((U544/2) * (V544/2)) * PI())</f>
        <v>2254.4068882160354</v>
      </c>
      <c r="X544">
        <f>IF(ISNUMBER(T544), T544*W544, W544)</f>
        <v>15780.848217512248</v>
      </c>
      <c r="Y544">
        <v>0.34</v>
      </c>
      <c r="Z544">
        <v>0.32</v>
      </c>
      <c r="AA544">
        <v>0.34</v>
      </c>
      <c r="AB544">
        <f>M544/K544</f>
        <v>107.00519301855505</v>
      </c>
      <c r="AC544" t="s">
        <v>270</v>
      </c>
    </row>
    <row r="545" spans="1:29" x14ac:dyDescent="0.25">
      <c r="A545">
        <v>430</v>
      </c>
      <c r="B545" t="s">
        <v>1004</v>
      </c>
      <c r="D545" t="s">
        <v>1005</v>
      </c>
      <c r="E545">
        <v>2</v>
      </c>
      <c r="F545" t="s">
        <v>1006</v>
      </c>
      <c r="G545" s="2">
        <v>42940</v>
      </c>
      <c r="H545" t="s">
        <v>192</v>
      </c>
      <c r="I545">
        <v>7.1</v>
      </c>
      <c r="K545">
        <v>3.6999999999999998E-2</v>
      </c>
      <c r="L545">
        <v>10</v>
      </c>
      <c r="M545">
        <f>PI()*((I545/2)^2)/100 * L545</f>
        <v>3.9591921416865365</v>
      </c>
      <c r="Q545">
        <f>P545 / (300 * 300) * 6.4516</f>
        <v>0</v>
      </c>
      <c r="S545" t="s">
        <v>195</v>
      </c>
      <c r="T545" t="s">
        <v>135</v>
      </c>
      <c r="U545">
        <v>41.6</v>
      </c>
      <c r="V545">
        <v>17.78</v>
      </c>
      <c r="W545">
        <f>(((U545/2) * (V545/2)) * PI())</f>
        <v>580.91818076059587</v>
      </c>
      <c r="X545">
        <f>IF(ISNUMBER(T545), T545*W545, W545)</f>
        <v>580.91818076059587</v>
      </c>
      <c r="Y545">
        <v>0.33</v>
      </c>
      <c r="Z545">
        <v>0.3</v>
      </c>
      <c r="AA545">
        <v>0.28999999999999998</v>
      </c>
      <c r="AB545">
        <f>M545/K545</f>
        <v>107.00519301855505</v>
      </c>
    </row>
    <row r="546" spans="1:29" x14ac:dyDescent="0.25">
      <c r="A546">
        <v>709</v>
      </c>
      <c r="B546" t="s">
        <v>1593</v>
      </c>
      <c r="C546" t="s">
        <v>26</v>
      </c>
      <c r="D546" t="s">
        <v>344</v>
      </c>
      <c r="F546" t="s">
        <v>278</v>
      </c>
      <c r="G546" s="2">
        <v>43613</v>
      </c>
      <c r="H546" t="s">
        <v>191</v>
      </c>
      <c r="Q546">
        <f>P546 / (300 * 300) * 6.4516</f>
        <v>0</v>
      </c>
      <c r="AB546">
        <v>107.0063351</v>
      </c>
      <c r="AC546" t="s">
        <v>1607</v>
      </c>
    </row>
    <row r="547" spans="1:29" x14ac:dyDescent="0.25">
      <c r="A547">
        <v>401</v>
      </c>
      <c r="B547" t="s">
        <v>956</v>
      </c>
      <c r="D547" t="s">
        <v>900</v>
      </c>
      <c r="E547">
        <v>4</v>
      </c>
      <c r="F547" t="s">
        <v>938</v>
      </c>
      <c r="G547" s="2">
        <v>42940</v>
      </c>
      <c r="H547" t="s">
        <v>192</v>
      </c>
      <c r="I547">
        <v>9.6999999999999993</v>
      </c>
      <c r="K547">
        <v>6.9000000000000006E-2</v>
      </c>
      <c r="L547">
        <v>10</v>
      </c>
      <c r="M547">
        <f>PI()*((I547/2)^2)/100 * L547</f>
        <v>7.38981131940659</v>
      </c>
      <c r="Q547">
        <f>P547 / (300 * 300) * 6.4516</f>
        <v>0</v>
      </c>
      <c r="S547" t="s">
        <v>195</v>
      </c>
      <c r="T547" t="s">
        <v>135</v>
      </c>
      <c r="U547">
        <v>148.85</v>
      </c>
      <c r="V547">
        <v>32.43</v>
      </c>
      <c r="W547">
        <f>(((U547/2) * (V547/2)) * PI())</f>
        <v>3791.278334042061</v>
      </c>
      <c r="X547">
        <f>IF(ISNUMBER(T547), T547*W547, W547)</f>
        <v>3791.278334042061</v>
      </c>
      <c r="Y547">
        <v>0.21</v>
      </c>
      <c r="Z547">
        <v>0.21</v>
      </c>
      <c r="AA547">
        <v>0.21</v>
      </c>
      <c r="AB547">
        <f>M547/K547</f>
        <v>107.09871477400854</v>
      </c>
    </row>
    <row r="548" spans="1:29" x14ac:dyDescent="0.25">
      <c r="A548">
        <v>466</v>
      </c>
      <c r="B548" t="s">
        <v>1089</v>
      </c>
      <c r="D548" t="s">
        <v>575</v>
      </c>
      <c r="E548">
        <v>5</v>
      </c>
      <c r="F548" t="s">
        <v>576</v>
      </c>
      <c r="G548" s="2">
        <v>42952</v>
      </c>
      <c r="H548" t="s">
        <v>192</v>
      </c>
      <c r="I548">
        <v>9.6999999999999993</v>
      </c>
      <c r="K548">
        <v>6.9000000000000006E-2</v>
      </c>
      <c r="L548">
        <v>10</v>
      </c>
      <c r="M548">
        <f>PI()*((I548/2)^2)/100 * L548</f>
        <v>7.38981131940659</v>
      </c>
      <c r="Q548">
        <f>P548 / (300 * 300) * 6.4516</f>
        <v>0</v>
      </c>
      <c r="S548" t="s">
        <v>195</v>
      </c>
      <c r="T548" t="s">
        <v>135</v>
      </c>
      <c r="U548">
        <v>64.08</v>
      </c>
      <c r="V548">
        <v>29.31</v>
      </c>
      <c r="W548">
        <f>(((U548/2) * (V548/2)) * PI())</f>
        <v>1475.1228924410036</v>
      </c>
      <c r="X548">
        <f>IF(ISNUMBER(T548), T548*W548, W548)</f>
        <v>1475.1228924410036</v>
      </c>
      <c r="Y548">
        <v>0.25</v>
      </c>
      <c r="Z548">
        <v>0.24</v>
      </c>
      <c r="AA548">
        <v>0.25</v>
      </c>
      <c r="AB548">
        <f>M548/K548</f>
        <v>107.09871477400854</v>
      </c>
    </row>
    <row r="549" spans="1:29" x14ac:dyDescent="0.25">
      <c r="A549">
        <v>252</v>
      </c>
      <c r="B549" t="s">
        <v>609</v>
      </c>
      <c r="D549" t="s">
        <v>368</v>
      </c>
      <c r="E549">
        <v>3</v>
      </c>
      <c r="F549" t="s">
        <v>322</v>
      </c>
      <c r="H549" t="s">
        <v>192</v>
      </c>
      <c r="I549">
        <v>7.1</v>
      </c>
      <c r="K549">
        <v>5.8999999999999997E-2</v>
      </c>
      <c r="L549">
        <v>16</v>
      </c>
      <c r="M549">
        <f>PI()*((I549/2)^2)/100 * L549</f>
        <v>6.3347074266984587</v>
      </c>
      <c r="Q549">
        <f>P549 / (300 * 300) * 6.4516</f>
        <v>0</v>
      </c>
      <c r="S549" t="s">
        <v>201</v>
      </c>
      <c r="T549">
        <v>5</v>
      </c>
      <c r="U549">
        <v>53.75</v>
      </c>
      <c r="V549">
        <v>16.579999999999998</v>
      </c>
      <c r="W549">
        <f>(((U549/2) * (V549/2)) * PI())</f>
        <v>699.92720826572088</v>
      </c>
      <c r="X549">
        <f>IF(ISNUMBER(T549), T549*W549, W549)</f>
        <v>3499.6360413286043</v>
      </c>
      <c r="Y549">
        <v>0.13</v>
      </c>
      <c r="Z549">
        <v>0.14000000000000001</v>
      </c>
      <c r="AA549">
        <v>0.13</v>
      </c>
      <c r="AB549">
        <f>M549/K549</f>
        <v>107.36792248641456</v>
      </c>
    </row>
    <row r="550" spans="1:29" x14ac:dyDescent="0.25">
      <c r="A550">
        <v>753</v>
      </c>
      <c r="B550" t="s">
        <v>1712</v>
      </c>
      <c r="D550" t="s">
        <v>1279</v>
      </c>
      <c r="E550">
        <v>5</v>
      </c>
      <c r="F550" t="s">
        <v>1280</v>
      </c>
      <c r="G550" s="3">
        <v>43643</v>
      </c>
      <c r="H550" t="s">
        <v>191</v>
      </c>
      <c r="K550">
        <v>4.6660000000000004</v>
      </c>
      <c r="P550">
        <v>6994718</v>
      </c>
      <c r="Q550">
        <f>P550 / (300 * 300) * 6.4516</f>
        <v>501.41247387555558</v>
      </c>
      <c r="S550" t="s">
        <v>1721</v>
      </c>
      <c r="T550">
        <v>5</v>
      </c>
      <c r="Y550">
        <v>0.35</v>
      </c>
      <c r="Z550">
        <v>0.45</v>
      </c>
      <c r="AA550">
        <v>0.47</v>
      </c>
      <c r="AB550">
        <f>Q550/K550</f>
        <v>107.46088167071485</v>
      </c>
    </row>
    <row r="551" spans="1:29" x14ac:dyDescent="0.25">
      <c r="A551">
        <v>640</v>
      </c>
      <c r="B551" t="s">
        <v>1508</v>
      </c>
      <c r="C551" t="s">
        <v>1086</v>
      </c>
      <c r="D551" t="s">
        <v>1083</v>
      </c>
      <c r="E551">
        <v>3</v>
      </c>
      <c r="F551" t="s">
        <v>1084</v>
      </c>
      <c r="G551" s="2">
        <v>43656</v>
      </c>
      <c r="H551" t="s">
        <v>191</v>
      </c>
      <c r="Q551">
        <f>P551 / (300 * 300) * 6.4516</f>
        <v>0</v>
      </c>
      <c r="AB551">
        <v>107.65920149999999</v>
      </c>
      <c r="AC551" t="s">
        <v>1607</v>
      </c>
    </row>
    <row r="552" spans="1:29" x14ac:dyDescent="0.25">
      <c r="A552">
        <v>101</v>
      </c>
      <c r="B552" t="s">
        <v>1256</v>
      </c>
      <c r="C552" t="s">
        <v>224</v>
      </c>
      <c r="D552" t="s">
        <v>376</v>
      </c>
      <c r="E552">
        <v>2</v>
      </c>
      <c r="F552" t="s">
        <v>200</v>
      </c>
      <c r="H552" t="s">
        <v>192</v>
      </c>
      <c r="I552">
        <v>7.1</v>
      </c>
      <c r="J552" t="s">
        <v>135</v>
      </c>
      <c r="K552">
        <v>6.6000000000000003E-2</v>
      </c>
      <c r="L552">
        <v>18</v>
      </c>
      <c r="M552">
        <f>PI()*((I552/2)^2)/100 * L552</f>
        <v>7.1265458550357659</v>
      </c>
      <c r="N552" t="s">
        <v>135</v>
      </c>
      <c r="O552" t="s">
        <v>135</v>
      </c>
      <c r="Q552">
        <f>P552 / (300 * 300) * 6.4516</f>
        <v>0</v>
      </c>
      <c r="R552" t="s">
        <v>135</v>
      </c>
      <c r="S552" t="s">
        <v>201</v>
      </c>
      <c r="T552">
        <v>8</v>
      </c>
      <c r="U552">
        <v>86.4</v>
      </c>
      <c r="V552">
        <v>32.049999999999997</v>
      </c>
      <c r="W552">
        <f>(((U552/2) * (V552/2)) * PI())</f>
        <v>2174.8617622271418</v>
      </c>
      <c r="X552">
        <f>IF(ISNUMBER(T552), T552*W552, W552)</f>
        <v>17398.894097817134</v>
      </c>
      <c r="Y552">
        <v>0.25</v>
      </c>
      <c r="Z552">
        <v>0.21</v>
      </c>
      <c r="AA552">
        <v>0.22</v>
      </c>
      <c r="AB552">
        <f>M552/K552</f>
        <v>107.97796750054191</v>
      </c>
      <c r="AC552" t="s">
        <v>225</v>
      </c>
    </row>
    <row r="553" spans="1:29" x14ac:dyDescent="0.25">
      <c r="A553">
        <v>158</v>
      </c>
      <c r="B553" t="s">
        <v>415</v>
      </c>
      <c r="C553" t="s">
        <v>540</v>
      </c>
      <c r="D553" t="s">
        <v>416</v>
      </c>
      <c r="E553">
        <v>3</v>
      </c>
      <c r="F553" t="s">
        <v>417</v>
      </c>
      <c r="H553" t="s">
        <v>192</v>
      </c>
      <c r="I553">
        <v>7.1</v>
      </c>
      <c r="J553" t="s">
        <v>135</v>
      </c>
      <c r="K553">
        <v>4.3999999999999997E-2</v>
      </c>
      <c r="L553">
        <v>12</v>
      </c>
      <c r="M553">
        <f>PI()*((I553/2)^2)/100 * L553</f>
        <v>4.7510305700238442</v>
      </c>
      <c r="N553" t="s">
        <v>135</v>
      </c>
      <c r="O553" t="s">
        <v>135</v>
      </c>
      <c r="Q553">
        <f>P553 / (300 * 300) * 6.4516</f>
        <v>0</v>
      </c>
      <c r="R553" t="s">
        <v>135</v>
      </c>
      <c r="S553" t="s">
        <v>195</v>
      </c>
      <c r="T553" t="s">
        <v>135</v>
      </c>
      <c r="U553">
        <v>125.88</v>
      </c>
      <c r="V553">
        <v>41.69</v>
      </c>
      <c r="W553">
        <f>(((U553/2) * (V553/2)) * PI())</f>
        <v>4121.7202385051469</v>
      </c>
      <c r="X553">
        <f>IF(ISNUMBER(T553), T553*W553, W553)</f>
        <v>4121.7202385051469</v>
      </c>
      <c r="Y553">
        <v>0.21</v>
      </c>
      <c r="Z553">
        <v>0.18</v>
      </c>
      <c r="AA553">
        <v>0.21</v>
      </c>
      <c r="AB553">
        <f>M553/K553</f>
        <v>107.97796750054192</v>
      </c>
      <c r="AC553" t="s">
        <v>418</v>
      </c>
    </row>
    <row r="554" spans="1:29" x14ac:dyDescent="0.25">
      <c r="A554">
        <v>588</v>
      </c>
      <c r="B554" t="s">
        <v>1441</v>
      </c>
      <c r="C554" t="s">
        <v>274</v>
      </c>
      <c r="D554" t="s">
        <v>379</v>
      </c>
      <c r="E554">
        <v>3</v>
      </c>
      <c r="F554" t="s">
        <v>234</v>
      </c>
      <c r="G554" s="2">
        <v>43646</v>
      </c>
      <c r="H554" t="s">
        <v>191</v>
      </c>
      <c r="Q554">
        <f>P554 / (300 * 300) * 6.4516</f>
        <v>0</v>
      </c>
      <c r="AB554">
        <v>108.0533282</v>
      </c>
      <c r="AC554" t="s">
        <v>1607</v>
      </c>
    </row>
    <row r="555" spans="1:29" x14ac:dyDescent="0.25">
      <c r="A555">
        <v>420</v>
      </c>
      <c r="B555" t="s">
        <v>993</v>
      </c>
      <c r="D555" t="s">
        <v>367</v>
      </c>
      <c r="E555">
        <v>6</v>
      </c>
      <c r="F555" t="s">
        <v>371</v>
      </c>
      <c r="G555" s="2">
        <v>42940</v>
      </c>
      <c r="H555" t="s">
        <v>191</v>
      </c>
      <c r="I555" t="s">
        <v>135</v>
      </c>
      <c r="K555">
        <v>0.34799999999999998</v>
      </c>
      <c r="L555" t="s">
        <v>135</v>
      </c>
      <c r="M555" t="s">
        <v>135</v>
      </c>
      <c r="P555">
        <v>526214</v>
      </c>
      <c r="Q555">
        <f>P555 / (300 * 300) * 6.4516</f>
        <v>37.72135824888889</v>
      </c>
      <c r="S555" t="s">
        <v>195</v>
      </c>
      <c r="T555" t="s">
        <v>135</v>
      </c>
      <c r="U555">
        <v>19.88</v>
      </c>
      <c r="V555">
        <v>3.75</v>
      </c>
      <c r="W555">
        <f>(((U555/2) * (V555/2)) * PI())</f>
        <v>58.551433081279768</v>
      </c>
      <c r="X555">
        <f>IF(ISNUMBER(T555), T555*W555, W555)</f>
        <v>58.551433081279768</v>
      </c>
      <c r="Y555">
        <v>0.22</v>
      </c>
      <c r="Z555">
        <v>0.25</v>
      </c>
      <c r="AA555">
        <v>0.24</v>
      </c>
      <c r="AB555">
        <f>Q555/K555</f>
        <v>108.39470761174969</v>
      </c>
    </row>
    <row r="556" spans="1:29" x14ac:dyDescent="0.25">
      <c r="A556">
        <v>362</v>
      </c>
      <c r="B556" t="s">
        <v>896</v>
      </c>
      <c r="D556" t="s">
        <v>340</v>
      </c>
      <c r="E556">
        <v>4</v>
      </c>
      <c r="F556" t="s">
        <v>60</v>
      </c>
      <c r="G556" s="2">
        <v>42934</v>
      </c>
      <c r="H556" t="s">
        <v>191</v>
      </c>
      <c r="I556" t="s">
        <v>135</v>
      </c>
      <c r="J556" t="s">
        <v>135</v>
      </c>
      <c r="K556">
        <v>0.33500000000000002</v>
      </c>
      <c r="L556" t="s">
        <v>135</v>
      </c>
      <c r="M556" t="s">
        <v>135</v>
      </c>
      <c r="P556">
        <v>506938</v>
      </c>
      <c r="Q556">
        <f>P556 / (300 * 300) * 6.4516</f>
        <v>36.339568897777781</v>
      </c>
      <c r="R556">
        <v>1</v>
      </c>
      <c r="S556" t="s">
        <v>201</v>
      </c>
      <c r="T556">
        <v>450</v>
      </c>
      <c r="U556">
        <v>9.6300000000000008</v>
      </c>
      <c r="V556">
        <v>5.4</v>
      </c>
      <c r="W556">
        <f>(((U556/2) * (V556/2)) * PI())</f>
        <v>40.84227529299411</v>
      </c>
      <c r="X556">
        <f>IF(ISNUMBER(T556), T556*W556, W556)</f>
        <v>18379.023881847348</v>
      </c>
      <c r="Y556">
        <v>0.16</v>
      </c>
      <c r="Z556">
        <v>0.17</v>
      </c>
      <c r="AA556">
        <v>0.18</v>
      </c>
      <c r="AB556">
        <f>Q556/K556</f>
        <v>108.47632506799337</v>
      </c>
      <c r="AC556" t="s">
        <v>897</v>
      </c>
    </row>
    <row r="557" spans="1:29" x14ac:dyDescent="0.25">
      <c r="A557">
        <v>344</v>
      </c>
      <c r="B557" t="s">
        <v>860</v>
      </c>
      <c r="D557" t="s">
        <v>581</v>
      </c>
      <c r="E557">
        <v>5</v>
      </c>
      <c r="F557" t="s">
        <v>582</v>
      </c>
      <c r="G557" s="2">
        <v>42931</v>
      </c>
      <c r="H557" t="s">
        <v>192</v>
      </c>
      <c r="I557">
        <v>9.6999999999999993</v>
      </c>
      <c r="K557">
        <v>6.8000000000000005E-2</v>
      </c>
      <c r="L557">
        <v>10</v>
      </c>
      <c r="M557">
        <f>PI()*((I557/2)^2)/100 * L557</f>
        <v>7.38981131940659</v>
      </c>
      <c r="Q557">
        <f>P557 / (300 * 300) * 6.4516</f>
        <v>0</v>
      </c>
      <c r="S557" t="s">
        <v>201</v>
      </c>
      <c r="T557">
        <v>5</v>
      </c>
      <c r="U557">
        <v>87.36</v>
      </c>
      <c r="V557">
        <v>20.54</v>
      </c>
      <c r="W557">
        <f>(((U557/2) * (V557/2)) * PI())</f>
        <v>1409.2983582073982</v>
      </c>
      <c r="X557">
        <f>IF(ISNUMBER(T557), T557*W557, W557)</f>
        <v>7046.4917910369913</v>
      </c>
      <c r="Y557">
        <v>0.23</v>
      </c>
      <c r="Z557">
        <v>0.26</v>
      </c>
      <c r="AA557">
        <v>0.23</v>
      </c>
      <c r="AB557">
        <f>M557/K557</f>
        <v>108.67369587362631</v>
      </c>
      <c r="AC557" t="s">
        <v>880</v>
      </c>
    </row>
    <row r="558" spans="1:29" x14ac:dyDescent="0.25">
      <c r="A558">
        <v>205</v>
      </c>
      <c r="B558" t="s">
        <v>506</v>
      </c>
      <c r="D558" t="s">
        <v>498</v>
      </c>
      <c r="E558">
        <v>3</v>
      </c>
      <c r="F558" t="s">
        <v>499</v>
      </c>
      <c r="H558" t="s">
        <v>192</v>
      </c>
      <c r="I558">
        <v>7.1</v>
      </c>
      <c r="K558">
        <v>5.0999999999999997E-2</v>
      </c>
      <c r="L558">
        <v>14</v>
      </c>
      <c r="M558">
        <f>PI()*((I558/2)^2)/100 * L558</f>
        <v>5.5428689983611514</v>
      </c>
      <c r="Q558">
        <f>P558 / (300 * 300) * 6.4516</f>
        <v>0</v>
      </c>
      <c r="S558" t="s">
        <v>195</v>
      </c>
      <c r="T558" t="s">
        <v>135</v>
      </c>
      <c r="U558">
        <v>59.92</v>
      </c>
      <c r="V558">
        <v>80.2</v>
      </c>
      <c r="W558">
        <f>(((U558/2) * (V558/2)) * PI())</f>
        <v>3774.2968476521637</v>
      </c>
      <c r="X558">
        <f>IF(ISNUMBER(T558), T558*W558, W558)</f>
        <v>3774.2968476521637</v>
      </c>
      <c r="Y558">
        <v>0.42</v>
      </c>
      <c r="Z558">
        <v>0.4</v>
      </c>
      <c r="AA558">
        <v>0.49</v>
      </c>
      <c r="AB558">
        <f>M558/K558</f>
        <v>108.68370585021866</v>
      </c>
      <c r="AC558" t="s">
        <v>543</v>
      </c>
    </row>
    <row r="559" spans="1:29" x14ac:dyDescent="0.25">
      <c r="A559">
        <v>10</v>
      </c>
      <c r="B559" t="s">
        <v>14</v>
      </c>
      <c r="D559" t="s">
        <v>337</v>
      </c>
      <c r="E559">
        <v>3</v>
      </c>
      <c r="F559" t="s">
        <v>15</v>
      </c>
      <c r="H559" t="s">
        <v>191</v>
      </c>
      <c r="I559" t="s">
        <v>135</v>
      </c>
      <c r="J559">
        <v>3.972</v>
      </c>
      <c r="K559">
        <v>1.8740000000000001</v>
      </c>
      <c r="L559" t="s">
        <v>135</v>
      </c>
      <c r="N559">
        <f>(J559-K559)/J559</f>
        <v>0.52819738167170194</v>
      </c>
      <c r="P559">
        <v>2842322</v>
      </c>
      <c r="Q559">
        <f>P559 / (300 * 300) * 6.4516</f>
        <v>203.7502735022222</v>
      </c>
      <c r="R559">
        <v>5</v>
      </c>
      <c r="S559" t="s">
        <v>195</v>
      </c>
      <c r="T559" t="s">
        <v>135</v>
      </c>
      <c r="U559" t="s">
        <v>135</v>
      </c>
      <c r="V559" t="s">
        <v>135</v>
      </c>
      <c r="W559">
        <f>Q559*100/R559</f>
        <v>4075.0054700444439</v>
      </c>
      <c r="X559">
        <f>W559</f>
        <v>4075.0054700444439</v>
      </c>
      <c r="Y559">
        <v>0.31</v>
      </c>
      <c r="Z559" t="s">
        <v>135</v>
      </c>
      <c r="AA559" t="s">
        <v>135</v>
      </c>
      <c r="AB559">
        <f>(Q559)/K559</f>
        <v>108.72479909403532</v>
      </c>
    </row>
    <row r="560" spans="1:29" x14ac:dyDescent="0.25">
      <c r="A560">
        <v>476</v>
      </c>
      <c r="B560" t="s">
        <v>1774</v>
      </c>
      <c r="D560" t="s">
        <v>1777</v>
      </c>
      <c r="E560">
        <v>3</v>
      </c>
      <c r="F560" t="s">
        <v>1771</v>
      </c>
      <c r="G560" s="2">
        <v>43297</v>
      </c>
      <c r="H560" t="s">
        <v>192</v>
      </c>
      <c r="I560">
        <v>11.55</v>
      </c>
      <c r="K560">
        <v>9.6000000000000002E-2</v>
      </c>
      <c r="L560">
        <v>10</v>
      </c>
      <c r="M560">
        <v>10.477407850000001</v>
      </c>
      <c r="Q560">
        <f>P560 / (300 * 300) * 6.4516</f>
        <v>0</v>
      </c>
      <c r="S560" t="s">
        <v>1073</v>
      </c>
      <c r="T560" t="s">
        <v>135</v>
      </c>
      <c r="AB560">
        <v>109.1396651</v>
      </c>
    </row>
    <row r="561" spans="1:29" x14ac:dyDescent="0.25">
      <c r="A561">
        <v>12</v>
      </c>
      <c r="B561" t="s">
        <v>1200</v>
      </c>
      <c r="C561" t="s">
        <v>17</v>
      </c>
      <c r="D561" t="s">
        <v>530</v>
      </c>
      <c r="E561">
        <v>1</v>
      </c>
      <c r="F561" t="s">
        <v>531</v>
      </c>
      <c r="H561" t="s">
        <v>191</v>
      </c>
      <c r="I561" t="s">
        <v>135</v>
      </c>
      <c r="J561">
        <v>10.981999999999999</v>
      </c>
      <c r="K561">
        <v>4.1379999999999999</v>
      </c>
      <c r="L561" t="s">
        <v>135</v>
      </c>
      <c r="N561">
        <f>(J561-K561)/J561</f>
        <v>0.62320160262247315</v>
      </c>
      <c r="O561" t="s">
        <v>42</v>
      </c>
      <c r="P561">
        <f>4309758 + 1990787</f>
        <v>6300545</v>
      </c>
      <c r="Q561">
        <f>P561 / (300 * 300) * 6.4516</f>
        <v>451.65106802222226</v>
      </c>
      <c r="R561">
        <v>5</v>
      </c>
      <c r="S561" t="s">
        <v>195</v>
      </c>
      <c r="T561" t="s">
        <v>135</v>
      </c>
      <c r="U561" t="s">
        <v>135</v>
      </c>
      <c r="V561" t="s">
        <v>135</v>
      </c>
      <c r="W561">
        <f>Q561/R561 *100</f>
        <v>9033.0213604444452</v>
      </c>
      <c r="X561">
        <f>W561</f>
        <v>9033.0213604444452</v>
      </c>
      <c r="Y561">
        <v>0.43</v>
      </c>
      <c r="Z561">
        <v>0.6</v>
      </c>
      <c r="AA561">
        <v>0.46</v>
      </c>
      <c r="AB561">
        <f>(Q561)/K561</f>
        <v>109.14718898555395</v>
      </c>
      <c r="AC561" t="s">
        <v>41</v>
      </c>
    </row>
    <row r="562" spans="1:29" x14ac:dyDescent="0.25">
      <c r="A562">
        <v>270</v>
      </c>
      <c r="B562" t="s">
        <v>733</v>
      </c>
      <c r="D562" t="s">
        <v>359</v>
      </c>
      <c r="E562">
        <v>4</v>
      </c>
      <c r="F562" t="s">
        <v>370</v>
      </c>
      <c r="G562" s="2">
        <v>42921</v>
      </c>
      <c r="H562" t="s">
        <v>192</v>
      </c>
      <c r="I562">
        <v>7.1</v>
      </c>
      <c r="K562">
        <v>3.5999999999999997E-2</v>
      </c>
      <c r="L562">
        <v>10</v>
      </c>
      <c r="M562">
        <f>PI()*((I562/2)^2)/100 * L562</f>
        <v>3.9591921416865365</v>
      </c>
      <c r="Q562">
        <f>P562 / (300 * 300) * 6.4516</f>
        <v>0</v>
      </c>
      <c r="S562" t="s">
        <v>195</v>
      </c>
      <c r="T562" t="s">
        <v>135</v>
      </c>
      <c r="U562">
        <v>59.68</v>
      </c>
      <c r="V562">
        <v>22.19</v>
      </c>
      <c r="W562">
        <f>(((U562/2) * (V562/2)) * PI())</f>
        <v>1040.1021594687102</v>
      </c>
      <c r="X562">
        <f>IF(ISNUMBER(T562), T562*W562, W562)</f>
        <v>1040.1021594687102</v>
      </c>
      <c r="Y562">
        <v>0.22</v>
      </c>
      <c r="Z562">
        <v>0.19</v>
      </c>
      <c r="AA562">
        <v>0.17</v>
      </c>
      <c r="AB562">
        <f>M562/K562</f>
        <v>109.97755949129269</v>
      </c>
    </row>
    <row r="563" spans="1:29" x14ac:dyDescent="0.25">
      <c r="A563">
        <v>361</v>
      </c>
      <c r="B563" t="s">
        <v>885</v>
      </c>
      <c r="D563" t="s">
        <v>812</v>
      </c>
      <c r="E563">
        <v>4</v>
      </c>
      <c r="F563" t="s">
        <v>813</v>
      </c>
      <c r="G563" s="2">
        <v>42934</v>
      </c>
      <c r="H563" t="s">
        <v>192</v>
      </c>
      <c r="I563">
        <v>7.1</v>
      </c>
      <c r="K563">
        <v>3.5999999999999997E-2</v>
      </c>
      <c r="L563">
        <v>10</v>
      </c>
      <c r="M563">
        <f>PI()*((I563/2)^2)/100 * L563</f>
        <v>3.9591921416865365</v>
      </c>
      <c r="Q563">
        <f>P563 / (300 * 300) * 6.4516</f>
        <v>0</v>
      </c>
      <c r="S563" t="s">
        <v>201</v>
      </c>
      <c r="T563">
        <v>16</v>
      </c>
      <c r="U563">
        <v>115.19</v>
      </c>
      <c r="V563">
        <v>30.03</v>
      </c>
      <c r="W563">
        <f>(((U563/2) * (V563/2)) * PI())</f>
        <v>2716.8145336858147</v>
      </c>
      <c r="X563">
        <f>IF(ISNUMBER(T563), T563*W563, W563)</f>
        <v>43469.032538973035</v>
      </c>
      <c r="Y563">
        <v>0.16</v>
      </c>
      <c r="Z563">
        <v>0.18</v>
      </c>
      <c r="AA563">
        <v>0.18</v>
      </c>
      <c r="AB563">
        <f>M563/K563</f>
        <v>109.97755949129269</v>
      </c>
      <c r="AC563" t="s">
        <v>886</v>
      </c>
    </row>
    <row r="564" spans="1:29" x14ac:dyDescent="0.25">
      <c r="A564">
        <v>449</v>
      </c>
      <c r="B564" t="s">
        <v>1065</v>
      </c>
      <c r="D564" t="s">
        <v>356</v>
      </c>
      <c r="E564">
        <v>5</v>
      </c>
      <c r="F564" t="s">
        <v>360</v>
      </c>
      <c r="G564" s="2">
        <v>42950</v>
      </c>
      <c r="H564" t="s">
        <v>192</v>
      </c>
      <c r="I564">
        <v>7.1</v>
      </c>
      <c r="K564">
        <v>3.5999999999999997E-2</v>
      </c>
      <c r="L564">
        <v>10</v>
      </c>
      <c r="M564">
        <f>PI()*((I564/2)^2)/100 * L564</f>
        <v>3.9591921416865365</v>
      </c>
      <c r="Q564">
        <f>P564 / (300 * 300) * 6.4516</f>
        <v>0</v>
      </c>
      <c r="S564" t="s">
        <v>201</v>
      </c>
      <c r="T564">
        <v>20</v>
      </c>
      <c r="U564">
        <v>60.78</v>
      </c>
      <c r="V564">
        <v>22.15</v>
      </c>
      <c r="W564">
        <f>(((U564/2) * (V564/2)) * PI())</f>
        <v>1057.3634832242265</v>
      </c>
      <c r="X564">
        <f>IF(ISNUMBER(T564), T564*W564, W564)</f>
        <v>21147.269664484527</v>
      </c>
      <c r="Y564">
        <v>0.26</v>
      </c>
      <c r="Z564">
        <v>0.28999999999999998</v>
      </c>
      <c r="AA564">
        <v>0.3</v>
      </c>
      <c r="AB564">
        <f>M564/K564</f>
        <v>109.97755949129269</v>
      </c>
    </row>
    <row r="565" spans="1:29" x14ac:dyDescent="0.25">
      <c r="A565">
        <v>162</v>
      </c>
      <c r="B565" t="s">
        <v>424</v>
      </c>
      <c r="D565" t="s">
        <v>359</v>
      </c>
      <c r="E565">
        <v>2</v>
      </c>
      <c r="F565" t="s">
        <v>370</v>
      </c>
      <c r="H565" t="s">
        <v>192</v>
      </c>
      <c r="I565">
        <v>9.6999999999999993</v>
      </c>
      <c r="K565">
        <v>9.4E-2</v>
      </c>
      <c r="L565">
        <v>14</v>
      </c>
      <c r="M565">
        <f>PI()*((I565/2)^2)/100 * L565</f>
        <v>10.345735847169225</v>
      </c>
      <c r="Q565">
        <f>P565 / (300 * 300) * 6.4516</f>
        <v>0</v>
      </c>
      <c r="R565" t="s">
        <v>135</v>
      </c>
      <c r="S565" t="s">
        <v>195</v>
      </c>
      <c r="T565" t="s">
        <v>135</v>
      </c>
      <c r="U565">
        <v>57.8</v>
      </c>
      <c r="V565">
        <v>23.06</v>
      </c>
      <c r="W565">
        <f>(((U565/2) * (V565/2)) * PI())</f>
        <v>1046.83207925123</v>
      </c>
      <c r="X565">
        <f>IF(ISNUMBER(T565), T565*W565, W565)</f>
        <v>1046.83207925123</v>
      </c>
      <c r="Y565">
        <v>0.23</v>
      </c>
      <c r="Z565">
        <v>0.23</v>
      </c>
      <c r="AA565">
        <v>0.23</v>
      </c>
      <c r="AB565">
        <f>M565/K565</f>
        <v>110.06101965073644</v>
      </c>
    </row>
    <row r="566" spans="1:29" x14ac:dyDescent="0.25">
      <c r="A566">
        <v>14</v>
      </c>
      <c r="B566" t="s">
        <v>20</v>
      </c>
      <c r="D566" t="s">
        <v>339</v>
      </c>
      <c r="E566">
        <v>1</v>
      </c>
      <c r="F566" t="s">
        <v>362</v>
      </c>
      <c r="H566" t="s">
        <v>191</v>
      </c>
      <c r="I566" t="s">
        <v>135</v>
      </c>
      <c r="J566">
        <v>4.532</v>
      </c>
      <c r="K566">
        <v>2.4889999999999999</v>
      </c>
      <c r="L566" t="s">
        <v>135</v>
      </c>
      <c r="N566">
        <f>(J566-K566)/J566</f>
        <v>0.45079435127978823</v>
      </c>
      <c r="O566" t="s">
        <v>45</v>
      </c>
      <c r="P566">
        <v>3833341</v>
      </c>
      <c r="Q566">
        <f>P566 / (300 * 300) * 6.4516</f>
        <v>274.79091995111111</v>
      </c>
      <c r="R566">
        <v>5</v>
      </c>
      <c r="S566" t="s">
        <v>195</v>
      </c>
      <c r="T566" t="s">
        <v>135</v>
      </c>
      <c r="U566" t="s">
        <v>135</v>
      </c>
      <c r="V566" t="s">
        <v>135</v>
      </c>
      <c r="W566">
        <f>Q566*100/R566</f>
        <v>5495.8183990222224</v>
      </c>
      <c r="X566">
        <f>W566</f>
        <v>5495.8183990222224</v>
      </c>
      <c r="Y566">
        <v>0.31</v>
      </c>
      <c r="Z566">
        <v>0.33</v>
      </c>
      <c r="AA566">
        <v>0.35</v>
      </c>
      <c r="AB566">
        <f>(Q566)/K566</f>
        <v>110.40213738493817</v>
      </c>
      <c r="AC566" t="s">
        <v>142</v>
      </c>
    </row>
    <row r="567" spans="1:29" x14ac:dyDescent="0.25">
      <c r="A567">
        <v>673</v>
      </c>
      <c r="B567" t="s">
        <v>1552</v>
      </c>
      <c r="C567" t="s">
        <v>827</v>
      </c>
      <c r="D567" t="s">
        <v>400</v>
      </c>
      <c r="F567" t="s">
        <v>541</v>
      </c>
      <c r="G567" s="2">
        <v>43657</v>
      </c>
      <c r="H567" t="s">
        <v>191</v>
      </c>
      <c r="Q567">
        <f>P567 / (300 * 300) * 6.4516</f>
        <v>0</v>
      </c>
      <c r="AB567">
        <v>110.52801030000001</v>
      </c>
      <c r="AC567" t="s">
        <v>1607</v>
      </c>
    </row>
    <row r="568" spans="1:29" x14ac:dyDescent="0.25">
      <c r="A568">
        <v>250</v>
      </c>
      <c r="B568" t="s">
        <v>607</v>
      </c>
      <c r="D568" t="s">
        <v>368</v>
      </c>
      <c r="E568">
        <v>4</v>
      </c>
      <c r="F568" t="s">
        <v>322</v>
      </c>
      <c r="H568" t="s">
        <v>192</v>
      </c>
      <c r="I568">
        <v>9.6999999999999993</v>
      </c>
      <c r="K568">
        <v>0.06</v>
      </c>
      <c r="L568">
        <v>9</v>
      </c>
      <c r="M568">
        <f>PI()*((I568/2)^2)/100 * L568</f>
        <v>6.6508301874659308</v>
      </c>
      <c r="Q568">
        <f>P568 / (300 * 300) * 6.4516</f>
        <v>0</v>
      </c>
      <c r="S568" t="s">
        <v>201</v>
      </c>
      <c r="T568">
        <v>7</v>
      </c>
      <c r="U568">
        <v>51.38</v>
      </c>
      <c r="V568">
        <v>16.440000000000001</v>
      </c>
      <c r="W568">
        <f>(((U568/2) * (V568/2)) * PI())</f>
        <v>663.41577552533317</v>
      </c>
      <c r="X568">
        <f>IF(ISNUMBER(T568), T568*W568, W568)</f>
        <v>4643.9104286773327</v>
      </c>
      <c r="Y568">
        <v>0.17</v>
      </c>
      <c r="Z568">
        <v>0.18</v>
      </c>
      <c r="AA568">
        <v>0.18</v>
      </c>
      <c r="AB568">
        <f>M568/K568</f>
        <v>110.84716979109885</v>
      </c>
    </row>
    <row r="569" spans="1:29" x14ac:dyDescent="0.25">
      <c r="A569">
        <v>781</v>
      </c>
      <c r="B569" t="s">
        <v>1749</v>
      </c>
      <c r="D569" t="s">
        <v>1764</v>
      </c>
      <c r="E569">
        <v>3</v>
      </c>
      <c r="F569" t="s">
        <v>1769</v>
      </c>
      <c r="G569" s="3">
        <v>43650</v>
      </c>
      <c r="H569" t="s">
        <v>191</v>
      </c>
      <c r="K569">
        <v>1.8680000000000001</v>
      </c>
      <c r="P569">
        <v>2895677</v>
      </c>
      <c r="Q569">
        <f>P569 / (300 * 300) * 6.4516</f>
        <v>207.57499703555558</v>
      </c>
      <c r="Y569">
        <v>0.31</v>
      </c>
      <c r="Z569">
        <v>0.3</v>
      </c>
      <c r="AA569">
        <v>0.33</v>
      </c>
      <c r="AB569">
        <f>Q569/K569</f>
        <v>111.12151875565074</v>
      </c>
    </row>
    <row r="570" spans="1:29" x14ac:dyDescent="0.25">
      <c r="A570">
        <v>45</v>
      </c>
      <c r="B570" t="s">
        <v>785</v>
      </c>
      <c r="C570" t="s">
        <v>80</v>
      </c>
      <c r="D570" t="s">
        <v>624</v>
      </c>
      <c r="E570">
        <v>2</v>
      </c>
      <c r="F570" t="s">
        <v>625</v>
      </c>
      <c r="H570" t="s">
        <v>191</v>
      </c>
      <c r="I570" t="s">
        <v>135</v>
      </c>
      <c r="J570">
        <v>3.7280000000000002</v>
      </c>
      <c r="K570">
        <v>1.675</v>
      </c>
      <c r="L570" t="s">
        <v>135</v>
      </c>
      <c r="N570">
        <f>(J570-K570)/J570</f>
        <v>0.55069742489270379</v>
      </c>
      <c r="O570" t="s">
        <v>162</v>
      </c>
      <c r="P570">
        <f>2603951</f>
        <v>2603951</v>
      </c>
      <c r="Q570">
        <f>P570 / (300 * 300) * 6.4516</f>
        <v>186.66278079555556</v>
      </c>
      <c r="R570">
        <v>1</v>
      </c>
      <c r="T570">
        <v>198</v>
      </c>
      <c r="U570" t="s">
        <v>135</v>
      </c>
      <c r="V570" t="s">
        <v>135</v>
      </c>
      <c r="W570">
        <f>Q570 * 100 /T570</f>
        <v>94.274131714927051</v>
      </c>
      <c r="X570">
        <f>Q570*100</f>
        <v>18666.278079555555</v>
      </c>
      <c r="Y570">
        <v>0.16</v>
      </c>
      <c r="Z570">
        <v>0.12</v>
      </c>
      <c r="AA570">
        <v>0.13</v>
      </c>
      <c r="AB570">
        <f>(Q570)/K570</f>
        <v>111.44046614660033</v>
      </c>
    </row>
    <row r="571" spans="1:29" x14ac:dyDescent="0.25">
      <c r="A571">
        <v>60</v>
      </c>
      <c r="B571" t="s">
        <v>644</v>
      </c>
      <c r="C571" t="s">
        <v>96</v>
      </c>
      <c r="D571" t="s">
        <v>382</v>
      </c>
      <c r="E571">
        <v>1</v>
      </c>
      <c r="F571" t="s">
        <v>246</v>
      </c>
      <c r="H571" t="s">
        <v>191</v>
      </c>
      <c r="I571" t="s">
        <v>135</v>
      </c>
      <c r="J571">
        <v>1.96</v>
      </c>
      <c r="K571">
        <v>0.72499999999999998</v>
      </c>
      <c r="L571" t="s">
        <v>135</v>
      </c>
      <c r="N571">
        <f>(J571-K571)/J571</f>
        <v>0.63010204081632648</v>
      </c>
      <c r="P571">
        <v>1129559</v>
      </c>
      <c r="Q571">
        <f>P571 / (300 * 300) * 6.4516</f>
        <v>80.971809382222233</v>
      </c>
      <c r="R571">
        <v>5</v>
      </c>
      <c r="T571" t="s">
        <v>135</v>
      </c>
      <c r="U571" t="s">
        <v>135</v>
      </c>
      <c r="V571" t="s">
        <v>135</v>
      </c>
      <c r="W571">
        <f>Q571*100/R571</f>
        <v>1619.4361876444448</v>
      </c>
      <c r="X571">
        <f>W571</f>
        <v>1619.4361876444448</v>
      </c>
      <c r="Y571">
        <v>0.22</v>
      </c>
      <c r="Z571">
        <v>0.23</v>
      </c>
      <c r="AA571">
        <v>0.17</v>
      </c>
      <c r="AB571">
        <f>(Q571)/K571</f>
        <v>111.68525432030653</v>
      </c>
    </row>
    <row r="572" spans="1:29" x14ac:dyDescent="0.25">
      <c r="A572">
        <v>374</v>
      </c>
      <c r="B572" t="s">
        <v>914</v>
      </c>
      <c r="D572" t="s">
        <v>909</v>
      </c>
      <c r="E572">
        <v>3</v>
      </c>
      <c r="F572" t="s">
        <v>910</v>
      </c>
      <c r="G572" s="2">
        <v>42936</v>
      </c>
      <c r="H572" t="s">
        <v>191</v>
      </c>
      <c r="I572" t="s">
        <v>135</v>
      </c>
      <c r="J572" t="s">
        <v>135</v>
      </c>
      <c r="K572">
        <f>1.649 - 1.441</f>
        <v>0.20799999999999996</v>
      </c>
      <c r="L572" t="s">
        <v>135</v>
      </c>
      <c r="M572" t="s">
        <v>135</v>
      </c>
      <c r="N572" t="s">
        <v>135</v>
      </c>
      <c r="O572" t="s">
        <v>915</v>
      </c>
      <c r="P572">
        <v>324472</v>
      </c>
      <c r="Q572">
        <f>P572 / (300 * 300) * 6.4516</f>
        <v>23.259595057777776</v>
      </c>
      <c r="R572" t="s">
        <v>135</v>
      </c>
      <c r="S572" t="s">
        <v>201</v>
      </c>
      <c r="T572">
        <f>94*21</f>
        <v>1974</v>
      </c>
      <c r="U572">
        <v>8.15</v>
      </c>
      <c r="V572">
        <v>1.52</v>
      </c>
      <c r="W572">
        <f>(((U572/2) * (V572/2)) * PI())</f>
        <v>9.7295124481675899</v>
      </c>
      <c r="X572">
        <f>IF(ISNUMBER(T572), T572*W572, W572)</f>
        <v>19206.057572682821</v>
      </c>
      <c r="Y572">
        <v>0.26</v>
      </c>
      <c r="Z572">
        <v>0.26</v>
      </c>
      <c r="AA572">
        <v>0.15</v>
      </c>
      <c r="AB572">
        <f>Q572/K572</f>
        <v>111.82497623931626</v>
      </c>
    </row>
    <row r="573" spans="1:29" x14ac:dyDescent="0.25">
      <c r="A573">
        <v>13</v>
      </c>
      <c r="B573" t="s">
        <v>18</v>
      </c>
      <c r="D573" t="s">
        <v>338</v>
      </c>
      <c r="E573">
        <v>1</v>
      </c>
      <c r="F573" t="s">
        <v>19</v>
      </c>
      <c r="H573" t="s">
        <v>191</v>
      </c>
      <c r="I573" t="s">
        <v>135</v>
      </c>
      <c r="J573">
        <v>3.2570000000000001</v>
      </c>
      <c r="K573">
        <v>1.254</v>
      </c>
      <c r="L573" t="s">
        <v>135</v>
      </c>
      <c r="N573">
        <f>(J573-K573)/J573</f>
        <v>0.61498311329444277</v>
      </c>
      <c r="O573" t="s">
        <v>53</v>
      </c>
      <c r="P573">
        <v>1957841</v>
      </c>
      <c r="Q573">
        <f>P573 / (300 * 300) * 6.4516</f>
        <v>140.34674439555556</v>
      </c>
      <c r="R573">
        <v>3</v>
      </c>
      <c r="S573" t="s">
        <v>201</v>
      </c>
      <c r="T573">
        <f>106+64+116</f>
        <v>286</v>
      </c>
      <c r="U573" t="s">
        <v>135</v>
      </c>
      <c r="V573" t="s">
        <v>135</v>
      </c>
      <c r="W573">
        <f>Q573*100/T573</f>
        <v>49.072288250194255</v>
      </c>
      <c r="X573">
        <f>Q573*100/R573</f>
        <v>4678.2248131851857</v>
      </c>
      <c r="Y573">
        <v>0.15</v>
      </c>
      <c r="Z573">
        <v>0.14000000000000001</v>
      </c>
      <c r="AA573">
        <v>0.22</v>
      </c>
      <c r="AB573">
        <f>(Q573)/K573</f>
        <v>111.9192539039518</v>
      </c>
    </row>
    <row r="574" spans="1:29" x14ac:dyDescent="0.25">
      <c r="A574">
        <v>421</v>
      </c>
      <c r="B574" t="s">
        <v>994</v>
      </c>
      <c r="D574" t="s">
        <v>865</v>
      </c>
      <c r="E574">
        <v>4</v>
      </c>
      <c r="F574" t="s">
        <v>866</v>
      </c>
      <c r="G574" s="2">
        <v>42940</v>
      </c>
      <c r="H574" t="s">
        <v>192</v>
      </c>
      <c r="I574">
        <v>9.6999999999999993</v>
      </c>
      <c r="K574">
        <v>6.6000000000000003E-2</v>
      </c>
      <c r="L574">
        <v>10</v>
      </c>
      <c r="M574">
        <f>PI()*((I574/2)^2)/100 * L574</f>
        <v>7.38981131940659</v>
      </c>
      <c r="Q574">
        <f>P574 / (300 * 300) * 6.4516</f>
        <v>0</v>
      </c>
      <c r="S574" t="s">
        <v>195</v>
      </c>
      <c r="T574" t="s">
        <v>135</v>
      </c>
      <c r="U574">
        <v>124.56</v>
      </c>
      <c r="V574">
        <v>70.959999999999994</v>
      </c>
      <c r="W574">
        <f>(((U574/2) * (V574/2)) * PI())</f>
        <v>6941.9596937185052</v>
      </c>
      <c r="X574">
        <f>IF(ISNUMBER(T574), T574*W574, W574)</f>
        <v>6941.9596937185052</v>
      </c>
      <c r="Y574">
        <v>0.28999999999999998</v>
      </c>
      <c r="Z574">
        <v>0.32</v>
      </c>
      <c r="AA574">
        <v>0.26</v>
      </c>
      <c r="AB574">
        <f>M574/K574</f>
        <v>111.96683817282711</v>
      </c>
    </row>
    <row r="575" spans="1:29" x14ac:dyDescent="0.25">
      <c r="A575">
        <v>427</v>
      </c>
      <c r="B575" t="s">
        <v>1000</v>
      </c>
      <c r="D575" t="s">
        <v>339</v>
      </c>
      <c r="E575">
        <v>3</v>
      </c>
      <c r="F575" t="s">
        <v>362</v>
      </c>
      <c r="G575" s="2">
        <v>42940</v>
      </c>
      <c r="H575" t="s">
        <v>192</v>
      </c>
      <c r="I575">
        <v>9.6999999999999993</v>
      </c>
      <c r="K575">
        <v>6.6000000000000003E-2</v>
      </c>
      <c r="L575">
        <v>10</v>
      </c>
      <c r="M575">
        <f>PI()*((I575/2)^2)/100 * L575</f>
        <v>7.38981131940659</v>
      </c>
      <c r="Q575">
        <f>P575 / (300 * 300) * 6.4516</f>
        <v>0</v>
      </c>
      <c r="S575" t="s">
        <v>195</v>
      </c>
      <c r="T575" t="s">
        <v>135</v>
      </c>
      <c r="U575">
        <v>128.16</v>
      </c>
      <c r="V575">
        <v>80.47</v>
      </c>
      <c r="W575">
        <f>(((U575/2) * (V575/2)) * PI())</f>
        <v>8099.838905133236</v>
      </c>
      <c r="X575">
        <f>IF(ISNUMBER(T575), T575*W575, W575)</f>
        <v>8099.838905133236</v>
      </c>
      <c r="Y575">
        <v>0.59</v>
      </c>
      <c r="Z575">
        <v>0.41</v>
      </c>
      <c r="AA575">
        <v>0.57999999999999996</v>
      </c>
      <c r="AB575">
        <f>M575/K575</f>
        <v>111.96683817282711</v>
      </c>
    </row>
    <row r="576" spans="1:29" x14ac:dyDescent="0.25">
      <c r="A576">
        <v>465</v>
      </c>
      <c r="B576" t="s">
        <v>1090</v>
      </c>
      <c r="D576" t="s">
        <v>575</v>
      </c>
      <c r="E576">
        <v>4</v>
      </c>
      <c r="F576" t="s">
        <v>576</v>
      </c>
      <c r="G576" s="2">
        <v>42952</v>
      </c>
      <c r="H576" t="s">
        <v>192</v>
      </c>
      <c r="I576">
        <v>9.6999999999999993</v>
      </c>
      <c r="K576">
        <v>6.6000000000000003E-2</v>
      </c>
      <c r="L576">
        <v>10</v>
      </c>
      <c r="M576">
        <f>PI()*((I576/2)^2)/100 * L576</f>
        <v>7.38981131940659</v>
      </c>
      <c r="Q576">
        <f>P576 / (300 * 300) * 6.4516</f>
        <v>0</v>
      </c>
      <c r="S576" t="s">
        <v>195</v>
      </c>
      <c r="T576" t="s">
        <v>135</v>
      </c>
      <c r="U576">
        <v>48.44</v>
      </c>
      <c r="V576">
        <v>25.35</v>
      </c>
      <c r="W576">
        <f>(((U576/2) * (V576/2)) * PI())</f>
        <v>964.43281633655022</v>
      </c>
      <c r="X576">
        <f>IF(ISNUMBER(T576), T576*W576, W576)</f>
        <v>964.43281633655022</v>
      </c>
      <c r="Y576">
        <v>0.2</v>
      </c>
      <c r="Z576">
        <v>0.2</v>
      </c>
      <c r="AA576">
        <v>0.19</v>
      </c>
      <c r="AB576">
        <f>M576/K576</f>
        <v>111.96683817282711</v>
      </c>
    </row>
    <row r="577" spans="1:29" x14ac:dyDescent="0.25">
      <c r="A577">
        <v>168</v>
      </c>
      <c r="B577" t="s">
        <v>442</v>
      </c>
      <c r="C577" t="s">
        <v>11</v>
      </c>
      <c r="D577" t="s">
        <v>334</v>
      </c>
      <c r="E577">
        <v>5</v>
      </c>
      <c r="F577" t="s">
        <v>365</v>
      </c>
      <c r="H577" t="s">
        <v>192</v>
      </c>
      <c r="I577">
        <v>9.6999999999999993</v>
      </c>
      <c r="K577">
        <v>7.1999999999999995E-2</v>
      </c>
      <c r="L577">
        <v>11</v>
      </c>
      <c r="M577">
        <f>PI()*((I577/2)^2)/100 * L577</f>
        <v>8.1287924513472483</v>
      </c>
      <c r="Q577">
        <f>P577 / (300 * 300) * 6.4516</f>
        <v>0</v>
      </c>
      <c r="S577" t="s">
        <v>195</v>
      </c>
      <c r="T577" t="s">
        <v>135</v>
      </c>
      <c r="U577">
        <f>33.58+153</f>
        <v>186.57999999999998</v>
      </c>
      <c r="V577">
        <v>67.27</v>
      </c>
      <c r="W577">
        <f>(((U577/2) * (V577/2)) * PI())</f>
        <v>9857.7181740068318</v>
      </c>
      <c r="X577">
        <f>IF(ISNUMBER(T577), T577*W577, W577)</f>
        <v>9857.7181740068318</v>
      </c>
      <c r="Y577">
        <v>0.52</v>
      </c>
      <c r="Z577">
        <v>0.48</v>
      </c>
      <c r="AA577">
        <v>0.51</v>
      </c>
      <c r="AB577">
        <f>M577/K577</f>
        <v>112.89989515760068</v>
      </c>
      <c r="AC577" t="s">
        <v>1103</v>
      </c>
    </row>
    <row r="578" spans="1:29" x14ac:dyDescent="0.25">
      <c r="A578">
        <v>795</v>
      </c>
      <c r="B578" t="s">
        <v>1741</v>
      </c>
      <c r="D578" t="s">
        <v>839</v>
      </c>
      <c r="E578">
        <v>3</v>
      </c>
      <c r="F578" t="s">
        <v>1765</v>
      </c>
      <c r="G578" s="3">
        <v>43662</v>
      </c>
      <c r="H578" t="s">
        <v>191</v>
      </c>
      <c r="K578">
        <v>2.331</v>
      </c>
      <c r="P578">
        <v>3673700</v>
      </c>
      <c r="Q578">
        <f>P578 / (300 * 300) * 6.4516</f>
        <v>263.34714355555553</v>
      </c>
      <c r="Y578">
        <v>0.14000000000000001</v>
      </c>
      <c r="Z578">
        <v>0.17</v>
      </c>
      <c r="AA578">
        <v>0.2</v>
      </c>
      <c r="AB578">
        <f>Q578/K578</f>
        <v>112.97603756137089</v>
      </c>
    </row>
    <row r="579" spans="1:29" x14ac:dyDescent="0.25">
      <c r="A579">
        <v>696</v>
      </c>
      <c r="B579" t="s">
        <v>1579</v>
      </c>
      <c r="C579" t="s">
        <v>114</v>
      </c>
      <c r="D579" t="s">
        <v>353</v>
      </c>
      <c r="F579" t="s">
        <v>354</v>
      </c>
      <c r="G579" s="2">
        <v>43636</v>
      </c>
      <c r="H579" t="s">
        <v>191</v>
      </c>
      <c r="Q579">
        <f>P579 / (300 * 300) * 6.4516</f>
        <v>0</v>
      </c>
      <c r="AB579">
        <v>113.0061486</v>
      </c>
      <c r="AC579" t="s">
        <v>1607</v>
      </c>
    </row>
    <row r="580" spans="1:29" x14ac:dyDescent="0.25">
      <c r="A580">
        <v>383</v>
      </c>
      <c r="B580" t="s">
        <v>931</v>
      </c>
      <c r="D580" t="s">
        <v>446</v>
      </c>
      <c r="E580">
        <v>4</v>
      </c>
      <c r="F580" t="s">
        <v>447</v>
      </c>
      <c r="G580" s="2">
        <v>42936</v>
      </c>
      <c r="H580" t="s">
        <v>192</v>
      </c>
      <c r="I580">
        <v>7.1</v>
      </c>
      <c r="K580">
        <v>3.5000000000000003E-2</v>
      </c>
      <c r="L580">
        <v>10</v>
      </c>
      <c r="M580">
        <f>PI()*((I580/2)^2)/100 * L580</f>
        <v>3.9591921416865365</v>
      </c>
      <c r="Q580">
        <f>P580 / (300 * 300) * 6.4516</f>
        <v>0</v>
      </c>
      <c r="S580" t="s">
        <v>195</v>
      </c>
      <c r="T580" t="s">
        <v>135</v>
      </c>
      <c r="U580">
        <v>126.01</v>
      </c>
      <c r="V580">
        <v>41.75</v>
      </c>
      <c r="W580">
        <f>(((U580/2) * (V580/2)) * PI())</f>
        <v>4131.9149422854953</v>
      </c>
      <c r="X580">
        <f>IF(ISNUMBER(T580), T580*W580, W580)</f>
        <v>4131.9149422854953</v>
      </c>
      <c r="Y580">
        <v>0.24</v>
      </c>
      <c r="Z580">
        <v>0.22</v>
      </c>
      <c r="AA580">
        <v>0.22</v>
      </c>
      <c r="AB580">
        <f>M580/K580</f>
        <v>113.11977547675818</v>
      </c>
    </row>
    <row r="581" spans="1:29" x14ac:dyDescent="0.25">
      <c r="A581">
        <v>796</v>
      </c>
      <c r="B581" t="s">
        <v>1779</v>
      </c>
      <c r="D581" t="s">
        <v>1714</v>
      </c>
      <c r="E581">
        <v>4</v>
      </c>
      <c r="F581" t="s">
        <v>1716</v>
      </c>
      <c r="G581" s="3">
        <v>43662</v>
      </c>
      <c r="H581" t="s">
        <v>191</v>
      </c>
      <c r="K581">
        <v>1.8260000000000001</v>
      </c>
      <c r="P581">
        <v>2881775</v>
      </c>
      <c r="Q581">
        <f>P581 / (300 * 300) * 6.4516</f>
        <v>206.57843988888888</v>
      </c>
      <c r="Y581">
        <v>0.33</v>
      </c>
      <c r="Z581">
        <v>0.3</v>
      </c>
      <c r="AA581">
        <v>0.33</v>
      </c>
      <c r="AB581">
        <f>Q581/K581</f>
        <v>113.13167573323597</v>
      </c>
    </row>
    <row r="582" spans="1:29" x14ac:dyDescent="0.25">
      <c r="A582">
        <v>54</v>
      </c>
      <c r="B582" t="s">
        <v>1215</v>
      </c>
      <c r="C582" t="s">
        <v>89</v>
      </c>
      <c r="D582" t="s">
        <v>382</v>
      </c>
      <c r="E582">
        <v>3</v>
      </c>
      <c r="F582" t="s">
        <v>246</v>
      </c>
      <c r="H582" t="s">
        <v>191</v>
      </c>
      <c r="I582" t="s">
        <v>135</v>
      </c>
      <c r="J582">
        <v>3.077</v>
      </c>
      <c r="K582">
        <v>1.04</v>
      </c>
      <c r="L582" t="s">
        <v>135</v>
      </c>
      <c r="N582">
        <f>(J582-K582)/J582</f>
        <v>0.66200844978875528</v>
      </c>
      <c r="O582" t="s">
        <v>173</v>
      </c>
      <c r="P582">
        <v>1647568</v>
      </c>
      <c r="Q582">
        <f>P582 / (300 * 300) * 6.4516</f>
        <v>118.10499676444444</v>
      </c>
      <c r="R582">
        <v>5</v>
      </c>
      <c r="S582" t="s">
        <v>195</v>
      </c>
      <c r="T582" t="s">
        <v>135</v>
      </c>
      <c r="U582" t="s">
        <v>135</v>
      </c>
      <c r="V582" t="s">
        <v>135</v>
      </c>
      <c r="W582">
        <f>Q582*100/5</f>
        <v>2362.0999352888889</v>
      </c>
      <c r="X582">
        <f>W582</f>
        <v>2362.0999352888889</v>
      </c>
      <c r="Y582">
        <v>0.25</v>
      </c>
      <c r="Z582">
        <v>0.24</v>
      </c>
      <c r="AA582">
        <v>0.26</v>
      </c>
      <c r="AB582">
        <f>(Q582)/K582</f>
        <v>113.56249688888887</v>
      </c>
      <c r="AC582" t="s">
        <v>731</v>
      </c>
    </row>
    <row r="583" spans="1:29" x14ac:dyDescent="0.25">
      <c r="A583">
        <v>422</v>
      </c>
      <c r="B583" t="s">
        <v>995</v>
      </c>
      <c r="D583" t="s">
        <v>339</v>
      </c>
      <c r="E583">
        <v>5</v>
      </c>
      <c r="F583" t="s">
        <v>362</v>
      </c>
      <c r="G583" s="2">
        <v>42940</v>
      </c>
      <c r="H583" t="s">
        <v>192</v>
      </c>
      <c r="I583">
        <v>9.6999999999999993</v>
      </c>
      <c r="K583">
        <v>6.5000000000000002E-2</v>
      </c>
      <c r="L583">
        <v>10</v>
      </c>
      <c r="M583">
        <f>PI()*((I583/2)^2)/100 * L583</f>
        <v>7.38981131940659</v>
      </c>
      <c r="Q583">
        <f>P583 / (300 * 300) * 6.4516</f>
        <v>0</v>
      </c>
      <c r="S583" t="s">
        <v>195</v>
      </c>
      <c r="T583" t="s">
        <v>135</v>
      </c>
      <c r="U583">
        <v>123.98</v>
      </c>
      <c r="V583">
        <v>61.43</v>
      </c>
      <c r="W583">
        <f>(((U583/2) * (V583/2)) * PI())</f>
        <v>5981.6641978271009</v>
      </c>
      <c r="X583">
        <f>IF(ISNUMBER(T583), T583*W583, W583)</f>
        <v>5981.6641978271009</v>
      </c>
      <c r="Y583">
        <v>0.63</v>
      </c>
      <c r="Z583">
        <v>0.3</v>
      </c>
      <c r="AA583">
        <v>0.28000000000000003</v>
      </c>
      <c r="AB583">
        <f>M583/K583</f>
        <v>113.68940491394753</v>
      </c>
    </row>
    <row r="584" spans="1:29" x14ac:dyDescent="0.25">
      <c r="A584">
        <v>424</v>
      </c>
      <c r="B584" t="s">
        <v>997</v>
      </c>
      <c r="D584" t="s">
        <v>530</v>
      </c>
      <c r="E584">
        <v>4</v>
      </c>
      <c r="F584" t="s">
        <v>531</v>
      </c>
      <c r="G584" s="2">
        <v>42940</v>
      </c>
      <c r="H584" t="s">
        <v>192</v>
      </c>
      <c r="I584">
        <v>9.6999999999999993</v>
      </c>
      <c r="K584">
        <v>6.5000000000000002E-2</v>
      </c>
      <c r="L584">
        <v>10</v>
      </c>
      <c r="M584">
        <f>PI()*((I584/2)^2)/100 * L584</f>
        <v>7.38981131940659</v>
      </c>
      <c r="Q584">
        <f>P584 / (300 * 300) * 6.4516</f>
        <v>0</v>
      </c>
      <c r="S584" t="s">
        <v>195</v>
      </c>
      <c r="T584" t="s">
        <v>135</v>
      </c>
      <c r="U584">
        <v>152.12</v>
      </c>
      <c r="V584">
        <v>103.01</v>
      </c>
      <c r="W584">
        <f>(((U584/2) * (V584/2)) * PI())</f>
        <v>12307.095915136204</v>
      </c>
      <c r="X584">
        <f>IF(ISNUMBER(T584), T584*W584, W584)</f>
        <v>12307.095915136204</v>
      </c>
      <c r="Y584">
        <v>0.5</v>
      </c>
      <c r="Z584">
        <v>0.5</v>
      </c>
      <c r="AA584">
        <v>0.5</v>
      </c>
      <c r="AB584">
        <f>M584/K584</f>
        <v>113.68940491394753</v>
      </c>
    </row>
    <row r="585" spans="1:29" x14ac:dyDescent="0.25">
      <c r="A585">
        <v>368</v>
      </c>
      <c r="B585" t="s">
        <v>892</v>
      </c>
      <c r="D585" t="s">
        <v>510</v>
      </c>
      <c r="E585">
        <v>4</v>
      </c>
      <c r="F585" t="s">
        <v>511</v>
      </c>
      <c r="G585" s="2">
        <v>42934</v>
      </c>
      <c r="H585" t="s">
        <v>192</v>
      </c>
      <c r="I585">
        <v>7.1</v>
      </c>
      <c r="K585">
        <v>5.1999999999999998E-2</v>
      </c>
      <c r="L585">
        <v>15</v>
      </c>
      <c r="M585">
        <f>PI()*((I585/2)^2)/100 * L585</f>
        <v>5.938788212529805</v>
      </c>
      <c r="Q585">
        <f>P585 / (300 * 300) * 6.4516</f>
        <v>0</v>
      </c>
      <c r="S585" t="s">
        <v>201</v>
      </c>
      <c r="T585">
        <v>420</v>
      </c>
      <c r="U585">
        <v>17.07</v>
      </c>
      <c r="V585">
        <v>11.89</v>
      </c>
      <c r="W585">
        <f>(((U585/2) * (V585/2)) * PI())</f>
        <v>159.40621765892192</v>
      </c>
      <c r="X585">
        <f>IF(ISNUMBER(T585), T585*W585, W585)</f>
        <v>66950.611416747211</v>
      </c>
      <c r="Y585">
        <v>0.18</v>
      </c>
      <c r="Z585">
        <v>0.15</v>
      </c>
      <c r="AA585">
        <v>0.15</v>
      </c>
      <c r="AB585">
        <f>M585/K585</f>
        <v>114.20746562557318</v>
      </c>
    </row>
    <row r="586" spans="1:29" x14ac:dyDescent="0.25">
      <c r="A586">
        <v>767</v>
      </c>
      <c r="B586" t="s">
        <v>1733</v>
      </c>
      <c r="D586" t="s">
        <v>1725</v>
      </c>
      <c r="E586">
        <v>3</v>
      </c>
      <c r="F586" t="s">
        <v>1738</v>
      </c>
      <c r="G586" s="3">
        <v>43662</v>
      </c>
      <c r="H586" t="s">
        <v>191</v>
      </c>
      <c r="K586">
        <v>1.6659999999999999</v>
      </c>
      <c r="P586">
        <v>2656617</v>
      </c>
      <c r="Q586">
        <f>P586 / (300 * 300) * 6.4516</f>
        <v>190.43811374666666</v>
      </c>
      <c r="Y586">
        <v>0.3</v>
      </c>
      <c r="Z586">
        <v>0.27</v>
      </c>
      <c r="AA586">
        <v>0.28999999999999998</v>
      </c>
      <c r="AB586">
        <f>Q586/K586</f>
        <v>114.30859168467387</v>
      </c>
    </row>
    <row r="587" spans="1:29" x14ac:dyDescent="0.25">
      <c r="A587">
        <v>764</v>
      </c>
      <c r="B587" t="s">
        <v>1730</v>
      </c>
      <c r="D587" t="s">
        <v>1725</v>
      </c>
      <c r="E587">
        <v>2</v>
      </c>
      <c r="F587" t="s">
        <v>1738</v>
      </c>
      <c r="G587" s="3">
        <v>43650</v>
      </c>
      <c r="H587" t="s">
        <v>191</v>
      </c>
      <c r="K587">
        <v>1.5680000000000001</v>
      </c>
      <c r="P587">
        <v>2506649</v>
      </c>
      <c r="Q587">
        <f>P587 / (300 * 300) * 6.4516</f>
        <v>179.68774098222224</v>
      </c>
      <c r="Y587">
        <v>0.13</v>
      </c>
      <c r="Z587">
        <v>0.19</v>
      </c>
      <c r="AA587">
        <v>0.14000000000000001</v>
      </c>
      <c r="AB587">
        <f>Q587/K587</f>
        <v>114.59677358560091</v>
      </c>
    </row>
    <row r="588" spans="1:29" x14ac:dyDescent="0.25">
      <c r="A588">
        <v>674</v>
      </c>
      <c r="B588" t="s">
        <v>1553</v>
      </c>
      <c r="C588" t="s">
        <v>872</v>
      </c>
      <c r="D588" t="s">
        <v>400</v>
      </c>
      <c r="F588" t="s">
        <v>541</v>
      </c>
      <c r="G588" s="2">
        <v>43657</v>
      </c>
      <c r="H588" t="s">
        <v>191</v>
      </c>
      <c r="Q588">
        <f>P588 / (300 * 300) * 6.4516</f>
        <v>0</v>
      </c>
      <c r="AB588">
        <v>114.6425162</v>
      </c>
      <c r="AC588" t="s">
        <v>1607</v>
      </c>
    </row>
    <row r="589" spans="1:29" x14ac:dyDescent="0.25">
      <c r="A589">
        <v>698</v>
      </c>
      <c r="B589" t="s">
        <v>1581</v>
      </c>
      <c r="C589" t="s">
        <v>72</v>
      </c>
      <c r="D589" t="s">
        <v>353</v>
      </c>
      <c r="F589" t="s">
        <v>354</v>
      </c>
      <c r="G589" s="2">
        <v>43636</v>
      </c>
      <c r="H589" t="s">
        <v>191</v>
      </c>
      <c r="Q589">
        <f>P589 / (300 * 300) * 6.4516</f>
        <v>0</v>
      </c>
      <c r="AB589">
        <v>115.05371940000001</v>
      </c>
      <c r="AC589" t="s">
        <v>1607</v>
      </c>
    </row>
    <row r="590" spans="1:29" x14ac:dyDescent="0.25">
      <c r="A590">
        <v>697</v>
      </c>
      <c r="B590" t="s">
        <v>1580</v>
      </c>
      <c r="C590" t="s">
        <v>71</v>
      </c>
      <c r="D590" t="s">
        <v>353</v>
      </c>
      <c r="F590" t="s">
        <v>354</v>
      </c>
      <c r="G590" s="2">
        <v>43636</v>
      </c>
      <c r="H590" t="s">
        <v>191</v>
      </c>
      <c r="Q590">
        <f>P590 / (300 * 300) * 6.4516</f>
        <v>0</v>
      </c>
      <c r="AB590">
        <v>115.2649686</v>
      </c>
      <c r="AC590" t="s">
        <v>1607</v>
      </c>
    </row>
    <row r="591" spans="1:29" x14ac:dyDescent="0.25">
      <c r="A591">
        <v>371</v>
      </c>
      <c r="B591" t="s">
        <v>895</v>
      </c>
      <c r="D591" t="s">
        <v>340</v>
      </c>
      <c r="E591">
        <v>5</v>
      </c>
      <c r="F591" t="s">
        <v>60</v>
      </c>
      <c r="G591" s="2">
        <v>42934</v>
      </c>
      <c r="H591" t="s">
        <v>191</v>
      </c>
      <c r="I591" t="s">
        <v>135</v>
      </c>
      <c r="J591" t="s">
        <v>135</v>
      </c>
      <c r="K591">
        <v>0.38900000000000001</v>
      </c>
      <c r="L591" t="s">
        <v>135</v>
      </c>
      <c r="M591" t="s">
        <v>135</v>
      </c>
      <c r="P591">
        <v>626461</v>
      </c>
      <c r="Q591">
        <f>P591 / (300 * 300) * 6.4516</f>
        <v>44.907508751111109</v>
      </c>
      <c r="R591" t="s">
        <v>135</v>
      </c>
      <c r="S591" t="s">
        <v>201</v>
      </c>
      <c r="T591">
        <v>800</v>
      </c>
      <c r="U591">
        <v>11.89</v>
      </c>
      <c r="V591">
        <v>5.33</v>
      </c>
      <c r="W591">
        <f>(((U591/2) * (V591/2)) * PI())</f>
        <v>49.773587587700874</v>
      </c>
      <c r="X591">
        <f>IF(ISNUMBER(T591), T591*W591, W591)</f>
        <v>39818.870070160701</v>
      </c>
      <c r="Y591">
        <v>0.17</v>
      </c>
      <c r="Z591">
        <v>0.14000000000000001</v>
      </c>
      <c r="AA591">
        <v>0.14000000000000001</v>
      </c>
      <c r="AB591">
        <f>Q591/K591</f>
        <v>115.4434672265067</v>
      </c>
    </row>
    <row r="592" spans="1:29" x14ac:dyDescent="0.25">
      <c r="A592">
        <v>423</v>
      </c>
      <c r="B592" t="s">
        <v>996</v>
      </c>
      <c r="D592" t="s">
        <v>809</v>
      </c>
      <c r="E592">
        <v>2</v>
      </c>
      <c r="F592" t="s">
        <v>810</v>
      </c>
      <c r="G592" s="2">
        <v>42940</v>
      </c>
      <c r="H592" t="s">
        <v>192</v>
      </c>
      <c r="I592">
        <v>9.6999999999999993</v>
      </c>
      <c r="K592">
        <v>6.4000000000000001E-2</v>
      </c>
      <c r="L592">
        <v>10</v>
      </c>
      <c r="M592">
        <f>PI()*((I592/2)^2)/100 * L592</f>
        <v>7.38981131940659</v>
      </c>
      <c r="Q592">
        <f>P592 / (300 * 300) * 6.4516</f>
        <v>0</v>
      </c>
      <c r="S592" t="s">
        <v>201</v>
      </c>
      <c r="T592">
        <v>12</v>
      </c>
      <c r="U592">
        <v>36.96</v>
      </c>
      <c r="V592">
        <v>20.86</v>
      </c>
      <c r="W592">
        <f>(((U592/2) * (V592/2)) * PI())</f>
        <v>605.53067424587971</v>
      </c>
      <c r="X592">
        <f>IF(ISNUMBER(T592), T592*W592, W592)</f>
        <v>7266.3680909505565</v>
      </c>
      <c r="Y592">
        <v>0.24</v>
      </c>
      <c r="Z592">
        <v>0.24</v>
      </c>
      <c r="AA592">
        <v>0.23</v>
      </c>
      <c r="AB592">
        <f>M592/K592</f>
        <v>115.46580186572797</v>
      </c>
    </row>
    <row r="593" spans="1:29" x14ac:dyDescent="0.25">
      <c r="A593">
        <v>471</v>
      </c>
      <c r="B593" t="s">
        <v>1082</v>
      </c>
      <c r="D593" t="s">
        <v>1083</v>
      </c>
      <c r="E593">
        <v>1</v>
      </c>
      <c r="F593" t="s">
        <v>1084</v>
      </c>
      <c r="G593" s="2">
        <v>42952</v>
      </c>
      <c r="H593" t="s">
        <v>192</v>
      </c>
      <c r="I593">
        <v>9.6999999999999993</v>
      </c>
      <c r="K593">
        <v>6.4000000000000001E-2</v>
      </c>
      <c r="L593">
        <v>10</v>
      </c>
      <c r="M593">
        <f>PI()*((I593/2)^2)/100 * L593</f>
        <v>7.38981131940659</v>
      </c>
      <c r="Q593">
        <f>P593 / (300 * 300) * 6.4516</f>
        <v>0</v>
      </c>
      <c r="S593" t="s">
        <v>195</v>
      </c>
      <c r="T593" t="s">
        <v>135</v>
      </c>
      <c r="U593">
        <f>154+54.25</f>
        <v>208.25</v>
      </c>
      <c r="V593">
        <v>106.94</v>
      </c>
      <c r="W593">
        <f>(((U593/2) * (V593/2)) * PI())</f>
        <v>17491.017375392839</v>
      </c>
      <c r="X593">
        <f>IF(ISNUMBER(T593), T593*W593, W593)</f>
        <v>17491.017375392839</v>
      </c>
      <c r="Y593">
        <v>0.37</v>
      </c>
      <c r="Z593">
        <v>0.41</v>
      </c>
      <c r="AA593">
        <v>0.34</v>
      </c>
      <c r="AB593">
        <f>M593/K593</f>
        <v>115.46580186572797</v>
      </c>
    </row>
    <row r="594" spans="1:29" x14ac:dyDescent="0.25">
      <c r="A594">
        <v>266</v>
      </c>
      <c r="B594" t="s">
        <v>726</v>
      </c>
      <c r="D594" t="s">
        <v>613</v>
      </c>
      <c r="E594">
        <v>3</v>
      </c>
      <c r="F594" t="s">
        <v>605</v>
      </c>
      <c r="G594" s="2">
        <v>42921</v>
      </c>
      <c r="H594" t="s">
        <v>192</v>
      </c>
      <c r="I594">
        <v>7.1</v>
      </c>
      <c r="K594">
        <v>3.4000000000000002E-2</v>
      </c>
      <c r="L594">
        <v>10</v>
      </c>
      <c r="M594">
        <f>PI()*((I594/2)^2)/100 * L594</f>
        <v>3.9591921416865365</v>
      </c>
      <c r="Q594">
        <f>P594 / (300 * 300) * 6.4516</f>
        <v>0</v>
      </c>
      <c r="S594" t="s">
        <v>195</v>
      </c>
      <c r="T594" t="s">
        <v>135</v>
      </c>
      <c r="U594">
        <v>103.21</v>
      </c>
      <c r="V594">
        <v>42.4</v>
      </c>
      <c r="W594">
        <f>(((U594/2) * (V594/2)) * PI())</f>
        <v>3436.9840444362267</v>
      </c>
      <c r="X594">
        <f>IF(ISNUMBER(T594), T594*W594, W594)</f>
        <v>3436.9840444362267</v>
      </c>
      <c r="Y594">
        <v>0.27</v>
      </c>
      <c r="Z594">
        <v>0.26</v>
      </c>
      <c r="AA594">
        <v>0.26</v>
      </c>
      <c r="AB594">
        <f>M594/K594</f>
        <v>116.44682769666284</v>
      </c>
    </row>
    <row r="595" spans="1:29" x14ac:dyDescent="0.25">
      <c r="A595">
        <v>381</v>
      </c>
      <c r="B595" t="s">
        <v>929</v>
      </c>
      <c r="D595" t="s">
        <v>521</v>
      </c>
      <c r="E595">
        <v>3</v>
      </c>
      <c r="F595" t="s">
        <v>769</v>
      </c>
      <c r="G595" s="2">
        <v>42936</v>
      </c>
      <c r="H595" t="s">
        <v>192</v>
      </c>
      <c r="I595">
        <v>7.1</v>
      </c>
      <c r="K595">
        <v>3.4000000000000002E-2</v>
      </c>
      <c r="L595">
        <v>10</v>
      </c>
      <c r="M595">
        <f>PI()*((I595/2)^2)/100 * L595</f>
        <v>3.9591921416865365</v>
      </c>
      <c r="Q595">
        <f>P595 / (300 * 300) * 6.4516</f>
        <v>0</v>
      </c>
      <c r="S595" t="s">
        <v>195</v>
      </c>
      <c r="T595" t="s">
        <v>135</v>
      </c>
      <c r="U595">
        <v>66.66</v>
      </c>
      <c r="V595">
        <v>14.14</v>
      </c>
      <c r="W595">
        <f>(((U595/2) * (V595/2)) * PI())</f>
        <v>740.29463182912502</v>
      </c>
      <c r="X595">
        <f>IF(ISNUMBER(T595), T595*W595, W595)</f>
        <v>740.29463182912502</v>
      </c>
      <c r="Y595">
        <v>0.28000000000000003</v>
      </c>
      <c r="Z595">
        <v>0.26</v>
      </c>
      <c r="AA595">
        <v>0.27</v>
      </c>
      <c r="AB595">
        <f>M595/K595</f>
        <v>116.44682769666284</v>
      </c>
    </row>
    <row r="596" spans="1:29" x14ac:dyDescent="0.25">
      <c r="A596">
        <v>190</v>
      </c>
      <c r="B596" t="s">
        <v>457</v>
      </c>
      <c r="D596" t="s">
        <v>416</v>
      </c>
      <c r="E596">
        <v>2</v>
      </c>
      <c r="F596" t="s">
        <v>417</v>
      </c>
      <c r="H596" t="s">
        <v>192</v>
      </c>
      <c r="I596">
        <v>9.6999999999999993</v>
      </c>
      <c r="K596">
        <v>9.5000000000000001E-2</v>
      </c>
      <c r="L596">
        <v>15</v>
      </c>
      <c r="M596">
        <f>PI()*((I596/2)^2)/100 * L596</f>
        <v>11.084716979109885</v>
      </c>
      <c r="Q596">
        <f>P596 / (300 * 300) * 6.4516</f>
        <v>0</v>
      </c>
      <c r="S596" t="s">
        <v>195</v>
      </c>
      <c r="T596" t="s">
        <v>135</v>
      </c>
      <c r="U596">
        <v>133.88999999999999</v>
      </c>
      <c r="V596">
        <v>44.92</v>
      </c>
      <c r="W596">
        <f>(((U596/2) * (V596/2)) * PI())</f>
        <v>4723.6506475700126</v>
      </c>
      <c r="X596">
        <f>IF(ISNUMBER(T596), T596*W596, W596)</f>
        <v>4723.6506475700126</v>
      </c>
      <c r="Y596">
        <v>0.34</v>
      </c>
      <c r="Z596">
        <v>0.23</v>
      </c>
      <c r="AA596">
        <v>0.2</v>
      </c>
      <c r="AB596">
        <f>M596/K596</f>
        <v>116.68123135905142</v>
      </c>
    </row>
    <row r="597" spans="1:29" x14ac:dyDescent="0.25">
      <c r="A597">
        <v>768</v>
      </c>
      <c r="B597" t="s">
        <v>1734</v>
      </c>
      <c r="D597" t="s">
        <v>1736</v>
      </c>
      <c r="E597">
        <v>3</v>
      </c>
      <c r="F597" t="s">
        <v>1739</v>
      </c>
      <c r="G597" s="3">
        <v>43662</v>
      </c>
      <c r="H597" t="s">
        <v>191</v>
      </c>
      <c r="K597">
        <v>2.0449999999999999</v>
      </c>
      <c r="P597">
        <v>3333700</v>
      </c>
      <c r="Q597">
        <f>P597 / (300 * 300) * 6.4516</f>
        <v>238.97443244444446</v>
      </c>
      <c r="Y597">
        <v>0.11</v>
      </c>
      <c r="Z597">
        <v>0.13</v>
      </c>
      <c r="AA597">
        <v>0.22</v>
      </c>
      <c r="AB597">
        <f>Q597/K597</f>
        <v>116.85791317576746</v>
      </c>
    </row>
    <row r="598" spans="1:29" x14ac:dyDescent="0.25">
      <c r="A598">
        <v>202</v>
      </c>
      <c r="B598" t="s">
        <v>501</v>
      </c>
      <c r="D598" t="s">
        <v>502</v>
      </c>
      <c r="E598">
        <v>1</v>
      </c>
      <c r="F598" t="s">
        <v>503</v>
      </c>
      <c r="H598" t="s">
        <v>192</v>
      </c>
      <c r="I598">
        <v>7.1</v>
      </c>
      <c r="K598">
        <v>4.3999999999999997E-2</v>
      </c>
      <c r="L598">
        <v>13</v>
      </c>
      <c r="M598">
        <f>PI()*((I598/2)^2)/100 * L598</f>
        <v>5.1469497841924978</v>
      </c>
      <c r="Q598">
        <f>P598 / (300 * 300) * 6.4516</f>
        <v>0</v>
      </c>
      <c r="S598" t="s">
        <v>195</v>
      </c>
      <c r="T598" t="s">
        <v>135</v>
      </c>
      <c r="U598">
        <v>78.52</v>
      </c>
      <c r="V598">
        <v>28.46</v>
      </c>
      <c r="W598">
        <f>(((U598/2) * (V598/2)) * PI())</f>
        <v>1755.1129394624791</v>
      </c>
      <c r="X598">
        <f>IF(ISNUMBER(T598), T598*W598, W598)</f>
        <v>1755.1129394624791</v>
      </c>
      <c r="Y598">
        <v>0.28999999999999998</v>
      </c>
      <c r="Z598">
        <v>0.26</v>
      </c>
      <c r="AA598">
        <v>0.28000000000000003</v>
      </c>
      <c r="AB598">
        <f>M598/K598</f>
        <v>116.97613145892041</v>
      </c>
    </row>
    <row r="599" spans="1:29" x14ac:dyDescent="0.25">
      <c r="A599">
        <v>485</v>
      </c>
      <c r="B599" t="s">
        <v>1309</v>
      </c>
      <c r="C599" t="s">
        <v>458</v>
      </c>
      <c r="D599" t="s">
        <v>416</v>
      </c>
      <c r="E599">
        <v>1</v>
      </c>
      <c r="F599" t="s">
        <v>1310</v>
      </c>
      <c r="G599" s="2">
        <v>43641</v>
      </c>
      <c r="H599" t="s">
        <v>191</v>
      </c>
      <c r="Q599">
        <f>P599 / (300 * 300) * 6.4516</f>
        <v>0</v>
      </c>
      <c r="AB599">
        <v>117.1723454</v>
      </c>
      <c r="AC599" t="s">
        <v>1607</v>
      </c>
    </row>
    <row r="600" spans="1:29" x14ac:dyDescent="0.25">
      <c r="A600">
        <v>236</v>
      </c>
      <c r="B600" t="s">
        <v>589</v>
      </c>
      <c r="D600" t="s">
        <v>389</v>
      </c>
      <c r="E600">
        <v>5</v>
      </c>
      <c r="F600" t="s">
        <v>290</v>
      </c>
      <c r="H600" t="s">
        <v>192</v>
      </c>
      <c r="I600">
        <v>9.6999999999999993</v>
      </c>
      <c r="K600">
        <v>6.3E-2</v>
      </c>
      <c r="L600">
        <v>10</v>
      </c>
      <c r="M600">
        <f>PI()*((I600/2)^2)/100 * L600</f>
        <v>7.38981131940659</v>
      </c>
      <c r="Q600">
        <f>P600 / (300 * 300) * 6.4516</f>
        <v>0</v>
      </c>
      <c r="S600" t="s">
        <v>201</v>
      </c>
      <c r="T600">
        <v>6</v>
      </c>
      <c r="U600">
        <v>56.9</v>
      </c>
      <c r="V600">
        <v>22.9</v>
      </c>
      <c r="W600">
        <f>(((U600/2) * (V600/2)) * PI())</f>
        <v>1023.381660888509</v>
      </c>
      <c r="X600">
        <f>IF(ISNUMBER(T600), T600*W600, W600)</f>
        <v>6140.2899653310542</v>
      </c>
      <c r="Y600">
        <v>0.14000000000000001</v>
      </c>
      <c r="Z600">
        <v>0.14000000000000001</v>
      </c>
      <c r="AA600">
        <v>0.13</v>
      </c>
      <c r="AB600">
        <f>M600/K600</f>
        <v>117.29859237153318</v>
      </c>
    </row>
    <row r="601" spans="1:29" x14ac:dyDescent="0.25">
      <c r="A601">
        <v>274</v>
      </c>
      <c r="B601" t="s">
        <v>738</v>
      </c>
      <c r="D601" t="s">
        <v>530</v>
      </c>
      <c r="E601">
        <v>3</v>
      </c>
      <c r="F601" t="s">
        <v>531</v>
      </c>
      <c r="G601" s="2">
        <v>42921</v>
      </c>
      <c r="H601" t="s">
        <v>192</v>
      </c>
      <c r="I601">
        <v>9.6999999999999993</v>
      </c>
      <c r="K601">
        <v>6.3E-2</v>
      </c>
      <c r="L601">
        <v>10</v>
      </c>
      <c r="M601">
        <f>PI()*((I601/2)^2)/100 * L601</f>
        <v>7.38981131940659</v>
      </c>
      <c r="Q601">
        <f>P601 / (300 * 300) * 6.4516</f>
        <v>0</v>
      </c>
      <c r="S601" t="s">
        <v>195</v>
      </c>
      <c r="T601" t="s">
        <v>135</v>
      </c>
      <c r="U601">
        <v>147.56</v>
      </c>
      <c r="V601">
        <v>91.37</v>
      </c>
      <c r="W601">
        <f>(((U601/2) * (V601/2)) * PI())</f>
        <v>10589.175662781043</v>
      </c>
      <c r="X601">
        <f>IF(ISNUMBER(T601), T601*W601, W601)</f>
        <v>10589.175662781043</v>
      </c>
      <c r="Y601">
        <v>0.43</v>
      </c>
      <c r="Z601">
        <v>0.34</v>
      </c>
      <c r="AA601">
        <v>0.42</v>
      </c>
      <c r="AB601">
        <f>M601/K601</f>
        <v>117.29859237153318</v>
      </c>
    </row>
    <row r="602" spans="1:29" x14ac:dyDescent="0.25">
      <c r="A602">
        <v>339</v>
      </c>
      <c r="B602" t="s">
        <v>851</v>
      </c>
      <c r="D602" t="s">
        <v>836</v>
      </c>
      <c r="E602">
        <v>1</v>
      </c>
      <c r="F602" t="s">
        <v>837</v>
      </c>
      <c r="G602" s="2">
        <v>42930</v>
      </c>
      <c r="H602" t="s">
        <v>192</v>
      </c>
      <c r="I602">
        <v>9.6999999999999993</v>
      </c>
      <c r="K602">
        <v>6.3E-2</v>
      </c>
      <c r="L602">
        <v>10</v>
      </c>
      <c r="M602">
        <f>PI()*((I602/2)^2)/100 * L602</f>
        <v>7.38981131940659</v>
      </c>
      <c r="Q602">
        <f>P602 / (300 * 300) * 6.4516</f>
        <v>0</v>
      </c>
      <c r="S602" t="s">
        <v>195</v>
      </c>
      <c r="T602" t="s">
        <v>135</v>
      </c>
      <c r="U602">
        <v>144.97</v>
      </c>
      <c r="V602">
        <v>52.8</v>
      </c>
      <c r="W602">
        <f>(((U602/2) * (V602/2)) * PI())</f>
        <v>6011.7642682800415</v>
      </c>
      <c r="X602">
        <f>IF(ISNUMBER(T602), T602*W602, W602)</f>
        <v>6011.7642682800415</v>
      </c>
      <c r="Y602">
        <v>0.25</v>
      </c>
      <c r="Z602">
        <v>0.26</v>
      </c>
      <c r="AA602">
        <v>0.25</v>
      </c>
      <c r="AB602">
        <f>M602/K602</f>
        <v>117.29859237153318</v>
      </c>
    </row>
    <row r="603" spans="1:29" x14ac:dyDescent="0.25">
      <c r="A603">
        <v>784</v>
      </c>
      <c r="B603" t="s">
        <v>1752</v>
      </c>
      <c r="D603" t="s">
        <v>1764</v>
      </c>
      <c r="E603">
        <v>1</v>
      </c>
      <c r="F603" t="s">
        <v>1769</v>
      </c>
      <c r="G603" s="3">
        <v>43650</v>
      </c>
      <c r="H603" t="s">
        <v>191</v>
      </c>
      <c r="K603">
        <v>1.87</v>
      </c>
      <c r="P603">
        <v>3065661</v>
      </c>
      <c r="Q603">
        <f>P603 / (300 * 300) * 6.4516</f>
        <v>219.76020563999998</v>
      </c>
      <c r="Y603">
        <v>0.27</v>
      </c>
      <c r="Z603">
        <v>0.31</v>
      </c>
      <c r="AA603">
        <v>0.28000000000000003</v>
      </c>
      <c r="AB603">
        <f>Q603/K603</f>
        <v>117.51882654545453</v>
      </c>
    </row>
    <row r="604" spans="1:29" x14ac:dyDescent="0.25">
      <c r="A604">
        <v>121</v>
      </c>
      <c r="B604" t="s">
        <v>1220</v>
      </c>
      <c r="C604" t="s">
        <v>271</v>
      </c>
      <c r="D604" t="s">
        <v>357</v>
      </c>
      <c r="E604">
        <v>4</v>
      </c>
      <c r="F604" t="s">
        <v>272</v>
      </c>
      <c r="H604" t="s">
        <v>192</v>
      </c>
      <c r="I604">
        <v>7.1</v>
      </c>
      <c r="J604" t="s">
        <v>135</v>
      </c>
      <c r="K604">
        <v>3.6999999999999998E-2</v>
      </c>
      <c r="L604">
        <v>11</v>
      </c>
      <c r="M604">
        <f>PI()*((I604/2)^2)/100 * L604</f>
        <v>4.3551113558551906</v>
      </c>
      <c r="N604" t="s">
        <v>135</v>
      </c>
      <c r="O604" t="s">
        <v>135</v>
      </c>
      <c r="Q604">
        <f>P604 / (300 * 300) * 6.4516</f>
        <v>0</v>
      </c>
      <c r="R604" t="s">
        <v>135</v>
      </c>
      <c r="S604" t="s">
        <v>195</v>
      </c>
      <c r="T604" t="s">
        <v>135</v>
      </c>
      <c r="U604">
        <v>135.05000000000001</v>
      </c>
      <c r="V604">
        <v>52</v>
      </c>
      <c r="W604">
        <f>(((U604/2) * (V604/2)) * PI())</f>
        <v>5515.5371422749204</v>
      </c>
      <c r="X604">
        <f>IF(ISNUMBER(T604), T604*W604, W604)</f>
        <v>5515.5371422749204</v>
      </c>
      <c r="Y604">
        <v>0.35</v>
      </c>
      <c r="Z604">
        <v>0.33</v>
      </c>
      <c r="AA604">
        <v>0.27</v>
      </c>
      <c r="AB604">
        <f>M604/K604</f>
        <v>117.70571232041057</v>
      </c>
      <c r="AC604" t="s">
        <v>273</v>
      </c>
    </row>
    <row r="605" spans="1:29" x14ac:dyDescent="0.25">
      <c r="A605">
        <v>372</v>
      </c>
      <c r="B605" t="s">
        <v>908</v>
      </c>
      <c r="D605" t="s">
        <v>909</v>
      </c>
      <c r="E605">
        <v>1</v>
      </c>
      <c r="F605" t="s">
        <v>910</v>
      </c>
      <c r="G605" s="2">
        <v>42936</v>
      </c>
      <c r="H605" t="s">
        <v>191</v>
      </c>
      <c r="I605" t="s">
        <v>135</v>
      </c>
      <c r="J605" t="s">
        <v>135</v>
      </c>
      <c r="K605">
        <v>0.186</v>
      </c>
      <c r="L605" t="s">
        <v>135</v>
      </c>
      <c r="M605" t="s">
        <v>135</v>
      </c>
      <c r="N605" t="s">
        <v>135</v>
      </c>
      <c r="O605" t="s">
        <v>911</v>
      </c>
      <c r="P605">
        <v>305528</v>
      </c>
      <c r="Q605">
        <f>P605 / (300 * 300) * 6.4516</f>
        <v>21.901604942222225</v>
      </c>
      <c r="R605" t="s">
        <v>135</v>
      </c>
      <c r="S605" t="s">
        <v>201</v>
      </c>
      <c r="T605">
        <f>20*(156/2)</f>
        <v>1560</v>
      </c>
      <c r="U605">
        <v>6.15</v>
      </c>
      <c r="V605">
        <v>1.34</v>
      </c>
      <c r="W605">
        <f>(((U605/2) * (V605/2)) * PI())</f>
        <v>6.4724662645583724</v>
      </c>
      <c r="X605">
        <f>IF(ISNUMBER(T605), T605*W605, W605)</f>
        <v>10097.04737271106</v>
      </c>
      <c r="Y605">
        <v>0.2</v>
      </c>
      <c r="Z605">
        <v>0.14000000000000001</v>
      </c>
      <c r="AA605">
        <v>0.14000000000000001</v>
      </c>
      <c r="AB605">
        <f>Q605/K605</f>
        <v>117.75056420549583</v>
      </c>
      <c r="AC605" t="s">
        <v>948</v>
      </c>
    </row>
    <row r="606" spans="1:29" x14ac:dyDescent="0.25">
      <c r="A606">
        <v>684</v>
      </c>
      <c r="B606" t="s">
        <v>1565</v>
      </c>
      <c r="C606" t="s">
        <v>110</v>
      </c>
      <c r="D606" t="s">
        <v>338</v>
      </c>
      <c r="F606" t="s">
        <v>19</v>
      </c>
      <c r="G606" s="2">
        <v>43616</v>
      </c>
      <c r="H606" t="s">
        <v>191</v>
      </c>
      <c r="Q606">
        <f>P606 / (300 * 300) * 6.4516</f>
        <v>0</v>
      </c>
      <c r="AB606">
        <v>118.1201222</v>
      </c>
      <c r="AC606" t="s">
        <v>1607</v>
      </c>
    </row>
    <row r="607" spans="1:29" x14ac:dyDescent="0.25">
      <c r="A607">
        <v>36</v>
      </c>
      <c r="B607" t="s">
        <v>72</v>
      </c>
      <c r="D607" t="s">
        <v>353</v>
      </c>
      <c r="E607">
        <v>4</v>
      </c>
      <c r="F607" t="s">
        <v>354</v>
      </c>
      <c r="H607" t="s">
        <v>191</v>
      </c>
      <c r="I607" t="s">
        <v>135</v>
      </c>
      <c r="J607">
        <v>1.23</v>
      </c>
      <c r="K607">
        <v>0.36199999999999999</v>
      </c>
      <c r="L607" t="s">
        <v>135</v>
      </c>
      <c r="N607">
        <f>(J607-K607)/J607</f>
        <v>0.7056910569105691</v>
      </c>
      <c r="P607">
        <v>599050</v>
      </c>
      <c r="Q607">
        <f>P607 / (300 * 300) * 6.4516</f>
        <v>42.942566444444445</v>
      </c>
      <c r="R607">
        <v>5</v>
      </c>
      <c r="S607" t="s">
        <v>195</v>
      </c>
      <c r="T607" t="s">
        <v>135</v>
      </c>
      <c r="U607" t="s">
        <v>135</v>
      </c>
      <c r="V607" t="s">
        <v>135</v>
      </c>
      <c r="W607">
        <f>Q607*100/R607</f>
        <v>858.85132888888893</v>
      </c>
      <c r="X607">
        <f>W607</f>
        <v>858.85132888888893</v>
      </c>
      <c r="Y607">
        <v>0.33</v>
      </c>
      <c r="Z607">
        <v>0.27</v>
      </c>
      <c r="AA607">
        <v>0.27</v>
      </c>
      <c r="AB607">
        <f>(Q607)/K607</f>
        <v>118.62587415592388</v>
      </c>
      <c r="AC607" t="s">
        <v>46</v>
      </c>
    </row>
    <row r="608" spans="1:29" x14ac:dyDescent="0.25">
      <c r="A608">
        <v>736</v>
      </c>
      <c r="B608" t="s">
        <v>1294</v>
      </c>
      <c r="D608" t="s">
        <v>1295</v>
      </c>
      <c r="E608">
        <v>1</v>
      </c>
      <c r="F608" t="s">
        <v>1296</v>
      </c>
      <c r="G608" s="3">
        <v>43640</v>
      </c>
      <c r="H608" t="s">
        <v>191</v>
      </c>
      <c r="K608">
        <v>2.7229999999999999</v>
      </c>
      <c r="P608">
        <v>4508255</v>
      </c>
      <c r="Q608">
        <f>P608 / (300 * 300) * 6.4516</f>
        <v>323.17175508888891</v>
      </c>
      <c r="S608" t="s">
        <v>1073</v>
      </c>
      <c r="Y608">
        <v>0.25</v>
      </c>
      <c r="Z608">
        <v>0.28999999999999998</v>
      </c>
      <c r="AA608">
        <v>0.28000000000000003</v>
      </c>
      <c r="AB608">
        <f>Q608/K608</f>
        <v>118.6822457175501</v>
      </c>
    </row>
    <row r="609" spans="1:29" x14ac:dyDescent="0.25">
      <c r="A609">
        <v>385</v>
      </c>
      <c r="B609" t="s">
        <v>933</v>
      </c>
      <c r="D609" t="s">
        <v>449</v>
      </c>
      <c r="E609">
        <v>4</v>
      </c>
      <c r="F609" t="s">
        <v>450</v>
      </c>
      <c r="G609" s="2">
        <v>42936</v>
      </c>
      <c r="H609" t="s">
        <v>192</v>
      </c>
      <c r="I609">
        <v>7.1</v>
      </c>
      <c r="K609">
        <v>0.04</v>
      </c>
      <c r="L609">
        <v>12</v>
      </c>
      <c r="M609">
        <f>PI()*((I609/2)^2)/100 * L609</f>
        <v>4.7510305700238442</v>
      </c>
      <c r="Q609">
        <f>P609 / (300 * 300) * 6.4516</f>
        <v>0</v>
      </c>
      <c r="S609" t="s">
        <v>195</v>
      </c>
      <c r="T609" t="s">
        <v>135</v>
      </c>
      <c r="U609">
        <f>27.8 + 154.21</f>
        <v>182.01000000000002</v>
      </c>
      <c r="V609">
        <v>76.44</v>
      </c>
      <c r="W609">
        <f>(((U609/2) * (V609/2)) * PI())</f>
        <v>10927.122439394474</v>
      </c>
      <c r="X609">
        <f>IF(ISNUMBER(T609), T609*W609, W609)</f>
        <v>10927.122439394474</v>
      </c>
      <c r="Y609">
        <v>0.28999999999999998</v>
      </c>
      <c r="Z609">
        <v>0.31</v>
      </c>
      <c r="AA609">
        <v>0.26</v>
      </c>
      <c r="AB609">
        <f>M609/K609</f>
        <v>118.7757642505961</v>
      </c>
    </row>
    <row r="610" spans="1:29" x14ac:dyDescent="0.25">
      <c r="A610">
        <v>330</v>
      </c>
      <c r="B610" t="s">
        <v>841</v>
      </c>
      <c r="D610" t="s">
        <v>836</v>
      </c>
      <c r="E610">
        <v>5</v>
      </c>
      <c r="F610" t="s">
        <v>837</v>
      </c>
      <c r="G610" s="2">
        <v>42930</v>
      </c>
      <c r="H610" t="s">
        <v>192</v>
      </c>
      <c r="I610">
        <v>9.6999999999999993</v>
      </c>
      <c r="K610">
        <v>6.2E-2</v>
      </c>
      <c r="L610">
        <v>10</v>
      </c>
      <c r="M610">
        <f>PI()*((I610/2)^2)/100 * L610</f>
        <v>7.38981131940659</v>
      </c>
      <c r="Q610">
        <f>P610 / (300 * 300) * 6.4516</f>
        <v>0</v>
      </c>
      <c r="S610" t="s">
        <v>195</v>
      </c>
      <c r="T610" t="s">
        <v>135</v>
      </c>
      <c r="U610">
        <v>119.18</v>
      </c>
      <c r="V610">
        <v>56.58</v>
      </c>
      <c r="W610">
        <f>(((U610/2) * (V610/2)) * PI())</f>
        <v>5296.1003511735926</v>
      </c>
      <c r="X610">
        <f>IF(ISNUMBER(T610), T610*W610, W610)</f>
        <v>5296.1003511735926</v>
      </c>
      <c r="Y610">
        <v>0.27</v>
      </c>
      <c r="Z610">
        <v>0.3</v>
      </c>
      <c r="AA610">
        <v>0.28000000000000003</v>
      </c>
      <c r="AB610">
        <f>M610/K610</f>
        <v>119.19050515171919</v>
      </c>
    </row>
    <row r="611" spans="1:29" x14ac:dyDescent="0.25">
      <c r="A611">
        <v>386</v>
      </c>
      <c r="B611" t="s">
        <v>934</v>
      </c>
      <c r="D611" t="s">
        <v>763</v>
      </c>
      <c r="E611">
        <v>5</v>
      </c>
      <c r="F611" t="s">
        <v>764</v>
      </c>
      <c r="G611" s="2">
        <v>42936</v>
      </c>
      <c r="H611" t="s">
        <v>192</v>
      </c>
      <c r="I611">
        <v>9.6999999999999993</v>
      </c>
      <c r="K611">
        <v>6.2E-2</v>
      </c>
      <c r="L611">
        <v>10</v>
      </c>
      <c r="M611">
        <f>PI()*((I611/2)^2)/100 * L611</f>
        <v>7.38981131940659</v>
      </c>
      <c r="Q611">
        <f>P611 / (300 * 300) * 6.4516</f>
        <v>0</v>
      </c>
      <c r="S611" t="s">
        <v>195</v>
      </c>
      <c r="T611" t="s">
        <v>135</v>
      </c>
      <c r="U611">
        <v>78.150000000000006</v>
      </c>
      <c r="V611">
        <v>48.11</v>
      </c>
      <c r="W611">
        <f>(((U611/2) * (V611/2)) * PI())</f>
        <v>2952.9372658481543</v>
      </c>
      <c r="X611">
        <f>IF(ISNUMBER(T611), T611*W611, W611)</f>
        <v>2952.9372658481543</v>
      </c>
      <c r="Y611">
        <v>0.39</v>
      </c>
      <c r="Z611">
        <v>0.33</v>
      </c>
      <c r="AA611">
        <v>0.4</v>
      </c>
      <c r="AB611">
        <f>M611/K611</f>
        <v>119.19050515171919</v>
      </c>
    </row>
    <row r="612" spans="1:29" x14ac:dyDescent="0.25">
      <c r="A612">
        <v>69</v>
      </c>
      <c r="B612" t="s">
        <v>105</v>
      </c>
      <c r="D612" t="s">
        <v>355</v>
      </c>
      <c r="E612">
        <v>1</v>
      </c>
      <c r="F612" t="s">
        <v>305</v>
      </c>
      <c r="H612" t="s">
        <v>191</v>
      </c>
      <c r="I612" t="s">
        <v>135</v>
      </c>
      <c r="J612">
        <v>0.435</v>
      </c>
      <c r="K612">
        <v>0.182</v>
      </c>
      <c r="L612" t="s">
        <v>135</v>
      </c>
      <c r="N612">
        <f>(J612-K612)/J612</f>
        <v>0.58160919540229883</v>
      </c>
      <c r="O612" t="s">
        <v>152</v>
      </c>
      <c r="P612">
        <v>303119</v>
      </c>
      <c r="Q612">
        <f>P612 / (300 * 300) * 6.4516</f>
        <v>21.728917115555554</v>
      </c>
      <c r="R612">
        <v>23</v>
      </c>
      <c r="S612" t="s">
        <v>195</v>
      </c>
      <c r="T612" t="s">
        <v>135</v>
      </c>
      <c r="U612" t="s">
        <v>135</v>
      </c>
      <c r="V612" t="s">
        <v>135</v>
      </c>
      <c r="W612">
        <f>Q612*100/R612</f>
        <v>94.473552676328495</v>
      </c>
      <c r="X612">
        <f>W612</f>
        <v>94.473552676328495</v>
      </c>
      <c r="Y612">
        <v>0.2</v>
      </c>
      <c r="Z612">
        <v>0.2</v>
      </c>
      <c r="AA612">
        <v>0.18</v>
      </c>
      <c r="AB612">
        <f>(Q612)/K612</f>
        <v>119.38965448107447</v>
      </c>
    </row>
    <row r="613" spans="1:29" x14ac:dyDescent="0.25">
      <c r="A613">
        <v>376</v>
      </c>
      <c r="B613" t="s">
        <v>918</v>
      </c>
      <c r="D613" t="s">
        <v>909</v>
      </c>
      <c r="E613">
        <v>5</v>
      </c>
      <c r="F613" t="s">
        <v>910</v>
      </c>
      <c r="G613" s="2">
        <v>42936</v>
      </c>
      <c r="H613" t="s">
        <v>191</v>
      </c>
      <c r="I613" t="s">
        <v>135</v>
      </c>
      <c r="J613" t="s">
        <v>135</v>
      </c>
      <c r="K613">
        <v>0.22800000000000001</v>
      </c>
      <c r="L613" t="s">
        <v>135</v>
      </c>
      <c r="M613" t="s">
        <v>135</v>
      </c>
      <c r="N613" t="s">
        <v>135</v>
      </c>
      <c r="O613" t="s">
        <v>919</v>
      </c>
      <c r="P613">
        <v>380010</v>
      </c>
      <c r="Q613">
        <f>P613 / (300 * 300) * 6.4516</f>
        <v>27.240805733333332</v>
      </c>
      <c r="R613" t="s">
        <v>135</v>
      </c>
      <c r="S613" t="s">
        <v>201</v>
      </c>
      <c r="T613">
        <f>31*56</f>
        <v>1736</v>
      </c>
      <c r="U613">
        <v>7.38</v>
      </c>
      <c r="V613">
        <v>1.74</v>
      </c>
      <c r="W613">
        <f>(((U613/2) * (V613/2)) * PI())</f>
        <v>10.085454895819314</v>
      </c>
      <c r="X613">
        <f>IF(ISNUMBER(T613), T613*W613, W613)</f>
        <v>17508.349699142331</v>
      </c>
      <c r="Y613">
        <v>0.16</v>
      </c>
      <c r="Z613">
        <v>0.19</v>
      </c>
      <c r="AA613">
        <v>0.17</v>
      </c>
      <c r="AB613">
        <f>Q613/K613</f>
        <v>119.47721812865495</v>
      </c>
    </row>
    <row r="614" spans="1:29" x14ac:dyDescent="0.25">
      <c r="A614">
        <v>760</v>
      </c>
      <c r="B614" t="s">
        <v>1726</v>
      </c>
      <c r="D614" t="s">
        <v>1723</v>
      </c>
      <c r="E614">
        <v>2</v>
      </c>
      <c r="F614" t="s">
        <v>1737</v>
      </c>
      <c r="G614" s="3">
        <v>43650</v>
      </c>
      <c r="H614" t="s">
        <v>191</v>
      </c>
      <c r="K614">
        <v>1.4390000000000001</v>
      </c>
      <c r="P614">
        <v>2400364</v>
      </c>
      <c r="Q614">
        <f>P614 / (300 * 300) * 6.4516</f>
        <v>172.06875980444443</v>
      </c>
      <c r="Y614">
        <v>0.21</v>
      </c>
      <c r="Z614">
        <v>0.21</v>
      </c>
      <c r="AA614">
        <v>0.19</v>
      </c>
      <c r="AB614">
        <f>Q614/K614</f>
        <v>119.57523266465908</v>
      </c>
    </row>
    <row r="615" spans="1:29" x14ac:dyDescent="0.25">
      <c r="A615">
        <v>349</v>
      </c>
      <c r="B615" t="s">
        <v>863</v>
      </c>
      <c r="D615" t="s">
        <v>812</v>
      </c>
      <c r="E615">
        <v>2</v>
      </c>
      <c r="F615" t="s">
        <v>813</v>
      </c>
      <c r="G615" s="2">
        <v>42931</v>
      </c>
      <c r="H615" t="s">
        <v>192</v>
      </c>
      <c r="I615">
        <v>7.1</v>
      </c>
      <c r="K615">
        <v>3.3000000000000002E-2</v>
      </c>
      <c r="L615">
        <v>10</v>
      </c>
      <c r="M615">
        <f>PI()*((I615/2)^2)/100 * L615</f>
        <v>3.9591921416865365</v>
      </c>
      <c r="Q615">
        <f>P615 / (300 * 300) * 6.4516</f>
        <v>0</v>
      </c>
      <c r="S615" t="s">
        <v>201</v>
      </c>
      <c r="T615">
        <v>9</v>
      </c>
      <c r="U615">
        <v>147.35</v>
      </c>
      <c r="V615">
        <v>55.54</v>
      </c>
      <c r="W615">
        <f>(((U615/2) * (V615/2)) * PI())</f>
        <v>6427.5564121771413</v>
      </c>
      <c r="X615">
        <f>IF(ISNUMBER(T615), T615*W615, W615)</f>
        <v>57848.007709594269</v>
      </c>
      <c r="Y615">
        <v>0.21</v>
      </c>
      <c r="Z615">
        <v>0.19</v>
      </c>
      <c r="AA615">
        <v>0.2</v>
      </c>
      <c r="AB615">
        <f>M615/K615</f>
        <v>119.97551944504656</v>
      </c>
      <c r="AC615">
        <v>2774</v>
      </c>
    </row>
    <row r="616" spans="1:29" x14ac:dyDescent="0.25">
      <c r="A616">
        <v>380</v>
      </c>
      <c r="B616" t="s">
        <v>928</v>
      </c>
      <c r="D616" t="s">
        <v>521</v>
      </c>
      <c r="E616">
        <v>2</v>
      </c>
      <c r="F616" t="s">
        <v>769</v>
      </c>
      <c r="G616" s="2">
        <v>42936</v>
      </c>
      <c r="H616" t="s">
        <v>192</v>
      </c>
      <c r="I616">
        <v>7.1</v>
      </c>
      <c r="K616">
        <v>3.3000000000000002E-2</v>
      </c>
      <c r="L616">
        <v>10</v>
      </c>
      <c r="M616">
        <f>PI()*((I616/2)^2)/100 * L616</f>
        <v>3.9591921416865365</v>
      </c>
      <c r="Q616">
        <f>P616 / (300 * 300) * 6.4516</f>
        <v>0</v>
      </c>
      <c r="S616" t="s">
        <v>195</v>
      </c>
      <c r="T616" t="s">
        <v>135</v>
      </c>
      <c r="U616">
        <v>80.23</v>
      </c>
      <c r="V616">
        <v>20.420000000000002</v>
      </c>
      <c r="W616">
        <f>(((U616/2) * (V616/2)) * PI())</f>
        <v>1286.7151407402841</v>
      </c>
      <c r="X616">
        <f>IF(ISNUMBER(T616), T616*W616, W616)</f>
        <v>1286.7151407402841</v>
      </c>
      <c r="Y616">
        <v>0.3</v>
      </c>
      <c r="Z616">
        <v>0.28999999999999998</v>
      </c>
      <c r="AA616">
        <v>0.28999999999999998</v>
      </c>
      <c r="AB616">
        <f>M616/K616</f>
        <v>119.97551944504656</v>
      </c>
    </row>
    <row r="617" spans="1:29" x14ac:dyDescent="0.25">
      <c r="A617">
        <v>405</v>
      </c>
      <c r="B617" t="s">
        <v>960</v>
      </c>
      <c r="D617" t="s">
        <v>449</v>
      </c>
      <c r="E617">
        <v>6</v>
      </c>
      <c r="F617" t="s">
        <v>450</v>
      </c>
      <c r="G617" s="2">
        <v>42940</v>
      </c>
      <c r="H617" t="s">
        <v>192</v>
      </c>
      <c r="I617">
        <v>7.1</v>
      </c>
      <c r="K617">
        <v>3.3000000000000002E-2</v>
      </c>
      <c r="L617">
        <v>10</v>
      </c>
      <c r="M617">
        <f>PI()*((I617/2)^2)/100 * L617</f>
        <v>3.9591921416865365</v>
      </c>
      <c r="Q617">
        <f>P617 / (300 * 300) * 6.4516</f>
        <v>0</v>
      </c>
      <c r="S617" t="s">
        <v>195</v>
      </c>
      <c r="T617" t="s">
        <v>135</v>
      </c>
      <c r="U617">
        <v>155.87</v>
      </c>
      <c r="V617">
        <v>88.31</v>
      </c>
      <c r="W617">
        <f>(((U617/2) * (V617/2)) * PI())</f>
        <v>10810.91123576682</v>
      </c>
      <c r="X617">
        <f>IF(ISNUMBER(T617), T617*W617, W617)</f>
        <v>10810.91123576682</v>
      </c>
      <c r="Y617">
        <v>0.21</v>
      </c>
      <c r="Z617">
        <v>0.24</v>
      </c>
      <c r="AA617">
        <v>0.25</v>
      </c>
      <c r="AB617">
        <f>M617/K617</f>
        <v>119.97551944504656</v>
      </c>
    </row>
    <row r="618" spans="1:29" x14ac:dyDescent="0.25">
      <c r="A618">
        <v>433</v>
      </c>
      <c r="B618" t="s">
        <v>1009</v>
      </c>
      <c r="D618" t="s">
        <v>812</v>
      </c>
      <c r="E618">
        <v>5</v>
      </c>
      <c r="F618" t="s">
        <v>813</v>
      </c>
      <c r="G618" s="2">
        <v>42940</v>
      </c>
      <c r="H618" t="s">
        <v>192</v>
      </c>
      <c r="I618">
        <v>7.1</v>
      </c>
      <c r="K618">
        <v>3.3000000000000002E-2</v>
      </c>
      <c r="L618">
        <v>10</v>
      </c>
      <c r="M618">
        <f>PI()*((I618/2)^2)/100 * L618</f>
        <v>3.9591921416865365</v>
      </c>
      <c r="Q618">
        <f>P618 / (300 * 300) * 6.4516</f>
        <v>0</v>
      </c>
      <c r="S618" t="s">
        <v>201</v>
      </c>
      <c r="T618">
        <v>12</v>
      </c>
      <c r="U618">
        <v>107.73</v>
      </c>
      <c r="V618">
        <v>45.04</v>
      </c>
      <c r="W618">
        <f>(((U618/2) * (V618/2)) * PI())</f>
        <v>3810.8769241920318</v>
      </c>
      <c r="X618">
        <f>IF(ISNUMBER(T618), T618*W618, W618)</f>
        <v>45730.523090304385</v>
      </c>
      <c r="Y618">
        <v>0.28000000000000003</v>
      </c>
      <c r="Z618">
        <v>0.18</v>
      </c>
      <c r="AA618">
        <v>0.22</v>
      </c>
      <c r="AB618">
        <f>M618/K618</f>
        <v>119.97551944504656</v>
      </c>
    </row>
    <row r="619" spans="1:29" x14ac:dyDescent="0.25">
      <c r="A619">
        <v>770</v>
      </c>
      <c r="B619" t="s">
        <v>540</v>
      </c>
      <c r="D619" t="s">
        <v>1759</v>
      </c>
      <c r="E619">
        <v>1</v>
      </c>
      <c r="F619" t="s">
        <v>539</v>
      </c>
      <c r="G619" s="3">
        <v>43650</v>
      </c>
      <c r="H619" t="s">
        <v>191</v>
      </c>
      <c r="K619">
        <v>1.871</v>
      </c>
      <c r="P619">
        <v>3137677</v>
      </c>
      <c r="Q619">
        <f>P619 / (300 * 300) * 6.4516</f>
        <v>224.9226325911111</v>
      </c>
      <c r="Y619">
        <v>0.19</v>
      </c>
      <c r="Z619">
        <v>0.23</v>
      </c>
      <c r="AA619">
        <v>0.21</v>
      </c>
      <c r="AB619">
        <f>Q619/K619</f>
        <v>120.21519646772373</v>
      </c>
    </row>
    <row r="620" spans="1:29" x14ac:dyDescent="0.25">
      <c r="A620">
        <v>550</v>
      </c>
      <c r="B620" t="s">
        <v>1391</v>
      </c>
      <c r="C620" t="s">
        <v>501</v>
      </c>
      <c r="D620" t="s">
        <v>502</v>
      </c>
      <c r="E620">
        <v>1</v>
      </c>
      <c r="F620" t="s">
        <v>1392</v>
      </c>
      <c r="G620" s="2">
        <v>43613</v>
      </c>
      <c r="H620" t="s">
        <v>191</v>
      </c>
      <c r="Q620">
        <f>P620 / (300 * 300) * 6.4516</f>
        <v>0</v>
      </c>
      <c r="AB620">
        <v>121.1072432</v>
      </c>
      <c r="AC620" t="s">
        <v>1607</v>
      </c>
    </row>
    <row r="621" spans="1:29" x14ac:dyDescent="0.25">
      <c r="A621">
        <v>419</v>
      </c>
      <c r="B621" t="s">
        <v>992</v>
      </c>
      <c r="D621" t="s">
        <v>339</v>
      </c>
      <c r="E621">
        <v>4</v>
      </c>
      <c r="F621" t="s">
        <v>362</v>
      </c>
      <c r="G621" s="2">
        <v>42940</v>
      </c>
      <c r="H621" t="s">
        <v>192</v>
      </c>
      <c r="I621">
        <v>9.6999999999999993</v>
      </c>
      <c r="K621">
        <v>6.0999999999999999E-2</v>
      </c>
      <c r="L621">
        <v>10</v>
      </c>
      <c r="M621">
        <f>PI()*((I621/2)^2)/100 * L621</f>
        <v>7.38981131940659</v>
      </c>
      <c r="Q621">
        <f>P621 / (300 * 300) * 6.4516</f>
        <v>0</v>
      </c>
      <c r="S621" t="s">
        <v>195</v>
      </c>
      <c r="T621" t="s">
        <v>135</v>
      </c>
      <c r="U621">
        <v>111.5</v>
      </c>
      <c r="V621">
        <v>87.47</v>
      </c>
      <c r="W621">
        <f>(((U621/2) * (V621/2)) * PI())</f>
        <v>7659.913674789791</v>
      </c>
      <c r="X621">
        <f>IF(ISNUMBER(T621), T621*W621, W621)</f>
        <v>7659.913674789791</v>
      </c>
      <c r="Y621">
        <v>0.51</v>
      </c>
      <c r="Z621">
        <v>0.51</v>
      </c>
      <c r="AA621">
        <v>0.53</v>
      </c>
      <c r="AB621">
        <f>M621/K621</f>
        <v>121.14444785912443</v>
      </c>
    </row>
    <row r="622" spans="1:29" x14ac:dyDescent="0.25">
      <c r="A622">
        <v>758</v>
      </c>
      <c r="B622" t="s">
        <v>1722</v>
      </c>
      <c r="D622" t="s">
        <v>1723</v>
      </c>
      <c r="E622">
        <v>1</v>
      </c>
      <c r="F622" t="s">
        <v>1737</v>
      </c>
      <c r="G622" s="3">
        <v>43650</v>
      </c>
      <c r="H622" t="s">
        <v>191</v>
      </c>
      <c r="K622">
        <v>1.266</v>
      </c>
      <c r="P622">
        <v>2142631</v>
      </c>
      <c r="Q622">
        <f>P622 / (300 * 300) * 6.4516</f>
        <v>153.59331288444446</v>
      </c>
      <c r="AB622">
        <f>Q622/K622</f>
        <v>121.32173213621205</v>
      </c>
    </row>
    <row r="623" spans="1:29" x14ac:dyDescent="0.25">
      <c r="A623">
        <v>40</v>
      </c>
      <c r="B623" t="s">
        <v>791</v>
      </c>
      <c r="C623" t="s">
        <v>75</v>
      </c>
      <c r="D623" t="s">
        <v>624</v>
      </c>
      <c r="E623">
        <v>1</v>
      </c>
      <c r="F623" t="s">
        <v>625</v>
      </c>
      <c r="H623" t="s">
        <v>191</v>
      </c>
      <c r="I623" t="s">
        <v>135</v>
      </c>
      <c r="J623">
        <v>5.0389999999999997</v>
      </c>
      <c r="K623">
        <v>2.093</v>
      </c>
      <c r="L623" t="s">
        <v>135</v>
      </c>
      <c r="N623">
        <f>(J623-K623)/J623</f>
        <v>0.58463980948600913</v>
      </c>
      <c r="O623" t="s">
        <v>164</v>
      </c>
      <c r="P623">
        <f>3552513</f>
        <v>3552513</v>
      </c>
      <c r="Q623">
        <f>P623 / (300 * 300) * 6.4516</f>
        <v>254.65992078666667</v>
      </c>
      <c r="R623">
        <v>2</v>
      </c>
      <c r="S623" t="s">
        <v>201</v>
      </c>
      <c r="T623">
        <v>234</v>
      </c>
      <c r="U623" t="s">
        <v>135</v>
      </c>
      <c r="V623" t="s">
        <v>135</v>
      </c>
      <c r="W623">
        <f>Q623 * 100 / T623</f>
        <v>108.82902597720798</v>
      </c>
      <c r="X623">
        <f>Q623*100/R623</f>
        <v>12732.996039333333</v>
      </c>
      <c r="Y623">
        <v>0.2</v>
      </c>
      <c r="Z623">
        <v>0.16</v>
      </c>
      <c r="AA623">
        <v>0.16</v>
      </c>
      <c r="AB623">
        <f>(Q623)/K623</f>
        <v>121.6722029558847</v>
      </c>
    </row>
    <row r="624" spans="1:29" x14ac:dyDescent="0.25">
      <c r="A624">
        <v>377</v>
      </c>
      <c r="B624" t="s">
        <v>920</v>
      </c>
      <c r="D624" t="s">
        <v>921</v>
      </c>
      <c r="E624">
        <v>1</v>
      </c>
      <c r="F624" t="s">
        <v>922</v>
      </c>
      <c r="G624" s="2">
        <v>42936</v>
      </c>
      <c r="H624" t="s">
        <v>191</v>
      </c>
      <c r="I624" t="s">
        <v>135</v>
      </c>
      <c r="J624" t="s">
        <v>135</v>
      </c>
      <c r="K624">
        <v>0.249</v>
      </c>
      <c r="L624" t="s">
        <v>135</v>
      </c>
      <c r="M624" t="s">
        <v>135</v>
      </c>
      <c r="N624" t="s">
        <v>135</v>
      </c>
      <c r="O624" t="s">
        <v>923</v>
      </c>
      <c r="P624">
        <v>423197</v>
      </c>
      <c r="Q624">
        <f>P624 / (300 * 300) * 6.4516</f>
        <v>30.336641835555557</v>
      </c>
      <c r="R624" t="s">
        <v>135</v>
      </c>
      <c r="S624" t="s">
        <v>201</v>
      </c>
      <c r="T624">
        <v>127</v>
      </c>
      <c r="U624">
        <v>14.53</v>
      </c>
      <c r="V624">
        <v>8.33</v>
      </c>
      <c r="W624">
        <f>(((U624/2) * (V624/2)) * PI())</f>
        <v>95.06058816699381</v>
      </c>
      <c r="X624">
        <f>IF(ISNUMBER(T624), T624*W624, W624)</f>
        <v>12072.694697208213</v>
      </c>
      <c r="Y624">
        <v>0.16</v>
      </c>
      <c r="Z624">
        <v>0.16</v>
      </c>
      <c r="AA624">
        <v>0.17</v>
      </c>
      <c r="AB624">
        <f>Q624/K624</f>
        <v>121.83390295403838</v>
      </c>
    </row>
    <row r="625" spans="1:29" x14ac:dyDescent="0.25">
      <c r="A625">
        <v>735</v>
      </c>
      <c r="B625" t="s">
        <v>1291</v>
      </c>
      <c r="D625" t="s">
        <v>1292</v>
      </c>
      <c r="E625">
        <v>1</v>
      </c>
      <c r="F625" t="s">
        <v>1293</v>
      </c>
      <c r="G625" s="3">
        <v>43634</v>
      </c>
      <c r="H625" t="s">
        <v>191</v>
      </c>
      <c r="K625">
        <v>0.88100000000000001</v>
      </c>
      <c r="P625">
        <v>1509089</v>
      </c>
      <c r="Q625">
        <f>P625 / (300 * 300) * 6.4516</f>
        <v>108.17820658222223</v>
      </c>
      <c r="S625" t="s">
        <v>1721</v>
      </c>
      <c r="T625">
        <v>3</v>
      </c>
      <c r="AB625">
        <f>Q625/K625</f>
        <v>122.79024583680162</v>
      </c>
    </row>
    <row r="626" spans="1:29" x14ac:dyDescent="0.25">
      <c r="A626">
        <v>358</v>
      </c>
      <c r="B626" t="s">
        <v>876</v>
      </c>
      <c r="D626" t="s">
        <v>426</v>
      </c>
      <c r="E626">
        <v>2</v>
      </c>
      <c r="F626" t="s">
        <v>427</v>
      </c>
      <c r="G626" s="2">
        <v>42931</v>
      </c>
      <c r="H626" t="s">
        <v>192</v>
      </c>
      <c r="I626">
        <v>7.1</v>
      </c>
      <c r="K626">
        <v>2.9000000000000001E-2</v>
      </c>
      <c r="L626">
        <v>9</v>
      </c>
      <c r="M626">
        <f>PI()*((I626/2)^2)/100 * L626</f>
        <v>3.5632729275178829</v>
      </c>
      <c r="Q626">
        <f>P626 / (300 * 300) * 6.4516</f>
        <v>0</v>
      </c>
      <c r="S626" t="s">
        <v>201</v>
      </c>
      <c r="T626">
        <v>5</v>
      </c>
      <c r="U626">
        <v>86.46</v>
      </c>
      <c r="V626">
        <v>27.34</v>
      </c>
      <c r="W626">
        <f>(((U626/2) * (V626/2)) * PI())</f>
        <v>1856.5370591687677</v>
      </c>
      <c r="X626">
        <f>IF(ISNUMBER(T626), T626*W626, W626)</f>
        <v>9282.6852958438376</v>
      </c>
      <c r="Y626">
        <v>0.18</v>
      </c>
      <c r="Z626">
        <v>0.18</v>
      </c>
      <c r="AA626">
        <v>0.15</v>
      </c>
      <c r="AB626">
        <f>M626/K626</f>
        <v>122.87148025923733</v>
      </c>
      <c r="AC626">
        <v>2779</v>
      </c>
    </row>
    <row r="627" spans="1:29" x14ac:dyDescent="0.25">
      <c r="A627">
        <v>672</v>
      </c>
      <c r="B627" t="s">
        <v>1551</v>
      </c>
      <c r="C627" t="s">
        <v>831</v>
      </c>
      <c r="D627" t="s">
        <v>400</v>
      </c>
      <c r="F627" t="s">
        <v>541</v>
      </c>
      <c r="G627" s="2">
        <v>43657</v>
      </c>
      <c r="H627" t="s">
        <v>191</v>
      </c>
      <c r="Q627">
        <f>P627 / (300 * 300) * 6.4516</f>
        <v>0</v>
      </c>
      <c r="AB627">
        <v>123.0369262</v>
      </c>
      <c r="AC627" t="s">
        <v>1607</v>
      </c>
    </row>
    <row r="628" spans="1:29" x14ac:dyDescent="0.25">
      <c r="A628">
        <v>178</v>
      </c>
      <c r="B628" t="s">
        <v>434</v>
      </c>
      <c r="D628" t="s">
        <v>334</v>
      </c>
      <c r="E628">
        <v>4</v>
      </c>
      <c r="F628" t="s">
        <v>365</v>
      </c>
      <c r="H628" t="s">
        <v>192</v>
      </c>
      <c r="I628">
        <v>9.6999999999999993</v>
      </c>
      <c r="K628">
        <v>0.09</v>
      </c>
      <c r="L628">
        <v>15</v>
      </c>
      <c r="M628">
        <f>PI()*((I628/2)^2)/100 * L628</f>
        <v>11.084716979109885</v>
      </c>
      <c r="Q628">
        <f>P628 / (300 * 300) * 6.4516</f>
        <v>0</v>
      </c>
      <c r="AB628">
        <f>M628/K628</f>
        <v>123.16352199010984</v>
      </c>
      <c r="AC628" t="s">
        <v>1261</v>
      </c>
    </row>
    <row r="629" spans="1:29" x14ac:dyDescent="0.25">
      <c r="A629">
        <v>379</v>
      </c>
      <c r="B629" t="s">
        <v>927</v>
      </c>
      <c r="D629" t="s">
        <v>446</v>
      </c>
      <c r="E629">
        <v>3</v>
      </c>
      <c r="F629" t="s">
        <v>447</v>
      </c>
      <c r="G629" s="2">
        <v>42936</v>
      </c>
      <c r="H629" t="s">
        <v>192</v>
      </c>
      <c r="I629">
        <v>9.6999999999999993</v>
      </c>
      <c r="K629">
        <v>0.06</v>
      </c>
      <c r="L629">
        <v>10</v>
      </c>
      <c r="M629">
        <f>PI()*((I629/2)^2)/100 * L629</f>
        <v>7.38981131940659</v>
      </c>
      <c r="Q629">
        <f>P629 / (300 * 300) * 6.4516</f>
        <v>0</v>
      </c>
      <c r="S629" t="s">
        <v>195</v>
      </c>
      <c r="T629" t="s">
        <v>135</v>
      </c>
      <c r="U629">
        <f>24.71+154.22</f>
        <v>178.93</v>
      </c>
      <c r="V629">
        <v>74.05</v>
      </c>
      <c r="W629">
        <f>(((U629/2) * (V629/2)) * PI())</f>
        <v>10406.342274545037</v>
      </c>
      <c r="X629">
        <f>IF(ISNUMBER(T629), T629*W629, W629)</f>
        <v>10406.342274545037</v>
      </c>
      <c r="Y629">
        <v>0.24</v>
      </c>
      <c r="Z629">
        <v>0.31</v>
      </c>
      <c r="AA629">
        <v>0.28000000000000003</v>
      </c>
      <c r="AB629">
        <f>M629/K629</f>
        <v>123.16352199010984</v>
      </c>
    </row>
    <row r="630" spans="1:29" x14ac:dyDescent="0.25">
      <c r="A630">
        <v>387</v>
      </c>
      <c r="B630" t="s">
        <v>990</v>
      </c>
      <c r="D630" t="s">
        <v>400</v>
      </c>
      <c r="E630">
        <v>6</v>
      </c>
      <c r="F630" t="s">
        <v>401</v>
      </c>
      <c r="G630" s="2">
        <v>42936</v>
      </c>
      <c r="H630" t="s">
        <v>192</v>
      </c>
      <c r="I630">
        <v>9.6999999999999993</v>
      </c>
      <c r="K630">
        <v>0.06</v>
      </c>
      <c r="L630">
        <v>10</v>
      </c>
      <c r="M630">
        <f>PI()*((I630/2)^2)/100 * L630</f>
        <v>7.38981131940659</v>
      </c>
      <c r="Q630">
        <f>P630 / (300 * 300) * 6.4516</f>
        <v>0</v>
      </c>
      <c r="S630" t="s">
        <v>195</v>
      </c>
      <c r="T630" t="s">
        <v>135</v>
      </c>
      <c r="U630">
        <v>140.72</v>
      </c>
      <c r="V630">
        <v>57.12</v>
      </c>
      <c r="W630">
        <f>(((U630/2) * (V630/2)) * PI())</f>
        <v>6312.9726320838627</v>
      </c>
      <c r="X630">
        <f>IF(ISNUMBER(T630), T630*W630, W630)</f>
        <v>6312.9726320838627</v>
      </c>
      <c r="Y630">
        <v>0.23</v>
      </c>
      <c r="Z630">
        <v>0.25</v>
      </c>
      <c r="AA630">
        <v>0.26</v>
      </c>
      <c r="AB630">
        <f>M630/K630</f>
        <v>123.16352199010984</v>
      </c>
      <c r="AC630" t="s">
        <v>991</v>
      </c>
    </row>
    <row r="631" spans="1:29" x14ac:dyDescent="0.25">
      <c r="A631">
        <v>470</v>
      </c>
      <c r="B631" t="s">
        <v>1085</v>
      </c>
      <c r="D631" t="s">
        <v>1083</v>
      </c>
      <c r="E631">
        <v>2</v>
      </c>
      <c r="F631" t="s">
        <v>1084</v>
      </c>
      <c r="G631" s="2">
        <v>42952</v>
      </c>
      <c r="H631" t="s">
        <v>192</v>
      </c>
      <c r="I631">
        <v>9.6999999999999993</v>
      </c>
      <c r="K631">
        <v>0.06</v>
      </c>
      <c r="L631">
        <v>10</v>
      </c>
      <c r="M631">
        <f>PI()*((I631/2)^2)/100 * L631</f>
        <v>7.38981131940659</v>
      </c>
      <c r="Q631">
        <f>P631 / (300 * 300) * 6.4516</f>
        <v>0</v>
      </c>
      <c r="S631" t="s">
        <v>195</v>
      </c>
      <c r="T631" t="s">
        <v>135</v>
      </c>
      <c r="U631">
        <f>154+24.84</f>
        <v>178.84</v>
      </c>
      <c r="V631">
        <v>83.96</v>
      </c>
      <c r="W631">
        <f>(((U631/2) * (V631/2)) * PI())</f>
        <v>11793.07260922629</v>
      </c>
      <c r="X631">
        <f>IF(ISNUMBER(T631), T631*W631, W631)</f>
        <v>11793.07260922629</v>
      </c>
      <c r="Y631">
        <v>0.34</v>
      </c>
      <c r="Z631">
        <v>0.33</v>
      </c>
      <c r="AA631">
        <v>0.34</v>
      </c>
      <c r="AB631">
        <f>M631/K631</f>
        <v>123.16352199010984</v>
      </c>
    </row>
    <row r="632" spans="1:29" x14ac:dyDescent="0.25">
      <c r="A632">
        <v>375</v>
      </c>
      <c r="B632" t="s">
        <v>916</v>
      </c>
      <c r="D632" t="s">
        <v>909</v>
      </c>
      <c r="E632">
        <v>4</v>
      </c>
      <c r="F632" t="s">
        <v>910</v>
      </c>
      <c r="G632" s="2">
        <v>42936</v>
      </c>
      <c r="H632" t="s">
        <v>191</v>
      </c>
      <c r="I632" t="s">
        <v>135</v>
      </c>
      <c r="J632" t="s">
        <v>135</v>
      </c>
      <c r="K632">
        <v>8.5000000000000006E-2</v>
      </c>
      <c r="L632" t="s">
        <v>135</v>
      </c>
      <c r="M632" t="s">
        <v>135</v>
      </c>
      <c r="N632" t="s">
        <v>135</v>
      </c>
      <c r="O632" t="s">
        <v>917</v>
      </c>
      <c r="P632">
        <v>146070</v>
      </c>
      <c r="Q632">
        <f>P632 / (300 * 300) * 6.4516</f>
        <v>10.4709468</v>
      </c>
      <c r="R632" t="s">
        <v>135</v>
      </c>
      <c r="S632" t="s">
        <v>201</v>
      </c>
      <c r="T632">
        <f>60*24</f>
        <v>1440</v>
      </c>
      <c r="U632">
        <v>6.09</v>
      </c>
      <c r="V632">
        <v>1.22</v>
      </c>
      <c r="W632">
        <f>(((U632/2) * (V632/2)) * PI())</f>
        <v>5.8353512744103604</v>
      </c>
      <c r="X632">
        <f>IF(ISNUMBER(T632), T632*W632, W632)</f>
        <v>8402.9058351509193</v>
      </c>
      <c r="Y632">
        <v>0.22</v>
      </c>
      <c r="Z632">
        <v>0.13</v>
      </c>
      <c r="AA632">
        <v>0.17</v>
      </c>
      <c r="AB632">
        <f>Q632/K632</f>
        <v>123.1876094117647</v>
      </c>
    </row>
    <row r="633" spans="1:29" x14ac:dyDescent="0.25">
      <c r="A633">
        <v>324</v>
      </c>
      <c r="B633" t="s">
        <v>829</v>
      </c>
      <c r="D633" t="s">
        <v>359</v>
      </c>
      <c r="E633">
        <v>6</v>
      </c>
      <c r="F633" t="s">
        <v>370</v>
      </c>
      <c r="G633" s="2">
        <v>42930</v>
      </c>
      <c r="H633" t="s">
        <v>192</v>
      </c>
      <c r="I633">
        <v>7.1</v>
      </c>
      <c r="K633">
        <v>3.2000000000000001E-2</v>
      </c>
      <c r="L633">
        <v>10</v>
      </c>
      <c r="M633">
        <f>PI()*((I633/2)^2)/100 * L633</f>
        <v>3.9591921416865365</v>
      </c>
      <c r="Q633">
        <f>P633 / (300 * 300) * 6.4516</f>
        <v>0</v>
      </c>
      <c r="S633" t="s">
        <v>195</v>
      </c>
      <c r="T633" t="s">
        <v>135</v>
      </c>
      <c r="U633">
        <v>70.48</v>
      </c>
      <c r="V633">
        <v>24.51</v>
      </c>
      <c r="W633">
        <f>(((U633/2) * (V633/2)) * PI())</f>
        <v>1356.7476812537404</v>
      </c>
      <c r="X633">
        <f>IF(ISNUMBER(T633), T633*W633, W633)</f>
        <v>1356.7476812537404</v>
      </c>
      <c r="Y633">
        <v>0.14000000000000001</v>
      </c>
      <c r="Z633">
        <v>0.15</v>
      </c>
      <c r="AA633">
        <v>0.15</v>
      </c>
      <c r="AB633">
        <f>M633/K633</f>
        <v>123.72475442770427</v>
      </c>
    </row>
    <row r="634" spans="1:29" x14ac:dyDescent="0.25">
      <c r="A634">
        <v>336</v>
      </c>
      <c r="B634" t="s">
        <v>846</v>
      </c>
      <c r="D634" t="s">
        <v>833</v>
      </c>
      <c r="E634">
        <v>1</v>
      </c>
      <c r="F634" t="s">
        <v>834</v>
      </c>
      <c r="G634" s="2">
        <v>42930</v>
      </c>
      <c r="H634" t="s">
        <v>192</v>
      </c>
      <c r="I634">
        <v>7.1</v>
      </c>
      <c r="K634">
        <v>3.2000000000000001E-2</v>
      </c>
      <c r="L634">
        <v>10</v>
      </c>
      <c r="M634">
        <f>PI()*((I634/2)^2)/100 * L634</f>
        <v>3.9591921416865365</v>
      </c>
      <c r="Q634">
        <f>P634 / (300 * 300) * 6.4516</f>
        <v>0</v>
      </c>
      <c r="S634" t="s">
        <v>195</v>
      </c>
      <c r="T634" t="s">
        <v>135</v>
      </c>
      <c r="U634">
        <v>142.93</v>
      </c>
      <c r="V634">
        <v>32.99</v>
      </c>
      <c r="W634">
        <f>(((U634/2) * (V634/2)) * PI())</f>
        <v>3703.3570937201671</v>
      </c>
      <c r="X634">
        <f>IF(ISNUMBER(T634), T634*W634, W634)</f>
        <v>3703.3570937201671</v>
      </c>
      <c r="Y634">
        <v>0.22</v>
      </c>
      <c r="Z634">
        <v>0.21</v>
      </c>
      <c r="AA634">
        <v>0.19</v>
      </c>
      <c r="AB634">
        <f>M634/K634</f>
        <v>123.72475442770427</v>
      </c>
    </row>
    <row r="635" spans="1:29" x14ac:dyDescent="0.25">
      <c r="A635">
        <v>396</v>
      </c>
      <c r="B635" t="s">
        <v>946</v>
      </c>
      <c r="D635" t="s">
        <v>446</v>
      </c>
      <c r="E635">
        <v>5</v>
      </c>
      <c r="F635" t="s">
        <v>447</v>
      </c>
      <c r="G635" s="2">
        <v>42936</v>
      </c>
      <c r="H635" t="s">
        <v>192</v>
      </c>
      <c r="I635">
        <v>7.1</v>
      </c>
      <c r="K635">
        <v>3.2000000000000001E-2</v>
      </c>
      <c r="L635">
        <v>10</v>
      </c>
      <c r="M635">
        <f>PI()*((I635/2)^2)/100 * L635</f>
        <v>3.9591921416865365</v>
      </c>
      <c r="Q635">
        <f>P635 / (300 * 300) * 6.4516</f>
        <v>0</v>
      </c>
      <c r="S635" t="s">
        <v>195</v>
      </c>
      <c r="T635" t="s">
        <v>135</v>
      </c>
      <c r="U635">
        <v>125.23</v>
      </c>
      <c r="V635">
        <v>38.340000000000003</v>
      </c>
      <c r="W635">
        <f>(((U635/2) * (V635/2)) * PI())</f>
        <v>3770.9464961667427</v>
      </c>
      <c r="X635">
        <f>IF(ISNUMBER(T635), T635*W635, W635)</f>
        <v>3770.9464961667427</v>
      </c>
      <c r="Y635">
        <v>0.31</v>
      </c>
      <c r="Z635">
        <v>0.28999999999999998</v>
      </c>
      <c r="AA635">
        <v>0.3</v>
      </c>
      <c r="AB635">
        <f>M635/K635</f>
        <v>123.72475442770427</v>
      </c>
    </row>
    <row r="636" spans="1:29" x14ac:dyDescent="0.25">
      <c r="A636">
        <v>406</v>
      </c>
      <c r="B636" t="s">
        <v>961</v>
      </c>
      <c r="D636" t="s">
        <v>900</v>
      </c>
      <c r="E636">
        <v>3</v>
      </c>
      <c r="F636" t="s">
        <v>938</v>
      </c>
      <c r="G636" s="2">
        <v>42940</v>
      </c>
      <c r="H636" t="s">
        <v>192</v>
      </c>
      <c r="I636">
        <v>7.1</v>
      </c>
      <c r="K636">
        <v>3.2000000000000001E-2</v>
      </c>
      <c r="L636">
        <v>10</v>
      </c>
      <c r="M636">
        <f>PI()*((I636/2)^2)/100 * L636</f>
        <v>3.9591921416865365</v>
      </c>
      <c r="Q636">
        <f>P636 / (300 * 300) * 6.4516</f>
        <v>0</v>
      </c>
      <c r="S636" t="s">
        <v>195</v>
      </c>
      <c r="T636" t="s">
        <v>135</v>
      </c>
      <c r="U636">
        <v>113.56</v>
      </c>
      <c r="V636">
        <v>23.37</v>
      </c>
      <c r="W636">
        <f>(((U636/2) * (V636/2)) * PI())</f>
        <v>2084.3659867256306</v>
      </c>
      <c r="X636">
        <f>IF(ISNUMBER(T636), T636*W636, W636)</f>
        <v>2084.3659867256306</v>
      </c>
      <c r="Y636">
        <v>0.2</v>
      </c>
      <c r="Z636">
        <v>0.2</v>
      </c>
      <c r="AA636">
        <v>0.21</v>
      </c>
      <c r="AB636">
        <f>M636/K636</f>
        <v>123.72475442770427</v>
      </c>
    </row>
    <row r="637" spans="1:29" x14ac:dyDescent="0.25">
      <c r="A637">
        <v>399</v>
      </c>
      <c r="B637" t="s">
        <v>954</v>
      </c>
      <c r="D637" t="s">
        <v>900</v>
      </c>
      <c r="E637">
        <v>5</v>
      </c>
      <c r="F637" t="s">
        <v>938</v>
      </c>
      <c r="G637" s="2">
        <v>42940</v>
      </c>
      <c r="H637" t="s">
        <v>192</v>
      </c>
      <c r="I637">
        <v>7.1</v>
      </c>
      <c r="K637">
        <v>3.5000000000000003E-2</v>
      </c>
      <c r="L637">
        <v>11</v>
      </c>
      <c r="M637">
        <f>PI()*((I637/2)^2)/100 * L637</f>
        <v>4.3551113558551906</v>
      </c>
      <c r="Q637">
        <f>P637 / (300 * 300) * 6.4516</f>
        <v>0</v>
      </c>
      <c r="S637" t="s">
        <v>195</v>
      </c>
      <c r="T637" t="s">
        <v>135</v>
      </c>
      <c r="U637">
        <v>121.39</v>
      </c>
      <c r="V637">
        <v>35.61</v>
      </c>
      <c r="W637">
        <f>(((U637/2) * (V637/2)) * PI())</f>
        <v>3395.0389915820065</v>
      </c>
      <c r="X637">
        <f>IF(ISNUMBER(T637), T637*W637, W637)</f>
        <v>3395.0389915820065</v>
      </c>
      <c r="Y637">
        <v>0.17</v>
      </c>
      <c r="Z637">
        <v>0.17</v>
      </c>
      <c r="AA637">
        <v>0.16</v>
      </c>
      <c r="AB637">
        <f>M637/K637</f>
        <v>124.431753024434</v>
      </c>
    </row>
    <row r="638" spans="1:29" x14ac:dyDescent="0.25">
      <c r="A638">
        <v>411</v>
      </c>
      <c r="B638" t="s">
        <v>966</v>
      </c>
      <c r="D638" t="s">
        <v>925</v>
      </c>
      <c r="E638">
        <v>5</v>
      </c>
      <c r="F638" t="s">
        <v>926</v>
      </c>
      <c r="G638" s="2">
        <v>42940</v>
      </c>
      <c r="H638" t="s">
        <v>192</v>
      </c>
      <c r="I638">
        <v>9.6999999999999993</v>
      </c>
      <c r="K638">
        <v>7.0999999999999994E-2</v>
      </c>
      <c r="L638">
        <v>12</v>
      </c>
      <c r="M638">
        <f>PI()*((I638/2)^2)/100 * L638</f>
        <v>8.8677735832879065</v>
      </c>
      <c r="Q638">
        <f>P638 / (300 * 300) * 6.4516</f>
        <v>0</v>
      </c>
      <c r="S638" t="s">
        <v>195</v>
      </c>
      <c r="T638" t="s">
        <v>135</v>
      </c>
      <c r="U638">
        <v>131.38</v>
      </c>
      <c r="V638">
        <v>46.39</v>
      </c>
      <c r="W638">
        <f>(((U638/2) * (V638/2)) * PI())</f>
        <v>4786.7804807050024</v>
      </c>
      <c r="X638">
        <f>IF(ISNUMBER(T638), T638*W638, W638)</f>
        <v>4786.7804807050024</v>
      </c>
      <c r="Y638">
        <v>0.19</v>
      </c>
      <c r="Z638">
        <v>0.18</v>
      </c>
      <c r="AA638">
        <v>0.22</v>
      </c>
      <c r="AB638">
        <f>M638/K638</f>
        <v>124.89821948292827</v>
      </c>
    </row>
    <row r="639" spans="1:29" x14ac:dyDescent="0.25">
      <c r="A639">
        <v>115</v>
      </c>
      <c r="B639" t="s">
        <v>1259</v>
      </c>
      <c r="C639" t="s">
        <v>277</v>
      </c>
      <c r="D639" t="s">
        <v>344</v>
      </c>
      <c r="E639">
        <v>4</v>
      </c>
      <c r="F639" t="s">
        <v>278</v>
      </c>
      <c r="H639" t="s">
        <v>192</v>
      </c>
      <c r="I639">
        <v>7.1</v>
      </c>
      <c r="J639" t="s">
        <v>135</v>
      </c>
      <c r="K639">
        <v>3.7999999999999999E-2</v>
      </c>
      <c r="L639">
        <v>12</v>
      </c>
      <c r="M639">
        <f>PI()*((I639/2)^2)/100 * L639</f>
        <v>4.7510305700238442</v>
      </c>
      <c r="N639" t="s">
        <v>135</v>
      </c>
      <c r="O639" t="s">
        <v>135</v>
      </c>
      <c r="Q639">
        <f>P639 / (300 * 300) * 6.4516</f>
        <v>0</v>
      </c>
      <c r="R639" t="s">
        <v>135</v>
      </c>
      <c r="S639" t="s">
        <v>195</v>
      </c>
      <c r="T639" t="s">
        <v>135</v>
      </c>
      <c r="U639">
        <v>78.91</v>
      </c>
      <c r="V639">
        <v>34</v>
      </c>
      <c r="W639">
        <f>(((U639/2) * (V639/2)) * PI())</f>
        <v>2107.1761485055499</v>
      </c>
      <c r="X639">
        <f>IF(ISNUMBER(T639), T639*W639, W639)</f>
        <v>2107.1761485055499</v>
      </c>
      <c r="Y639">
        <v>0.31</v>
      </c>
      <c r="Z639">
        <v>0.26</v>
      </c>
      <c r="AA639">
        <v>0.28999999999999998</v>
      </c>
      <c r="AB639">
        <f>M639/K639</f>
        <v>125.02712026378538</v>
      </c>
      <c r="AC639" t="s">
        <v>265</v>
      </c>
    </row>
    <row r="640" spans="1:29" x14ac:dyDescent="0.25">
      <c r="A640">
        <v>295</v>
      </c>
      <c r="B640" t="s">
        <v>766</v>
      </c>
      <c r="D640" t="s">
        <v>624</v>
      </c>
      <c r="E640">
        <v>4</v>
      </c>
      <c r="F640" t="s">
        <v>625</v>
      </c>
      <c r="G640" s="2">
        <v>42923</v>
      </c>
      <c r="H640" t="s">
        <v>191</v>
      </c>
      <c r="I640" t="s">
        <v>135</v>
      </c>
      <c r="K640">
        <v>0.20300000000000001</v>
      </c>
      <c r="L640" t="s">
        <v>135</v>
      </c>
      <c r="M640" t="s">
        <v>135</v>
      </c>
      <c r="P640">
        <v>354596</v>
      </c>
      <c r="Q640">
        <f>P640 / (300 * 300) * 6.4516</f>
        <v>25.419017262222223</v>
      </c>
      <c r="R640">
        <v>3</v>
      </c>
      <c r="S640" t="s">
        <v>201</v>
      </c>
      <c r="T640">
        <v>195</v>
      </c>
      <c r="U640">
        <v>20.45</v>
      </c>
      <c r="V640">
        <v>5.96</v>
      </c>
      <c r="W640">
        <f>(((U640/2) * (V640/2)) * PI())</f>
        <v>95.725898951207782</v>
      </c>
      <c r="X640">
        <f>IF(ISNUMBER(T640), T640*W640, W640)</f>
        <v>18666.550295485518</v>
      </c>
      <c r="Y640">
        <v>0.16</v>
      </c>
      <c r="Z640">
        <v>0.17</v>
      </c>
      <c r="AA640">
        <v>0.17</v>
      </c>
      <c r="AB640">
        <f>Q640/K640</f>
        <v>125.21683380405035</v>
      </c>
    </row>
    <row r="641" spans="1:29" x14ac:dyDescent="0.25">
      <c r="A641">
        <v>787</v>
      </c>
      <c r="B641" t="s">
        <v>1755</v>
      </c>
      <c r="D641" t="s">
        <v>1759</v>
      </c>
      <c r="E641">
        <v>3</v>
      </c>
      <c r="F641" t="s">
        <v>539</v>
      </c>
      <c r="G641" s="3">
        <v>43650</v>
      </c>
      <c r="H641" t="s">
        <v>191</v>
      </c>
      <c r="K641">
        <v>2.5249999999999999</v>
      </c>
      <c r="P641">
        <v>4429702</v>
      </c>
      <c r="Q641">
        <f>P641 / (300 * 300) * 6.4516</f>
        <v>317.54072692444447</v>
      </c>
      <c r="Y641">
        <v>0.18</v>
      </c>
      <c r="Z641">
        <v>0.21</v>
      </c>
      <c r="AA641">
        <v>0.2</v>
      </c>
      <c r="AB641">
        <f>Q641/K641</f>
        <v>125.75870373245326</v>
      </c>
    </row>
    <row r="642" spans="1:29" x14ac:dyDescent="0.25">
      <c r="A642">
        <v>739</v>
      </c>
      <c r="B642" t="s">
        <v>1300</v>
      </c>
      <c r="D642" t="s">
        <v>1295</v>
      </c>
      <c r="E642">
        <v>2</v>
      </c>
      <c r="F642" t="s">
        <v>1296</v>
      </c>
      <c r="G642" s="3">
        <v>43640</v>
      </c>
      <c r="H642" t="s">
        <v>191</v>
      </c>
      <c r="K642">
        <v>2.4300000000000002</v>
      </c>
      <c r="P642">
        <v>4272535</v>
      </c>
      <c r="Q642">
        <f>P642 / (300 * 300) * 6.4516</f>
        <v>306.27429784444445</v>
      </c>
      <c r="S642" t="s">
        <v>1073</v>
      </c>
      <c r="AB642">
        <f>Q642/K642</f>
        <v>126.03880569730224</v>
      </c>
    </row>
    <row r="643" spans="1:29" x14ac:dyDescent="0.25">
      <c r="A643">
        <v>144</v>
      </c>
      <c r="B643" t="s">
        <v>399</v>
      </c>
      <c r="D643" t="s">
        <v>400</v>
      </c>
      <c r="E643">
        <v>1</v>
      </c>
      <c r="F643" t="s">
        <v>401</v>
      </c>
      <c r="H643" t="s">
        <v>192</v>
      </c>
      <c r="I643">
        <v>9.6999999999999993</v>
      </c>
      <c r="J643" t="s">
        <v>135</v>
      </c>
      <c r="K643">
        <v>8.2000000000000003E-2</v>
      </c>
      <c r="L643">
        <v>14</v>
      </c>
      <c r="M643">
        <f>PI()*((I643/2)^2)/100 * L643</f>
        <v>10.345735847169225</v>
      </c>
      <c r="N643" t="s">
        <v>135</v>
      </c>
      <c r="O643" t="s">
        <v>135</v>
      </c>
      <c r="Q643">
        <f>P643 / (300 * 300) * 6.4516</f>
        <v>0</v>
      </c>
      <c r="R643" t="s">
        <v>135</v>
      </c>
      <c r="S643" t="s">
        <v>195</v>
      </c>
      <c r="T643" t="s">
        <v>135</v>
      </c>
      <c r="U643">
        <f>46.56+152</f>
        <v>198.56</v>
      </c>
      <c r="V643">
        <v>68.7</v>
      </c>
      <c r="W643">
        <f>(((U643/2) * (V643/2)) * PI())</f>
        <v>10713.672895572357</v>
      </c>
      <c r="X643">
        <f>IF(ISNUMBER(T643), T643*W643, W643)</f>
        <v>10713.672895572357</v>
      </c>
      <c r="Y643">
        <v>0.24</v>
      </c>
      <c r="Z643">
        <v>0.25</v>
      </c>
      <c r="AA643">
        <v>0.24</v>
      </c>
      <c r="AB643">
        <f>M643/K643</f>
        <v>126.16751033133201</v>
      </c>
    </row>
    <row r="644" spans="1:29" x14ac:dyDescent="0.25">
      <c r="A644">
        <v>384</v>
      </c>
      <c r="B644" t="s">
        <v>932</v>
      </c>
      <c r="D644" t="s">
        <v>925</v>
      </c>
      <c r="E644">
        <v>3</v>
      </c>
      <c r="F644" t="s">
        <v>926</v>
      </c>
      <c r="G644" s="2">
        <v>42936</v>
      </c>
      <c r="H644" t="s">
        <v>192</v>
      </c>
      <c r="I644">
        <v>9.6999999999999993</v>
      </c>
      <c r="K644">
        <v>5.8000000000000003E-2</v>
      </c>
      <c r="L644">
        <v>10</v>
      </c>
      <c r="M644">
        <f>PI()*((I644/2)^2)/100 * L644</f>
        <v>7.38981131940659</v>
      </c>
      <c r="Q644">
        <f>P644 / (300 * 300) * 6.4516</f>
        <v>0</v>
      </c>
      <c r="S644" t="s">
        <v>195</v>
      </c>
      <c r="T644" t="s">
        <v>135</v>
      </c>
      <c r="U644">
        <v>82.48</v>
      </c>
      <c r="V644">
        <v>29.53</v>
      </c>
      <c r="W644">
        <f>(((U644/2) * (V644/2)) * PI())</f>
        <v>1912.9427844676461</v>
      </c>
      <c r="X644">
        <f>IF(ISNUMBER(T644), T644*W644, W644)</f>
        <v>1912.9427844676461</v>
      </c>
      <c r="Y644">
        <v>0.23</v>
      </c>
      <c r="Z644">
        <v>0.22</v>
      </c>
      <c r="AA644">
        <v>0.22</v>
      </c>
      <c r="AB644">
        <f>M644/K644</f>
        <v>127.41053998976879</v>
      </c>
    </row>
    <row r="645" spans="1:29" x14ac:dyDescent="0.25">
      <c r="A645">
        <v>351</v>
      </c>
      <c r="B645" t="s">
        <v>868</v>
      </c>
      <c r="D645" t="s">
        <v>833</v>
      </c>
      <c r="E645">
        <v>5</v>
      </c>
      <c r="F645" t="s">
        <v>834</v>
      </c>
      <c r="G645" s="2">
        <v>42931</v>
      </c>
      <c r="H645" t="s">
        <v>192</v>
      </c>
      <c r="I645">
        <v>7.1</v>
      </c>
      <c r="K645">
        <v>3.1E-2</v>
      </c>
      <c r="L645">
        <v>10</v>
      </c>
      <c r="M645">
        <f>PI()*((I645/2)^2)/100 * L645</f>
        <v>3.9591921416865365</v>
      </c>
      <c r="Q645">
        <f>P645 / (300 * 300) * 6.4516</f>
        <v>0</v>
      </c>
      <c r="S645" t="s">
        <v>195</v>
      </c>
      <c r="T645" t="s">
        <v>135</v>
      </c>
      <c r="U645">
        <v>123.64</v>
      </c>
      <c r="V645">
        <v>27.52</v>
      </c>
      <c r="W645">
        <f>(((U645/2) * (V645/2)) * PI())</f>
        <v>2672.374427946113</v>
      </c>
      <c r="X645">
        <f>IF(ISNUMBER(T645), T645*W645, W645)</f>
        <v>2672.374427946113</v>
      </c>
      <c r="Y645">
        <v>0.21</v>
      </c>
      <c r="Z645">
        <v>0.2</v>
      </c>
      <c r="AA645">
        <v>0.23</v>
      </c>
      <c r="AB645">
        <f>M645/K645</f>
        <v>127.71587553827537</v>
      </c>
      <c r="AC645">
        <v>2760</v>
      </c>
    </row>
    <row r="646" spans="1:29" x14ac:dyDescent="0.25">
      <c r="A646">
        <v>425</v>
      </c>
      <c r="B646" t="s">
        <v>998</v>
      </c>
      <c r="D646" t="s">
        <v>809</v>
      </c>
      <c r="E646">
        <v>3</v>
      </c>
      <c r="F646" t="s">
        <v>810</v>
      </c>
      <c r="G646" s="2">
        <v>42940</v>
      </c>
      <c r="H646" t="s">
        <v>192</v>
      </c>
      <c r="I646">
        <v>7.1</v>
      </c>
      <c r="K646">
        <v>3.1E-2</v>
      </c>
      <c r="L646">
        <v>10</v>
      </c>
      <c r="M646">
        <f>PI()*((I646/2)^2)/100 * L646</f>
        <v>3.9591921416865365</v>
      </c>
      <c r="Q646">
        <f>P646 / (300 * 300) * 6.4516</f>
        <v>0</v>
      </c>
      <c r="S646" t="s">
        <v>201</v>
      </c>
      <c r="T646">
        <v>9</v>
      </c>
      <c r="U646">
        <v>32.29</v>
      </c>
      <c r="V646">
        <v>18.14</v>
      </c>
      <c r="W646">
        <f>(((U646/2) * (V646/2)) * PI())</f>
        <v>460.03959146731938</v>
      </c>
      <c r="X646">
        <f>IF(ISNUMBER(T646), T646*W646, W646)</f>
        <v>4140.3563232058741</v>
      </c>
      <c r="Y646">
        <v>0.19</v>
      </c>
      <c r="Z646">
        <v>0.19</v>
      </c>
      <c r="AA646">
        <v>0.19</v>
      </c>
      <c r="AB646">
        <f>M646/K646</f>
        <v>127.71587553827537</v>
      </c>
    </row>
    <row r="647" spans="1:29" x14ac:dyDescent="0.25">
      <c r="A647">
        <v>481</v>
      </c>
      <c r="B647" t="s">
        <v>1305</v>
      </c>
      <c r="C647" t="s">
        <v>78</v>
      </c>
      <c r="D647" t="s">
        <v>357</v>
      </c>
      <c r="E647">
        <v>3</v>
      </c>
      <c r="F647" t="s">
        <v>1303</v>
      </c>
      <c r="G647" s="2">
        <v>43620</v>
      </c>
      <c r="H647" t="s">
        <v>191</v>
      </c>
      <c r="Q647">
        <f>P647 / (300 * 300) * 6.4516</f>
        <v>0</v>
      </c>
      <c r="AB647">
        <v>127.7174263</v>
      </c>
      <c r="AC647" t="s">
        <v>1607</v>
      </c>
    </row>
    <row r="648" spans="1:29" x14ac:dyDescent="0.25">
      <c r="A648">
        <v>765</v>
      </c>
      <c r="B648" t="s">
        <v>1731</v>
      </c>
      <c r="D648" t="s">
        <v>1736</v>
      </c>
      <c r="E648">
        <v>1</v>
      </c>
      <c r="F648" t="s">
        <v>1739</v>
      </c>
      <c r="G648" s="3">
        <v>43650</v>
      </c>
      <c r="H648" t="s">
        <v>191</v>
      </c>
      <c r="K648">
        <v>1.899</v>
      </c>
      <c r="P648">
        <v>3392188</v>
      </c>
      <c r="Q648">
        <f>P648 / (300 * 300) * 6.4516</f>
        <v>243.1671122311111</v>
      </c>
      <c r="Y648">
        <v>0.3</v>
      </c>
      <c r="Z648">
        <v>0.19</v>
      </c>
      <c r="AA648">
        <v>0.23</v>
      </c>
      <c r="AB648">
        <f>Q648/K648</f>
        <v>128.05008542975835</v>
      </c>
    </row>
    <row r="649" spans="1:29" x14ac:dyDescent="0.25">
      <c r="A649">
        <v>85</v>
      </c>
      <c r="B649" t="s">
        <v>123</v>
      </c>
      <c r="D649" t="s">
        <v>355</v>
      </c>
      <c r="E649">
        <v>2</v>
      </c>
      <c r="F649" t="s">
        <v>305</v>
      </c>
      <c r="H649" t="s">
        <v>191</v>
      </c>
      <c r="I649" t="s">
        <v>135</v>
      </c>
      <c r="J649">
        <v>0.27800000000000002</v>
      </c>
      <c r="K649">
        <v>0.10299999999999999</v>
      </c>
      <c r="L649" t="s">
        <v>135</v>
      </c>
      <c r="N649">
        <f>(J649-K649)/J649</f>
        <v>0.62949640287769792</v>
      </c>
      <c r="O649" t="s">
        <v>172</v>
      </c>
      <c r="P649">
        <v>184133</v>
      </c>
      <c r="Q649">
        <f>P649 / (300 * 300) * 6.4516</f>
        <v>13.199471808888891</v>
      </c>
      <c r="R649">
        <v>28</v>
      </c>
      <c r="S649" t="s">
        <v>195</v>
      </c>
      <c r="T649" t="s">
        <v>135</v>
      </c>
      <c r="U649" t="s">
        <v>135</v>
      </c>
      <c r="V649" t="s">
        <v>135</v>
      </c>
      <c r="W649">
        <f>Q649 * 100/28</f>
        <v>47.140970746031755</v>
      </c>
      <c r="X649">
        <f>W649</f>
        <v>47.140970746031755</v>
      </c>
      <c r="Y649">
        <v>0.25</v>
      </c>
      <c r="Z649">
        <v>0.2</v>
      </c>
      <c r="AA649">
        <v>0.22</v>
      </c>
      <c r="AB649">
        <f>(Q649)/K649</f>
        <v>128.15021173678537</v>
      </c>
    </row>
    <row r="650" spans="1:29" x14ac:dyDescent="0.25">
      <c r="A650">
        <v>414</v>
      </c>
      <c r="B650" t="s">
        <v>971</v>
      </c>
      <c r="D650" t="s">
        <v>874</v>
      </c>
      <c r="E650">
        <v>4</v>
      </c>
      <c r="F650" t="s">
        <v>875</v>
      </c>
      <c r="G650" s="2">
        <v>42940</v>
      </c>
      <c r="H650" t="s">
        <v>192</v>
      </c>
      <c r="I650">
        <v>7.1</v>
      </c>
      <c r="K650">
        <v>3.6999999999999998E-2</v>
      </c>
      <c r="L650">
        <v>12</v>
      </c>
      <c r="M650">
        <f>PI()*((I650/2)^2)/100 * L650</f>
        <v>4.7510305700238442</v>
      </c>
      <c r="Q650">
        <f>P650 / (300 * 300) * 6.4516</f>
        <v>0</v>
      </c>
      <c r="S650" t="s">
        <v>201</v>
      </c>
      <c r="T650">
        <v>11</v>
      </c>
      <c r="U650">
        <v>77.97</v>
      </c>
      <c r="V650">
        <v>24.57</v>
      </c>
      <c r="W650">
        <f>(((U650/2) * (V650/2)) * PI())</f>
        <v>1504.6052472384335</v>
      </c>
      <c r="X650">
        <f>IF(ISNUMBER(T650), T650*W650, W650)</f>
        <v>16550.65771962277</v>
      </c>
      <c r="Y650">
        <v>0.11</v>
      </c>
      <c r="Z650">
        <v>0.09</v>
      </c>
      <c r="AA650">
        <v>0.12</v>
      </c>
      <c r="AB650">
        <f>M650/K650</f>
        <v>128.40623162226606</v>
      </c>
    </row>
    <row r="651" spans="1:29" x14ac:dyDescent="0.25">
      <c r="A651">
        <v>353</v>
      </c>
      <c r="B651" t="s">
        <v>870</v>
      </c>
      <c r="D651" t="s">
        <v>400</v>
      </c>
      <c r="E651">
        <v>2</v>
      </c>
      <c r="F651" t="s">
        <v>401</v>
      </c>
      <c r="G651" s="2">
        <v>42931</v>
      </c>
      <c r="H651" t="s">
        <v>192</v>
      </c>
      <c r="I651">
        <v>9.6999999999999993</v>
      </c>
      <c r="K651">
        <v>5.7000000000000002E-2</v>
      </c>
      <c r="L651">
        <v>10</v>
      </c>
      <c r="M651">
        <f>PI()*((I651/2)^2)/100 * L651</f>
        <v>7.38981131940659</v>
      </c>
      <c r="Q651">
        <f>P651 / (300 * 300) * 6.4516</f>
        <v>0</v>
      </c>
      <c r="S651" t="s">
        <v>195</v>
      </c>
      <c r="T651" t="s">
        <v>135</v>
      </c>
      <c r="U651">
        <v>131.33000000000001</v>
      </c>
      <c r="V651">
        <v>56.94</v>
      </c>
      <c r="W651">
        <f>(((U651/2) * (V651/2)) * PI())</f>
        <v>5873.1526450943138</v>
      </c>
      <c r="X651">
        <f>IF(ISNUMBER(T651), T651*W651, W651)</f>
        <v>5873.1526450943138</v>
      </c>
      <c r="Y651">
        <v>0.28999999999999998</v>
      </c>
      <c r="Z651">
        <v>0.27</v>
      </c>
      <c r="AA651">
        <v>0.26</v>
      </c>
      <c r="AB651">
        <f>M651/K651</f>
        <v>129.64581262116823</v>
      </c>
      <c r="AC651">
        <v>9144</v>
      </c>
    </row>
    <row r="652" spans="1:29" x14ac:dyDescent="0.25">
      <c r="A652">
        <v>431</v>
      </c>
      <c r="B652" t="s">
        <v>1007</v>
      </c>
      <c r="D652" t="s">
        <v>848</v>
      </c>
      <c r="E652">
        <v>5</v>
      </c>
      <c r="F652" t="s">
        <v>849</v>
      </c>
      <c r="G652" s="2">
        <v>42940</v>
      </c>
      <c r="H652" t="s">
        <v>192</v>
      </c>
      <c r="I652">
        <v>9.6999999999999993</v>
      </c>
      <c r="K652">
        <v>5.7000000000000002E-2</v>
      </c>
      <c r="L652">
        <v>10</v>
      </c>
      <c r="M652">
        <f>PI()*((I652/2)^2)/100 * L652</f>
        <v>7.38981131940659</v>
      </c>
      <c r="Q652">
        <f>P652 / (300 * 300) * 6.4516</f>
        <v>0</v>
      </c>
      <c r="S652" t="s">
        <v>195</v>
      </c>
      <c r="T652" t="s">
        <v>135</v>
      </c>
      <c r="U652">
        <v>84.84</v>
      </c>
      <c r="V652">
        <v>45.39</v>
      </c>
      <c r="W652">
        <f>(((U652/2) * (V652/2)) * PI())</f>
        <v>3024.4800484900074</v>
      </c>
      <c r="X652">
        <f>IF(ISNUMBER(T652), T652*W652, W652)</f>
        <v>3024.4800484900074</v>
      </c>
      <c r="Y652">
        <v>0.26</v>
      </c>
      <c r="Z652">
        <v>0.24</v>
      </c>
      <c r="AA652">
        <v>0.22</v>
      </c>
      <c r="AB652">
        <f>M652/K652</f>
        <v>129.64581262116823</v>
      </c>
    </row>
    <row r="653" spans="1:29" x14ac:dyDescent="0.25">
      <c r="A653">
        <v>467</v>
      </c>
      <c r="B653" t="s">
        <v>1088</v>
      </c>
      <c r="D653" t="s">
        <v>1083</v>
      </c>
      <c r="E653">
        <v>5</v>
      </c>
      <c r="F653" t="s">
        <v>1084</v>
      </c>
      <c r="G653" s="2">
        <v>42952</v>
      </c>
      <c r="H653" t="s">
        <v>192</v>
      </c>
      <c r="I653">
        <v>9.6999999999999993</v>
      </c>
      <c r="K653">
        <v>5.7000000000000002E-2</v>
      </c>
      <c r="L653">
        <v>10</v>
      </c>
      <c r="M653">
        <f>PI()*((I653/2)^2)/100 * L653</f>
        <v>7.38981131940659</v>
      </c>
      <c r="Q653">
        <f>P653 / (300 * 300) * 6.4516</f>
        <v>0</v>
      </c>
      <c r="S653" t="s">
        <v>195</v>
      </c>
      <c r="T653" t="s">
        <v>135</v>
      </c>
      <c r="U653">
        <f>153.66+10.54</f>
        <v>164.2</v>
      </c>
      <c r="V653">
        <v>105.48</v>
      </c>
      <c r="W653">
        <f>(((U653/2) * (V653/2)) * PI())</f>
        <v>13602.951676781739</v>
      </c>
      <c r="X653">
        <f>IF(ISNUMBER(T653), T653*W653, W653)</f>
        <v>13602.951676781739</v>
      </c>
      <c r="Y653">
        <v>0.47</v>
      </c>
      <c r="Z653">
        <v>0.37</v>
      </c>
      <c r="AA653">
        <v>0.42</v>
      </c>
      <c r="AB653">
        <f>M653/K653</f>
        <v>129.64581262116823</v>
      </c>
    </row>
    <row r="654" spans="1:29" x14ac:dyDescent="0.25">
      <c r="A654">
        <v>307</v>
      </c>
      <c r="B654" t="s">
        <v>802</v>
      </c>
      <c r="D654" t="s">
        <v>624</v>
      </c>
      <c r="E654">
        <v>5</v>
      </c>
      <c r="F654" t="s">
        <v>625</v>
      </c>
      <c r="G654" s="2">
        <v>42927</v>
      </c>
      <c r="H654" t="s">
        <v>191</v>
      </c>
      <c r="I654" t="s">
        <v>135</v>
      </c>
      <c r="J654" t="s">
        <v>135</v>
      </c>
      <c r="K654">
        <v>0.17199999999999999</v>
      </c>
      <c r="L654" t="s">
        <v>135</v>
      </c>
      <c r="M654" t="s">
        <v>135</v>
      </c>
      <c r="N654" t="s">
        <v>135</v>
      </c>
      <c r="O654" t="s">
        <v>135</v>
      </c>
      <c r="P654">
        <v>312880</v>
      </c>
      <c r="Q654">
        <f>P654 / (300 * 300) * 6.4516</f>
        <v>22.428628977777777</v>
      </c>
      <c r="R654">
        <v>4</v>
      </c>
      <c r="S654" t="s">
        <v>201</v>
      </c>
      <c r="T654">
        <v>75</v>
      </c>
      <c r="U654">
        <v>19.760000000000002</v>
      </c>
      <c r="V654">
        <v>5.12</v>
      </c>
      <c r="W654">
        <f>(((U654/2) * (V654/2)) * PI())</f>
        <v>79.459674668715934</v>
      </c>
      <c r="X654">
        <f>IF(ISNUMBER(T654), T654*W654, W654)</f>
        <v>5959.4756001536953</v>
      </c>
      <c r="Y654">
        <v>0.16</v>
      </c>
      <c r="Z654">
        <v>0.13</v>
      </c>
      <c r="AA654">
        <v>0.16</v>
      </c>
      <c r="AB654">
        <f>Q654/K654</f>
        <v>130.39900568475451</v>
      </c>
    </row>
    <row r="655" spans="1:29" x14ac:dyDescent="0.25">
      <c r="A655">
        <v>382</v>
      </c>
      <c r="B655" t="s">
        <v>930</v>
      </c>
      <c r="D655" t="s">
        <v>925</v>
      </c>
      <c r="E655">
        <v>2</v>
      </c>
      <c r="F655" t="s">
        <v>926</v>
      </c>
      <c r="G655" s="2">
        <v>42936</v>
      </c>
      <c r="H655" t="s">
        <v>192</v>
      </c>
      <c r="I655">
        <v>9.6999999999999993</v>
      </c>
      <c r="K655">
        <v>5.6000000000000001E-2</v>
      </c>
      <c r="L655">
        <v>10</v>
      </c>
      <c r="M655">
        <f>PI()*((I655/2)^2)/100 * L655</f>
        <v>7.38981131940659</v>
      </c>
      <c r="Q655">
        <f>P655 / (300 * 300) * 6.4516</f>
        <v>0</v>
      </c>
      <c r="S655" t="s">
        <v>195</v>
      </c>
      <c r="T655" t="s">
        <v>135</v>
      </c>
      <c r="U655">
        <v>76.069999999999993</v>
      </c>
      <c r="V655">
        <v>32.69</v>
      </c>
      <c r="W655">
        <f>(((U655/2) * (V655/2)) * PI())</f>
        <v>1953.0718396884586</v>
      </c>
      <c r="X655">
        <f>IF(ISNUMBER(T655), T655*W655, W655)</f>
        <v>1953.0718396884586</v>
      </c>
      <c r="Y655">
        <v>0.23</v>
      </c>
      <c r="Z655">
        <v>0.21</v>
      </c>
      <c r="AA655">
        <v>0.22</v>
      </c>
      <c r="AB655">
        <f>M655/K655</f>
        <v>131.96091641797483</v>
      </c>
    </row>
    <row r="656" spans="1:29" x14ac:dyDescent="0.25">
      <c r="A656">
        <v>283</v>
      </c>
      <c r="B656" t="s">
        <v>752</v>
      </c>
      <c r="D656" t="s">
        <v>359</v>
      </c>
      <c r="E656">
        <v>5</v>
      </c>
      <c r="F656" t="s">
        <v>370</v>
      </c>
      <c r="G656" s="2">
        <v>42923</v>
      </c>
      <c r="H656" t="s">
        <v>192</v>
      </c>
      <c r="I656">
        <v>7.1</v>
      </c>
      <c r="J656" t="s">
        <v>135</v>
      </c>
      <c r="K656">
        <v>0.03</v>
      </c>
      <c r="L656">
        <v>10</v>
      </c>
      <c r="M656">
        <f>PI()*((I656/2)^2)/100 * L656</f>
        <v>3.9591921416865365</v>
      </c>
      <c r="Q656">
        <f>P656 / (300 * 300) * 6.4516</f>
        <v>0</v>
      </c>
      <c r="S656" t="s">
        <v>195</v>
      </c>
      <c r="T656" t="s">
        <v>135</v>
      </c>
      <c r="U656">
        <v>56.95</v>
      </c>
      <c r="V656">
        <v>16.63</v>
      </c>
      <c r="W656">
        <f>(((U656/2) * (V656/2)) * PI())</f>
        <v>743.83371449321021</v>
      </c>
      <c r="X656">
        <f>IF(ISNUMBER(T656), T656*W656, W656)</f>
        <v>743.83371449321021</v>
      </c>
      <c r="Y656">
        <v>0.12</v>
      </c>
      <c r="Z656">
        <v>0.11</v>
      </c>
      <c r="AA656">
        <v>0.11</v>
      </c>
      <c r="AB656">
        <f>M656/K656</f>
        <v>131.97307138955122</v>
      </c>
    </row>
    <row r="657" spans="1:29" x14ac:dyDescent="0.25">
      <c r="A657">
        <v>310</v>
      </c>
      <c r="B657" t="s">
        <v>805</v>
      </c>
      <c r="D657" t="s">
        <v>502</v>
      </c>
      <c r="E657">
        <v>4</v>
      </c>
      <c r="F657" t="s">
        <v>503</v>
      </c>
      <c r="G657" s="2">
        <v>42927</v>
      </c>
      <c r="H657" t="s">
        <v>192</v>
      </c>
      <c r="I657">
        <v>7.1</v>
      </c>
      <c r="K657">
        <v>0.03</v>
      </c>
      <c r="L657">
        <v>10</v>
      </c>
      <c r="M657">
        <f>PI()*((I657/2)^2)/100 * L657</f>
        <v>3.9591921416865365</v>
      </c>
      <c r="Q657">
        <f>P657 / (300 * 300) * 6.4516</f>
        <v>0</v>
      </c>
      <c r="S657" t="s">
        <v>195</v>
      </c>
      <c r="T657" t="s">
        <v>135</v>
      </c>
      <c r="U657">
        <v>85.53</v>
      </c>
      <c r="V657">
        <v>32.65</v>
      </c>
      <c r="W657">
        <f>(((U657/2) * (V657/2)) * PI())</f>
        <v>2193.2671754872795</v>
      </c>
      <c r="X657">
        <f>IF(ISNUMBER(T657), T657*W657, W657)</f>
        <v>2193.2671754872795</v>
      </c>
      <c r="Y657">
        <v>0.23</v>
      </c>
      <c r="Z657">
        <v>0.23</v>
      </c>
      <c r="AA657">
        <v>0.24</v>
      </c>
      <c r="AB657">
        <f>M657/K657</f>
        <v>131.97307138955122</v>
      </c>
    </row>
    <row r="658" spans="1:29" x14ac:dyDescent="0.25">
      <c r="A658">
        <v>328</v>
      </c>
      <c r="B658" t="s">
        <v>835</v>
      </c>
      <c r="D658" t="s">
        <v>836</v>
      </c>
      <c r="E658">
        <v>3</v>
      </c>
      <c r="F658" t="s">
        <v>837</v>
      </c>
      <c r="G658" s="2">
        <v>42930</v>
      </c>
      <c r="H658" t="s">
        <v>192</v>
      </c>
      <c r="I658">
        <v>7.1</v>
      </c>
      <c r="K658">
        <v>0.03</v>
      </c>
      <c r="L658">
        <v>10</v>
      </c>
      <c r="M658">
        <f>PI()*((I658/2)^2)/100 * L658</f>
        <v>3.9591921416865365</v>
      </c>
      <c r="Q658">
        <f>P658 / (300 * 300) * 6.4516</f>
        <v>0</v>
      </c>
      <c r="S658" t="s">
        <v>195</v>
      </c>
      <c r="T658" t="s">
        <v>135</v>
      </c>
      <c r="U658">
        <v>109.32</v>
      </c>
      <c r="V658">
        <v>57.92</v>
      </c>
      <c r="W658">
        <f>(((U658/2) * (V658/2)) * PI())</f>
        <v>4972.9954007335164</v>
      </c>
      <c r="X658">
        <f>IF(ISNUMBER(T658), T658*W658, W658)</f>
        <v>4972.9954007335164</v>
      </c>
      <c r="Y658">
        <v>0.25</v>
      </c>
      <c r="Z658">
        <v>0.19</v>
      </c>
      <c r="AA658">
        <v>0.21</v>
      </c>
      <c r="AB658">
        <f>M658/K658</f>
        <v>131.97307138955122</v>
      </c>
    </row>
    <row r="659" spans="1:29" x14ac:dyDescent="0.25">
      <c r="A659">
        <v>335</v>
      </c>
      <c r="B659" t="s">
        <v>845</v>
      </c>
      <c r="D659" t="s">
        <v>825</v>
      </c>
      <c r="E659">
        <v>3</v>
      </c>
      <c r="F659" t="s">
        <v>826</v>
      </c>
      <c r="G659" s="2">
        <v>42930</v>
      </c>
      <c r="H659" t="s">
        <v>192</v>
      </c>
      <c r="I659">
        <v>7.1</v>
      </c>
      <c r="K659">
        <v>0.03</v>
      </c>
      <c r="L659">
        <v>10</v>
      </c>
      <c r="M659">
        <f>PI()*((I659/2)^2)/100 * L659</f>
        <v>3.9591921416865365</v>
      </c>
      <c r="Q659">
        <f>P659 / (300 * 300) * 6.4516</f>
        <v>0</v>
      </c>
      <c r="S659" t="s">
        <v>195</v>
      </c>
      <c r="T659" t="s">
        <v>135</v>
      </c>
      <c r="U659">
        <v>59.71</v>
      </c>
      <c r="V659">
        <v>40.06</v>
      </c>
      <c r="W659">
        <f>(((U659/2) * (V659/2)) * PI())</f>
        <v>1878.6587409186534</v>
      </c>
      <c r="X659">
        <f>IF(ISNUMBER(T659), T659*W659, W659)</f>
        <v>1878.6587409186534</v>
      </c>
      <c r="Y659">
        <v>0.28000000000000003</v>
      </c>
      <c r="Z659">
        <v>0.25</v>
      </c>
      <c r="AA659">
        <v>0.28999999999999998</v>
      </c>
      <c r="AB659">
        <f>M659/K659</f>
        <v>131.97307138955122</v>
      </c>
    </row>
    <row r="660" spans="1:29" x14ac:dyDescent="0.25">
      <c r="A660">
        <v>343</v>
      </c>
      <c r="B660" t="s">
        <v>857</v>
      </c>
      <c r="D660" t="s">
        <v>858</v>
      </c>
      <c r="E660">
        <v>1</v>
      </c>
      <c r="F660" t="s">
        <v>859</v>
      </c>
      <c r="G660" s="2">
        <v>42931</v>
      </c>
      <c r="H660" t="s">
        <v>192</v>
      </c>
      <c r="I660">
        <v>7.1</v>
      </c>
      <c r="K660">
        <v>0.03</v>
      </c>
      <c r="L660">
        <v>10</v>
      </c>
      <c r="M660">
        <f>PI()*((I660/2)^2)/100 * L660</f>
        <v>3.9591921416865365</v>
      </c>
      <c r="Q660">
        <f>P660 / (300 * 300) * 6.4516</f>
        <v>0</v>
      </c>
      <c r="S660" t="s">
        <v>195</v>
      </c>
      <c r="T660" t="s">
        <v>135</v>
      </c>
      <c r="U660">
        <v>67.540000000000006</v>
      </c>
      <c r="V660">
        <v>55.21</v>
      </c>
      <c r="W660">
        <f>(((U660/2) * (V660/2)) * PI())</f>
        <v>2928.6581738832328</v>
      </c>
      <c r="X660">
        <f>IF(ISNUMBER(T660), T660*W660, W660)</f>
        <v>2928.6581738832328</v>
      </c>
      <c r="Y660">
        <v>0.25</v>
      </c>
      <c r="Z660">
        <v>0.28000000000000003</v>
      </c>
      <c r="AA660">
        <v>0.27</v>
      </c>
      <c r="AB660">
        <f>M660/K660</f>
        <v>131.97307138955122</v>
      </c>
      <c r="AC660" t="s">
        <v>880</v>
      </c>
    </row>
    <row r="661" spans="1:29" x14ac:dyDescent="0.25">
      <c r="A661">
        <v>347</v>
      </c>
      <c r="B661" t="s">
        <v>862</v>
      </c>
      <c r="D661" t="s">
        <v>333</v>
      </c>
      <c r="E661">
        <v>5</v>
      </c>
      <c r="F661" t="s">
        <v>364</v>
      </c>
      <c r="G661" s="2">
        <v>42931</v>
      </c>
      <c r="H661" t="s">
        <v>192</v>
      </c>
      <c r="I661">
        <v>7.1</v>
      </c>
      <c r="K661">
        <v>0.03</v>
      </c>
      <c r="L661">
        <v>10</v>
      </c>
      <c r="M661">
        <f>PI()*((I661/2)^2)/100 * L661</f>
        <v>3.9591921416865365</v>
      </c>
      <c r="Q661">
        <f>P661 / (300 * 300) * 6.4516</f>
        <v>0</v>
      </c>
      <c r="S661" t="s">
        <v>201</v>
      </c>
      <c r="T661">
        <v>5</v>
      </c>
      <c r="U661">
        <v>110.52</v>
      </c>
      <c r="V661">
        <v>63.73</v>
      </c>
      <c r="W661">
        <f>(((U661/2) * (V661/2)) * PI())</f>
        <v>5531.9045258408578</v>
      </c>
      <c r="X661">
        <f>IF(ISNUMBER(T661), T661*W661, W661)</f>
        <v>27659.52262920429</v>
      </c>
      <c r="Y661">
        <v>0.36</v>
      </c>
      <c r="Z661">
        <v>0.37</v>
      </c>
      <c r="AA661">
        <v>0.37</v>
      </c>
      <c r="AB661">
        <f>M661/K661</f>
        <v>131.97307138955122</v>
      </c>
      <c r="AC661">
        <v>2743</v>
      </c>
    </row>
    <row r="662" spans="1:29" x14ac:dyDescent="0.25">
      <c r="A662">
        <v>354</v>
      </c>
      <c r="B662" t="s">
        <v>871</v>
      </c>
      <c r="D662" t="s">
        <v>581</v>
      </c>
      <c r="E662">
        <v>4</v>
      </c>
      <c r="F662" t="s">
        <v>582</v>
      </c>
      <c r="G662" s="2">
        <v>42931</v>
      </c>
      <c r="H662" t="s">
        <v>192</v>
      </c>
      <c r="I662">
        <v>7.1</v>
      </c>
      <c r="K662">
        <v>2.7E-2</v>
      </c>
      <c r="L662">
        <v>9</v>
      </c>
      <c r="M662">
        <f>PI()*((I662/2)^2)/100 * L662</f>
        <v>3.5632729275178829</v>
      </c>
      <c r="Q662">
        <f>P662 / (300 * 300) * 6.4516</f>
        <v>0</v>
      </c>
      <c r="S662" t="s">
        <v>201</v>
      </c>
      <c r="T662">
        <v>5</v>
      </c>
      <c r="U662">
        <v>75.62</v>
      </c>
      <c r="V662">
        <v>22.91</v>
      </c>
      <c r="W662">
        <f>(((U662/2) * (V662/2)) * PI())</f>
        <v>1360.6663468501956</v>
      </c>
      <c r="X662">
        <f>IF(ISNUMBER(T662), T662*W662, W662)</f>
        <v>6803.3317342509781</v>
      </c>
      <c r="Y662">
        <v>0.26</v>
      </c>
      <c r="Z662">
        <v>0.24</v>
      </c>
      <c r="AA662">
        <v>0.23</v>
      </c>
      <c r="AB662">
        <f>M662/K662</f>
        <v>131.97307138955122</v>
      </c>
      <c r="AC662">
        <v>2784</v>
      </c>
    </row>
    <row r="663" spans="1:29" x14ac:dyDescent="0.25">
      <c r="A663">
        <v>437</v>
      </c>
      <c r="B663" t="s">
        <v>1013</v>
      </c>
      <c r="D663" t="s">
        <v>1005</v>
      </c>
      <c r="E663">
        <v>1</v>
      </c>
      <c r="F663" t="s">
        <v>1006</v>
      </c>
      <c r="G663" s="2">
        <v>42940</v>
      </c>
      <c r="H663" t="s">
        <v>192</v>
      </c>
      <c r="I663">
        <v>7.1</v>
      </c>
      <c r="K663">
        <v>0.03</v>
      </c>
      <c r="L663">
        <v>10</v>
      </c>
      <c r="M663">
        <f>PI()*((I663/2)^2)/100 * L663</f>
        <v>3.9591921416865365</v>
      </c>
      <c r="Q663">
        <f>P663 / (300 * 300) * 6.4516</f>
        <v>0</v>
      </c>
      <c r="S663" t="s">
        <v>195</v>
      </c>
      <c r="T663" t="s">
        <v>135</v>
      </c>
      <c r="U663">
        <v>42.93</v>
      </c>
      <c r="V663">
        <v>23.5</v>
      </c>
      <c r="W663">
        <f>(((U663/2) * (V663/2)) * PI())</f>
        <v>792.35286413433266</v>
      </c>
      <c r="X663">
        <f>IF(ISNUMBER(T663), T663*W663, W663)</f>
        <v>792.35286413433266</v>
      </c>
      <c r="Y663">
        <v>0.37</v>
      </c>
      <c r="Z663">
        <v>0.34</v>
      </c>
      <c r="AA663">
        <v>0.32</v>
      </c>
      <c r="AB663">
        <f>M663/K663</f>
        <v>131.97307138955122</v>
      </c>
    </row>
    <row r="664" spans="1:29" x14ac:dyDescent="0.25">
      <c r="A664">
        <v>762</v>
      </c>
      <c r="B664" t="s">
        <v>1728</v>
      </c>
      <c r="D664" t="s">
        <v>1295</v>
      </c>
      <c r="E664">
        <v>5</v>
      </c>
      <c r="F664" t="s">
        <v>1296</v>
      </c>
      <c r="G664" s="3">
        <v>43650</v>
      </c>
      <c r="H664" t="s">
        <v>191</v>
      </c>
      <c r="K664">
        <v>2.08</v>
      </c>
      <c r="P664">
        <v>3834734</v>
      </c>
      <c r="Q664">
        <f>P664 / (300 * 300) * 6.4516</f>
        <v>274.89077638222221</v>
      </c>
      <c r="Y664">
        <v>0.25</v>
      </c>
      <c r="Z664">
        <v>0.21</v>
      </c>
      <c r="AA664">
        <v>0.2</v>
      </c>
      <c r="AB664">
        <f>Q664/K664</f>
        <v>132.15902710683758</v>
      </c>
    </row>
    <row r="665" spans="1:29" x14ac:dyDescent="0.25">
      <c r="A665">
        <v>393</v>
      </c>
      <c r="B665" t="s">
        <v>943</v>
      </c>
      <c r="D665" t="s">
        <v>416</v>
      </c>
      <c r="E665">
        <v>5</v>
      </c>
      <c r="F665" t="s">
        <v>417</v>
      </c>
      <c r="G665" s="2">
        <v>42936</v>
      </c>
      <c r="H665" t="s">
        <v>192</v>
      </c>
      <c r="I665">
        <v>9.6999999999999993</v>
      </c>
      <c r="K665">
        <v>6.0999999999999999E-2</v>
      </c>
      <c r="L665">
        <v>11</v>
      </c>
      <c r="M665">
        <f>PI()*((I665/2)^2)/100 * L665</f>
        <v>8.1287924513472483</v>
      </c>
      <c r="Q665">
        <f>P665 / (300 * 300) * 6.4516</f>
        <v>0</v>
      </c>
      <c r="S665" t="s">
        <v>195</v>
      </c>
      <c r="T665" t="s">
        <v>135</v>
      </c>
      <c r="U665">
        <v>91.18</v>
      </c>
      <c r="V665">
        <v>44.04</v>
      </c>
      <c r="W665">
        <f>(((U665/2) * (V665/2)) * PI())</f>
        <v>3153.8191038790342</v>
      </c>
      <c r="X665">
        <f>IF(ISNUMBER(T665), T665*W665, W665)</f>
        <v>3153.8191038790342</v>
      </c>
      <c r="Y665">
        <v>0.19</v>
      </c>
      <c r="Z665">
        <v>0.22</v>
      </c>
      <c r="AA665">
        <v>0.2</v>
      </c>
      <c r="AB665">
        <f>M665/K665</f>
        <v>133.25889264503687</v>
      </c>
    </row>
    <row r="666" spans="1:29" x14ac:dyDescent="0.25">
      <c r="A666">
        <v>456</v>
      </c>
      <c r="B666" t="s">
        <v>1072</v>
      </c>
      <c r="D666" t="s">
        <v>1005</v>
      </c>
      <c r="E666">
        <v>3</v>
      </c>
      <c r="F666" t="s">
        <v>1006</v>
      </c>
      <c r="G666" s="2">
        <v>42951</v>
      </c>
      <c r="H666" t="s">
        <v>192</v>
      </c>
      <c r="I666">
        <v>7.1</v>
      </c>
      <c r="K666">
        <v>3.5000000000000003E-2</v>
      </c>
      <c r="L666">
        <v>12</v>
      </c>
      <c r="M666">
        <f>PI()*((I666/2)^2)/100 * L666</f>
        <v>4.7510305700238442</v>
      </c>
      <c r="Q666">
        <f>P666 / (300 * 300) * 6.4516</f>
        <v>0</v>
      </c>
      <c r="S666" t="s">
        <v>1073</v>
      </c>
      <c r="T666" t="s">
        <v>135</v>
      </c>
      <c r="U666">
        <v>57.32</v>
      </c>
      <c r="V666">
        <v>19.68</v>
      </c>
      <c r="W666">
        <f>(((U666/2) * (V666/2)) * PI())</f>
        <v>885.97436724653346</v>
      </c>
      <c r="X666">
        <f>IF(ISNUMBER(T666), T666*W666, W666)</f>
        <v>885.97436724653346</v>
      </c>
      <c r="Y666">
        <v>0.25</v>
      </c>
      <c r="Z666">
        <v>0.25</v>
      </c>
      <c r="AA666">
        <v>0.3</v>
      </c>
      <c r="AB666">
        <f>M666/K666</f>
        <v>135.74373057210983</v>
      </c>
    </row>
    <row r="667" spans="1:29" x14ac:dyDescent="0.25">
      <c r="A667">
        <v>263</v>
      </c>
      <c r="B667" t="s">
        <v>621</v>
      </c>
      <c r="D667" t="s">
        <v>502</v>
      </c>
      <c r="E667">
        <v>2</v>
      </c>
      <c r="F667" t="s">
        <v>503</v>
      </c>
      <c r="H667" t="s">
        <v>192</v>
      </c>
      <c r="I667">
        <v>7.1</v>
      </c>
      <c r="K667">
        <v>2.9000000000000001E-2</v>
      </c>
      <c r="L667">
        <v>10</v>
      </c>
      <c r="M667">
        <f>PI()*((I667/2)^2)/100 * L667</f>
        <v>3.9591921416865365</v>
      </c>
      <c r="Q667">
        <f>P667 / (300 * 300) * 6.4516</f>
        <v>0</v>
      </c>
      <c r="S667" t="s">
        <v>195</v>
      </c>
      <c r="T667" t="s">
        <v>135</v>
      </c>
      <c r="U667">
        <v>57.49</v>
      </c>
      <c r="V667">
        <v>24.37</v>
      </c>
      <c r="W667">
        <f>(((U667/2) * (V667/2)) * PI())</f>
        <v>1100.3674098823394</v>
      </c>
      <c r="X667">
        <f>IF(ISNUMBER(T667), T667*W667, W667)</f>
        <v>1100.3674098823394</v>
      </c>
      <c r="Y667">
        <v>0.21</v>
      </c>
      <c r="Z667">
        <v>0.21</v>
      </c>
      <c r="AA667">
        <v>0.21</v>
      </c>
      <c r="AB667">
        <f>M667/K667</f>
        <v>136.52386695470815</v>
      </c>
    </row>
    <row r="668" spans="1:29" x14ac:dyDescent="0.25">
      <c r="A668">
        <v>163</v>
      </c>
      <c r="B668" t="s">
        <v>425</v>
      </c>
      <c r="D668" t="s">
        <v>426</v>
      </c>
      <c r="E668">
        <v>1</v>
      </c>
      <c r="F668" t="s">
        <v>427</v>
      </c>
      <c r="H668" t="s">
        <v>192</v>
      </c>
      <c r="I668">
        <v>9.6999999999999993</v>
      </c>
      <c r="K668">
        <v>5.3999999999999999E-2</v>
      </c>
      <c r="L668">
        <v>10</v>
      </c>
      <c r="M668">
        <f>PI()*((I668/2)^2)/100 * L668</f>
        <v>7.38981131940659</v>
      </c>
      <c r="Q668">
        <f>P668 / (300 * 300) * 6.4516</f>
        <v>0</v>
      </c>
      <c r="R668" t="s">
        <v>135</v>
      </c>
      <c r="S668" t="s">
        <v>201</v>
      </c>
      <c r="T668">
        <v>11</v>
      </c>
      <c r="U668">
        <f>152.25+33.35</f>
        <v>185.6</v>
      </c>
      <c r="V668">
        <v>45.65</v>
      </c>
      <c r="W668">
        <f>(((U668/2) * (V668/2)) * PI())</f>
        <v>6654.3958951277555</v>
      </c>
      <c r="X668">
        <f>IF(ISNUMBER(T668), T668*W668, W668)</f>
        <v>73198.354846405316</v>
      </c>
      <c r="Y668">
        <v>0.19</v>
      </c>
      <c r="Z668">
        <v>0.18</v>
      </c>
      <c r="AA668">
        <v>0.19</v>
      </c>
      <c r="AB668">
        <f>M668/K668</f>
        <v>136.84835776678869</v>
      </c>
    </row>
    <row r="669" spans="1:29" x14ac:dyDescent="0.25">
      <c r="A669">
        <v>440</v>
      </c>
      <c r="B669" t="s">
        <v>1056</v>
      </c>
      <c r="D669" t="s">
        <v>357</v>
      </c>
      <c r="E669">
        <v>6</v>
      </c>
      <c r="F669" t="s">
        <v>272</v>
      </c>
      <c r="G669" s="2">
        <v>42950</v>
      </c>
      <c r="H669" t="s">
        <v>192</v>
      </c>
      <c r="I669">
        <v>9.6999999999999993</v>
      </c>
      <c r="K669">
        <v>5.3999999999999999E-2</v>
      </c>
      <c r="L669">
        <v>10</v>
      </c>
      <c r="M669">
        <f>PI()*((I669/2)^2)/100 * L669</f>
        <v>7.38981131940659</v>
      </c>
      <c r="Q669">
        <f>P669 / (300 * 300) * 6.4516</f>
        <v>0</v>
      </c>
      <c r="S669" t="s">
        <v>195</v>
      </c>
      <c r="T669" t="s">
        <v>135</v>
      </c>
      <c r="U669">
        <f>157+18.27</f>
        <v>175.27</v>
      </c>
      <c r="V669">
        <v>99.09</v>
      </c>
      <c r="W669">
        <f>(((U669/2) * (V669/2)) * PI())</f>
        <v>13640.405980017285</v>
      </c>
      <c r="X669">
        <f>IF(ISNUMBER(T669), T669*W669, W669)</f>
        <v>13640.405980017285</v>
      </c>
      <c r="Y669">
        <v>0.42</v>
      </c>
      <c r="Z669">
        <v>0.39</v>
      </c>
      <c r="AA669">
        <v>0.43</v>
      </c>
      <c r="AB669">
        <f>M669/K669</f>
        <v>136.84835776678869</v>
      </c>
    </row>
    <row r="670" spans="1:29" x14ac:dyDescent="0.25">
      <c r="A670">
        <v>801</v>
      </c>
      <c r="B670" t="s">
        <v>1784</v>
      </c>
      <c r="D670" t="s">
        <v>1725</v>
      </c>
      <c r="E670">
        <v>5</v>
      </c>
      <c r="F670" t="s">
        <v>1738</v>
      </c>
      <c r="G670" s="3">
        <v>43662</v>
      </c>
      <c r="H670" t="s">
        <v>191</v>
      </c>
      <c r="K670">
        <v>1.1359999999999999</v>
      </c>
      <c r="P670">
        <v>2177824</v>
      </c>
      <c r="Q670">
        <f>P670 / (300 * 300) * 6.4516</f>
        <v>156.11610353777778</v>
      </c>
      <c r="Y670">
        <v>0.23</v>
      </c>
      <c r="Z670">
        <v>0.23</v>
      </c>
      <c r="AA670">
        <v>0.22</v>
      </c>
      <c r="AB670">
        <f>Q670/K670</f>
        <v>137.4261474804382</v>
      </c>
    </row>
    <row r="671" spans="1:29" x14ac:dyDescent="0.25">
      <c r="A671">
        <v>226</v>
      </c>
      <c r="B671" t="s">
        <v>577</v>
      </c>
      <c r="D671" t="s">
        <v>575</v>
      </c>
      <c r="E671">
        <v>2</v>
      </c>
      <c r="F671" t="s">
        <v>576</v>
      </c>
      <c r="H671" t="s">
        <v>192</v>
      </c>
      <c r="I671">
        <v>9.6999999999999993</v>
      </c>
      <c r="K671">
        <v>5.8999999999999997E-2</v>
      </c>
      <c r="L671">
        <v>11</v>
      </c>
      <c r="M671">
        <f>PI()*((I671/2)^2)/100 * L671</f>
        <v>8.1287924513472483</v>
      </c>
      <c r="Q671">
        <f>P671 / (300 * 300) * 6.4516</f>
        <v>0</v>
      </c>
      <c r="S671" t="s">
        <v>195</v>
      </c>
      <c r="T671" t="s">
        <v>135</v>
      </c>
      <c r="U671">
        <v>72.97</v>
      </c>
      <c r="V671">
        <v>32.97</v>
      </c>
      <c r="W671">
        <f>(((U671/2) * (V671/2)) * PI())</f>
        <v>1889.5273163231959</v>
      </c>
      <c r="X671">
        <f>IF(ISNUMBER(T671), T671*W671, W671)</f>
        <v>1889.5273163231959</v>
      </c>
      <c r="Y671">
        <v>0.23</v>
      </c>
      <c r="Z671">
        <v>0.23</v>
      </c>
      <c r="AA671">
        <v>0.22</v>
      </c>
      <c r="AB671">
        <f>M671/K671</f>
        <v>137.77614324317372</v>
      </c>
    </row>
    <row r="672" spans="1:29" x14ac:dyDescent="0.25">
      <c r="A672">
        <v>174</v>
      </c>
      <c r="B672" t="s">
        <v>439</v>
      </c>
      <c r="D672" t="s">
        <v>416</v>
      </c>
      <c r="E672">
        <v>4</v>
      </c>
      <c r="F672" t="s">
        <v>417</v>
      </c>
      <c r="H672" t="s">
        <v>192</v>
      </c>
      <c r="I672">
        <v>9.6999999999999993</v>
      </c>
      <c r="K672">
        <v>9.0999999999999998E-2</v>
      </c>
      <c r="L672">
        <v>17</v>
      </c>
      <c r="M672">
        <f>PI()*((I672/2)^2)/100 * L672</f>
        <v>12.562679242991202</v>
      </c>
      <c r="Q672">
        <f>P672 / (300 * 300) * 6.4516</f>
        <v>0</v>
      </c>
      <c r="S672" t="s">
        <v>195</v>
      </c>
      <c r="T672" t="s">
        <v>135</v>
      </c>
      <c r="U672">
        <f>153+70.49</f>
        <v>223.49</v>
      </c>
      <c r="V672">
        <v>71.95</v>
      </c>
      <c r="W672">
        <f>(((U672/2) * (V672/2)) * PI())</f>
        <v>12629.285326937208</v>
      </c>
      <c r="X672">
        <f>IF(ISNUMBER(T672), T672*W672, W672)</f>
        <v>12629.285326937208</v>
      </c>
      <c r="Y672">
        <v>0.2</v>
      </c>
      <c r="Z672">
        <v>0.21</v>
      </c>
      <c r="AA672">
        <v>0.22</v>
      </c>
      <c r="AB672">
        <f>M672/K672</f>
        <v>138.05142025265056</v>
      </c>
    </row>
    <row r="673" spans="1:29" x14ac:dyDescent="0.25">
      <c r="A673">
        <v>156</v>
      </c>
      <c r="B673" t="s">
        <v>413</v>
      </c>
      <c r="D673" t="s">
        <v>334</v>
      </c>
      <c r="E673">
        <v>3</v>
      </c>
      <c r="F673" t="s">
        <v>365</v>
      </c>
      <c r="H673" t="s">
        <v>192</v>
      </c>
      <c r="I673">
        <v>9.6999999999999993</v>
      </c>
      <c r="J673" t="s">
        <v>135</v>
      </c>
      <c r="K673">
        <v>6.4000000000000001E-2</v>
      </c>
      <c r="L673">
        <v>12</v>
      </c>
      <c r="M673">
        <f>PI()*((I673/2)^2)/100 * L673</f>
        <v>8.8677735832879065</v>
      </c>
      <c r="N673" t="s">
        <v>135</v>
      </c>
      <c r="O673" t="s">
        <v>135</v>
      </c>
      <c r="Q673">
        <f>P673 / (300 * 300) * 6.4516</f>
        <v>0</v>
      </c>
      <c r="R673" t="s">
        <v>135</v>
      </c>
      <c r="S673" t="s">
        <v>195</v>
      </c>
      <c r="T673" t="s">
        <v>135</v>
      </c>
      <c r="U673">
        <f>52.9+152.66</f>
        <v>205.56</v>
      </c>
      <c r="V673">
        <v>76.88</v>
      </c>
      <c r="W673">
        <f>(((U673/2) * (V673/2)) * PI())</f>
        <v>12412.002804458261</v>
      </c>
      <c r="X673">
        <f>IF(ISNUMBER(T673), T673*W673, W673)</f>
        <v>12412.002804458261</v>
      </c>
      <c r="Y673">
        <v>0.46</v>
      </c>
      <c r="Z673">
        <v>0.49</v>
      </c>
      <c r="AA673">
        <v>0.48</v>
      </c>
      <c r="AB673">
        <f>M673/K673</f>
        <v>138.55896223887353</v>
      </c>
    </row>
    <row r="674" spans="1:29" x14ac:dyDescent="0.25">
      <c r="A674">
        <v>345</v>
      </c>
      <c r="B674" t="s">
        <v>861</v>
      </c>
      <c r="D674" t="s">
        <v>502</v>
      </c>
      <c r="E674">
        <v>5</v>
      </c>
      <c r="F674" t="s">
        <v>503</v>
      </c>
      <c r="G674" s="2">
        <v>42931</v>
      </c>
      <c r="H674" t="s">
        <v>192</v>
      </c>
      <c r="I674">
        <v>9.6999999999999993</v>
      </c>
      <c r="K674">
        <v>5.2999999999999999E-2</v>
      </c>
      <c r="L674">
        <v>10</v>
      </c>
      <c r="M674">
        <f>PI()*((I674/2)^2)/100 * L674</f>
        <v>7.38981131940659</v>
      </c>
      <c r="Q674">
        <f>P674 / (300 * 300) * 6.4516</f>
        <v>0</v>
      </c>
      <c r="S674" t="s">
        <v>195</v>
      </c>
      <c r="T674" t="s">
        <v>135</v>
      </c>
      <c r="U674">
        <v>97.36</v>
      </c>
      <c r="V674">
        <v>31.13</v>
      </c>
      <c r="W674">
        <f>(((U674/2) * (V674/2)) * PI())</f>
        <v>2380.3979483141316</v>
      </c>
      <c r="X674">
        <f>IF(ISNUMBER(T674), T674*W674, W674)</f>
        <v>2380.3979483141316</v>
      </c>
      <c r="Y674">
        <v>0.23</v>
      </c>
      <c r="Z674">
        <v>0.24</v>
      </c>
      <c r="AA674">
        <v>0.22</v>
      </c>
      <c r="AB674">
        <f>M674/K674</f>
        <v>139.43040225295454</v>
      </c>
      <c r="AC674">
        <v>2699</v>
      </c>
    </row>
    <row r="675" spans="1:29" x14ac:dyDescent="0.25">
      <c r="A675">
        <v>460</v>
      </c>
      <c r="B675" t="s">
        <v>1077</v>
      </c>
      <c r="D675" t="s">
        <v>530</v>
      </c>
      <c r="E675">
        <v>5</v>
      </c>
      <c r="F675" t="s">
        <v>531</v>
      </c>
      <c r="G675" s="2">
        <v>42951</v>
      </c>
      <c r="H675" t="s">
        <v>192</v>
      </c>
      <c r="I675">
        <v>9.6999999999999993</v>
      </c>
      <c r="K675">
        <v>5.2999999999999999E-2</v>
      </c>
      <c r="L675">
        <v>10</v>
      </c>
      <c r="M675">
        <f>PI()*((I675/2)^2)/100 * L675</f>
        <v>7.38981131940659</v>
      </c>
      <c r="Q675">
        <f>P675 / (300 * 300) * 6.4516</f>
        <v>0</v>
      </c>
      <c r="S675" t="s">
        <v>1073</v>
      </c>
      <c r="T675" t="s">
        <v>135</v>
      </c>
      <c r="U675">
        <v>137.27000000000001</v>
      </c>
      <c r="V675">
        <v>85.96</v>
      </c>
      <c r="W675">
        <f>(((U675/2) * (V675/2)) * PI())</f>
        <v>9267.4856422672419</v>
      </c>
      <c r="X675">
        <f>IF(ISNUMBER(T675), T675*W675, W675)</f>
        <v>9267.4856422672419</v>
      </c>
      <c r="Y675">
        <v>0.46</v>
      </c>
      <c r="Z675">
        <v>0.49</v>
      </c>
      <c r="AA675">
        <v>0.4</v>
      </c>
      <c r="AB675">
        <f>M675/K675</f>
        <v>139.43040225295454</v>
      </c>
    </row>
    <row r="676" spans="1:29" x14ac:dyDescent="0.25">
      <c r="A676">
        <v>129</v>
      </c>
      <c r="B676" t="s">
        <v>1214</v>
      </c>
      <c r="C676" t="s">
        <v>96</v>
      </c>
      <c r="D676" t="s">
        <v>382</v>
      </c>
      <c r="E676">
        <v>6</v>
      </c>
      <c r="F676" t="s">
        <v>246</v>
      </c>
      <c r="H676" t="s">
        <v>192</v>
      </c>
      <c r="I676">
        <v>7.1</v>
      </c>
      <c r="J676" t="s">
        <v>135</v>
      </c>
      <c r="K676">
        <v>4.2000000000000003E-2</v>
      </c>
      <c r="L676">
        <v>15</v>
      </c>
      <c r="M676">
        <f>PI()*((I676/2)^2)/100 * L676</f>
        <v>5.938788212529805</v>
      </c>
      <c r="N676" t="s">
        <v>135</v>
      </c>
      <c r="O676" t="s">
        <v>135</v>
      </c>
      <c r="Q676">
        <f>P676 / (300 * 300) * 6.4516</f>
        <v>0</v>
      </c>
      <c r="R676" t="s">
        <v>135</v>
      </c>
      <c r="S676" t="s">
        <v>195</v>
      </c>
      <c r="T676" t="s">
        <v>135</v>
      </c>
      <c r="U676">
        <v>106.55</v>
      </c>
      <c r="V676">
        <v>29.24</v>
      </c>
      <c r="W676">
        <f>(((U676/2) * (V676/2)) * PI())</f>
        <v>2446.9252568243446</v>
      </c>
      <c r="X676">
        <f>IF(ISNUMBER(T676), T676*W676, W676)</f>
        <v>2446.9252568243446</v>
      </c>
      <c r="Y676">
        <v>0.26</v>
      </c>
      <c r="Z676">
        <v>0.24</v>
      </c>
      <c r="AA676">
        <v>0.22</v>
      </c>
      <c r="AB676">
        <f>M676/K676</f>
        <v>141.39971934594774</v>
      </c>
      <c r="AC676" t="s">
        <v>730</v>
      </c>
    </row>
    <row r="677" spans="1:29" x14ac:dyDescent="0.25">
      <c r="A677">
        <v>331</v>
      </c>
      <c r="B677" t="s">
        <v>842</v>
      </c>
      <c r="D677" t="s">
        <v>833</v>
      </c>
      <c r="E677">
        <v>3</v>
      </c>
      <c r="F677" t="s">
        <v>834</v>
      </c>
      <c r="G677" s="2">
        <v>42930</v>
      </c>
      <c r="H677" t="s">
        <v>192</v>
      </c>
      <c r="I677">
        <v>7.1</v>
      </c>
      <c r="K677">
        <v>2.8000000000000001E-2</v>
      </c>
      <c r="L677">
        <v>10</v>
      </c>
      <c r="M677">
        <f>PI()*((I677/2)^2)/100 * L677</f>
        <v>3.9591921416865365</v>
      </c>
      <c r="Q677">
        <f>P677 / (300 * 300) * 6.4516</f>
        <v>0</v>
      </c>
      <c r="S677" t="s">
        <v>195</v>
      </c>
      <c r="T677" t="s">
        <v>135</v>
      </c>
      <c r="U677">
        <v>91.35</v>
      </c>
      <c r="V677">
        <v>25.76</v>
      </c>
      <c r="W677">
        <f>(((U677/2) * (V677/2)) * PI())</f>
        <v>1848.1801085509537</v>
      </c>
      <c r="X677">
        <f>IF(ISNUMBER(T677), T677*W677, W677)</f>
        <v>1848.1801085509537</v>
      </c>
      <c r="Y677">
        <v>0.17</v>
      </c>
      <c r="Z677">
        <v>0.17</v>
      </c>
      <c r="AA677">
        <v>0.2</v>
      </c>
      <c r="AB677">
        <f>M677/K677</f>
        <v>141.39971934594774</v>
      </c>
    </row>
    <row r="678" spans="1:29" x14ac:dyDescent="0.25">
      <c r="A678">
        <v>373</v>
      </c>
      <c r="B678" t="s">
        <v>912</v>
      </c>
      <c r="D678" t="s">
        <v>909</v>
      </c>
      <c r="E678">
        <v>2</v>
      </c>
      <c r="F678" t="s">
        <v>910</v>
      </c>
      <c r="G678" s="2">
        <v>42936</v>
      </c>
      <c r="H678" t="s">
        <v>191</v>
      </c>
      <c r="I678" t="s">
        <v>135</v>
      </c>
      <c r="J678" t="s">
        <v>135</v>
      </c>
      <c r="K678">
        <v>0.13100000000000001</v>
      </c>
      <c r="L678" t="s">
        <v>135</v>
      </c>
      <c r="M678" t="s">
        <v>135</v>
      </c>
      <c r="N678" t="s">
        <v>135</v>
      </c>
      <c r="O678" t="s">
        <v>913</v>
      </c>
      <c r="P678">
        <v>259650</v>
      </c>
      <c r="Q678">
        <f>P678 / (300 * 300) * 6.4516</f>
        <v>18.612866</v>
      </c>
      <c r="R678" t="s">
        <v>135</v>
      </c>
      <c r="S678" t="s">
        <v>201</v>
      </c>
      <c r="T678">
        <f>20*21</f>
        <v>420</v>
      </c>
      <c r="U678">
        <v>5.23</v>
      </c>
      <c r="V678">
        <v>1.1000000000000001</v>
      </c>
      <c r="W678">
        <f>(((U678/2) * (V678/2)) * PI())</f>
        <v>4.5183956340255209</v>
      </c>
      <c r="X678">
        <f>IF(ISNUMBER(T678), T678*W678, W678)</f>
        <v>1897.7261662907188</v>
      </c>
      <c r="Y678">
        <v>0.16</v>
      </c>
      <c r="Z678">
        <v>0.13</v>
      </c>
      <c r="AA678">
        <v>0.17</v>
      </c>
      <c r="AB678">
        <f>Q678/K678</f>
        <v>142.0829465648855</v>
      </c>
    </row>
    <row r="679" spans="1:29" x14ac:dyDescent="0.25">
      <c r="A679">
        <v>145</v>
      </c>
      <c r="B679" t="s">
        <v>1770</v>
      </c>
      <c r="C679" t="s">
        <v>1249</v>
      </c>
      <c r="D679" t="s">
        <v>1251</v>
      </c>
      <c r="E679">
        <v>4</v>
      </c>
      <c r="F679" t="s">
        <v>1250</v>
      </c>
      <c r="H679" t="s">
        <v>192</v>
      </c>
      <c r="I679">
        <v>9.6999999999999993</v>
      </c>
      <c r="J679" t="s">
        <v>135</v>
      </c>
      <c r="K679">
        <v>5.1999999999999998E-2</v>
      </c>
      <c r="L679">
        <v>10</v>
      </c>
      <c r="M679">
        <f>PI()*((I679/2)^2)/100 * L679</f>
        <v>7.38981131940659</v>
      </c>
      <c r="N679" t="s">
        <v>135</v>
      </c>
      <c r="O679" t="s">
        <v>135</v>
      </c>
      <c r="Q679">
        <f>P679 / (300 * 300) * 6.4516</f>
        <v>0</v>
      </c>
      <c r="R679" t="s">
        <v>135</v>
      </c>
      <c r="S679" t="s">
        <v>195</v>
      </c>
      <c r="T679" t="s">
        <v>135</v>
      </c>
      <c r="U679">
        <v>137.44999999999999</v>
      </c>
      <c r="V679">
        <v>49.82</v>
      </c>
      <c r="W679">
        <f>(((U679/2) * (V679/2)) * PI())</f>
        <v>5378.2173419883466</v>
      </c>
      <c r="X679">
        <f>IF(ISNUMBER(T679), T679*W679, W679)</f>
        <v>5378.2173419883466</v>
      </c>
      <c r="Y679">
        <v>0.25</v>
      </c>
      <c r="Z679">
        <v>0.23</v>
      </c>
      <c r="AA679">
        <v>0.25</v>
      </c>
      <c r="AB679">
        <f>M679/K679</f>
        <v>142.11175614243442</v>
      </c>
    </row>
    <row r="680" spans="1:29" x14ac:dyDescent="0.25">
      <c r="A680">
        <v>327</v>
      </c>
      <c r="B680" t="s">
        <v>832</v>
      </c>
      <c r="D680" t="s">
        <v>833</v>
      </c>
      <c r="E680">
        <v>4</v>
      </c>
      <c r="F680" t="s">
        <v>834</v>
      </c>
      <c r="G680" s="2">
        <v>42930</v>
      </c>
      <c r="H680" t="s">
        <v>192</v>
      </c>
      <c r="I680">
        <v>9.6999999999999993</v>
      </c>
      <c r="K680">
        <v>5.1999999999999998E-2</v>
      </c>
      <c r="L680">
        <v>10</v>
      </c>
      <c r="M680">
        <f>PI()*((I680/2)^2)/100 * L680</f>
        <v>7.38981131940659</v>
      </c>
      <c r="Q680">
        <f>P680 / (300 * 300) * 6.4516</f>
        <v>0</v>
      </c>
      <c r="S680" t="s">
        <v>195</v>
      </c>
      <c r="T680" t="s">
        <v>135</v>
      </c>
      <c r="U680">
        <v>148.96</v>
      </c>
      <c r="V680">
        <v>44.15</v>
      </c>
      <c r="W680">
        <f>(((U680/2) * (V680/2)) * PI())</f>
        <v>5165.236995029044</v>
      </c>
      <c r="X680">
        <f>IF(ISNUMBER(T680), T680*W680, W680)</f>
        <v>5165.236995029044</v>
      </c>
      <c r="Y680">
        <v>0.2</v>
      </c>
      <c r="Z680">
        <v>0.2</v>
      </c>
      <c r="AA680">
        <v>0.21</v>
      </c>
      <c r="AB680">
        <f>M680/K680</f>
        <v>142.11175614243442</v>
      </c>
    </row>
    <row r="681" spans="1:29" x14ac:dyDescent="0.25">
      <c r="A681">
        <v>333</v>
      </c>
      <c r="B681" t="s">
        <v>844</v>
      </c>
      <c r="D681" t="s">
        <v>836</v>
      </c>
      <c r="E681">
        <v>4</v>
      </c>
      <c r="F681" t="s">
        <v>837</v>
      </c>
      <c r="G681" s="2">
        <v>42930</v>
      </c>
      <c r="H681" t="s">
        <v>192</v>
      </c>
      <c r="I681">
        <v>9.6999999999999993</v>
      </c>
      <c r="K681">
        <v>5.1999999999999998E-2</v>
      </c>
      <c r="L681">
        <v>10</v>
      </c>
      <c r="M681">
        <f>PI()*((I681/2)^2)/100 * L681</f>
        <v>7.38981131940659</v>
      </c>
      <c r="Q681">
        <f>P681 / (300 * 300) * 6.4516</f>
        <v>0</v>
      </c>
      <c r="S681" t="s">
        <v>195</v>
      </c>
      <c r="T681" t="s">
        <v>135</v>
      </c>
      <c r="U681">
        <f>23.58+153</f>
        <v>176.57999999999998</v>
      </c>
      <c r="V681">
        <v>89.63</v>
      </c>
      <c r="W681">
        <f>(((U681/2) * (V681/2)) * PI())</f>
        <v>12430.391017498618</v>
      </c>
      <c r="X681">
        <f>IF(ISNUMBER(T681), T681*W681, W681)</f>
        <v>12430.391017498618</v>
      </c>
      <c r="Y681">
        <v>0.31</v>
      </c>
      <c r="Z681">
        <v>0.27</v>
      </c>
      <c r="AA681">
        <v>0.27</v>
      </c>
      <c r="AB681">
        <f>M681/K681</f>
        <v>142.11175614243442</v>
      </c>
    </row>
    <row r="682" spans="1:29" x14ac:dyDescent="0.25">
      <c r="A682">
        <v>469</v>
      </c>
      <c r="B682" t="s">
        <v>1086</v>
      </c>
      <c r="D682" t="s">
        <v>1083</v>
      </c>
      <c r="E682">
        <v>3</v>
      </c>
      <c r="F682" t="s">
        <v>1084</v>
      </c>
      <c r="G682" s="2">
        <v>42952</v>
      </c>
      <c r="H682" t="s">
        <v>192</v>
      </c>
      <c r="I682">
        <v>9.6999999999999993</v>
      </c>
      <c r="K682">
        <v>5.1999999999999998E-2</v>
      </c>
      <c r="L682">
        <v>10</v>
      </c>
      <c r="M682">
        <f>PI()*((I682/2)^2)/100 * L682</f>
        <v>7.38981131940659</v>
      </c>
      <c r="Q682">
        <f>P682 / (300 * 300) * 6.4516</f>
        <v>0</v>
      </c>
      <c r="S682" t="s">
        <v>195</v>
      </c>
      <c r="T682" t="s">
        <v>135</v>
      </c>
      <c r="U682">
        <f>154+16.71</f>
        <v>170.71</v>
      </c>
      <c r="V682">
        <v>90.24</v>
      </c>
      <c r="W682">
        <f>(((U682/2) * (V682/2)) * PI())</f>
        <v>12098.956919535714</v>
      </c>
      <c r="X682">
        <f>IF(ISNUMBER(T682), T682*W682, W682)</f>
        <v>12098.956919535714</v>
      </c>
      <c r="Y682">
        <v>0.48</v>
      </c>
      <c r="Z682">
        <v>0.43</v>
      </c>
      <c r="AA682">
        <v>0.39</v>
      </c>
      <c r="AB682">
        <f>M682/K682</f>
        <v>142.11175614243442</v>
      </c>
    </row>
    <row r="683" spans="1:29" x14ac:dyDescent="0.25">
      <c r="A683">
        <v>363</v>
      </c>
      <c r="B683" t="s">
        <v>887</v>
      </c>
      <c r="D683" t="s">
        <v>385</v>
      </c>
      <c r="E683">
        <v>4</v>
      </c>
      <c r="F683" t="s">
        <v>255</v>
      </c>
      <c r="G683" s="2">
        <v>42934</v>
      </c>
      <c r="H683" t="s">
        <v>192</v>
      </c>
      <c r="I683">
        <v>7.1</v>
      </c>
      <c r="K683">
        <v>2.5000000000000001E-2</v>
      </c>
      <c r="L683">
        <v>9</v>
      </c>
      <c r="M683">
        <f>PI()*((I683/2)^2)/100 * L683</f>
        <v>3.5632729275178829</v>
      </c>
      <c r="Q683">
        <f>P683 / (300 * 300) * 6.4516</f>
        <v>0</v>
      </c>
      <c r="S683" t="s">
        <v>201</v>
      </c>
      <c r="T683">
        <v>7</v>
      </c>
      <c r="U683">
        <v>107.4</v>
      </c>
      <c r="V683">
        <v>34.630000000000003</v>
      </c>
      <c r="W683">
        <f>(((U683/2) * (V683/2)) * PI())</f>
        <v>2921.1015439939206</v>
      </c>
      <c r="X683">
        <f>IF(ISNUMBER(T683), T683*W683, W683)</f>
        <v>20447.710807957443</v>
      </c>
      <c r="Y683">
        <v>0.24</v>
      </c>
      <c r="Z683">
        <v>0.27</v>
      </c>
      <c r="AA683">
        <v>0.26</v>
      </c>
      <c r="AB683">
        <f>M683/K683</f>
        <v>142.5309171007153</v>
      </c>
    </row>
    <row r="684" spans="1:29" x14ac:dyDescent="0.25">
      <c r="A684">
        <v>790</v>
      </c>
      <c r="B684" t="s">
        <v>1014</v>
      </c>
      <c r="D684" t="s">
        <v>839</v>
      </c>
      <c r="E684">
        <v>2</v>
      </c>
      <c r="F684" t="s">
        <v>1765</v>
      </c>
      <c r="G684" s="3">
        <v>43650</v>
      </c>
      <c r="H684" t="s">
        <v>191</v>
      </c>
      <c r="K684">
        <v>1.8859999999999999</v>
      </c>
      <c r="P684">
        <v>3782439</v>
      </c>
      <c r="Q684">
        <f>P684 / (300 * 300) * 6.4516</f>
        <v>271.14203835999996</v>
      </c>
      <c r="Y684">
        <v>0.21</v>
      </c>
      <c r="Z684">
        <v>0.23</v>
      </c>
      <c r="AA684">
        <v>0.17</v>
      </c>
      <c r="AB684">
        <f>Q684/K684</f>
        <v>143.76566190880169</v>
      </c>
    </row>
    <row r="685" spans="1:29" x14ac:dyDescent="0.25">
      <c r="A685">
        <v>445</v>
      </c>
      <c r="B685" t="s">
        <v>1060</v>
      </c>
      <c r="D685" t="s">
        <v>874</v>
      </c>
      <c r="E685">
        <v>5</v>
      </c>
      <c r="F685" t="s">
        <v>875</v>
      </c>
      <c r="G685" s="2">
        <v>42950</v>
      </c>
      <c r="H685" t="s">
        <v>192</v>
      </c>
      <c r="I685">
        <v>7.1</v>
      </c>
      <c r="K685">
        <v>3.3000000000000002E-2</v>
      </c>
      <c r="L685">
        <v>12</v>
      </c>
      <c r="M685">
        <f>PI()*((I685/2)^2)/100 * L685</f>
        <v>4.7510305700238442</v>
      </c>
      <c r="Q685">
        <f>P685 / (300 * 300) * 6.4516</f>
        <v>0</v>
      </c>
      <c r="S685" t="s">
        <v>201</v>
      </c>
      <c r="T685">
        <v>13</v>
      </c>
      <c r="U685">
        <v>60.09</v>
      </c>
      <c r="V685">
        <v>20.86</v>
      </c>
      <c r="W685">
        <f>(((U685/2) * (V685/2)) * PI())</f>
        <v>984.47884782020867</v>
      </c>
      <c r="X685">
        <f>IF(ISNUMBER(T685), T685*W685, W685)</f>
        <v>12798.225021662713</v>
      </c>
      <c r="Y685">
        <v>0.18</v>
      </c>
      <c r="Z685">
        <v>0.18</v>
      </c>
      <c r="AA685">
        <v>0.16</v>
      </c>
      <c r="AB685">
        <f>M685/K685</f>
        <v>143.97062333405589</v>
      </c>
    </row>
    <row r="686" spans="1:29" x14ac:dyDescent="0.25">
      <c r="A686">
        <v>296</v>
      </c>
      <c r="B686" t="s">
        <v>767</v>
      </c>
      <c r="D686" t="s">
        <v>624</v>
      </c>
      <c r="E686">
        <v>3</v>
      </c>
      <c r="F686" t="s">
        <v>625</v>
      </c>
      <c r="G686" s="2">
        <v>42923</v>
      </c>
      <c r="H686" t="s">
        <v>191</v>
      </c>
      <c r="I686" t="s">
        <v>135</v>
      </c>
      <c r="J686" t="s">
        <v>135</v>
      </c>
      <c r="K686">
        <v>0.27200000000000002</v>
      </c>
      <c r="L686" t="s">
        <v>135</v>
      </c>
      <c r="M686" t="s">
        <v>135</v>
      </c>
      <c r="N686" t="s">
        <v>135</v>
      </c>
      <c r="O686" t="s">
        <v>135</v>
      </c>
      <c r="P686">
        <v>548731</v>
      </c>
      <c r="Q686">
        <f>P686 / (300 * 300) * 6.4516</f>
        <v>39.335476884444439</v>
      </c>
      <c r="R686">
        <v>3</v>
      </c>
      <c r="S686" t="s">
        <v>201</v>
      </c>
      <c r="T686">
        <v>120</v>
      </c>
      <c r="U686">
        <v>30.48</v>
      </c>
      <c r="V686">
        <v>6.36</v>
      </c>
      <c r="W686">
        <f>(((U686/2) * (V686/2)) * PI())</f>
        <v>152.25163308945287</v>
      </c>
      <c r="X686">
        <f>IF(ISNUMBER(T686), T686*W686, W686)</f>
        <v>18270.195970734345</v>
      </c>
      <c r="Y686">
        <v>0.14000000000000001</v>
      </c>
      <c r="Z686">
        <v>0.15</v>
      </c>
      <c r="AA686">
        <v>0.15</v>
      </c>
      <c r="AB686">
        <f>Q686/K686</f>
        <v>144.61572383986925</v>
      </c>
    </row>
    <row r="687" spans="1:29" x14ac:dyDescent="0.25">
      <c r="A687">
        <v>124</v>
      </c>
      <c r="B687" t="s">
        <v>280</v>
      </c>
      <c r="D687" t="s">
        <v>387</v>
      </c>
      <c r="E687">
        <v>1</v>
      </c>
      <c r="F687" t="s">
        <v>281</v>
      </c>
      <c r="H687" t="s">
        <v>192</v>
      </c>
      <c r="I687">
        <v>7.1</v>
      </c>
      <c r="J687" t="s">
        <v>135</v>
      </c>
      <c r="K687">
        <v>0.03</v>
      </c>
      <c r="L687">
        <v>11</v>
      </c>
      <c r="M687">
        <f>PI()*((I687/2)^2)/100 * L687</f>
        <v>4.3551113558551906</v>
      </c>
      <c r="N687" t="s">
        <v>135</v>
      </c>
      <c r="O687" t="s">
        <v>135</v>
      </c>
      <c r="Q687">
        <f>P687 / (300 * 300) * 6.4516</f>
        <v>0</v>
      </c>
      <c r="R687" t="s">
        <v>135</v>
      </c>
      <c r="S687" t="s">
        <v>195</v>
      </c>
      <c r="T687" t="s">
        <v>135</v>
      </c>
      <c r="U687">
        <v>29.15</v>
      </c>
      <c r="V687">
        <v>15.78</v>
      </c>
      <c r="W687">
        <f>(((U687/2) * (V687/2)) * PI())</f>
        <v>361.27294498670204</v>
      </c>
      <c r="X687">
        <f>IF(ISNUMBER(T687), T687*W687, W687)</f>
        <v>361.27294498670204</v>
      </c>
      <c r="Y687">
        <v>0.17</v>
      </c>
      <c r="Z687">
        <v>0.18</v>
      </c>
      <c r="AA687">
        <v>0.18</v>
      </c>
      <c r="AB687">
        <f>M687/K687</f>
        <v>145.17037852850635</v>
      </c>
    </row>
    <row r="688" spans="1:29" x14ac:dyDescent="0.25">
      <c r="A688">
        <v>191</v>
      </c>
      <c r="B688" t="s">
        <v>458</v>
      </c>
      <c r="D688" t="s">
        <v>416</v>
      </c>
      <c r="E688">
        <v>1</v>
      </c>
      <c r="F688" t="s">
        <v>417</v>
      </c>
      <c r="H688" t="s">
        <v>192</v>
      </c>
      <c r="I688">
        <v>9.6999999999999993</v>
      </c>
      <c r="K688">
        <v>7.0999999999999994E-2</v>
      </c>
      <c r="L688">
        <v>14</v>
      </c>
      <c r="M688">
        <f>PI()*((I688/2)^2)/100 * L688</f>
        <v>10.345735847169225</v>
      </c>
      <c r="Q688">
        <f>P688 / (300 * 300) * 6.4516</f>
        <v>0</v>
      </c>
      <c r="S688" t="s">
        <v>195</v>
      </c>
      <c r="T688" t="s">
        <v>135</v>
      </c>
      <c r="U688">
        <v>82.44</v>
      </c>
      <c r="V688">
        <v>37.39</v>
      </c>
      <c r="W688">
        <f>(((U688/2) * (V688/2)) * PI())</f>
        <v>2420.936117438258</v>
      </c>
      <c r="X688">
        <f>IF(ISNUMBER(T688), T688*W688, W688)</f>
        <v>2420.936117438258</v>
      </c>
      <c r="Y688">
        <v>0.34</v>
      </c>
      <c r="Z688">
        <v>0.24</v>
      </c>
      <c r="AA688">
        <v>0.28000000000000003</v>
      </c>
      <c r="AB688">
        <f>M688/K688</f>
        <v>145.71458939674966</v>
      </c>
    </row>
    <row r="689" spans="1:29" x14ac:dyDescent="0.25">
      <c r="A689">
        <v>111</v>
      </c>
      <c r="B689" t="s">
        <v>1213</v>
      </c>
      <c r="C689" t="s">
        <v>245</v>
      </c>
      <c r="D689" t="s">
        <v>382</v>
      </c>
      <c r="E689">
        <v>2</v>
      </c>
      <c r="F689" t="s">
        <v>246</v>
      </c>
      <c r="H689" t="s">
        <v>192</v>
      </c>
      <c r="I689">
        <v>7.1</v>
      </c>
      <c r="J689" t="s">
        <v>135</v>
      </c>
      <c r="K689">
        <v>4.5999999999999999E-2</v>
      </c>
      <c r="L689">
        <v>17</v>
      </c>
      <c r="M689">
        <f>PI()*((I689/2)^2)/100 * L689</f>
        <v>6.7306266408671123</v>
      </c>
      <c r="N689" t="s">
        <v>135</v>
      </c>
      <c r="O689" t="s">
        <v>135</v>
      </c>
      <c r="Q689">
        <f>P689 / (300 * 300) * 6.4516</f>
        <v>0</v>
      </c>
      <c r="R689" t="s">
        <v>135</v>
      </c>
      <c r="S689" t="s">
        <v>195</v>
      </c>
      <c r="T689" t="s">
        <v>135</v>
      </c>
      <c r="U689">
        <v>82.46</v>
      </c>
      <c r="V689">
        <v>19.32</v>
      </c>
      <c r="W689">
        <f>(((U689/2) * (V689/2)) * PI())</f>
        <v>1251.2391769385192</v>
      </c>
      <c r="X689">
        <f>IF(ISNUMBER(T689), T689*W689, W689)</f>
        <v>1251.2391769385192</v>
      </c>
      <c r="Y689">
        <v>0.21</v>
      </c>
      <c r="Z689">
        <v>0.2</v>
      </c>
      <c r="AA689">
        <v>0.19</v>
      </c>
      <c r="AB689">
        <f>M689/K689</f>
        <v>146.31797045363288</v>
      </c>
      <c r="AC689" t="s">
        <v>247</v>
      </c>
    </row>
    <row r="690" spans="1:29" x14ac:dyDescent="0.25">
      <c r="A690">
        <v>766</v>
      </c>
      <c r="B690" t="s">
        <v>1732</v>
      </c>
      <c r="D690" t="s">
        <v>1736</v>
      </c>
      <c r="E690">
        <v>2</v>
      </c>
      <c r="F690" t="s">
        <v>1739</v>
      </c>
      <c r="G690" s="3">
        <v>43650</v>
      </c>
      <c r="H690" t="s">
        <v>191</v>
      </c>
      <c r="K690">
        <v>2.0459999999999998</v>
      </c>
      <c r="P690">
        <v>4183718</v>
      </c>
      <c r="Q690">
        <f>P690 / (300 * 300) * 6.4516</f>
        <v>299.90750054222224</v>
      </c>
      <c r="Y690">
        <v>0.23</v>
      </c>
      <c r="Z690">
        <v>0.18</v>
      </c>
      <c r="AA690">
        <v>0.21</v>
      </c>
      <c r="AB690">
        <f>Q690/K690</f>
        <v>146.58235608124255</v>
      </c>
    </row>
    <row r="691" spans="1:29" x14ac:dyDescent="0.25">
      <c r="A691">
        <v>157</v>
      </c>
      <c r="B691" t="s">
        <v>414</v>
      </c>
      <c r="D691" t="s">
        <v>334</v>
      </c>
      <c r="E691">
        <v>2</v>
      </c>
      <c r="F691" t="s">
        <v>365</v>
      </c>
      <c r="H691" t="s">
        <v>192</v>
      </c>
      <c r="I691">
        <v>9.6999999999999993</v>
      </c>
      <c r="J691" t="s">
        <v>135</v>
      </c>
      <c r="K691">
        <v>0.06</v>
      </c>
      <c r="L691">
        <v>12</v>
      </c>
      <c r="M691">
        <f>PI()*((I691/2)^2)/100 * L691</f>
        <v>8.8677735832879065</v>
      </c>
      <c r="N691" t="s">
        <v>135</v>
      </c>
      <c r="O691" t="s">
        <v>135</v>
      </c>
      <c r="Q691">
        <f>P691 / (300 * 300) * 6.4516</f>
        <v>0</v>
      </c>
      <c r="R691" t="s">
        <v>135</v>
      </c>
      <c r="S691" t="s">
        <v>195</v>
      </c>
      <c r="T691" t="s">
        <v>135</v>
      </c>
      <c r="U691">
        <f>154.29+46.57</f>
        <v>200.85999999999999</v>
      </c>
      <c r="V691">
        <v>88.84</v>
      </c>
      <c r="W691">
        <f>(((U691/2) * (V691/2)) * PI())</f>
        <v>14014.960871885018</v>
      </c>
      <c r="X691">
        <f>IF(ISNUMBER(T691), T691*W691, W691)</f>
        <v>14014.960871885018</v>
      </c>
      <c r="Y691">
        <v>0.49</v>
      </c>
      <c r="Z691">
        <v>0.48</v>
      </c>
      <c r="AA691">
        <v>0.48</v>
      </c>
      <c r="AB691">
        <f>M691/K691</f>
        <v>147.79622638813177</v>
      </c>
    </row>
    <row r="692" spans="1:29" x14ac:dyDescent="0.25">
      <c r="A692">
        <v>442</v>
      </c>
      <c r="B692" t="s">
        <v>1057</v>
      </c>
      <c r="D692" t="s">
        <v>800</v>
      </c>
      <c r="E692">
        <v>4</v>
      </c>
      <c r="F692" t="s">
        <v>801</v>
      </c>
      <c r="G692" s="2">
        <v>42950</v>
      </c>
      <c r="H692" t="s">
        <v>192</v>
      </c>
      <c r="I692">
        <v>9.6999999999999993</v>
      </c>
      <c r="K692">
        <v>0.05</v>
      </c>
      <c r="L692">
        <v>10</v>
      </c>
      <c r="M692">
        <f>PI()*((I692/2)^2)/100 * L692</f>
        <v>7.38981131940659</v>
      </c>
      <c r="Q692">
        <f>P692 / (300 * 300) * 6.4516</f>
        <v>0</v>
      </c>
      <c r="S692" t="s">
        <v>195</v>
      </c>
      <c r="T692" t="s">
        <v>135</v>
      </c>
      <c r="U692">
        <f>157+64.79</f>
        <v>221.79000000000002</v>
      </c>
      <c r="V692">
        <f>157+4.48</f>
        <v>161.47999999999999</v>
      </c>
      <c r="W692">
        <f>(((U692/2) * (V692/2)) * PI())</f>
        <v>28128.759704403888</v>
      </c>
      <c r="X692">
        <f>IF(ISNUMBER(T692), T692*W692, W692)</f>
        <v>28128.759704403888</v>
      </c>
      <c r="Y692">
        <v>0.38</v>
      </c>
      <c r="Z692">
        <v>0.39</v>
      </c>
      <c r="AA692">
        <v>0.32</v>
      </c>
      <c r="AB692">
        <f>M692/K692</f>
        <v>147.7962263881318</v>
      </c>
    </row>
    <row r="693" spans="1:29" x14ac:dyDescent="0.25">
      <c r="A693">
        <v>245</v>
      </c>
      <c r="B693" t="s">
        <v>598</v>
      </c>
      <c r="D693" t="s">
        <v>599</v>
      </c>
      <c r="E693">
        <v>2</v>
      </c>
      <c r="F693" t="s">
        <v>600</v>
      </c>
      <c r="H693" t="s">
        <v>192</v>
      </c>
      <c r="I693">
        <v>7.1</v>
      </c>
      <c r="K693">
        <v>2.4E-2</v>
      </c>
      <c r="L693">
        <v>9</v>
      </c>
      <c r="M693">
        <f>PI()*((I693/2)^2)/100 * L693</f>
        <v>3.5632729275178829</v>
      </c>
      <c r="Q693">
        <f>P693 / (300 * 300) * 6.4516</f>
        <v>0</v>
      </c>
      <c r="S693" t="s">
        <v>195</v>
      </c>
      <c r="T693" t="s">
        <v>135</v>
      </c>
      <c r="U693">
        <v>87.49</v>
      </c>
      <c r="V693">
        <v>36.58</v>
      </c>
      <c r="W693">
        <f>(((U693/2) * (V693/2)) * PI())</f>
        <v>2513.5758728462115</v>
      </c>
      <c r="X693">
        <f>IF(ISNUMBER(T693), T693*W693, W693)</f>
        <v>2513.5758728462115</v>
      </c>
      <c r="Y693">
        <v>0.16</v>
      </c>
      <c r="Z693">
        <v>0.16</v>
      </c>
      <c r="AA693">
        <v>0.17</v>
      </c>
      <c r="AB693">
        <f>M693/K693</f>
        <v>148.46970531324513</v>
      </c>
    </row>
    <row r="694" spans="1:29" x14ac:dyDescent="0.25">
      <c r="A694">
        <v>326</v>
      </c>
      <c r="B694" t="s">
        <v>831</v>
      </c>
      <c r="D694" t="s">
        <v>400</v>
      </c>
      <c r="E694">
        <v>3</v>
      </c>
      <c r="F694" t="s">
        <v>401</v>
      </c>
      <c r="G694" s="2">
        <v>42930</v>
      </c>
      <c r="H694" t="s">
        <v>192</v>
      </c>
      <c r="I694">
        <v>9.6999999999999993</v>
      </c>
      <c r="K694">
        <v>4.9000000000000002E-2</v>
      </c>
      <c r="L694">
        <v>10</v>
      </c>
      <c r="M694">
        <f>PI()*((I694/2)^2)/100 * L694</f>
        <v>7.38981131940659</v>
      </c>
      <c r="Q694">
        <f>P694 / (300 * 300) * 6.4516</f>
        <v>0</v>
      </c>
      <c r="S694" t="s">
        <v>195</v>
      </c>
      <c r="T694" t="s">
        <v>135</v>
      </c>
      <c r="U694">
        <f>42.81+153</f>
        <v>195.81</v>
      </c>
      <c r="V694">
        <v>76.239999999999995</v>
      </c>
      <c r="W694">
        <f>(((U694/2) * (V694/2)) * PI())</f>
        <v>11724.859207938895</v>
      </c>
      <c r="X694">
        <f>IF(ISNUMBER(T694), T694*W694, W694)</f>
        <v>11724.859207938895</v>
      </c>
      <c r="Y694">
        <v>0.22</v>
      </c>
      <c r="Z694">
        <v>0.24</v>
      </c>
      <c r="AA694">
        <v>0.21</v>
      </c>
      <c r="AB694">
        <f>M694/K694</f>
        <v>150.81247590625694</v>
      </c>
    </row>
    <row r="695" spans="1:29" x14ac:dyDescent="0.25">
      <c r="A695">
        <v>438</v>
      </c>
      <c r="B695" t="s">
        <v>1014</v>
      </c>
      <c r="D695" t="s">
        <v>839</v>
      </c>
      <c r="E695">
        <v>2</v>
      </c>
      <c r="F695" t="s">
        <v>840</v>
      </c>
      <c r="G695" s="2">
        <v>42940</v>
      </c>
      <c r="H695" t="s">
        <v>192</v>
      </c>
      <c r="I695">
        <v>9.6999999999999993</v>
      </c>
      <c r="K695">
        <v>4.9000000000000002E-2</v>
      </c>
      <c r="L695">
        <v>10</v>
      </c>
      <c r="M695">
        <f>PI()*((I695/2)^2)/100 * L695</f>
        <v>7.38981131940659</v>
      </c>
      <c r="Q695">
        <f>P695 / (300 * 300) * 6.4516</f>
        <v>0</v>
      </c>
      <c r="S695" t="s">
        <v>195</v>
      </c>
      <c r="T695" t="s">
        <v>135</v>
      </c>
      <c r="U695">
        <f>71.2+155.9</f>
        <v>227.10000000000002</v>
      </c>
      <c r="V695">
        <v>57.68</v>
      </c>
      <c r="W695">
        <f>(((U695/2) * (V695/2)) * PI())</f>
        <v>10288.03107330809</v>
      </c>
      <c r="X695">
        <f>IF(ISNUMBER(T695), T695*W695, W695)</f>
        <v>10288.03107330809</v>
      </c>
      <c r="Y695">
        <v>0.18</v>
      </c>
      <c r="Z695">
        <v>0.18</v>
      </c>
      <c r="AA695">
        <v>0.17</v>
      </c>
      <c r="AB695">
        <f>M695/K695</f>
        <v>150.81247590625694</v>
      </c>
    </row>
    <row r="696" spans="1:29" x14ac:dyDescent="0.25">
      <c r="A696">
        <v>468</v>
      </c>
      <c r="B696" t="s">
        <v>1087</v>
      </c>
      <c r="D696" t="s">
        <v>1083</v>
      </c>
      <c r="E696">
        <v>4</v>
      </c>
      <c r="F696" t="s">
        <v>1084</v>
      </c>
      <c r="G696" s="2">
        <v>42952</v>
      </c>
      <c r="H696" t="s">
        <v>192</v>
      </c>
      <c r="I696">
        <v>9.6999999999999993</v>
      </c>
      <c r="K696">
        <v>4.9000000000000002E-2</v>
      </c>
      <c r="L696">
        <v>10</v>
      </c>
      <c r="M696">
        <f>PI()*((I696/2)^2)/100 * L696</f>
        <v>7.38981131940659</v>
      </c>
      <c r="Q696">
        <f>P696 / (300 * 300) * 6.4516</f>
        <v>0</v>
      </c>
      <c r="S696" t="s">
        <v>195</v>
      </c>
      <c r="T696" t="s">
        <v>135</v>
      </c>
      <c r="U696">
        <f>154+46.7</f>
        <v>200.7</v>
      </c>
      <c r="V696">
        <v>102.15</v>
      </c>
      <c r="W696">
        <f>(((U696/2) * (V696/2)) * PI())</f>
        <v>16101.844373883603</v>
      </c>
      <c r="X696">
        <f>IF(ISNUMBER(T696), T696*W696, W696)</f>
        <v>16101.844373883603</v>
      </c>
      <c r="Y696">
        <v>0.53</v>
      </c>
      <c r="Z696">
        <v>0.4</v>
      </c>
      <c r="AA696">
        <v>0.41</v>
      </c>
      <c r="AB696">
        <f>M696/K696</f>
        <v>150.81247590625694</v>
      </c>
    </row>
    <row r="697" spans="1:29" x14ac:dyDescent="0.25">
      <c r="A697">
        <v>369</v>
      </c>
      <c r="B697" t="s">
        <v>893</v>
      </c>
      <c r="D697" t="s">
        <v>367</v>
      </c>
      <c r="E697">
        <v>2</v>
      </c>
      <c r="F697" t="s">
        <v>371</v>
      </c>
      <c r="G697" s="2">
        <v>42934</v>
      </c>
      <c r="H697" t="s">
        <v>191</v>
      </c>
      <c r="I697" t="s">
        <v>135</v>
      </c>
      <c r="J697" t="s">
        <v>135</v>
      </c>
      <c r="K697">
        <v>0.4</v>
      </c>
      <c r="L697" t="s">
        <v>135</v>
      </c>
      <c r="M697" t="s">
        <v>135</v>
      </c>
      <c r="P697">
        <v>845957</v>
      </c>
      <c r="Q697">
        <f>P697 / (300 * 300) * 6.4516</f>
        <v>60.641957568888891</v>
      </c>
      <c r="R697" t="s">
        <v>135</v>
      </c>
      <c r="S697" t="s">
        <v>195</v>
      </c>
      <c r="T697" t="s">
        <v>135</v>
      </c>
      <c r="U697">
        <v>24.51</v>
      </c>
      <c r="V697">
        <v>5.5</v>
      </c>
      <c r="W697">
        <f>(((U697/2) * (V697/2)) * PI())</f>
        <v>105.87559941679302</v>
      </c>
      <c r="X697">
        <f>IF(ISNUMBER(T697), T697*W697, W697)</f>
        <v>105.87559941679302</v>
      </c>
      <c r="Y697">
        <v>0.19</v>
      </c>
      <c r="Z697">
        <v>0.19</v>
      </c>
      <c r="AA697">
        <v>0.12</v>
      </c>
      <c r="AB697">
        <f>Q697/K697</f>
        <v>151.60489392222223</v>
      </c>
    </row>
    <row r="698" spans="1:29" x14ac:dyDescent="0.25">
      <c r="A698">
        <v>370</v>
      </c>
      <c r="B698" t="s">
        <v>894</v>
      </c>
      <c r="D698" t="s">
        <v>367</v>
      </c>
      <c r="E698">
        <v>5</v>
      </c>
      <c r="F698" t="s">
        <v>371</v>
      </c>
      <c r="G698" s="2">
        <v>42934</v>
      </c>
      <c r="H698" t="s">
        <v>191</v>
      </c>
      <c r="I698" t="s">
        <v>135</v>
      </c>
      <c r="J698" t="s">
        <v>135</v>
      </c>
      <c r="K698">
        <v>0.307</v>
      </c>
      <c r="L698" t="s">
        <v>135</v>
      </c>
      <c r="M698" t="s">
        <v>135</v>
      </c>
      <c r="P698">
        <v>652022</v>
      </c>
      <c r="Q698">
        <f>P698 / (300 * 300) * 6.4516</f>
        <v>46.739834835555556</v>
      </c>
      <c r="R698" t="s">
        <v>135</v>
      </c>
      <c r="S698" t="s">
        <v>195</v>
      </c>
      <c r="T698" t="s">
        <v>135</v>
      </c>
      <c r="U698">
        <v>24.62</v>
      </c>
      <c r="V698">
        <v>6.28</v>
      </c>
      <c r="W698">
        <f>(((U698/2) * (V698/2)) * PI())</f>
        <v>121.43323747626772</v>
      </c>
      <c r="X698">
        <f>IF(ISNUMBER(T698), T698*W698, W698)</f>
        <v>121.43323747626772</v>
      </c>
      <c r="Y698">
        <v>0.18</v>
      </c>
      <c r="Z698">
        <v>0.17</v>
      </c>
      <c r="AA698">
        <v>0.16</v>
      </c>
      <c r="AB698">
        <f>Q698/K698</f>
        <v>152.24701900832429</v>
      </c>
    </row>
    <row r="699" spans="1:29" x14ac:dyDescent="0.25">
      <c r="A699">
        <v>329</v>
      </c>
      <c r="B699" t="s">
        <v>838</v>
      </c>
      <c r="D699" t="s">
        <v>839</v>
      </c>
      <c r="E699">
        <v>1</v>
      </c>
      <c r="F699" t="s">
        <v>840</v>
      </c>
      <c r="G699" s="2">
        <v>42930</v>
      </c>
      <c r="H699" t="s">
        <v>192</v>
      </c>
      <c r="I699">
        <v>7.1</v>
      </c>
      <c r="K699">
        <v>2.5999999999999999E-2</v>
      </c>
      <c r="L699">
        <v>10</v>
      </c>
      <c r="M699">
        <f>PI()*((I699/2)^2)/100 * L699</f>
        <v>3.9591921416865365</v>
      </c>
      <c r="Q699">
        <f>P699 / (300 * 300) * 6.4516</f>
        <v>0</v>
      </c>
      <c r="S699" t="s">
        <v>195</v>
      </c>
      <c r="T699" t="s">
        <v>135</v>
      </c>
      <c r="U699">
        <f>16.67+153</f>
        <v>169.67000000000002</v>
      </c>
      <c r="V699">
        <v>47.2</v>
      </c>
      <c r="W699">
        <f>(((U699/2) * (V699/2)) * PI())</f>
        <v>6289.8015013080467</v>
      </c>
      <c r="X699">
        <f>IF(ISNUMBER(T699), T699*W699, W699)</f>
        <v>6289.8015013080467</v>
      </c>
      <c r="Y699">
        <v>0.19</v>
      </c>
      <c r="Z699">
        <v>0.19</v>
      </c>
      <c r="AA699">
        <v>0.18</v>
      </c>
      <c r="AB699">
        <f>M699/K699</f>
        <v>152.27662083409757</v>
      </c>
    </row>
    <row r="700" spans="1:29" x14ac:dyDescent="0.25">
      <c r="A700">
        <v>365</v>
      </c>
      <c r="B700" t="s">
        <v>889</v>
      </c>
      <c r="D700" t="s">
        <v>800</v>
      </c>
      <c r="E700">
        <v>2</v>
      </c>
      <c r="F700" t="s">
        <v>801</v>
      </c>
      <c r="G700" s="2">
        <v>42934</v>
      </c>
      <c r="H700" t="s">
        <v>192</v>
      </c>
      <c r="I700">
        <v>7.1</v>
      </c>
      <c r="K700">
        <v>2.5999999999999999E-2</v>
      </c>
      <c r="L700">
        <v>10</v>
      </c>
      <c r="M700">
        <f>PI()*((I700/2)^2)/100 * L700</f>
        <v>3.9591921416865365</v>
      </c>
      <c r="Q700">
        <f>P700 / (300 * 300) * 6.4516</f>
        <v>0</v>
      </c>
      <c r="S700" t="s">
        <v>195</v>
      </c>
      <c r="T700" t="s">
        <v>135</v>
      </c>
      <c r="U700">
        <v>179.38</v>
      </c>
      <c r="V700">
        <v>111.7</v>
      </c>
      <c r="W700">
        <f>(((U700/2) * (V700/2)) * PI())</f>
        <v>15736.823508861167</v>
      </c>
      <c r="X700">
        <f>IF(ISNUMBER(T700), T700*W700, W700)</f>
        <v>15736.823508861167</v>
      </c>
      <c r="Y700">
        <v>0.28999999999999998</v>
      </c>
      <c r="Z700">
        <v>0.25</v>
      </c>
      <c r="AA700">
        <v>0.22</v>
      </c>
      <c r="AB700">
        <f>M700/K700</f>
        <v>152.27662083409757</v>
      </c>
    </row>
    <row r="701" spans="1:29" x14ac:dyDescent="0.25">
      <c r="A701">
        <v>418</v>
      </c>
      <c r="B701" t="s">
        <v>975</v>
      </c>
      <c r="D701" t="s">
        <v>874</v>
      </c>
      <c r="E701">
        <v>3</v>
      </c>
      <c r="F701" t="s">
        <v>875</v>
      </c>
      <c r="G701" s="2">
        <v>42940</v>
      </c>
      <c r="H701" t="s">
        <v>192</v>
      </c>
      <c r="I701">
        <v>7.1</v>
      </c>
      <c r="K701">
        <v>2.5999999999999999E-2</v>
      </c>
      <c r="L701">
        <v>10</v>
      </c>
      <c r="M701">
        <f>PI()*((I701/2)^2)/100 * L701</f>
        <v>3.9591921416865365</v>
      </c>
      <c r="Q701">
        <f>P701 / (300 * 300) * 6.4516</f>
        <v>0</v>
      </c>
      <c r="S701" t="s">
        <v>201</v>
      </c>
      <c r="T701">
        <v>17</v>
      </c>
      <c r="U701">
        <v>79.84</v>
      </c>
      <c r="V701">
        <v>29.4</v>
      </c>
      <c r="W701">
        <f>(((U701/2) * (V701/2)) * PI())</f>
        <v>1843.5619673501767</v>
      </c>
      <c r="X701">
        <f>IF(ISNUMBER(T701), T701*W701, W701)</f>
        <v>31340.553444953002</v>
      </c>
      <c r="Y701">
        <v>0.11</v>
      </c>
      <c r="Z701">
        <v>0.1</v>
      </c>
      <c r="AA701">
        <v>0.1</v>
      </c>
      <c r="AB701">
        <f>M701/K701</f>
        <v>152.27662083409757</v>
      </c>
    </row>
    <row r="702" spans="1:29" x14ac:dyDescent="0.25">
      <c r="A702">
        <v>745</v>
      </c>
      <c r="B702" t="s">
        <v>1704</v>
      </c>
      <c r="D702" t="s">
        <v>1713</v>
      </c>
      <c r="E702">
        <v>4</v>
      </c>
      <c r="F702" t="s">
        <v>1715</v>
      </c>
      <c r="G702" s="3">
        <v>43643</v>
      </c>
      <c r="H702" t="s">
        <v>191</v>
      </c>
      <c r="K702">
        <v>0.61399999999999999</v>
      </c>
      <c r="P702">
        <v>1310092</v>
      </c>
      <c r="Q702">
        <f>P702 / (300 * 300) * 6.4516</f>
        <v>93.913217191111102</v>
      </c>
      <c r="S702" t="s">
        <v>1073</v>
      </c>
      <c r="AB702">
        <f>Q702/K702</f>
        <v>152.95312246109299</v>
      </c>
    </row>
    <row r="703" spans="1:29" x14ac:dyDescent="0.25">
      <c r="A703">
        <v>6</v>
      </c>
      <c r="B703" t="s">
        <v>1183</v>
      </c>
      <c r="D703" t="s">
        <v>626</v>
      </c>
      <c r="E703">
        <v>1</v>
      </c>
      <c r="F703" t="s">
        <v>627</v>
      </c>
      <c r="H703" t="s">
        <v>191</v>
      </c>
      <c r="I703" t="s">
        <v>135</v>
      </c>
      <c r="J703">
        <v>1.7969999999999999</v>
      </c>
      <c r="K703">
        <v>0.58599999999999997</v>
      </c>
      <c r="L703" t="s">
        <v>135</v>
      </c>
      <c r="N703">
        <f>(J703-K703)/J703</f>
        <v>0.67390094602114625</v>
      </c>
      <c r="O703" t="s">
        <v>50</v>
      </c>
      <c r="P703">
        <v>1258028</v>
      </c>
      <c r="Q703">
        <f>P703 / (300 * 300) * 6.4516</f>
        <v>90.181038275555551</v>
      </c>
      <c r="R703">
        <v>5</v>
      </c>
      <c r="S703" t="s">
        <v>195</v>
      </c>
      <c r="T703" t="s">
        <v>135</v>
      </c>
      <c r="U703" t="s">
        <v>135</v>
      </c>
      <c r="V703" t="s">
        <v>135</v>
      </c>
      <c r="W703">
        <f>Q703*100/R703</f>
        <v>1803.6207655111109</v>
      </c>
      <c r="X703">
        <f>W703</f>
        <v>1803.6207655111109</v>
      </c>
      <c r="Y703">
        <v>0.21</v>
      </c>
      <c r="Z703">
        <v>0.18</v>
      </c>
      <c r="AA703">
        <v>0.2</v>
      </c>
      <c r="AB703">
        <f>(Q703)/K703</f>
        <v>153.8925567842245</v>
      </c>
    </row>
    <row r="704" spans="1:29" x14ac:dyDescent="0.25">
      <c r="A704">
        <v>360</v>
      </c>
      <c r="B704" t="s">
        <v>884</v>
      </c>
      <c r="D704" t="s">
        <v>812</v>
      </c>
      <c r="E704">
        <v>3</v>
      </c>
      <c r="F704" t="s">
        <v>813</v>
      </c>
      <c r="G704" s="2">
        <v>42934</v>
      </c>
      <c r="H704" t="s">
        <v>192</v>
      </c>
      <c r="I704">
        <v>9.6999999999999993</v>
      </c>
      <c r="K704">
        <v>4.8000000000000001E-2</v>
      </c>
      <c r="L704">
        <v>10</v>
      </c>
      <c r="M704">
        <f>PI()*((I704/2)^2)/100 * L704</f>
        <v>7.38981131940659</v>
      </c>
      <c r="Q704">
        <f>P704 / (300 * 300) * 6.4516</f>
        <v>0</v>
      </c>
      <c r="S704" t="s">
        <v>201</v>
      </c>
      <c r="T704">
        <v>13</v>
      </c>
      <c r="U704">
        <f>30.33+154.27</f>
        <v>184.60000000000002</v>
      </c>
      <c r="V704">
        <v>60.59</v>
      </c>
      <c r="W704">
        <f>(((U704/2) * (V704/2)) * PI())</f>
        <v>8784.6109133584087</v>
      </c>
      <c r="X704">
        <f>IF(ISNUMBER(T704), T704*W704, W704)</f>
        <v>114199.94187365931</v>
      </c>
      <c r="Y704">
        <v>0.22</v>
      </c>
      <c r="Z704">
        <v>0.24</v>
      </c>
      <c r="AA704">
        <v>0.22</v>
      </c>
      <c r="AB704">
        <f>M704/K704</f>
        <v>153.95440248763728</v>
      </c>
    </row>
    <row r="705" spans="1:29" x14ac:dyDescent="0.25">
      <c r="A705">
        <v>404</v>
      </c>
      <c r="B705" t="s">
        <v>959</v>
      </c>
      <c r="D705" t="s">
        <v>921</v>
      </c>
      <c r="E705">
        <v>4</v>
      </c>
      <c r="F705" t="s">
        <v>922</v>
      </c>
      <c r="G705" s="2">
        <v>42940</v>
      </c>
      <c r="H705" t="s">
        <v>192</v>
      </c>
      <c r="I705">
        <v>7.1</v>
      </c>
      <c r="K705">
        <v>2.8000000000000001E-2</v>
      </c>
      <c r="L705">
        <v>11</v>
      </c>
      <c r="M705">
        <f>PI()*((I705/2)^2)/100 * L705</f>
        <v>4.3551113558551906</v>
      </c>
      <c r="Q705">
        <f>P705 / (300 * 300) * 6.4516</f>
        <v>0</v>
      </c>
      <c r="S705" t="s">
        <v>201</v>
      </c>
      <c r="T705">
        <v>53</v>
      </c>
      <c r="U705">
        <v>31.91</v>
      </c>
      <c r="V705">
        <v>18.28</v>
      </c>
      <c r="W705">
        <f>(((U705/2) * (V705/2)) * PI())</f>
        <v>458.13437260254983</v>
      </c>
      <c r="X705">
        <f>IF(ISNUMBER(T705), T705*W705, W705)</f>
        <v>24281.12174793514</v>
      </c>
      <c r="Y705">
        <v>0.23</v>
      </c>
      <c r="Z705">
        <v>0.23</v>
      </c>
      <c r="AA705">
        <v>0.25</v>
      </c>
      <c r="AB705">
        <f>M705/K705</f>
        <v>155.53969128054251</v>
      </c>
    </row>
    <row r="706" spans="1:29" x14ac:dyDescent="0.25">
      <c r="A706">
        <v>434</v>
      </c>
      <c r="B706" t="s">
        <v>1010</v>
      </c>
      <c r="D706" t="s">
        <v>865</v>
      </c>
      <c r="E706">
        <v>3</v>
      </c>
      <c r="F706" t="s">
        <v>866</v>
      </c>
      <c r="G706" s="2">
        <v>42940</v>
      </c>
      <c r="H706" t="s">
        <v>192</v>
      </c>
      <c r="I706">
        <v>9.6999999999999993</v>
      </c>
      <c r="K706">
        <v>4.7E-2</v>
      </c>
      <c r="L706">
        <v>10</v>
      </c>
      <c r="M706">
        <f>PI()*((I706/2)^2)/100 * L706</f>
        <v>7.38981131940659</v>
      </c>
      <c r="Q706">
        <f>P706 / (300 * 300) * 6.4516</f>
        <v>0</v>
      </c>
      <c r="S706" t="s">
        <v>195</v>
      </c>
      <c r="T706" t="s">
        <v>135</v>
      </c>
      <c r="U706">
        <v>106.55</v>
      </c>
      <c r="V706">
        <v>58.07</v>
      </c>
      <c r="W706">
        <f>(((U706/2) * (V706/2)) * PI())</f>
        <v>4859.5400021815904</v>
      </c>
      <c r="X706">
        <f>IF(ISNUMBER(T706), T706*W706, W706)</f>
        <v>4859.5400021815904</v>
      </c>
      <c r="Y706">
        <v>0.22</v>
      </c>
      <c r="Z706">
        <v>0.18</v>
      </c>
      <c r="AA706">
        <v>0.17</v>
      </c>
      <c r="AB706">
        <f>M706/K706</f>
        <v>157.23002807248065</v>
      </c>
    </row>
    <row r="707" spans="1:29" x14ac:dyDescent="0.25">
      <c r="A707">
        <v>746</v>
      </c>
      <c r="B707" t="s">
        <v>1705</v>
      </c>
      <c r="D707" t="s">
        <v>1713</v>
      </c>
      <c r="E707">
        <v>5</v>
      </c>
      <c r="F707" t="s">
        <v>1715</v>
      </c>
      <c r="G707" s="3">
        <v>43643</v>
      </c>
      <c r="H707" t="s">
        <v>191</v>
      </c>
      <c r="K707">
        <v>0.46300000000000002</v>
      </c>
      <c r="P707">
        <v>1016080</v>
      </c>
      <c r="Q707">
        <f>P707 / (300 * 300) * 6.4516</f>
        <v>72.83713031111111</v>
      </c>
      <c r="S707" t="s">
        <v>1073</v>
      </c>
      <c r="Y707">
        <v>0.15</v>
      </c>
      <c r="Z707">
        <v>0.15</v>
      </c>
      <c r="AA707">
        <v>0.13</v>
      </c>
      <c r="AB707">
        <f>Q707/K707</f>
        <v>157.31561622270218</v>
      </c>
    </row>
    <row r="708" spans="1:29" x14ac:dyDescent="0.25">
      <c r="A708">
        <v>323</v>
      </c>
      <c r="B708" t="s">
        <v>828</v>
      </c>
      <c r="D708" t="s">
        <v>825</v>
      </c>
      <c r="E708">
        <v>5</v>
      </c>
      <c r="F708" t="s">
        <v>826</v>
      </c>
      <c r="G708" s="2">
        <v>42930</v>
      </c>
      <c r="H708" t="s">
        <v>192</v>
      </c>
      <c r="I708">
        <v>7.1</v>
      </c>
      <c r="K708">
        <v>2.5000000000000001E-2</v>
      </c>
      <c r="L708">
        <v>10</v>
      </c>
      <c r="M708">
        <f>PI()*((I708/2)^2)/100 * L708</f>
        <v>3.9591921416865365</v>
      </c>
      <c r="Q708">
        <f>P708 / (300 * 300) * 6.4516</f>
        <v>0</v>
      </c>
      <c r="S708" t="s">
        <v>195</v>
      </c>
      <c r="T708" t="s">
        <v>135</v>
      </c>
      <c r="U708">
        <v>99.45</v>
      </c>
      <c r="V708">
        <v>40.090000000000003</v>
      </c>
      <c r="W708">
        <f>(((U708/2) * (V708/2)) * PI())</f>
        <v>3131.3436002565386</v>
      </c>
      <c r="X708">
        <f>IF(ISNUMBER(T708), T708*W708, W708)</f>
        <v>3131.3436002565386</v>
      </c>
      <c r="Y708">
        <v>0.31</v>
      </c>
      <c r="Z708">
        <v>0.21</v>
      </c>
      <c r="AA708">
        <v>0.27</v>
      </c>
      <c r="AB708">
        <f>M708/K708</f>
        <v>158.36768566746144</v>
      </c>
    </row>
    <row r="709" spans="1:29" x14ac:dyDescent="0.25">
      <c r="A709">
        <v>348</v>
      </c>
      <c r="B709" t="s">
        <v>864</v>
      </c>
      <c r="D709" t="s">
        <v>865</v>
      </c>
      <c r="E709">
        <v>1</v>
      </c>
      <c r="F709" t="s">
        <v>866</v>
      </c>
      <c r="G709" s="2">
        <v>42931</v>
      </c>
      <c r="H709" t="s">
        <v>192</v>
      </c>
      <c r="I709">
        <v>7.1</v>
      </c>
      <c r="K709">
        <v>2.5000000000000001E-2</v>
      </c>
      <c r="L709">
        <v>10</v>
      </c>
      <c r="M709">
        <f>PI()*((I709/2)^2)/100 * L709</f>
        <v>3.9591921416865365</v>
      </c>
      <c r="Q709">
        <f>P709 / (300 * 300) * 6.4516</f>
        <v>0</v>
      </c>
      <c r="S709" t="s">
        <v>195</v>
      </c>
      <c r="T709" t="s">
        <v>135</v>
      </c>
      <c r="U709">
        <v>85.57</v>
      </c>
      <c r="V709">
        <v>43.18</v>
      </c>
      <c r="W709">
        <f>(((U709/2) * (V709/2)) * PI())</f>
        <v>2901.9775699540901</v>
      </c>
      <c r="X709">
        <f>IF(ISNUMBER(T709), T709*W709, W709)</f>
        <v>2901.9775699540901</v>
      </c>
      <c r="Y709">
        <v>0.19</v>
      </c>
      <c r="Z709">
        <v>0.18</v>
      </c>
      <c r="AA709">
        <v>0.2</v>
      </c>
      <c r="AB709">
        <f>M709/K709</f>
        <v>158.36768566746144</v>
      </c>
      <c r="AC709" t="s">
        <v>880</v>
      </c>
    </row>
    <row r="710" spans="1:29" x14ac:dyDescent="0.25">
      <c r="A710">
        <v>398</v>
      </c>
      <c r="B710" t="s">
        <v>953</v>
      </c>
      <c r="D710" t="s">
        <v>921</v>
      </c>
      <c r="E710">
        <v>5</v>
      </c>
      <c r="F710" t="s">
        <v>922</v>
      </c>
      <c r="G710" s="2">
        <v>42940</v>
      </c>
      <c r="H710" t="s">
        <v>192</v>
      </c>
      <c r="I710">
        <v>7.1</v>
      </c>
      <c r="K710">
        <v>2.5000000000000001E-2</v>
      </c>
      <c r="L710">
        <v>10</v>
      </c>
      <c r="M710">
        <f>PI()*((I710/2)^2)/100 * L710</f>
        <v>3.9591921416865365</v>
      </c>
      <c r="Q710">
        <f>P710 / (300 * 300) * 6.4516</f>
        <v>0</v>
      </c>
      <c r="S710" t="s">
        <v>201</v>
      </c>
      <c r="T710">
        <v>100</v>
      </c>
      <c r="U710">
        <v>17.329999999999998</v>
      </c>
      <c r="V710">
        <v>8.92</v>
      </c>
      <c r="W710">
        <f>(((U710/2) * (V710/2)) * PI())</f>
        <v>121.40967553136578</v>
      </c>
      <c r="X710">
        <f>IF(ISNUMBER(T710), T710*W710, W710)</f>
        <v>12140.967553136577</v>
      </c>
      <c r="Y710">
        <v>0.15</v>
      </c>
      <c r="Z710">
        <v>0.2</v>
      </c>
      <c r="AA710">
        <v>0.13</v>
      </c>
      <c r="AB710">
        <f>M710/K710</f>
        <v>158.36768566746144</v>
      </c>
    </row>
    <row r="711" spans="1:29" x14ac:dyDescent="0.25">
      <c r="A711">
        <v>409</v>
      </c>
      <c r="B711" t="s">
        <v>964</v>
      </c>
      <c r="D711" t="s">
        <v>921</v>
      </c>
      <c r="E711">
        <v>3</v>
      </c>
      <c r="F711" t="s">
        <v>922</v>
      </c>
      <c r="G711" s="2">
        <v>42940</v>
      </c>
      <c r="H711" t="s">
        <v>192</v>
      </c>
      <c r="I711">
        <v>7.1</v>
      </c>
      <c r="K711">
        <v>4.2000000000000003E-2</v>
      </c>
      <c r="L711">
        <v>17</v>
      </c>
      <c r="M711">
        <f>PI()*((I711/2)^2)/100 * L711</f>
        <v>6.7306266408671123</v>
      </c>
      <c r="Q711">
        <f>P711 / (300 * 300) * 6.4516</f>
        <v>0</v>
      </c>
      <c r="S711" t="s">
        <v>201</v>
      </c>
      <c r="T711">
        <v>81</v>
      </c>
      <c r="U711">
        <v>19.010000000000002</v>
      </c>
      <c r="V711">
        <v>11.58</v>
      </c>
      <c r="W711">
        <f>(((U711/2) * (V711/2)) * PI())</f>
        <v>172.894253018028</v>
      </c>
      <c r="X711">
        <f>IF(ISNUMBER(T711), T711*W711, W711)</f>
        <v>14004.434494460267</v>
      </c>
      <c r="Y711">
        <v>0.09</v>
      </c>
      <c r="Z711">
        <v>0.11</v>
      </c>
      <c r="AA711">
        <v>0.11</v>
      </c>
      <c r="AB711">
        <f>M711/K711</f>
        <v>160.25301525874076</v>
      </c>
    </row>
    <row r="712" spans="1:29" x14ac:dyDescent="0.25">
      <c r="A712">
        <v>763</v>
      </c>
      <c r="B712" t="s">
        <v>1729</v>
      </c>
      <c r="D712" t="s">
        <v>1723</v>
      </c>
      <c r="E712">
        <v>3</v>
      </c>
      <c r="F712" t="s">
        <v>1737</v>
      </c>
      <c r="G712" s="3">
        <v>43650</v>
      </c>
      <c r="H712" t="s">
        <v>191</v>
      </c>
      <c r="K712">
        <v>1.0529999999999999</v>
      </c>
      <c r="P712">
        <v>2360135</v>
      </c>
      <c r="Q712">
        <f>P712 / (300 * 300) * 6.4516</f>
        <v>169.18496628888889</v>
      </c>
      <c r="Y712">
        <v>0.15</v>
      </c>
      <c r="Z712">
        <v>0.15</v>
      </c>
      <c r="AA712">
        <v>0.14000000000000001</v>
      </c>
      <c r="AB712">
        <f>Q712/K712</f>
        <v>160.66948365516515</v>
      </c>
    </row>
    <row r="713" spans="1:29" x14ac:dyDescent="0.25">
      <c r="A713">
        <v>432</v>
      </c>
      <c r="B713" t="s">
        <v>1008</v>
      </c>
      <c r="D713" t="s">
        <v>848</v>
      </c>
      <c r="E713">
        <v>3</v>
      </c>
      <c r="F713" t="s">
        <v>849</v>
      </c>
      <c r="G713" s="2">
        <v>42940</v>
      </c>
      <c r="H713" t="s">
        <v>192</v>
      </c>
      <c r="I713">
        <v>9.6999999999999993</v>
      </c>
      <c r="K713">
        <v>4.4999999999999998E-2</v>
      </c>
      <c r="L713">
        <v>10</v>
      </c>
      <c r="M713">
        <f>PI()*((I713/2)^2)/100 * L713</f>
        <v>7.38981131940659</v>
      </c>
      <c r="Q713">
        <f>P713 / (300 * 300) * 6.4516</f>
        <v>0</v>
      </c>
      <c r="S713" t="s">
        <v>195</v>
      </c>
      <c r="T713" t="s">
        <v>135</v>
      </c>
      <c r="U713">
        <v>137.94</v>
      </c>
      <c r="V713">
        <v>58.18</v>
      </c>
      <c r="W713">
        <f>(((U713/2) * (V713/2)) * PI())</f>
        <v>6303.0945223031804</v>
      </c>
      <c r="X713">
        <f>IF(ISNUMBER(T713), T713*W713, W713)</f>
        <v>6303.0945223031804</v>
      </c>
      <c r="Y713">
        <v>0.23</v>
      </c>
      <c r="Z713">
        <v>0.22</v>
      </c>
      <c r="AA713">
        <v>0.2</v>
      </c>
      <c r="AB713">
        <f>M713/K713</f>
        <v>164.21802932014646</v>
      </c>
    </row>
    <row r="714" spans="1:29" x14ac:dyDescent="0.25">
      <c r="A714">
        <v>366</v>
      </c>
      <c r="B714" t="s">
        <v>890</v>
      </c>
      <c r="D714" t="s">
        <v>367</v>
      </c>
      <c r="E714">
        <v>3</v>
      </c>
      <c r="F714" t="s">
        <v>371</v>
      </c>
      <c r="G714" s="2">
        <v>42934</v>
      </c>
      <c r="H714" t="s">
        <v>191</v>
      </c>
      <c r="I714" t="s">
        <v>135</v>
      </c>
      <c r="J714" t="s">
        <v>135</v>
      </c>
      <c r="K714">
        <v>0.33400000000000002</v>
      </c>
      <c r="L714" t="s">
        <v>135</v>
      </c>
      <c r="M714" t="s">
        <v>135</v>
      </c>
      <c r="P714">
        <v>768273</v>
      </c>
      <c r="Q714">
        <f>P714 / (300 * 300) * 6.4516</f>
        <v>55.07322318666666</v>
      </c>
      <c r="R714" t="s">
        <v>135</v>
      </c>
      <c r="S714" t="s">
        <v>195</v>
      </c>
      <c r="T714" t="s">
        <v>135</v>
      </c>
      <c r="U714">
        <v>29.02</v>
      </c>
      <c r="V714">
        <v>5.74</v>
      </c>
      <c r="W714">
        <f>(((U714/2) * (V714/2)) * PI())</f>
        <v>130.82754198829727</v>
      </c>
      <c r="X714">
        <f>IF(ISNUMBER(T714), T714*W714, W714)</f>
        <v>130.82754198829727</v>
      </c>
      <c r="Y714">
        <v>0.18</v>
      </c>
      <c r="Z714">
        <v>0.19</v>
      </c>
      <c r="AA714">
        <v>0.2</v>
      </c>
      <c r="AB714">
        <f>Q714/K714</f>
        <v>164.88988978043909</v>
      </c>
    </row>
    <row r="715" spans="1:29" x14ac:dyDescent="0.25">
      <c r="A715">
        <v>391</v>
      </c>
      <c r="B715" t="s">
        <v>939</v>
      </c>
      <c r="D715" t="s">
        <v>925</v>
      </c>
      <c r="E715">
        <v>4</v>
      </c>
      <c r="F715" t="s">
        <v>926</v>
      </c>
      <c r="G715" s="2">
        <v>42936</v>
      </c>
      <c r="H715" t="s">
        <v>192</v>
      </c>
      <c r="I715">
        <v>7.1</v>
      </c>
      <c r="K715">
        <v>2.4E-2</v>
      </c>
      <c r="L715">
        <v>10</v>
      </c>
      <c r="M715">
        <f>PI()*((I715/2)^2)/100 * L715</f>
        <v>3.9591921416865365</v>
      </c>
      <c r="Q715">
        <f>P715 / (300 * 300) * 6.4516</f>
        <v>0</v>
      </c>
      <c r="S715" t="s">
        <v>195</v>
      </c>
      <c r="T715" t="s">
        <v>135</v>
      </c>
      <c r="U715">
        <v>99</v>
      </c>
      <c r="V715">
        <v>32.659999999999997</v>
      </c>
      <c r="W715">
        <f>(((U715/2) * (V715/2)) * PI())</f>
        <v>2539.4592976395052</v>
      </c>
      <c r="X715">
        <f>IF(ISNUMBER(T715), T715*W715, W715)</f>
        <v>2539.4592976395052</v>
      </c>
      <c r="Y715">
        <v>0.21</v>
      </c>
      <c r="Z715">
        <v>0.2</v>
      </c>
      <c r="AA715">
        <v>0.2</v>
      </c>
      <c r="AB715">
        <f>M715/K715</f>
        <v>164.96633923693901</v>
      </c>
    </row>
    <row r="716" spans="1:29" x14ac:dyDescent="0.25">
      <c r="A716">
        <v>742</v>
      </c>
      <c r="B716" t="s">
        <v>1701</v>
      </c>
      <c r="D716" t="s">
        <v>1713</v>
      </c>
      <c r="E716">
        <v>1</v>
      </c>
      <c r="F716" t="s">
        <v>1715</v>
      </c>
      <c r="G716" s="3">
        <v>43643</v>
      </c>
      <c r="H716" t="s">
        <v>191</v>
      </c>
      <c r="K716">
        <v>0.79900000000000004</v>
      </c>
      <c r="P716">
        <v>1866824</v>
      </c>
      <c r="Q716">
        <f>P716 / (300 * 300) * 6.4516</f>
        <v>133.82224131555557</v>
      </c>
      <c r="S716" t="s">
        <v>1073</v>
      </c>
      <c r="AB716">
        <f>Q716/K716</f>
        <v>167.48716059518844</v>
      </c>
    </row>
    <row r="717" spans="1:29" x14ac:dyDescent="0.25">
      <c r="A717">
        <v>407</v>
      </c>
      <c r="B717" t="s">
        <v>962</v>
      </c>
      <c r="D717" t="s">
        <v>426</v>
      </c>
      <c r="E717">
        <v>3</v>
      </c>
      <c r="F717" t="s">
        <v>427</v>
      </c>
      <c r="G717" s="2">
        <v>42940</v>
      </c>
      <c r="H717" t="s">
        <v>192</v>
      </c>
      <c r="I717">
        <v>9.6999999999999993</v>
      </c>
      <c r="K717">
        <v>4.3999999999999997E-2</v>
      </c>
      <c r="L717">
        <v>10</v>
      </c>
      <c r="M717">
        <f>PI()*((I717/2)^2)/100 * L717</f>
        <v>7.38981131940659</v>
      </c>
      <c r="Q717">
        <f>P717 / (300 * 300) * 6.4516</f>
        <v>0</v>
      </c>
      <c r="S717" t="s">
        <v>195</v>
      </c>
      <c r="T717" t="s">
        <v>135</v>
      </c>
      <c r="U717">
        <v>132.28</v>
      </c>
      <c r="V717">
        <v>43.07</v>
      </c>
      <c r="W717">
        <f>(((U717/2) * (V717/2)) * PI())</f>
        <v>4474.648642165017</v>
      </c>
      <c r="X717">
        <f>IF(ISNUMBER(T717), T717*W717, W717)</f>
        <v>4474.648642165017</v>
      </c>
      <c r="Y717">
        <v>0.16</v>
      </c>
      <c r="Z717">
        <v>0.14000000000000001</v>
      </c>
      <c r="AA717">
        <v>0.14000000000000001</v>
      </c>
      <c r="AB717">
        <f>M717/K717</f>
        <v>167.95025725924069</v>
      </c>
    </row>
    <row r="718" spans="1:29" x14ac:dyDescent="0.25">
      <c r="A718">
        <v>743</v>
      </c>
      <c r="B718" t="s">
        <v>1702</v>
      </c>
      <c r="D718" t="s">
        <v>1713</v>
      </c>
      <c r="E718">
        <v>2</v>
      </c>
      <c r="F718" t="s">
        <v>1715</v>
      </c>
      <c r="G718" s="3">
        <v>43643</v>
      </c>
      <c r="H718" t="s">
        <v>191</v>
      </c>
      <c r="K718">
        <v>0.79900000000000004</v>
      </c>
      <c r="P718">
        <v>1872844</v>
      </c>
      <c r="Q718">
        <f>P718 / (300 * 300) * 6.4516</f>
        <v>134.25378167111111</v>
      </c>
      <c r="S718" t="s">
        <v>1073</v>
      </c>
      <c r="AB718">
        <f>Q718/K718</f>
        <v>168.02726116534558</v>
      </c>
    </row>
    <row r="719" spans="1:29" x14ac:dyDescent="0.25">
      <c r="A719">
        <v>395</v>
      </c>
      <c r="B719" t="s">
        <v>945</v>
      </c>
      <c r="D719" t="s">
        <v>921</v>
      </c>
      <c r="E719">
        <v>2</v>
      </c>
      <c r="F719" t="s">
        <v>922</v>
      </c>
      <c r="G719" s="2">
        <v>42936</v>
      </c>
      <c r="H719" t="s">
        <v>192</v>
      </c>
      <c r="I719">
        <v>7.1</v>
      </c>
      <c r="K719">
        <v>2.8000000000000001E-2</v>
      </c>
      <c r="L719">
        <v>12</v>
      </c>
      <c r="M719">
        <f>PI()*((I719/2)^2)/100 * L719</f>
        <v>4.7510305700238442</v>
      </c>
      <c r="Q719">
        <f>P719 / (300 * 300) * 6.4516</f>
        <v>0</v>
      </c>
      <c r="S719" t="s">
        <v>201</v>
      </c>
      <c r="T719">
        <v>70</v>
      </c>
      <c r="U719">
        <v>16.86</v>
      </c>
      <c r="V719">
        <v>9.93</v>
      </c>
      <c r="W719">
        <f>(((U719/2) * (V719/2)) * PI())</f>
        <v>131.4912034363681</v>
      </c>
      <c r="X719">
        <f>IF(ISNUMBER(T719), T719*W719, W719)</f>
        <v>9204.3842405457672</v>
      </c>
      <c r="Y719">
        <v>0.12</v>
      </c>
      <c r="Z719">
        <v>0.12</v>
      </c>
      <c r="AA719">
        <v>0.12</v>
      </c>
      <c r="AB719">
        <f>M719/K719</f>
        <v>169.67966321513728</v>
      </c>
    </row>
    <row r="720" spans="1:29" x14ac:dyDescent="0.25">
      <c r="A720">
        <v>364</v>
      </c>
      <c r="B720" t="s">
        <v>888</v>
      </c>
      <c r="D720" t="s">
        <v>367</v>
      </c>
      <c r="E720">
        <v>4</v>
      </c>
      <c r="F720" t="s">
        <v>371</v>
      </c>
      <c r="G720" s="2">
        <v>42934</v>
      </c>
      <c r="H720" t="s">
        <v>191</v>
      </c>
      <c r="I720" t="s">
        <v>135</v>
      </c>
      <c r="J720" t="s">
        <v>135</v>
      </c>
      <c r="K720">
        <v>0.21</v>
      </c>
      <c r="L720" t="s">
        <v>135</v>
      </c>
      <c r="M720" t="s">
        <v>135</v>
      </c>
      <c r="P720">
        <v>503037</v>
      </c>
      <c r="Q720">
        <f>P720 / (300 * 300) * 6.4516</f>
        <v>36.059927879999996</v>
      </c>
      <c r="R720" t="s">
        <v>135</v>
      </c>
      <c r="S720" t="s">
        <v>195</v>
      </c>
      <c r="T720" t="s">
        <v>135</v>
      </c>
      <c r="U720">
        <v>21.88</v>
      </c>
      <c r="V720">
        <v>4.12</v>
      </c>
      <c r="W720">
        <f>(((U720/2) * (V720/2)) * PI())</f>
        <v>70.80018867836101</v>
      </c>
      <c r="X720">
        <f>IF(ISNUMBER(T720), T720*W720, W720)</f>
        <v>70.80018867836101</v>
      </c>
      <c r="Y720">
        <v>0.2</v>
      </c>
      <c r="Z720">
        <v>0.22</v>
      </c>
      <c r="AA720">
        <v>0.19</v>
      </c>
      <c r="AB720">
        <f>Q720/K720</f>
        <v>171.71394228571427</v>
      </c>
    </row>
    <row r="721" spans="1:29" x14ac:dyDescent="0.25">
      <c r="A721">
        <v>417</v>
      </c>
      <c r="B721" t="s">
        <v>974</v>
      </c>
      <c r="D721" t="s">
        <v>874</v>
      </c>
      <c r="E721">
        <v>2</v>
      </c>
      <c r="F721" t="s">
        <v>875</v>
      </c>
      <c r="G721" s="2">
        <v>42940</v>
      </c>
      <c r="H721" t="s">
        <v>192</v>
      </c>
      <c r="I721">
        <v>7.1</v>
      </c>
      <c r="K721">
        <v>2.1999999999999999E-2</v>
      </c>
      <c r="L721">
        <v>10</v>
      </c>
      <c r="M721">
        <f>PI()*((I721/2)^2)/100 * L721</f>
        <v>3.9591921416865365</v>
      </c>
      <c r="Q721">
        <f>P721 / (300 * 300) * 6.4516</f>
        <v>0</v>
      </c>
      <c r="S721" t="s">
        <v>201</v>
      </c>
      <c r="T721">
        <v>15</v>
      </c>
      <c r="U721">
        <v>48.28</v>
      </c>
      <c r="V721">
        <v>17.760000000000002</v>
      </c>
      <c r="W721">
        <f>(((U721/2) * (V721/2)) * PI())</f>
        <v>673.44185431999961</v>
      </c>
      <c r="X721">
        <f>IF(ISNUMBER(T721), T721*W721, W721)</f>
        <v>10101.627814799995</v>
      </c>
      <c r="Y721">
        <v>0.12</v>
      </c>
      <c r="Z721">
        <v>9</v>
      </c>
      <c r="AA721">
        <v>0.13</v>
      </c>
      <c r="AB721">
        <f>M721/K721</f>
        <v>179.96327916756985</v>
      </c>
    </row>
    <row r="722" spans="1:29" x14ac:dyDescent="0.25">
      <c r="A722">
        <v>444</v>
      </c>
      <c r="B722" t="s">
        <v>1059</v>
      </c>
      <c r="D722" t="s">
        <v>809</v>
      </c>
      <c r="E722">
        <v>4</v>
      </c>
      <c r="F722" t="s">
        <v>810</v>
      </c>
      <c r="G722" s="2">
        <v>42950</v>
      </c>
      <c r="H722" t="s">
        <v>192</v>
      </c>
      <c r="I722">
        <v>9.6999999999999993</v>
      </c>
      <c r="K722">
        <v>4.3999999999999997E-2</v>
      </c>
      <c r="L722">
        <v>11</v>
      </c>
      <c r="M722">
        <f>PI()*((I722/2)^2)/100 * L722</f>
        <v>8.1287924513472483</v>
      </c>
      <c r="Q722">
        <f>P722 / (300 * 300) * 6.4516</f>
        <v>0</v>
      </c>
      <c r="S722" t="s">
        <v>201</v>
      </c>
      <c r="T722">
        <v>11</v>
      </c>
      <c r="U722">
        <v>64.13</v>
      </c>
      <c r="V722">
        <v>22.97</v>
      </c>
      <c r="W722">
        <f>(((U722/2) * (V722/2)) * PI())</f>
        <v>1156.9434095030417</v>
      </c>
      <c r="X722">
        <f>IF(ISNUMBER(T722), T722*W722, W722)</f>
        <v>12726.377504533459</v>
      </c>
      <c r="Y722">
        <v>0.16</v>
      </c>
      <c r="Z722">
        <v>0.15</v>
      </c>
      <c r="AA722">
        <v>0.18</v>
      </c>
      <c r="AB722">
        <f>M722/K722</f>
        <v>184.74528298516475</v>
      </c>
    </row>
    <row r="723" spans="1:29" x14ac:dyDescent="0.25">
      <c r="A723">
        <v>451</v>
      </c>
      <c r="B723" t="s">
        <v>1066</v>
      </c>
      <c r="D723" t="s">
        <v>858</v>
      </c>
      <c r="E723">
        <v>2</v>
      </c>
      <c r="F723" t="s">
        <v>859</v>
      </c>
      <c r="G723" s="2">
        <v>42950</v>
      </c>
      <c r="H723" t="s">
        <v>192</v>
      </c>
      <c r="I723">
        <v>9.6999999999999993</v>
      </c>
      <c r="K723">
        <v>3.5999999999999997E-2</v>
      </c>
      <c r="L723">
        <v>9</v>
      </c>
      <c r="M723">
        <f>PI()*((I723/2)^2)/100 * L723</f>
        <v>6.6508301874659308</v>
      </c>
      <c r="Q723">
        <f>P723 / (300 * 300) * 6.4516</f>
        <v>0</v>
      </c>
      <c r="S723" t="s">
        <v>195</v>
      </c>
      <c r="T723" t="s">
        <v>135</v>
      </c>
      <c r="U723">
        <v>91.47</v>
      </c>
      <c r="V723">
        <v>86.88</v>
      </c>
      <c r="W723">
        <f>(((U723/2) * (V723/2)) * PI())</f>
        <v>6241.4913461182041</v>
      </c>
      <c r="X723">
        <f>IF(ISNUMBER(T723), T723*W723, W723)</f>
        <v>6241.4913461182041</v>
      </c>
      <c r="Y723">
        <v>0.26</v>
      </c>
      <c r="Z723">
        <v>0.26</v>
      </c>
      <c r="AA723">
        <v>0.27</v>
      </c>
      <c r="AB723">
        <f>M723/K723</f>
        <v>184.74528298516475</v>
      </c>
    </row>
    <row r="724" spans="1:29" x14ac:dyDescent="0.25">
      <c r="A724">
        <v>744</v>
      </c>
      <c r="B724" t="s">
        <v>1703</v>
      </c>
      <c r="D724" t="s">
        <v>1713</v>
      </c>
      <c r="E724">
        <v>3</v>
      </c>
      <c r="F724" t="s">
        <v>1715</v>
      </c>
      <c r="G724" s="3">
        <v>43643</v>
      </c>
      <c r="H724" t="s">
        <v>191</v>
      </c>
      <c r="K724">
        <v>0.59799999999999998</v>
      </c>
      <c r="P724">
        <v>1585734</v>
      </c>
      <c r="Q724">
        <f>P724 / (300 * 300) * 6.4516</f>
        <v>113.67246082666668</v>
      </c>
      <c r="S724" t="s">
        <v>1073</v>
      </c>
      <c r="AB724">
        <f>Q724/K724</f>
        <v>190.08772713489412</v>
      </c>
    </row>
    <row r="725" spans="1:29" x14ac:dyDescent="0.25">
      <c r="A725">
        <v>58</v>
      </c>
      <c r="B725" t="s">
        <v>1184</v>
      </c>
      <c r="D725" t="s">
        <v>626</v>
      </c>
      <c r="E725">
        <v>2</v>
      </c>
      <c r="F725" t="s">
        <v>627</v>
      </c>
      <c r="H725" t="s">
        <v>191</v>
      </c>
      <c r="I725" t="s">
        <v>135</v>
      </c>
      <c r="J725">
        <v>1.083</v>
      </c>
      <c r="K725">
        <v>0.26400000000000001</v>
      </c>
      <c r="L725" t="s">
        <v>135</v>
      </c>
      <c r="N725">
        <f>(J725-K725)/J725</f>
        <v>0.75623268698060941</v>
      </c>
      <c r="O725" t="s">
        <v>169</v>
      </c>
      <c r="P725">
        <v>711777</v>
      </c>
      <c r="Q725">
        <f>P725 / (300 * 300) * 6.4516</f>
        <v>51.023338813333332</v>
      </c>
      <c r="R725">
        <v>5</v>
      </c>
      <c r="S725" t="s">
        <v>195</v>
      </c>
      <c r="T725" t="s">
        <v>135</v>
      </c>
      <c r="U725" t="s">
        <v>135</v>
      </c>
      <c r="V725" t="s">
        <v>135</v>
      </c>
      <c r="W725">
        <f>Q725*100/R725</f>
        <v>1020.4667762666666</v>
      </c>
      <c r="X725">
        <f>W725</f>
        <v>1020.4667762666666</v>
      </c>
      <c r="Y725">
        <v>0.15</v>
      </c>
      <c r="Z725">
        <v>0.12</v>
      </c>
      <c r="AA725">
        <v>0.14000000000000001</v>
      </c>
      <c r="AB725">
        <f>(Q725)/K725</f>
        <v>193.27022277777778</v>
      </c>
    </row>
    <row r="726" spans="1:29" x14ac:dyDescent="0.25">
      <c r="A726">
        <v>355</v>
      </c>
      <c r="B726" t="s">
        <v>872</v>
      </c>
      <c r="D726" t="s">
        <v>400</v>
      </c>
      <c r="E726">
        <v>5</v>
      </c>
      <c r="F726" t="s">
        <v>401</v>
      </c>
      <c r="G726" s="2">
        <v>42931</v>
      </c>
      <c r="H726" t="s">
        <v>192</v>
      </c>
      <c r="I726">
        <v>9.6999999999999993</v>
      </c>
      <c r="K726">
        <v>3.6999999999999998E-2</v>
      </c>
      <c r="L726">
        <v>10</v>
      </c>
      <c r="M726">
        <f>PI()*((I726/2)^2)/100 * L726</f>
        <v>7.38981131940659</v>
      </c>
      <c r="Q726">
        <f>P726 / (300 * 300) * 6.4516</f>
        <v>0</v>
      </c>
      <c r="S726" t="s">
        <v>195</v>
      </c>
      <c r="T726" t="s">
        <v>135</v>
      </c>
      <c r="U726">
        <f>28.02+153.3</f>
        <v>181.32000000000002</v>
      </c>
      <c r="V726">
        <v>98.33</v>
      </c>
      <c r="W726">
        <f>(((U726/2) * (V726/2)) * PI())</f>
        <v>14003.017479093867</v>
      </c>
      <c r="X726">
        <f>IF(ISNUMBER(T726), T726*W726, W726)</f>
        <v>14003.017479093867</v>
      </c>
      <c r="Y726">
        <v>0.24</v>
      </c>
      <c r="Z726">
        <v>0.23</v>
      </c>
      <c r="AA726">
        <v>0.23</v>
      </c>
      <c r="AB726">
        <f>M726/K726</f>
        <v>199.72463025423218</v>
      </c>
      <c r="AC726" t="s">
        <v>880</v>
      </c>
    </row>
    <row r="727" spans="1:29" x14ac:dyDescent="0.25">
      <c r="A727">
        <v>752</v>
      </c>
      <c r="B727" t="s">
        <v>1711</v>
      </c>
      <c r="D727" t="s">
        <v>1279</v>
      </c>
      <c r="E727">
        <v>4</v>
      </c>
      <c r="F727" t="s">
        <v>1280</v>
      </c>
      <c r="G727" s="3">
        <v>43643</v>
      </c>
      <c r="H727" t="s">
        <v>191</v>
      </c>
      <c r="K727">
        <v>1.4910000000000001</v>
      </c>
      <c r="P727">
        <v>4256489</v>
      </c>
      <c r="Q727">
        <f>P727 / (300 * 300) * 6.4516</f>
        <v>305.12404924888887</v>
      </c>
      <c r="S727" t="s">
        <v>1721</v>
      </c>
      <c r="T727">
        <v>5</v>
      </c>
      <c r="Y727">
        <v>0.27</v>
      </c>
      <c r="Z727">
        <v>0.21</v>
      </c>
      <c r="AA727">
        <v>0.26</v>
      </c>
      <c r="AB727">
        <f>Q727/K727</f>
        <v>204.64389620985168</v>
      </c>
    </row>
    <row r="728" spans="1:29" x14ac:dyDescent="0.25">
      <c r="A728">
        <v>55</v>
      </c>
      <c r="B728" t="s">
        <v>90</v>
      </c>
      <c r="D728" t="s">
        <v>367</v>
      </c>
      <c r="E728">
        <v>1</v>
      </c>
      <c r="F728" t="s">
        <v>371</v>
      </c>
      <c r="H728" t="s">
        <v>191</v>
      </c>
      <c r="I728" t="s">
        <v>135</v>
      </c>
      <c r="J728">
        <v>0.30299999999999999</v>
      </c>
      <c r="K728">
        <v>0.09</v>
      </c>
      <c r="L728" t="s">
        <v>135</v>
      </c>
      <c r="N728">
        <f>(J728-K728)/J728</f>
        <v>0.70297029702970293</v>
      </c>
      <c r="O728" t="s">
        <v>174</v>
      </c>
      <c r="P728">
        <v>257690</v>
      </c>
      <c r="Q728">
        <f>P728 / (300 * 300) * 6.4516</f>
        <v>18.472364488888889</v>
      </c>
      <c r="R728">
        <v>43</v>
      </c>
      <c r="S728" t="s">
        <v>195</v>
      </c>
      <c r="T728" t="s">
        <v>135</v>
      </c>
      <c r="U728" t="s">
        <v>135</v>
      </c>
      <c r="V728" t="s">
        <v>135</v>
      </c>
      <c r="W728">
        <f>(Q728/R728) * 100</f>
        <v>42.958987183462533</v>
      </c>
      <c r="X728">
        <f>W728</f>
        <v>42.958987183462533</v>
      </c>
      <c r="Y728">
        <v>0.16</v>
      </c>
      <c r="Z728">
        <v>0.15</v>
      </c>
      <c r="AA728">
        <v>0.14000000000000001</v>
      </c>
      <c r="AB728">
        <f>(Q728)/K728</f>
        <v>205.24849432098767</v>
      </c>
    </row>
    <row r="729" spans="1:29" x14ac:dyDescent="0.25">
      <c r="A729">
        <v>367</v>
      </c>
      <c r="B729" t="s">
        <v>891</v>
      </c>
      <c r="D729" t="s">
        <v>800</v>
      </c>
      <c r="E729">
        <v>3</v>
      </c>
      <c r="F729" t="s">
        <v>801</v>
      </c>
      <c r="G729" s="2">
        <v>42934</v>
      </c>
      <c r="H729" t="s">
        <v>192</v>
      </c>
      <c r="I729">
        <v>9.6999999999999993</v>
      </c>
      <c r="K729">
        <v>3.5000000000000003E-2</v>
      </c>
      <c r="L729">
        <v>10</v>
      </c>
      <c r="M729">
        <f>PI()*((I729/2)^2)/100 * L729</f>
        <v>7.38981131940659</v>
      </c>
      <c r="Q729">
        <f>P729 / (300 * 300) * 6.4516</f>
        <v>0</v>
      </c>
      <c r="S729" t="s">
        <v>195</v>
      </c>
      <c r="T729" t="s">
        <v>135</v>
      </c>
      <c r="U729">
        <v>137.09</v>
      </c>
      <c r="V729">
        <v>106.81</v>
      </c>
      <c r="W729">
        <f>(((U729/2) * (V729/2)) * PI())</f>
        <v>11500.257717054883</v>
      </c>
      <c r="X729">
        <f>IF(ISNUMBER(T729), T729*W729, W729)</f>
        <v>11500.257717054883</v>
      </c>
      <c r="Y729">
        <v>0.26</v>
      </c>
      <c r="Z729">
        <v>0.26</v>
      </c>
      <c r="AA729">
        <v>0.28000000000000003</v>
      </c>
      <c r="AB729">
        <f>M729/K729</f>
        <v>211.13746626875968</v>
      </c>
    </row>
    <row r="730" spans="1:29" x14ac:dyDescent="0.25">
      <c r="A730">
        <v>332</v>
      </c>
      <c r="B730" t="s">
        <v>843</v>
      </c>
      <c r="D730" t="s">
        <v>825</v>
      </c>
      <c r="E730">
        <v>4</v>
      </c>
      <c r="F730" t="s">
        <v>826</v>
      </c>
      <c r="G730" s="2">
        <v>42930</v>
      </c>
      <c r="H730" t="s">
        <v>192</v>
      </c>
      <c r="I730">
        <v>9.6999999999999993</v>
      </c>
      <c r="K730">
        <v>3.3000000000000002E-2</v>
      </c>
      <c r="L730">
        <v>10</v>
      </c>
      <c r="M730">
        <f>PI()*((I730/2)^2)/100 * L730</f>
        <v>7.38981131940659</v>
      </c>
      <c r="Q730">
        <f>P730 / (300 * 300) * 6.4516</f>
        <v>0</v>
      </c>
      <c r="S730" t="s">
        <v>195</v>
      </c>
      <c r="T730" t="s">
        <v>135</v>
      </c>
      <c r="U730">
        <v>113.77</v>
      </c>
      <c r="V730">
        <v>49.91</v>
      </c>
      <c r="W730">
        <f>(((U730/2) * (V730/2)) * PI())</f>
        <v>4459.6955250719093</v>
      </c>
      <c r="X730">
        <f>IF(ISNUMBER(T730), T730*W730, W730)</f>
        <v>4459.6955250719093</v>
      </c>
      <c r="Y730">
        <v>0.26</v>
      </c>
      <c r="Z730">
        <v>0.26</v>
      </c>
      <c r="AA730">
        <v>0.28000000000000003</v>
      </c>
      <c r="AB730">
        <f>M730/K730</f>
        <v>223.93367634565422</v>
      </c>
    </row>
    <row r="731" spans="1:29" x14ac:dyDescent="0.25">
      <c r="A731">
        <v>633</v>
      </c>
      <c r="B731" t="s">
        <v>1497</v>
      </c>
      <c r="C731" t="s">
        <v>804</v>
      </c>
      <c r="D731" t="s">
        <v>331</v>
      </c>
      <c r="E731">
        <v>5</v>
      </c>
      <c r="F731" t="s">
        <v>5</v>
      </c>
      <c r="G731" s="2">
        <v>43618</v>
      </c>
      <c r="H731" t="s">
        <v>191</v>
      </c>
      <c r="Q731">
        <f>P731 / (300 * 300) * 6.4516</f>
        <v>0</v>
      </c>
      <c r="AB731">
        <v>249.67993060000001</v>
      </c>
      <c r="AC731" t="s">
        <v>1607</v>
      </c>
    </row>
    <row r="732" spans="1:29" x14ac:dyDescent="0.25">
      <c r="A732">
        <v>56</v>
      </c>
      <c r="B732" t="s">
        <v>6</v>
      </c>
      <c r="D732" t="s">
        <v>368</v>
      </c>
      <c r="E732">
        <v>1</v>
      </c>
      <c r="F732" t="s">
        <v>322</v>
      </c>
      <c r="H732" t="s">
        <v>191</v>
      </c>
      <c r="I732" t="s">
        <v>135</v>
      </c>
      <c r="J732">
        <v>2.948</v>
      </c>
      <c r="K732">
        <v>1.427</v>
      </c>
      <c r="L732" t="s">
        <v>135</v>
      </c>
      <c r="N732">
        <f>(J732-K732)/J732</f>
        <v>0.51594301221166894</v>
      </c>
      <c r="O732" t="s">
        <v>159</v>
      </c>
      <c r="P732">
        <f>2999326+2006795</f>
        <v>5006121</v>
      </c>
      <c r="Q732">
        <f>P732 / (300 * 300) * 6.4516</f>
        <v>358.86100270666668</v>
      </c>
      <c r="R732">
        <v>2</v>
      </c>
      <c r="S732" t="s">
        <v>201</v>
      </c>
      <c r="T732">
        <v>17</v>
      </c>
      <c r="U732" t="s">
        <v>135</v>
      </c>
      <c r="V732" t="s">
        <v>135</v>
      </c>
      <c r="W732">
        <f>Q732*100/T732</f>
        <v>2110.9470747450982</v>
      </c>
      <c r="X732">
        <f>Q732*100/R732</f>
        <v>17943.050135333335</v>
      </c>
      <c r="Y732">
        <v>0.19</v>
      </c>
      <c r="Z732">
        <v>0.18</v>
      </c>
      <c r="AA732">
        <v>0.21</v>
      </c>
      <c r="AB732">
        <f>(Q732)/K732</f>
        <v>251.47932915673908</v>
      </c>
    </row>
    <row r="733" spans="1:29" x14ac:dyDescent="0.25">
      <c r="A733">
        <v>728</v>
      </c>
      <c r="B733" t="s">
        <v>1282</v>
      </c>
      <c r="D733" t="s">
        <v>1279</v>
      </c>
      <c r="E733">
        <v>3</v>
      </c>
      <c r="F733" t="s">
        <v>1280</v>
      </c>
      <c r="G733" s="3">
        <v>43629</v>
      </c>
      <c r="H733" t="s">
        <v>191</v>
      </c>
      <c r="K733">
        <v>1.042</v>
      </c>
      <c r="P733">
        <v>3787135</v>
      </c>
      <c r="Q733">
        <f>P733 / (300 * 300) * 6.4516</f>
        <v>271.4786685111111</v>
      </c>
      <c r="S733" t="s">
        <v>1721</v>
      </c>
      <c r="T733">
        <v>5</v>
      </c>
      <c r="AB733">
        <f>Q733/K733</f>
        <v>260.53615020260179</v>
      </c>
    </row>
    <row r="734" spans="1:29" x14ac:dyDescent="0.25">
      <c r="A734">
        <v>727</v>
      </c>
      <c r="B734" t="s">
        <v>1281</v>
      </c>
      <c r="D734" t="s">
        <v>1279</v>
      </c>
      <c r="E734">
        <v>2</v>
      </c>
      <c r="F734" t="s">
        <v>1280</v>
      </c>
      <c r="G734" s="3">
        <v>43629</v>
      </c>
      <c r="H734" t="s">
        <v>191</v>
      </c>
      <c r="K734">
        <v>1.111</v>
      </c>
      <c r="P734">
        <v>4247375</v>
      </c>
      <c r="Q734">
        <f>P734 / (300 * 300) * 6.4516</f>
        <v>304.47071722222222</v>
      </c>
      <c r="S734" t="s">
        <v>1721</v>
      </c>
      <c r="T734">
        <v>5</v>
      </c>
      <c r="AB734">
        <f>Q734/K734</f>
        <v>274.05105060506048</v>
      </c>
    </row>
    <row r="735" spans="1:29" x14ac:dyDescent="0.25">
      <c r="A735">
        <v>435</v>
      </c>
      <c r="B735" t="s">
        <v>1011</v>
      </c>
      <c r="D735" t="s">
        <v>865</v>
      </c>
      <c r="E735">
        <v>2</v>
      </c>
      <c r="F735" t="s">
        <v>866</v>
      </c>
      <c r="G735" s="2">
        <v>42940</v>
      </c>
      <c r="H735" t="s">
        <v>192</v>
      </c>
      <c r="I735">
        <v>9.6999999999999993</v>
      </c>
      <c r="K735">
        <v>2.5999999999999999E-2</v>
      </c>
      <c r="L735">
        <v>10</v>
      </c>
      <c r="M735">
        <f>PI()*((I735/2)^2)/100 * L735</f>
        <v>7.38981131940659</v>
      </c>
      <c r="Q735">
        <f>P735 / (300 * 300) * 6.4516</f>
        <v>0</v>
      </c>
      <c r="S735" t="s">
        <v>195</v>
      </c>
      <c r="T735" t="s">
        <v>135</v>
      </c>
      <c r="U735">
        <v>105.07</v>
      </c>
      <c r="V735">
        <v>56.41</v>
      </c>
      <c r="W735">
        <f>(((U735/2) * (V735/2)) * PI())</f>
        <v>4655.0538934390624</v>
      </c>
      <c r="X735">
        <f>IF(ISNUMBER(T735), T735*W735, W735)</f>
        <v>4655.0538934390624</v>
      </c>
      <c r="Y735">
        <v>0.16</v>
      </c>
      <c r="Z735">
        <v>0.15</v>
      </c>
      <c r="AA735">
        <v>0.16</v>
      </c>
      <c r="AB735">
        <f>M735/K735</f>
        <v>284.22351228486883</v>
      </c>
    </row>
    <row r="736" spans="1:29" x14ac:dyDescent="0.25">
      <c r="A736">
        <v>441</v>
      </c>
      <c r="B736" t="s">
        <v>1069</v>
      </c>
      <c r="D736" t="s">
        <v>800</v>
      </c>
      <c r="E736">
        <v>5</v>
      </c>
      <c r="F736" t="s">
        <v>801</v>
      </c>
      <c r="G736" s="2">
        <v>42950</v>
      </c>
      <c r="H736" t="s">
        <v>192</v>
      </c>
      <c r="I736">
        <v>9.6999999999999993</v>
      </c>
      <c r="K736">
        <v>2.5999999999999999E-2</v>
      </c>
      <c r="L736">
        <v>13</v>
      </c>
      <c r="M736">
        <f>PI()*((I736/2)^2)/100 *L736</f>
        <v>9.6067547152285666</v>
      </c>
      <c r="Q736">
        <f>P736 / (300 * 300) * 6.4516</f>
        <v>0</v>
      </c>
      <c r="S736" t="s">
        <v>195</v>
      </c>
      <c r="T736" t="s">
        <v>135</v>
      </c>
      <c r="U736">
        <v>125.66</v>
      </c>
      <c r="V736">
        <v>78.430000000000007</v>
      </c>
      <c r="W736">
        <f>(((U736/2) * (V736/2)) * PI())</f>
        <v>7740.5024378582066</v>
      </c>
      <c r="X736">
        <f>IF(ISNUMBER(T736), T736*W736, W736)</f>
        <v>7740.5024378582066</v>
      </c>
      <c r="Y736">
        <v>0.15</v>
      </c>
      <c r="Z736">
        <v>0.19</v>
      </c>
      <c r="AA736">
        <v>0.16</v>
      </c>
      <c r="AB736">
        <f>M736/K736</f>
        <v>369.4905659703295</v>
      </c>
    </row>
    <row r="737" spans="1:29" x14ac:dyDescent="0.25">
      <c r="A737">
        <v>535</v>
      </c>
      <c r="B737" t="s">
        <v>1366</v>
      </c>
      <c r="C737" t="s">
        <v>143</v>
      </c>
      <c r="D737" t="s">
        <v>332</v>
      </c>
      <c r="E737">
        <v>1</v>
      </c>
      <c r="F737" t="s">
        <v>1367</v>
      </c>
      <c r="G737" s="2">
        <v>43609</v>
      </c>
      <c r="H737" t="s">
        <v>191</v>
      </c>
      <c r="Q737">
        <f>P737 / (300 * 300) * 6.4516</f>
        <v>0</v>
      </c>
      <c r="AB737" t="s">
        <v>135</v>
      </c>
      <c r="AC737" t="s">
        <v>1607</v>
      </c>
    </row>
    <row r="738" spans="1:29" x14ac:dyDescent="0.25">
      <c r="A738">
        <v>541</v>
      </c>
      <c r="B738" t="s">
        <v>1378</v>
      </c>
      <c r="C738" t="s">
        <v>1379</v>
      </c>
      <c r="D738" t="s">
        <v>332</v>
      </c>
      <c r="E738">
        <v>15</v>
      </c>
      <c r="F738" t="s">
        <v>1367</v>
      </c>
      <c r="G738" s="2">
        <v>43635</v>
      </c>
      <c r="H738" t="s">
        <v>191</v>
      </c>
      <c r="Q738">
        <f>P738 / (300 * 300) * 6.4516</f>
        <v>0</v>
      </c>
      <c r="AB738" t="s">
        <v>135</v>
      </c>
      <c r="AC738" t="s">
        <v>1607</v>
      </c>
    </row>
    <row r="739" spans="1:29" x14ac:dyDescent="0.25">
      <c r="A739">
        <v>551</v>
      </c>
      <c r="B739" t="s">
        <v>1393</v>
      </c>
      <c r="C739" t="s">
        <v>40</v>
      </c>
      <c r="D739" t="s">
        <v>351</v>
      </c>
      <c r="E739">
        <v>1</v>
      </c>
      <c r="F739" t="s">
        <v>219</v>
      </c>
      <c r="G739" s="2">
        <v>43632</v>
      </c>
      <c r="H739" t="s">
        <v>191</v>
      </c>
      <c r="Q739">
        <f>P739 / (300 * 300) * 6.4516</f>
        <v>0</v>
      </c>
      <c r="AB739" t="s">
        <v>135</v>
      </c>
      <c r="AC739" t="s">
        <v>1607</v>
      </c>
    </row>
    <row r="740" spans="1:29" x14ac:dyDescent="0.25">
      <c r="A740">
        <v>553</v>
      </c>
      <c r="B740" t="s">
        <v>1396</v>
      </c>
      <c r="C740" t="s">
        <v>1228</v>
      </c>
      <c r="D740" t="s">
        <v>351</v>
      </c>
      <c r="E740">
        <v>2</v>
      </c>
      <c r="F740" t="s">
        <v>219</v>
      </c>
      <c r="G740" s="2">
        <v>43632</v>
      </c>
      <c r="H740" t="s">
        <v>191</v>
      </c>
      <c r="Q740">
        <f>P740 / (300 * 300) * 6.4516</f>
        <v>0</v>
      </c>
      <c r="AB740" t="s">
        <v>135</v>
      </c>
      <c r="AC740" t="s">
        <v>1607</v>
      </c>
    </row>
    <row r="741" spans="1:29" x14ac:dyDescent="0.25">
      <c r="A741">
        <v>554</v>
      </c>
      <c r="B741" t="s">
        <v>1397</v>
      </c>
      <c r="C741" t="s">
        <v>1229</v>
      </c>
      <c r="D741" t="s">
        <v>351</v>
      </c>
      <c r="E741">
        <v>3</v>
      </c>
      <c r="F741" t="s">
        <v>219</v>
      </c>
      <c r="G741" s="2">
        <v>43632</v>
      </c>
      <c r="H741" t="s">
        <v>191</v>
      </c>
      <c r="Q741">
        <f>P741 / (300 * 300) * 6.4516</f>
        <v>0</v>
      </c>
      <c r="AB741" t="s">
        <v>135</v>
      </c>
      <c r="AC741" t="s">
        <v>1607</v>
      </c>
    </row>
    <row r="742" spans="1:29" x14ac:dyDescent="0.25">
      <c r="A742">
        <v>555</v>
      </c>
      <c r="B742" t="s">
        <v>1398</v>
      </c>
      <c r="C742" t="s">
        <v>1230</v>
      </c>
      <c r="D742" t="s">
        <v>351</v>
      </c>
      <c r="E742">
        <v>4</v>
      </c>
      <c r="F742" t="s">
        <v>219</v>
      </c>
      <c r="G742" s="2">
        <v>43632</v>
      </c>
      <c r="H742" t="s">
        <v>191</v>
      </c>
      <c r="Q742">
        <f>P742 / (300 * 300) * 6.4516</f>
        <v>0</v>
      </c>
      <c r="AB742" t="s">
        <v>135</v>
      </c>
      <c r="AC742" t="s">
        <v>1607</v>
      </c>
    </row>
    <row r="743" spans="1:29" x14ac:dyDescent="0.25">
      <c r="A743">
        <v>562</v>
      </c>
      <c r="B743" t="s">
        <v>1409</v>
      </c>
      <c r="C743" t="s">
        <v>1410</v>
      </c>
      <c r="D743" t="s">
        <v>346</v>
      </c>
      <c r="E743">
        <v>10</v>
      </c>
      <c r="F743" t="s">
        <v>372</v>
      </c>
      <c r="G743" s="2">
        <v>43633</v>
      </c>
      <c r="H743" t="s">
        <v>191</v>
      </c>
      <c r="Q743">
        <f>P743 / (300 * 300) * 6.4516</f>
        <v>0</v>
      </c>
      <c r="AB743" t="s">
        <v>135</v>
      </c>
      <c r="AC743" t="s">
        <v>1607</v>
      </c>
    </row>
    <row r="744" spans="1:29" x14ac:dyDescent="0.25">
      <c r="A744">
        <v>567</v>
      </c>
      <c r="B744" t="s">
        <v>1415</v>
      </c>
      <c r="C744" t="s">
        <v>1416</v>
      </c>
      <c r="D744" t="s">
        <v>346</v>
      </c>
      <c r="E744">
        <v>6</v>
      </c>
      <c r="F744" t="s">
        <v>372</v>
      </c>
      <c r="G744" s="2">
        <v>43634</v>
      </c>
      <c r="H744" t="s">
        <v>191</v>
      </c>
      <c r="Q744">
        <f>P744 / (300 * 300) * 6.4516</f>
        <v>0</v>
      </c>
      <c r="AB744" t="s">
        <v>135</v>
      </c>
      <c r="AC744" t="s">
        <v>1607</v>
      </c>
    </row>
    <row r="745" spans="1:29" x14ac:dyDescent="0.25">
      <c r="A745">
        <v>568</v>
      </c>
      <c r="B745" t="s">
        <v>1417</v>
      </c>
      <c r="C745" t="s">
        <v>1418</v>
      </c>
      <c r="D745" t="s">
        <v>346</v>
      </c>
      <c r="E745">
        <v>7</v>
      </c>
      <c r="F745" t="s">
        <v>372</v>
      </c>
      <c r="G745" s="2">
        <v>43634</v>
      </c>
      <c r="H745" t="s">
        <v>191</v>
      </c>
      <c r="Q745">
        <f>P745 / (300 * 300) * 6.4516</f>
        <v>0</v>
      </c>
      <c r="AB745" t="s">
        <v>135</v>
      </c>
      <c r="AC745" t="s">
        <v>1607</v>
      </c>
    </row>
    <row r="746" spans="1:29" x14ac:dyDescent="0.25">
      <c r="A746">
        <v>569</v>
      </c>
      <c r="B746" t="s">
        <v>1419</v>
      </c>
      <c r="C746" t="s">
        <v>1420</v>
      </c>
      <c r="D746" t="s">
        <v>346</v>
      </c>
      <c r="E746">
        <v>8</v>
      </c>
      <c r="F746" t="s">
        <v>372</v>
      </c>
      <c r="G746" s="2">
        <v>43632</v>
      </c>
      <c r="H746" t="s">
        <v>191</v>
      </c>
      <c r="Q746">
        <f>P746 / (300 * 300) * 6.4516</f>
        <v>0</v>
      </c>
      <c r="AB746" t="s">
        <v>135</v>
      </c>
      <c r="AC746" t="s">
        <v>1607</v>
      </c>
    </row>
    <row r="747" spans="1:29" x14ac:dyDescent="0.25">
      <c r="A747">
        <v>570</v>
      </c>
      <c r="B747" t="s">
        <v>1421</v>
      </c>
      <c r="C747" t="s">
        <v>1422</v>
      </c>
      <c r="D747" t="s">
        <v>346</v>
      </c>
      <c r="E747">
        <v>9</v>
      </c>
      <c r="F747" t="s">
        <v>372</v>
      </c>
      <c r="G747" s="2">
        <v>43641</v>
      </c>
      <c r="H747" t="s">
        <v>191</v>
      </c>
      <c r="Q747">
        <f>P747 / (300 * 300) * 6.4516</f>
        <v>0</v>
      </c>
      <c r="AB747" t="s">
        <v>135</v>
      </c>
      <c r="AC747" t="s">
        <v>1607</v>
      </c>
    </row>
    <row r="748" spans="1:29" x14ac:dyDescent="0.25">
      <c r="A748">
        <v>586</v>
      </c>
      <c r="B748" t="s">
        <v>1439</v>
      </c>
      <c r="C748" t="s">
        <v>1233</v>
      </c>
      <c r="D748" t="s">
        <v>379</v>
      </c>
      <c r="E748">
        <v>1</v>
      </c>
      <c r="F748" t="s">
        <v>234</v>
      </c>
      <c r="G748" s="2">
        <v>43634</v>
      </c>
      <c r="H748" t="s">
        <v>191</v>
      </c>
      <c r="Q748">
        <f>P748 / (300 * 300) * 6.4516</f>
        <v>0</v>
      </c>
      <c r="AB748" t="s">
        <v>135</v>
      </c>
      <c r="AC748" t="s">
        <v>1607</v>
      </c>
    </row>
    <row r="749" spans="1:29" x14ac:dyDescent="0.25">
      <c r="A749">
        <v>592</v>
      </c>
      <c r="B749" t="s">
        <v>1445</v>
      </c>
      <c r="C749" t="s">
        <v>1446</v>
      </c>
      <c r="D749" t="s">
        <v>358</v>
      </c>
      <c r="E749">
        <v>10</v>
      </c>
      <c r="F749" t="s">
        <v>257</v>
      </c>
      <c r="G749" s="2">
        <v>43659</v>
      </c>
      <c r="H749" t="s">
        <v>191</v>
      </c>
      <c r="Q749">
        <f>P749 / (300 * 300) * 6.4516</f>
        <v>0</v>
      </c>
      <c r="AB749" t="s">
        <v>135</v>
      </c>
      <c r="AC749" t="s">
        <v>1607</v>
      </c>
    </row>
    <row r="750" spans="1:29" x14ac:dyDescent="0.25">
      <c r="A750">
        <v>593</v>
      </c>
      <c r="B750" t="s">
        <v>1447</v>
      </c>
      <c r="C750" t="s">
        <v>1448</v>
      </c>
      <c r="D750" t="s">
        <v>358</v>
      </c>
      <c r="E750">
        <v>11</v>
      </c>
      <c r="F750" t="s">
        <v>257</v>
      </c>
      <c r="G750" s="2">
        <v>43666</v>
      </c>
      <c r="H750" t="s">
        <v>191</v>
      </c>
      <c r="Q750">
        <f>P750 / (300 * 300) * 6.4516</f>
        <v>0</v>
      </c>
      <c r="AB750" t="s">
        <v>135</v>
      </c>
      <c r="AC750" t="s">
        <v>1607</v>
      </c>
    </row>
    <row r="751" spans="1:29" x14ac:dyDescent="0.25">
      <c r="A751">
        <v>594</v>
      </c>
      <c r="B751" t="s">
        <v>1449</v>
      </c>
      <c r="C751" t="s">
        <v>1203</v>
      </c>
      <c r="D751" t="s">
        <v>358</v>
      </c>
      <c r="E751">
        <v>2</v>
      </c>
      <c r="F751" t="s">
        <v>257</v>
      </c>
      <c r="G751" s="2">
        <v>43636</v>
      </c>
      <c r="H751" t="s">
        <v>191</v>
      </c>
      <c r="Q751">
        <f>P751 / (300 * 300) * 6.4516</f>
        <v>0</v>
      </c>
      <c r="AB751" t="s">
        <v>135</v>
      </c>
      <c r="AC751" t="s">
        <v>1607</v>
      </c>
    </row>
    <row r="752" spans="1:29" x14ac:dyDescent="0.25">
      <c r="A752">
        <v>595</v>
      </c>
      <c r="B752" t="s">
        <v>1450</v>
      </c>
      <c r="C752" t="s">
        <v>1204</v>
      </c>
      <c r="D752" t="s">
        <v>358</v>
      </c>
      <c r="E752">
        <v>3</v>
      </c>
      <c r="F752" t="s">
        <v>257</v>
      </c>
      <c r="G752" s="2">
        <v>43636</v>
      </c>
      <c r="H752" t="s">
        <v>191</v>
      </c>
      <c r="Q752">
        <f>P752 / (300 * 300) * 6.4516</f>
        <v>0</v>
      </c>
      <c r="AB752" t="s">
        <v>135</v>
      </c>
      <c r="AC752" t="s">
        <v>1607</v>
      </c>
    </row>
    <row r="753" spans="1:29" x14ac:dyDescent="0.25">
      <c r="A753">
        <v>598</v>
      </c>
      <c r="B753" t="s">
        <v>1453</v>
      </c>
      <c r="C753" t="s">
        <v>1205</v>
      </c>
      <c r="D753" t="s">
        <v>358</v>
      </c>
      <c r="E753">
        <v>6</v>
      </c>
      <c r="F753" t="s">
        <v>257</v>
      </c>
      <c r="G753" s="2">
        <v>43650</v>
      </c>
      <c r="H753" t="s">
        <v>191</v>
      </c>
      <c r="Q753">
        <f>P753 / (300 * 300) * 6.4516</f>
        <v>0</v>
      </c>
      <c r="AB753" t="s">
        <v>135</v>
      </c>
      <c r="AC753" t="s">
        <v>1607</v>
      </c>
    </row>
    <row r="754" spans="1:29" x14ac:dyDescent="0.25">
      <c r="A754">
        <v>601</v>
      </c>
      <c r="B754" t="s">
        <v>1458</v>
      </c>
      <c r="C754" t="s">
        <v>1459</v>
      </c>
      <c r="D754" t="s">
        <v>358</v>
      </c>
      <c r="E754">
        <v>9</v>
      </c>
      <c r="F754" t="s">
        <v>257</v>
      </c>
      <c r="G754" t="s">
        <v>135</v>
      </c>
      <c r="H754" t="s">
        <v>191</v>
      </c>
      <c r="Q754">
        <f>P754 / (300 * 300) * 6.4516</f>
        <v>0</v>
      </c>
      <c r="AB754" t="s">
        <v>135</v>
      </c>
      <c r="AC754" t="s">
        <v>1607</v>
      </c>
    </row>
    <row r="755" spans="1:29" x14ac:dyDescent="0.25">
      <c r="A755">
        <v>603</v>
      </c>
      <c r="B755" t="s">
        <v>1461</v>
      </c>
      <c r="C755" t="s">
        <v>481</v>
      </c>
      <c r="D755" t="s">
        <v>335</v>
      </c>
      <c r="E755">
        <v>2</v>
      </c>
      <c r="F755" t="s">
        <v>473</v>
      </c>
      <c r="G755" s="2">
        <v>43635</v>
      </c>
      <c r="H755" t="s">
        <v>191</v>
      </c>
      <c r="Q755">
        <f>P755 / (300 * 300) * 6.4516</f>
        <v>0</v>
      </c>
      <c r="AB755" t="s">
        <v>135</v>
      </c>
      <c r="AC755" t="s">
        <v>1607</v>
      </c>
    </row>
    <row r="756" spans="1:29" x14ac:dyDescent="0.25">
      <c r="A756">
        <v>608</v>
      </c>
      <c r="B756" t="s">
        <v>1466</v>
      </c>
      <c r="C756" t="s">
        <v>1467</v>
      </c>
      <c r="D756" t="s">
        <v>352</v>
      </c>
      <c r="E756">
        <v>10</v>
      </c>
      <c r="F756" t="s">
        <v>209</v>
      </c>
      <c r="G756" s="2">
        <v>43635</v>
      </c>
      <c r="H756" t="s">
        <v>191</v>
      </c>
      <c r="Q756">
        <f>P756 / (300 * 300) * 6.4516</f>
        <v>0</v>
      </c>
      <c r="AB756" t="s">
        <v>135</v>
      </c>
      <c r="AC756" t="s">
        <v>1607</v>
      </c>
    </row>
    <row r="757" spans="1:29" x14ac:dyDescent="0.25">
      <c r="A757">
        <v>609</v>
      </c>
      <c r="B757" t="s">
        <v>1468</v>
      </c>
      <c r="C757" t="s">
        <v>1469</v>
      </c>
      <c r="D757" t="s">
        <v>352</v>
      </c>
      <c r="E757">
        <v>11</v>
      </c>
      <c r="F757" t="s">
        <v>209</v>
      </c>
      <c r="G757" s="2">
        <v>43652</v>
      </c>
      <c r="H757" t="s">
        <v>191</v>
      </c>
      <c r="Q757">
        <f>P757 / (300 * 300) * 6.4516</f>
        <v>0</v>
      </c>
      <c r="AB757" t="s">
        <v>135</v>
      </c>
      <c r="AC757" t="s">
        <v>1607</v>
      </c>
    </row>
    <row r="758" spans="1:29" x14ac:dyDescent="0.25">
      <c r="A758">
        <v>614</v>
      </c>
      <c r="B758" t="s">
        <v>1474</v>
      </c>
      <c r="C758" t="s">
        <v>1237</v>
      </c>
      <c r="D758" t="s">
        <v>352</v>
      </c>
      <c r="E758">
        <v>6</v>
      </c>
      <c r="F758" t="s">
        <v>209</v>
      </c>
      <c r="G758" s="2">
        <v>43632</v>
      </c>
      <c r="H758" t="s">
        <v>191</v>
      </c>
      <c r="Q758">
        <f>P758 / (300 * 300) * 6.4516</f>
        <v>0</v>
      </c>
      <c r="AB758" t="s">
        <v>135</v>
      </c>
      <c r="AC758" t="s">
        <v>1607</v>
      </c>
    </row>
    <row r="759" spans="1:29" x14ac:dyDescent="0.25">
      <c r="A759">
        <v>615</v>
      </c>
      <c r="B759" t="s">
        <v>1475</v>
      </c>
      <c r="C759" t="s">
        <v>1476</v>
      </c>
      <c r="D759" t="s">
        <v>352</v>
      </c>
      <c r="E759">
        <v>7</v>
      </c>
      <c r="F759" t="s">
        <v>209</v>
      </c>
      <c r="G759" s="2">
        <v>43632</v>
      </c>
      <c r="H759" t="s">
        <v>191</v>
      </c>
      <c r="Q759">
        <f>P759 / (300 * 300) * 6.4516</f>
        <v>0</v>
      </c>
      <c r="AB759" t="s">
        <v>135</v>
      </c>
      <c r="AC759" t="s">
        <v>1607</v>
      </c>
    </row>
    <row r="760" spans="1:29" x14ac:dyDescent="0.25">
      <c r="A760">
        <v>616</v>
      </c>
      <c r="B760" t="s">
        <v>1477</v>
      </c>
      <c r="C760" t="s">
        <v>1478</v>
      </c>
      <c r="D760" t="s">
        <v>352</v>
      </c>
      <c r="E760">
        <v>8</v>
      </c>
      <c r="F760" t="s">
        <v>209</v>
      </c>
      <c r="G760" s="2">
        <v>43636</v>
      </c>
      <c r="H760" t="s">
        <v>191</v>
      </c>
      <c r="Q760">
        <f>P760 / (300 * 300) * 6.4516</f>
        <v>0</v>
      </c>
      <c r="AB760" t="s">
        <v>135</v>
      </c>
      <c r="AC760" t="s">
        <v>1607</v>
      </c>
    </row>
    <row r="761" spans="1:29" x14ac:dyDescent="0.25">
      <c r="A761">
        <v>617</v>
      </c>
      <c r="B761" t="s">
        <v>1479</v>
      </c>
      <c r="C761" t="s">
        <v>1480</v>
      </c>
      <c r="D761" t="s">
        <v>352</v>
      </c>
      <c r="E761">
        <v>9</v>
      </c>
      <c r="F761" t="s">
        <v>209</v>
      </c>
      <c r="G761" s="2">
        <v>43635</v>
      </c>
      <c r="H761" t="s">
        <v>191</v>
      </c>
      <c r="Q761">
        <f>P761 / (300 * 300) * 6.4516</f>
        <v>0</v>
      </c>
      <c r="AB761" t="s">
        <v>135</v>
      </c>
      <c r="AC761" t="s">
        <v>1607</v>
      </c>
    </row>
    <row r="762" spans="1:29" x14ac:dyDescent="0.25">
      <c r="A762">
        <v>628</v>
      </c>
      <c r="B762" t="s">
        <v>1491</v>
      </c>
      <c r="C762" t="s">
        <v>4</v>
      </c>
      <c r="D762" t="s">
        <v>331</v>
      </c>
      <c r="E762">
        <v>1</v>
      </c>
      <c r="F762" t="s">
        <v>5</v>
      </c>
      <c r="G762" s="2">
        <v>43646</v>
      </c>
      <c r="H762" t="s">
        <v>191</v>
      </c>
      <c r="Q762">
        <f>P762 / (300 * 300) * 6.4516</f>
        <v>0</v>
      </c>
      <c r="AB762" t="s">
        <v>135</v>
      </c>
      <c r="AC762" t="s">
        <v>1607</v>
      </c>
    </row>
    <row r="763" spans="1:29" x14ac:dyDescent="0.25">
      <c r="A763">
        <v>629</v>
      </c>
      <c r="B763" t="s">
        <v>1492</v>
      </c>
      <c r="C763" t="s">
        <v>1493</v>
      </c>
      <c r="D763" t="s">
        <v>331</v>
      </c>
      <c r="E763">
        <v>10</v>
      </c>
      <c r="F763" t="s">
        <v>5</v>
      </c>
      <c r="G763" s="2">
        <v>43651</v>
      </c>
      <c r="H763" t="s">
        <v>191</v>
      </c>
      <c r="Q763">
        <f>P763 / (300 * 300) * 6.4516</f>
        <v>0</v>
      </c>
      <c r="AB763" t="s">
        <v>135</v>
      </c>
      <c r="AC763" t="s">
        <v>1607</v>
      </c>
    </row>
    <row r="764" spans="1:29" x14ac:dyDescent="0.25">
      <c r="A764">
        <v>635</v>
      </c>
      <c r="B764" t="s">
        <v>1500</v>
      </c>
      <c r="C764" t="s">
        <v>1501</v>
      </c>
      <c r="D764" t="s">
        <v>331</v>
      </c>
      <c r="E764">
        <v>7</v>
      </c>
      <c r="F764" t="s">
        <v>5</v>
      </c>
      <c r="G764" s="2">
        <v>43637</v>
      </c>
      <c r="H764" t="s">
        <v>191</v>
      </c>
      <c r="Q764">
        <f>P764 / (300 * 300) * 6.4516</f>
        <v>0</v>
      </c>
      <c r="AB764" t="s">
        <v>135</v>
      </c>
      <c r="AC764" t="s">
        <v>1607</v>
      </c>
    </row>
    <row r="765" spans="1:29" x14ac:dyDescent="0.25">
      <c r="A765">
        <v>636</v>
      </c>
      <c r="B765" t="s">
        <v>1502</v>
      </c>
      <c r="C765" t="s">
        <v>1503</v>
      </c>
      <c r="D765" t="s">
        <v>331</v>
      </c>
      <c r="E765">
        <v>8</v>
      </c>
      <c r="F765" t="s">
        <v>5</v>
      </c>
      <c r="G765" s="2">
        <v>43637</v>
      </c>
      <c r="H765" t="s">
        <v>191</v>
      </c>
      <c r="Q765">
        <f>P765 / (300 * 300) * 6.4516</f>
        <v>0</v>
      </c>
      <c r="AB765" t="s">
        <v>135</v>
      </c>
      <c r="AC765" t="s">
        <v>1607</v>
      </c>
    </row>
    <row r="766" spans="1:29" x14ac:dyDescent="0.25">
      <c r="A766">
        <v>643</v>
      </c>
      <c r="B766" t="s">
        <v>1511</v>
      </c>
      <c r="C766" t="s">
        <v>808</v>
      </c>
      <c r="D766" t="s">
        <v>809</v>
      </c>
      <c r="E766">
        <v>1</v>
      </c>
      <c r="F766" t="s">
        <v>810</v>
      </c>
      <c r="G766" s="2">
        <v>43627</v>
      </c>
      <c r="H766" t="s">
        <v>191</v>
      </c>
      <c r="Q766">
        <f>P766 / (300 * 300) * 6.4516</f>
        <v>0</v>
      </c>
      <c r="AB766" t="s">
        <v>135</v>
      </c>
      <c r="AC766" t="s">
        <v>1607</v>
      </c>
    </row>
    <row r="767" spans="1:29" x14ac:dyDescent="0.25">
      <c r="A767">
        <v>656</v>
      </c>
      <c r="B767" t="s">
        <v>1525</v>
      </c>
      <c r="C767" t="s">
        <v>1526</v>
      </c>
      <c r="D767" t="s">
        <v>383</v>
      </c>
      <c r="E767">
        <v>10</v>
      </c>
      <c r="F767" t="s">
        <v>249</v>
      </c>
      <c r="G767" s="2">
        <v>43660</v>
      </c>
      <c r="H767" t="s">
        <v>191</v>
      </c>
      <c r="Q767">
        <f>P767 / (300 * 300) * 6.4516</f>
        <v>0</v>
      </c>
      <c r="AB767" t="s">
        <v>135</v>
      </c>
      <c r="AC767" t="s">
        <v>1607</v>
      </c>
    </row>
    <row r="768" spans="1:29" x14ac:dyDescent="0.25">
      <c r="A768">
        <v>660</v>
      </c>
      <c r="B768" t="s">
        <v>1530</v>
      </c>
      <c r="C768" t="s">
        <v>815</v>
      </c>
      <c r="D768" t="s">
        <v>383</v>
      </c>
      <c r="E768">
        <v>5</v>
      </c>
      <c r="F768" t="s">
        <v>249</v>
      </c>
      <c r="G768" s="2">
        <v>43651</v>
      </c>
      <c r="H768" t="s">
        <v>191</v>
      </c>
      <c r="Q768">
        <f>P768 / (300 * 300) * 6.4516</f>
        <v>0</v>
      </c>
      <c r="AB768" t="s">
        <v>135</v>
      </c>
      <c r="AC768" t="s">
        <v>1607</v>
      </c>
    </row>
    <row r="769" spans="1:29" x14ac:dyDescent="0.25">
      <c r="A769">
        <v>661</v>
      </c>
      <c r="B769" t="s">
        <v>1531</v>
      </c>
      <c r="C769" t="s">
        <v>1532</v>
      </c>
      <c r="D769" t="s">
        <v>383</v>
      </c>
      <c r="E769">
        <v>6</v>
      </c>
      <c r="F769" t="s">
        <v>249</v>
      </c>
      <c r="G769" s="2">
        <v>43660</v>
      </c>
      <c r="H769" t="s">
        <v>191</v>
      </c>
      <c r="Q769">
        <f>P769 / (300 * 300) * 6.4516</f>
        <v>0</v>
      </c>
      <c r="AB769" t="s">
        <v>135</v>
      </c>
      <c r="AC769" t="s">
        <v>1607</v>
      </c>
    </row>
    <row r="770" spans="1:29" x14ac:dyDescent="0.25">
      <c r="A770">
        <v>662</v>
      </c>
      <c r="B770" t="s">
        <v>1533</v>
      </c>
      <c r="C770" t="s">
        <v>1534</v>
      </c>
      <c r="D770" t="s">
        <v>383</v>
      </c>
      <c r="E770">
        <v>7</v>
      </c>
      <c r="F770" t="s">
        <v>249</v>
      </c>
      <c r="G770" s="2">
        <v>43660</v>
      </c>
      <c r="H770" t="s">
        <v>191</v>
      </c>
      <c r="Q770">
        <f>P770 / (300 * 300) * 6.4516</f>
        <v>0</v>
      </c>
      <c r="AB770" t="s">
        <v>135</v>
      </c>
      <c r="AC770" t="s">
        <v>1607</v>
      </c>
    </row>
    <row r="771" spans="1:29" x14ac:dyDescent="0.25">
      <c r="A771">
        <v>663</v>
      </c>
      <c r="B771" t="s">
        <v>1535</v>
      </c>
      <c r="C771" t="s">
        <v>1536</v>
      </c>
      <c r="D771" t="s">
        <v>383</v>
      </c>
      <c r="E771">
        <v>8</v>
      </c>
      <c r="F771" t="s">
        <v>249</v>
      </c>
      <c r="G771" s="2">
        <v>43660</v>
      </c>
      <c r="H771" t="s">
        <v>191</v>
      </c>
      <c r="Q771">
        <f>P771 / (300 * 300) * 6.4516</f>
        <v>0</v>
      </c>
      <c r="AB771" t="s">
        <v>135</v>
      </c>
      <c r="AC771" t="s">
        <v>1607</v>
      </c>
    </row>
    <row r="772" spans="1:29" x14ac:dyDescent="0.25">
      <c r="A772">
        <v>664</v>
      </c>
      <c r="B772" t="s">
        <v>1537</v>
      </c>
      <c r="C772" t="s">
        <v>1538</v>
      </c>
      <c r="D772" t="s">
        <v>383</v>
      </c>
      <c r="E772">
        <v>9</v>
      </c>
      <c r="F772" t="s">
        <v>249</v>
      </c>
      <c r="G772" s="2">
        <v>43660</v>
      </c>
      <c r="H772" t="s">
        <v>191</v>
      </c>
      <c r="Q772">
        <f>P772 / (300 * 300) * 6.4516</f>
        <v>0</v>
      </c>
      <c r="AB772" t="s">
        <v>135</v>
      </c>
      <c r="AC772" t="s">
        <v>1607</v>
      </c>
    </row>
    <row r="773" spans="1:29" x14ac:dyDescent="0.25">
      <c r="A773">
        <v>681</v>
      </c>
      <c r="B773" t="s">
        <v>1561</v>
      </c>
      <c r="C773" t="s">
        <v>1562</v>
      </c>
      <c r="D773" t="s">
        <v>338</v>
      </c>
      <c r="F773" t="s">
        <v>19</v>
      </c>
      <c r="G773" s="2">
        <v>43636</v>
      </c>
      <c r="H773" t="s">
        <v>191</v>
      </c>
      <c r="Q773">
        <f>P773 / (300 * 300) * 6.4516</f>
        <v>0</v>
      </c>
      <c r="AB773" t="s">
        <v>135</v>
      </c>
      <c r="AC773" t="s">
        <v>1607</v>
      </c>
    </row>
    <row r="774" spans="1:29" x14ac:dyDescent="0.25">
      <c r="A774">
        <v>686</v>
      </c>
      <c r="B774" t="s">
        <v>1567</v>
      </c>
      <c r="C774" t="s">
        <v>958</v>
      </c>
      <c r="D774" t="s">
        <v>338</v>
      </c>
      <c r="F774" t="s">
        <v>19</v>
      </c>
      <c r="G774" s="2">
        <v>43636</v>
      </c>
      <c r="H774" t="s">
        <v>191</v>
      </c>
      <c r="Q774">
        <f>P774 / (300 * 300) * 6.4516</f>
        <v>0</v>
      </c>
      <c r="AB774" t="s">
        <v>135</v>
      </c>
      <c r="AC774" t="s">
        <v>1607</v>
      </c>
    </row>
    <row r="775" spans="1:29" x14ac:dyDescent="0.25">
      <c r="A775">
        <v>687</v>
      </c>
      <c r="B775" t="s">
        <v>1568</v>
      </c>
      <c r="C775" t="s">
        <v>1253</v>
      </c>
      <c r="D775" t="s">
        <v>338</v>
      </c>
      <c r="F775" t="s">
        <v>19</v>
      </c>
      <c r="G775" s="2">
        <v>43636</v>
      </c>
      <c r="H775" t="s">
        <v>191</v>
      </c>
      <c r="Q775">
        <f>P775 / (300 * 300) * 6.4516</f>
        <v>0</v>
      </c>
      <c r="AB775" t="s">
        <v>135</v>
      </c>
      <c r="AC775" t="s">
        <v>1607</v>
      </c>
    </row>
    <row r="776" spans="1:29" x14ac:dyDescent="0.25">
      <c r="A776">
        <v>688</v>
      </c>
      <c r="B776" t="s">
        <v>1569</v>
      </c>
      <c r="C776" t="s">
        <v>1570</v>
      </c>
      <c r="D776" t="s">
        <v>338</v>
      </c>
      <c r="F776" t="s">
        <v>19</v>
      </c>
      <c r="G776" s="2">
        <v>43636</v>
      </c>
      <c r="H776" t="s">
        <v>191</v>
      </c>
      <c r="Q776">
        <f>P776 / (300 * 300) * 6.4516</f>
        <v>0</v>
      </c>
      <c r="AB776" t="s">
        <v>135</v>
      </c>
      <c r="AC776" t="s">
        <v>1607</v>
      </c>
    </row>
    <row r="777" spans="1:29" x14ac:dyDescent="0.25">
      <c r="A777">
        <v>689</v>
      </c>
      <c r="B777" t="s">
        <v>1571</v>
      </c>
      <c r="C777" t="s">
        <v>1572</v>
      </c>
      <c r="D777" t="s">
        <v>338</v>
      </c>
      <c r="F777" t="s">
        <v>19</v>
      </c>
      <c r="G777" s="2">
        <v>43636</v>
      </c>
      <c r="H777" t="s">
        <v>191</v>
      </c>
      <c r="Q777">
        <f>P777 / (300 * 300) * 6.4516</f>
        <v>0</v>
      </c>
      <c r="AB777" t="s">
        <v>135</v>
      </c>
      <c r="AC777" t="s">
        <v>1607</v>
      </c>
    </row>
    <row r="778" spans="1:29" x14ac:dyDescent="0.25">
      <c r="A778">
        <v>705</v>
      </c>
      <c r="B778" t="s">
        <v>1589</v>
      </c>
      <c r="C778" t="s">
        <v>487</v>
      </c>
      <c r="D778" t="s">
        <v>488</v>
      </c>
      <c r="F778" t="s">
        <v>489</v>
      </c>
      <c r="G778" t="s">
        <v>135</v>
      </c>
      <c r="H778" t="s">
        <v>191</v>
      </c>
      <c r="Q778">
        <f>P778 / (300 * 300) * 6.4516</f>
        <v>0</v>
      </c>
      <c r="AB778" t="s">
        <v>135</v>
      </c>
      <c r="AC778" t="s">
        <v>1607</v>
      </c>
    </row>
    <row r="779" spans="1:29" x14ac:dyDescent="0.25">
      <c r="A779">
        <v>707</v>
      </c>
      <c r="B779" t="s">
        <v>1591</v>
      </c>
      <c r="C779" t="s">
        <v>579</v>
      </c>
      <c r="D779" t="s">
        <v>488</v>
      </c>
      <c r="F779" t="s">
        <v>489</v>
      </c>
      <c r="G779" s="2">
        <v>43651</v>
      </c>
      <c r="H779" t="s">
        <v>191</v>
      </c>
      <c r="Q779">
        <f>P779 / (300 * 300) * 6.4516</f>
        <v>0</v>
      </c>
      <c r="AB779" t="s">
        <v>135</v>
      </c>
      <c r="AC779" t="s">
        <v>1607</v>
      </c>
    </row>
    <row r="780" spans="1:29" x14ac:dyDescent="0.25">
      <c r="A780">
        <v>710</v>
      </c>
      <c r="B780" t="s">
        <v>1594</v>
      </c>
      <c r="C780" t="s">
        <v>1595</v>
      </c>
      <c r="D780" t="s">
        <v>344</v>
      </c>
      <c r="F780" t="s">
        <v>278</v>
      </c>
      <c r="G780" s="2">
        <v>43646</v>
      </c>
      <c r="H780" t="s">
        <v>191</v>
      </c>
      <c r="Q780">
        <f>P780 / (300 * 300) * 6.4516</f>
        <v>0</v>
      </c>
      <c r="AB780" t="s">
        <v>135</v>
      </c>
      <c r="AC780" t="s">
        <v>1607</v>
      </c>
    </row>
    <row r="781" spans="1:29" x14ac:dyDescent="0.25">
      <c r="A781">
        <v>715</v>
      </c>
      <c r="B781" t="s">
        <v>1600</v>
      </c>
      <c r="C781" t="s">
        <v>1254</v>
      </c>
      <c r="D781" t="s">
        <v>344</v>
      </c>
      <c r="F781" t="s">
        <v>278</v>
      </c>
      <c r="H781" t="s">
        <v>191</v>
      </c>
      <c r="Q781">
        <f>P781 / (300 * 300) * 6.4516</f>
        <v>0</v>
      </c>
      <c r="AB781" t="s">
        <v>135</v>
      </c>
      <c r="AC781" t="s">
        <v>1607</v>
      </c>
    </row>
    <row r="782" spans="1:29" x14ac:dyDescent="0.25">
      <c r="A782">
        <v>716</v>
      </c>
      <c r="B782" t="s">
        <v>1601</v>
      </c>
      <c r="C782" t="s">
        <v>1602</v>
      </c>
      <c r="D782" t="s">
        <v>344</v>
      </c>
      <c r="F782" t="s">
        <v>278</v>
      </c>
      <c r="H782" t="s">
        <v>191</v>
      </c>
      <c r="Q782">
        <f>P782 / (300 * 300) * 6.4516</f>
        <v>0</v>
      </c>
      <c r="AB782" t="s">
        <v>135</v>
      </c>
      <c r="AC782" t="s">
        <v>1607</v>
      </c>
    </row>
    <row r="783" spans="1:29" x14ac:dyDescent="0.25">
      <c r="A783">
        <v>717</v>
      </c>
      <c r="B783" t="s">
        <v>1603</v>
      </c>
      <c r="C783" t="s">
        <v>1604</v>
      </c>
      <c r="D783" t="s">
        <v>344</v>
      </c>
      <c r="F783" t="s">
        <v>278</v>
      </c>
      <c r="H783" t="s">
        <v>191</v>
      </c>
      <c r="Q783">
        <f>P783 / (300 * 300) * 6.4516</f>
        <v>0</v>
      </c>
      <c r="AB783" t="s">
        <v>135</v>
      </c>
      <c r="AC783" t="s">
        <v>1607</v>
      </c>
    </row>
    <row r="784" spans="1:29" x14ac:dyDescent="0.25">
      <c r="A784">
        <v>718</v>
      </c>
      <c r="B784" t="s">
        <v>1605</v>
      </c>
      <c r="C784" t="s">
        <v>1606</v>
      </c>
      <c r="D784" t="s">
        <v>344</v>
      </c>
      <c r="F784" t="s">
        <v>278</v>
      </c>
      <c r="H784" t="s">
        <v>191</v>
      </c>
      <c r="Q784">
        <f>P784 / (300 * 300) * 6.4516</f>
        <v>0</v>
      </c>
      <c r="AB784" t="s">
        <v>135</v>
      </c>
      <c r="AC784" t="s">
        <v>1607</v>
      </c>
    </row>
    <row r="785" spans="1:29" x14ac:dyDescent="0.25">
      <c r="A785">
        <v>803</v>
      </c>
      <c r="B785" t="s">
        <v>1786</v>
      </c>
      <c r="D785" t="s">
        <v>1269</v>
      </c>
      <c r="E785">
        <v>5</v>
      </c>
      <c r="F785" t="s">
        <v>1270</v>
      </c>
      <c r="G785" s="3">
        <v>43662</v>
      </c>
      <c r="H785" t="s">
        <v>191</v>
      </c>
      <c r="K785" t="s">
        <v>135</v>
      </c>
      <c r="P785" t="s">
        <v>135</v>
      </c>
      <c r="Q785" t="e">
        <f>P785 / (300 * 300) * 6.4516</f>
        <v>#VALUE!</v>
      </c>
      <c r="Y785" t="s">
        <v>135</v>
      </c>
      <c r="Z785" t="s">
        <v>135</v>
      </c>
      <c r="AA785" t="s">
        <v>135</v>
      </c>
      <c r="AB785" t="s">
        <v>135</v>
      </c>
    </row>
    <row r="786" spans="1:29" x14ac:dyDescent="0.25">
      <c r="A786">
        <v>484</v>
      </c>
      <c r="B786" t="s">
        <v>1308</v>
      </c>
      <c r="C786" t="s">
        <v>1056</v>
      </c>
      <c r="D786" t="s">
        <v>357</v>
      </c>
      <c r="E786">
        <v>6</v>
      </c>
      <c r="F786" t="s">
        <v>1303</v>
      </c>
      <c r="G786" s="2">
        <v>43635</v>
      </c>
      <c r="H786" t="s">
        <v>191</v>
      </c>
      <c r="Q786">
        <f>P786 / (300 * 300) * 6.4516</f>
        <v>0</v>
      </c>
      <c r="AB786" t="e">
        <v>#DIV/0!</v>
      </c>
      <c r="AC786" t="s">
        <v>1607</v>
      </c>
    </row>
    <row r="787" spans="1:29" x14ac:dyDescent="0.25">
      <c r="A787">
        <v>495</v>
      </c>
      <c r="B787" t="s">
        <v>1320</v>
      </c>
      <c r="C787" t="s">
        <v>908</v>
      </c>
      <c r="D787" t="s">
        <v>909</v>
      </c>
      <c r="E787">
        <v>1</v>
      </c>
      <c r="F787" t="s">
        <v>910</v>
      </c>
      <c r="G787" s="2">
        <v>43666</v>
      </c>
      <c r="H787" t="s">
        <v>191</v>
      </c>
      <c r="Q787">
        <f>P787 / (300 * 300) * 6.4516</f>
        <v>0</v>
      </c>
      <c r="AB787" t="e">
        <v>#DIV/0!</v>
      </c>
      <c r="AC787" t="s">
        <v>1607</v>
      </c>
    </row>
    <row r="788" spans="1:29" x14ac:dyDescent="0.25">
      <c r="A788">
        <v>496</v>
      </c>
      <c r="B788" t="s">
        <v>1321</v>
      </c>
      <c r="C788" t="s">
        <v>1322</v>
      </c>
      <c r="D788" t="s">
        <v>909</v>
      </c>
      <c r="E788">
        <v>10</v>
      </c>
      <c r="F788" t="s">
        <v>910</v>
      </c>
      <c r="G788" s="2">
        <v>43657</v>
      </c>
      <c r="H788" t="s">
        <v>191</v>
      </c>
      <c r="Q788">
        <f>P788 / (300 * 300) * 6.4516</f>
        <v>0</v>
      </c>
      <c r="AB788" t="e">
        <v>#DIV/0!</v>
      </c>
      <c r="AC788" t="s">
        <v>1607</v>
      </c>
    </row>
    <row r="789" spans="1:29" x14ac:dyDescent="0.25">
      <c r="A789">
        <v>500</v>
      </c>
      <c r="B789" t="s">
        <v>1326</v>
      </c>
      <c r="C789" t="s">
        <v>918</v>
      </c>
      <c r="D789" t="s">
        <v>909</v>
      </c>
      <c r="E789">
        <v>5</v>
      </c>
      <c r="F789" t="s">
        <v>910</v>
      </c>
      <c r="G789" s="2">
        <v>43645</v>
      </c>
      <c r="H789" t="s">
        <v>191</v>
      </c>
      <c r="Q789">
        <f>P789 / (300 * 300) * 6.4516</f>
        <v>0</v>
      </c>
      <c r="AB789" t="e">
        <v>#DIV/0!</v>
      </c>
      <c r="AC789" t="s">
        <v>1607</v>
      </c>
    </row>
    <row r="790" spans="1:29" x14ac:dyDescent="0.25">
      <c r="A790">
        <v>501</v>
      </c>
      <c r="B790" t="s">
        <v>1327</v>
      </c>
      <c r="C790" t="s">
        <v>1328</v>
      </c>
      <c r="D790" t="s">
        <v>909</v>
      </c>
      <c r="E790">
        <v>6</v>
      </c>
      <c r="F790" t="s">
        <v>910</v>
      </c>
      <c r="G790" s="2">
        <v>43645</v>
      </c>
      <c r="H790" t="s">
        <v>191</v>
      </c>
      <c r="Q790">
        <f>P790 / (300 * 300) * 6.4516</f>
        <v>0</v>
      </c>
      <c r="AB790" t="e">
        <v>#DIV/0!</v>
      </c>
      <c r="AC790" t="s">
        <v>1607</v>
      </c>
    </row>
    <row r="791" spans="1:29" x14ac:dyDescent="0.25">
      <c r="A791">
        <v>503</v>
      </c>
      <c r="B791" t="s">
        <v>1331</v>
      </c>
      <c r="C791" t="s">
        <v>1332</v>
      </c>
      <c r="D791" t="s">
        <v>909</v>
      </c>
      <c r="E791">
        <v>8</v>
      </c>
      <c r="F791" t="s">
        <v>910</v>
      </c>
      <c r="G791" s="2">
        <v>43645</v>
      </c>
      <c r="H791" t="s">
        <v>191</v>
      </c>
      <c r="Q791">
        <f>P791 / (300 * 300) * 6.4516</f>
        <v>0</v>
      </c>
      <c r="AB791" t="e">
        <v>#DIV/0!</v>
      </c>
      <c r="AC791" t="s">
        <v>1607</v>
      </c>
    </row>
    <row r="792" spans="1:29" x14ac:dyDescent="0.25">
      <c r="A792">
        <v>719</v>
      </c>
      <c r="B792" t="s">
        <v>1262</v>
      </c>
      <c r="D792" t="s">
        <v>508</v>
      </c>
      <c r="E792">
        <v>2</v>
      </c>
      <c r="F792" t="s">
        <v>770</v>
      </c>
      <c r="G792" s="3">
        <v>43629</v>
      </c>
      <c r="H792" t="s">
        <v>191</v>
      </c>
      <c r="Q792">
        <f>P792 / (300 * 300) * 6.4516</f>
        <v>0</v>
      </c>
      <c r="S792" t="s">
        <v>1073</v>
      </c>
      <c r="AB792" t="e">
        <f>Q792/K792</f>
        <v>#DIV/0!</v>
      </c>
    </row>
    <row r="793" spans="1:29" x14ac:dyDescent="0.25">
      <c r="A793">
        <v>720</v>
      </c>
      <c r="B793" t="s">
        <v>1264</v>
      </c>
      <c r="D793" t="s">
        <v>508</v>
      </c>
      <c r="E793">
        <v>3</v>
      </c>
      <c r="F793" t="s">
        <v>770</v>
      </c>
      <c r="G793" s="3">
        <v>43629</v>
      </c>
      <c r="H793" t="s">
        <v>191</v>
      </c>
      <c r="Q793">
        <f>P793 / (300 * 300) * 6.4516</f>
        <v>0</v>
      </c>
      <c r="S793" t="s">
        <v>1073</v>
      </c>
      <c r="AB793" t="e">
        <f>Q793/K793</f>
        <v>#DIV/0!</v>
      </c>
    </row>
    <row r="794" spans="1:29" x14ac:dyDescent="0.25">
      <c r="A794">
        <v>721</v>
      </c>
      <c r="B794" t="s">
        <v>1266</v>
      </c>
      <c r="D794" t="s">
        <v>508</v>
      </c>
      <c r="E794">
        <v>4</v>
      </c>
      <c r="F794" t="s">
        <v>770</v>
      </c>
      <c r="G794" s="3">
        <v>43629</v>
      </c>
      <c r="H794" t="s">
        <v>191</v>
      </c>
      <c r="Q794">
        <f>P794 / (300 * 300) * 6.4516</f>
        <v>0</v>
      </c>
      <c r="S794" t="s">
        <v>1073</v>
      </c>
      <c r="AB794" t="e">
        <f>Q794/K794</f>
        <v>#DIV/0!</v>
      </c>
    </row>
    <row r="795" spans="1:29" x14ac:dyDescent="0.25">
      <c r="A795">
        <v>722</v>
      </c>
      <c r="B795" t="s">
        <v>1268</v>
      </c>
      <c r="D795" t="s">
        <v>1269</v>
      </c>
      <c r="E795">
        <v>1</v>
      </c>
      <c r="F795" t="s">
        <v>1270</v>
      </c>
      <c r="G795" s="3">
        <v>43629</v>
      </c>
      <c r="H795" t="s">
        <v>191</v>
      </c>
      <c r="Q795">
        <f>P795 / (300 * 300) * 6.4516</f>
        <v>0</v>
      </c>
      <c r="S795" t="s">
        <v>1721</v>
      </c>
      <c r="T795">
        <v>5</v>
      </c>
      <c r="AB795" t="e">
        <f>Q795/K795</f>
        <v>#DIV/0!</v>
      </c>
    </row>
    <row r="796" spans="1:29" x14ac:dyDescent="0.25">
      <c r="A796">
        <v>723</v>
      </c>
      <c r="B796" t="s">
        <v>1271</v>
      </c>
      <c r="D796" t="s">
        <v>1272</v>
      </c>
      <c r="E796">
        <v>1</v>
      </c>
      <c r="F796" t="s">
        <v>1695</v>
      </c>
      <c r="G796" s="3">
        <v>43629</v>
      </c>
      <c r="H796" t="s">
        <v>191</v>
      </c>
      <c r="Q796">
        <f>P796 / (300 * 300) * 6.4516</f>
        <v>0</v>
      </c>
      <c r="S796" t="s">
        <v>1073</v>
      </c>
      <c r="AB796" t="e">
        <f>Q796/K796</f>
        <v>#DIV/0!</v>
      </c>
    </row>
    <row r="797" spans="1:29" x14ac:dyDescent="0.25">
      <c r="A797">
        <v>724</v>
      </c>
      <c r="B797" t="s">
        <v>1274</v>
      </c>
      <c r="D797" t="s">
        <v>1275</v>
      </c>
      <c r="E797">
        <v>1</v>
      </c>
      <c r="F797" t="s">
        <v>1696</v>
      </c>
      <c r="G797" s="3">
        <v>43629</v>
      </c>
      <c r="H797" t="s">
        <v>191</v>
      </c>
      <c r="Q797">
        <f>P797 / (300 * 300) * 6.4516</f>
        <v>0</v>
      </c>
      <c r="S797" t="s">
        <v>1073</v>
      </c>
      <c r="AB797" t="e">
        <f>Q797/K797</f>
        <v>#DIV/0!</v>
      </c>
    </row>
    <row r="798" spans="1:29" x14ac:dyDescent="0.25">
      <c r="A798">
        <v>725</v>
      </c>
      <c r="B798" t="s">
        <v>1277</v>
      </c>
      <c r="D798" t="s">
        <v>1269</v>
      </c>
      <c r="E798">
        <v>2</v>
      </c>
      <c r="F798" t="s">
        <v>1270</v>
      </c>
      <c r="G798" s="3">
        <v>43629</v>
      </c>
      <c r="H798" t="s">
        <v>191</v>
      </c>
      <c r="Q798">
        <f>P798 / (300 * 300) * 6.4516</f>
        <v>0</v>
      </c>
      <c r="S798" t="s">
        <v>1721</v>
      </c>
      <c r="T798">
        <v>5</v>
      </c>
      <c r="AB798" t="e">
        <f>Q798/K798</f>
        <v>#DIV/0!</v>
      </c>
    </row>
    <row r="799" spans="1:29" x14ac:dyDescent="0.25">
      <c r="A799">
        <v>726</v>
      </c>
      <c r="B799" t="s">
        <v>1278</v>
      </c>
      <c r="D799" t="s">
        <v>1279</v>
      </c>
      <c r="E799">
        <v>1</v>
      </c>
      <c r="F799" t="s">
        <v>1280</v>
      </c>
      <c r="G799" s="3">
        <v>43629</v>
      </c>
      <c r="H799" t="s">
        <v>191</v>
      </c>
      <c r="Q799">
        <f>P799 / (300 * 300) * 6.4516</f>
        <v>0</v>
      </c>
      <c r="S799" t="s">
        <v>1721</v>
      </c>
      <c r="T799">
        <v>5</v>
      </c>
      <c r="AB799" t="e">
        <f>Q799/K799</f>
        <v>#DIV/0!</v>
      </c>
    </row>
    <row r="800" spans="1:29" x14ac:dyDescent="0.25">
      <c r="A800">
        <v>732</v>
      </c>
      <c r="B800" t="s">
        <v>1288</v>
      </c>
      <c r="D800" t="s">
        <v>1269</v>
      </c>
      <c r="E800">
        <v>3</v>
      </c>
      <c r="F800" t="s">
        <v>1270</v>
      </c>
      <c r="G800" s="3">
        <v>43634</v>
      </c>
      <c r="H800" t="s">
        <v>191</v>
      </c>
      <c r="Q800">
        <f>P800 / (300 * 300) * 6.4516</f>
        <v>0</v>
      </c>
      <c r="S800" t="s">
        <v>1721</v>
      </c>
      <c r="T800">
        <v>5</v>
      </c>
      <c r="AB800" t="e">
        <f>Q800/K800</f>
        <v>#DIV/0!</v>
      </c>
    </row>
    <row r="801" spans="1:28" x14ac:dyDescent="0.25">
      <c r="A801">
        <v>733</v>
      </c>
      <c r="B801" t="s">
        <v>1289</v>
      </c>
      <c r="D801" t="s">
        <v>1275</v>
      </c>
      <c r="E801">
        <v>2</v>
      </c>
      <c r="F801" t="s">
        <v>1696</v>
      </c>
      <c r="G801" s="3">
        <v>43634</v>
      </c>
      <c r="H801" t="s">
        <v>191</v>
      </c>
      <c r="Q801">
        <f>P801 / (300 * 300) * 6.4516</f>
        <v>0</v>
      </c>
      <c r="S801" t="s">
        <v>1073</v>
      </c>
      <c r="AB801" t="e">
        <f>Q801/K801</f>
        <v>#DIV/0!</v>
      </c>
    </row>
    <row r="802" spans="1:28" x14ac:dyDescent="0.25">
      <c r="A802">
        <v>734</v>
      </c>
      <c r="B802" t="s">
        <v>1290</v>
      </c>
      <c r="D802" t="s">
        <v>1275</v>
      </c>
      <c r="E802">
        <v>3</v>
      </c>
      <c r="F802" t="s">
        <v>1696</v>
      </c>
      <c r="G802" s="3">
        <v>43634</v>
      </c>
      <c r="H802" t="s">
        <v>191</v>
      </c>
      <c r="Q802">
        <f>P802 / (300 * 300) * 6.4516</f>
        <v>0</v>
      </c>
      <c r="S802" t="s">
        <v>1073</v>
      </c>
      <c r="AB802" t="e">
        <f>Q802/K802</f>
        <v>#DIV/0!</v>
      </c>
    </row>
    <row r="803" spans="1:28" x14ac:dyDescent="0.25">
      <c r="A803">
        <v>740</v>
      </c>
      <c r="B803" t="s">
        <v>1301</v>
      </c>
      <c r="D803" t="s">
        <v>1295</v>
      </c>
      <c r="E803">
        <v>3</v>
      </c>
      <c r="F803" t="s">
        <v>1296</v>
      </c>
      <c r="G803" s="3">
        <v>43640</v>
      </c>
      <c r="H803" t="s">
        <v>191</v>
      </c>
      <c r="Q803">
        <f>P803 / (300 * 300) * 6.4516</f>
        <v>0</v>
      </c>
      <c r="S803" t="s">
        <v>1073</v>
      </c>
      <c r="AB803" t="e">
        <f>Q803/K803</f>
        <v>#DIV/0!</v>
      </c>
    </row>
    <row r="804" spans="1:28" x14ac:dyDescent="0.25">
      <c r="A804">
        <v>759</v>
      </c>
      <c r="B804" t="s">
        <v>1724</v>
      </c>
      <c r="D804" t="s">
        <v>1725</v>
      </c>
      <c r="E804">
        <v>1</v>
      </c>
      <c r="F804" t="s">
        <v>1738</v>
      </c>
      <c r="G804" s="3">
        <v>43650</v>
      </c>
      <c r="H804" t="s">
        <v>191</v>
      </c>
      <c r="Q804">
        <f>P804 / (300 * 300) * 6.4516</f>
        <v>0</v>
      </c>
      <c r="AB804" t="e">
        <f>Q804/K804</f>
        <v>#DIV/0!</v>
      </c>
    </row>
  </sheetData>
  <autoFilter ref="A1:AC472" xr:uid="{00000000-0009-0000-0000-000000000000}">
    <sortState xmlns:xlrd2="http://schemas.microsoft.com/office/spreadsheetml/2017/richdata2" ref="A2:AC804">
      <sortCondition ref="AB1:AB472"/>
    </sortState>
  </autoFilter>
  <sortState xmlns:xlrd2="http://schemas.microsoft.com/office/spreadsheetml/2017/richdata2" ref="A2:AC804">
    <sortCondition ref="B2:B804"/>
  </sortState>
  <phoneticPr fontId="2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65"/>
  <sheetViews>
    <sheetView topLeftCell="B1" zoomScaleNormal="100" workbookViewId="0">
      <pane ySplit="1" topLeftCell="A503" activePane="bottomLeft" state="frozen"/>
      <selection activeCell="A349" sqref="A349"/>
      <selection pane="bottomLeft" activeCell="B517" sqref="B517"/>
    </sheetView>
  </sheetViews>
  <sheetFormatPr defaultRowHeight="15" x14ac:dyDescent="0.25"/>
  <cols>
    <col min="2" max="2" width="11" bestFit="1" customWidth="1"/>
    <col min="3" max="5" width="11" customWidth="1"/>
    <col min="6" max="6" width="27.28515625" customWidth="1"/>
    <col min="7" max="7" width="12.28515625" hidden="1" customWidth="1"/>
    <col min="8" max="8" width="14.7109375" hidden="1" customWidth="1"/>
    <col min="9" max="9" width="5.28515625" customWidth="1"/>
    <col min="10" max="11" width="14.7109375" customWidth="1"/>
    <col min="12" max="13" width="18.28515625" customWidth="1"/>
    <col min="14" max="14" width="18.42578125" customWidth="1"/>
    <col min="15" max="15" width="9.140625" customWidth="1"/>
    <col min="16" max="16" width="14.7109375" bestFit="1" customWidth="1"/>
    <col min="17" max="17" width="11.7109375" customWidth="1"/>
    <col min="18" max="18" width="16.85546875" customWidth="1"/>
    <col min="19" max="19" width="14.140625" customWidth="1"/>
  </cols>
  <sheetData>
    <row r="1" spans="1:20" x14ac:dyDescent="0.25">
      <c r="A1" t="s">
        <v>951</v>
      </c>
      <c r="B1" t="s">
        <v>329</v>
      </c>
      <c r="C1" t="s">
        <v>1185</v>
      </c>
      <c r="D1" t="s">
        <v>0</v>
      </c>
      <c r="E1" t="s">
        <v>330</v>
      </c>
      <c r="F1" t="s">
        <v>1</v>
      </c>
      <c r="G1" t="s">
        <v>136</v>
      </c>
      <c r="H1" t="s">
        <v>137</v>
      </c>
      <c r="I1" t="s">
        <v>127</v>
      </c>
      <c r="J1" t="s">
        <v>309</v>
      </c>
      <c r="K1" t="s">
        <v>310</v>
      </c>
      <c r="L1" t="s">
        <v>311</v>
      </c>
      <c r="M1" t="s">
        <v>318</v>
      </c>
      <c r="N1" t="s">
        <v>131</v>
      </c>
      <c r="O1" t="s">
        <v>138</v>
      </c>
      <c r="P1" t="s">
        <v>130</v>
      </c>
      <c r="Q1" t="s">
        <v>134</v>
      </c>
      <c r="R1" t="s">
        <v>133</v>
      </c>
      <c r="S1" t="s">
        <v>535</v>
      </c>
      <c r="T1" t="s">
        <v>324</v>
      </c>
    </row>
    <row r="2" spans="1:20" x14ac:dyDescent="0.25">
      <c r="A2">
        <v>1</v>
      </c>
      <c r="B2" t="s">
        <v>25</v>
      </c>
      <c r="D2" t="s">
        <v>343</v>
      </c>
      <c r="E2">
        <v>1</v>
      </c>
      <c r="F2" t="s">
        <v>323</v>
      </c>
      <c r="G2">
        <v>8.6199999999999992</v>
      </c>
      <c r="H2">
        <v>5.0999999999999996</v>
      </c>
      <c r="I2" t="s">
        <v>128</v>
      </c>
      <c r="J2">
        <v>6.27</v>
      </c>
      <c r="K2">
        <v>4.51</v>
      </c>
      <c r="L2">
        <f t="shared" ref="L2:L65" si="0">(J2-K2)/2</f>
        <v>0.87999999999999989</v>
      </c>
      <c r="M2">
        <f t="shared" ref="M2:M65" si="1">L2/J2</f>
        <v>0.14035087719298245</v>
      </c>
      <c r="O2">
        <v>1.6E-2</v>
      </c>
      <c r="P2">
        <f t="shared" ref="P2:P8" si="2">(3.14159*((H2/2)*2) * G2)/1000</f>
        <v>0.13811057957999995</v>
      </c>
      <c r="Q2">
        <v>8.4000000000000005E-2</v>
      </c>
      <c r="R2">
        <f t="shared" ref="R2:R65" si="3">Q2/P2</f>
        <v>0.60820829407455623</v>
      </c>
    </row>
    <row r="3" spans="1:20" x14ac:dyDescent="0.25">
      <c r="A3">
        <v>2</v>
      </c>
      <c r="B3" t="s">
        <v>24</v>
      </c>
      <c r="D3" t="s">
        <v>337</v>
      </c>
      <c r="E3">
        <v>1</v>
      </c>
      <c r="F3" t="s">
        <v>15</v>
      </c>
      <c r="G3">
        <v>5.5</v>
      </c>
      <c r="H3">
        <v>5.0999999999999996</v>
      </c>
      <c r="I3" t="s">
        <v>128</v>
      </c>
      <c r="J3">
        <v>11.63</v>
      </c>
      <c r="K3">
        <v>4.75</v>
      </c>
      <c r="L3">
        <f t="shared" si="0"/>
        <v>3.4400000000000004</v>
      </c>
      <c r="M3">
        <f t="shared" si="1"/>
        <v>0.295786758383491</v>
      </c>
      <c r="O3">
        <v>1.6E-2</v>
      </c>
      <c r="P3">
        <f t="shared" si="2"/>
        <v>8.8121599499999995E-2</v>
      </c>
      <c r="Q3">
        <v>5.1999999999999998E-2</v>
      </c>
      <c r="R3">
        <f t="shared" si="3"/>
        <v>0.59009369206921847</v>
      </c>
    </row>
    <row r="4" spans="1:20" x14ac:dyDescent="0.25">
      <c r="A4">
        <v>3</v>
      </c>
      <c r="B4" t="s">
        <v>1209</v>
      </c>
      <c r="C4" t="s">
        <v>22</v>
      </c>
      <c r="D4" t="s">
        <v>341</v>
      </c>
      <c r="E4">
        <v>1</v>
      </c>
      <c r="F4" t="s">
        <v>321</v>
      </c>
      <c r="G4">
        <v>5.01</v>
      </c>
      <c r="H4">
        <v>5.0999999999999996</v>
      </c>
      <c r="I4" t="s">
        <v>128</v>
      </c>
      <c r="J4">
        <v>6.62</v>
      </c>
      <c r="K4">
        <v>3.89</v>
      </c>
      <c r="L4">
        <f t="shared" si="0"/>
        <v>1.365</v>
      </c>
      <c r="M4">
        <f t="shared" si="1"/>
        <v>0.20619335347432025</v>
      </c>
      <c r="O4">
        <v>1.6E-2</v>
      </c>
      <c r="P4">
        <f t="shared" si="2"/>
        <v>8.0270766089999987E-2</v>
      </c>
      <c r="Q4">
        <v>3.7999999999999999E-2</v>
      </c>
      <c r="R4">
        <f t="shared" si="3"/>
        <v>0.47339774928015771</v>
      </c>
      <c r="T4" t="s">
        <v>1223</v>
      </c>
    </row>
    <row r="5" spans="1:20" x14ac:dyDescent="0.25">
      <c r="A5">
        <v>4</v>
      </c>
      <c r="B5" t="s">
        <v>1253</v>
      </c>
      <c r="C5" t="s">
        <v>63</v>
      </c>
      <c r="D5" t="s">
        <v>338</v>
      </c>
      <c r="E5">
        <v>7</v>
      </c>
      <c r="F5" t="s">
        <v>19</v>
      </c>
      <c r="G5">
        <v>20.61</v>
      </c>
      <c r="H5">
        <v>5.0999999999999996</v>
      </c>
      <c r="I5" t="s">
        <v>128</v>
      </c>
      <c r="J5">
        <v>8.99</v>
      </c>
      <c r="K5">
        <v>6.21</v>
      </c>
      <c r="L5">
        <f t="shared" si="0"/>
        <v>1.3900000000000001</v>
      </c>
      <c r="M5">
        <f t="shared" si="1"/>
        <v>0.1546162402669633</v>
      </c>
      <c r="O5">
        <v>1.6E-2</v>
      </c>
      <c r="P5">
        <f t="shared" si="2"/>
        <v>0.33021566648999995</v>
      </c>
      <c r="Q5">
        <v>0.13400000000000001</v>
      </c>
      <c r="R5">
        <f t="shared" si="3"/>
        <v>0.40579540463461927</v>
      </c>
    </row>
    <row r="6" spans="1:20" x14ac:dyDescent="0.25">
      <c r="A6">
        <v>5</v>
      </c>
      <c r="B6" t="s">
        <v>1205</v>
      </c>
      <c r="C6" t="s">
        <v>64</v>
      </c>
      <c r="D6" t="s">
        <v>358</v>
      </c>
      <c r="E6">
        <v>6</v>
      </c>
      <c r="F6" t="s">
        <v>65</v>
      </c>
      <c r="G6">
        <v>12</v>
      </c>
      <c r="H6">
        <v>5.0999999999999996</v>
      </c>
      <c r="I6" t="s">
        <v>128</v>
      </c>
      <c r="J6">
        <v>5.55</v>
      </c>
      <c r="K6">
        <v>3.55</v>
      </c>
      <c r="L6">
        <f t="shared" si="0"/>
        <v>1</v>
      </c>
      <c r="M6">
        <f t="shared" si="1"/>
        <v>0.1801801801801802</v>
      </c>
      <c r="O6">
        <v>1.6E-2</v>
      </c>
      <c r="P6">
        <f t="shared" si="2"/>
        <v>0.19226530799999994</v>
      </c>
      <c r="Q6">
        <v>9.5000000000000001E-2</v>
      </c>
      <c r="R6">
        <f t="shared" si="3"/>
        <v>0.49410890081116471</v>
      </c>
    </row>
    <row r="7" spans="1:20" x14ac:dyDescent="0.25">
      <c r="A7">
        <v>6</v>
      </c>
      <c r="B7" t="s">
        <v>1254</v>
      </c>
      <c r="C7" t="s">
        <v>66</v>
      </c>
      <c r="D7" t="s">
        <v>344</v>
      </c>
      <c r="E7">
        <v>6</v>
      </c>
      <c r="F7" t="s">
        <v>278</v>
      </c>
      <c r="G7">
        <v>26.81</v>
      </c>
      <c r="H7">
        <v>5.0999999999999996</v>
      </c>
      <c r="I7" t="s">
        <v>128</v>
      </c>
      <c r="J7">
        <v>7.19</v>
      </c>
      <c r="K7">
        <v>5.66</v>
      </c>
      <c r="L7">
        <f t="shared" si="0"/>
        <v>0.76500000000000012</v>
      </c>
      <c r="M7">
        <f t="shared" si="1"/>
        <v>0.10639777468706538</v>
      </c>
      <c r="O7">
        <v>1.6E-2</v>
      </c>
      <c r="P7">
        <f t="shared" si="2"/>
        <v>0.4295527422899999</v>
      </c>
      <c r="Q7">
        <v>0.15</v>
      </c>
      <c r="R7">
        <f t="shared" si="3"/>
        <v>0.34920042460986528</v>
      </c>
    </row>
    <row r="8" spans="1:20" x14ac:dyDescent="0.25">
      <c r="A8">
        <v>7</v>
      </c>
      <c r="B8" t="s">
        <v>1252</v>
      </c>
      <c r="C8" t="s">
        <v>67</v>
      </c>
      <c r="D8" t="s">
        <v>332</v>
      </c>
      <c r="E8">
        <v>6</v>
      </c>
      <c r="F8" t="s">
        <v>363</v>
      </c>
      <c r="G8">
        <v>50.05</v>
      </c>
      <c r="H8">
        <v>5.0999999999999996</v>
      </c>
      <c r="I8" t="s">
        <v>128</v>
      </c>
      <c r="J8">
        <v>8.99</v>
      </c>
      <c r="K8">
        <v>6.21</v>
      </c>
      <c r="L8">
        <f t="shared" si="0"/>
        <v>1.3900000000000001</v>
      </c>
      <c r="M8">
        <f t="shared" si="1"/>
        <v>0.1546162402669633</v>
      </c>
      <c r="O8">
        <v>1.6E-2</v>
      </c>
      <c r="P8">
        <f t="shared" si="2"/>
        <v>0.80190655544999978</v>
      </c>
      <c r="Q8">
        <v>0.46</v>
      </c>
      <c r="R8">
        <f t="shared" si="3"/>
        <v>0.57363292128453214</v>
      </c>
    </row>
    <row r="9" spans="1:20" x14ac:dyDescent="0.25">
      <c r="A9">
        <v>8</v>
      </c>
      <c r="B9" t="s">
        <v>791</v>
      </c>
      <c r="C9" t="s">
        <v>75</v>
      </c>
      <c r="D9" t="s">
        <v>624</v>
      </c>
      <c r="E9">
        <v>1</v>
      </c>
      <c r="F9" t="s">
        <v>625</v>
      </c>
      <c r="G9" t="s">
        <v>135</v>
      </c>
      <c r="H9" t="s">
        <v>135</v>
      </c>
      <c r="I9" t="s">
        <v>129</v>
      </c>
      <c r="J9">
        <v>4.76</v>
      </c>
      <c r="K9">
        <v>3.96</v>
      </c>
      <c r="L9">
        <f t="shared" si="0"/>
        <v>0.39999999999999991</v>
      </c>
      <c r="M9">
        <f t="shared" si="1"/>
        <v>8.403361344537813E-2</v>
      </c>
      <c r="N9">
        <f>0.302+0.27+0.343</f>
        <v>0.91500000000000004</v>
      </c>
      <c r="O9">
        <v>1.6E-2</v>
      </c>
      <c r="P9">
        <f>N9-O2</f>
        <v>0.89900000000000002</v>
      </c>
      <c r="Q9">
        <v>0.52300000000000002</v>
      </c>
      <c r="R9">
        <f t="shared" si="3"/>
        <v>0.58175750834260287</v>
      </c>
    </row>
    <row r="10" spans="1:20" x14ac:dyDescent="0.25">
      <c r="A10">
        <v>9</v>
      </c>
      <c r="B10" t="s">
        <v>73</v>
      </c>
      <c r="D10" t="s">
        <v>355</v>
      </c>
      <c r="E10">
        <v>3</v>
      </c>
      <c r="F10" t="s">
        <v>305</v>
      </c>
      <c r="G10" t="s">
        <v>135</v>
      </c>
      <c r="H10" t="s">
        <v>135</v>
      </c>
      <c r="I10" t="s">
        <v>129</v>
      </c>
      <c r="J10">
        <v>5.95</v>
      </c>
      <c r="K10">
        <v>4.6399999999999997</v>
      </c>
      <c r="L10">
        <f t="shared" si="0"/>
        <v>0.65500000000000025</v>
      </c>
      <c r="M10">
        <f t="shared" si="1"/>
        <v>0.11008403361344542</v>
      </c>
      <c r="N10">
        <f>0.6+0.277</f>
        <v>0.877</v>
      </c>
      <c r="O10">
        <v>1.6E-2</v>
      </c>
      <c r="P10">
        <f>N10-O2</f>
        <v>0.86099999999999999</v>
      </c>
      <c r="Q10">
        <v>0.74299999999999999</v>
      </c>
      <c r="R10">
        <f t="shared" si="3"/>
        <v>0.86295005807200931</v>
      </c>
    </row>
    <row r="11" spans="1:20" x14ac:dyDescent="0.25">
      <c r="A11">
        <v>10</v>
      </c>
      <c r="B11" t="s">
        <v>785</v>
      </c>
      <c r="C11" t="s">
        <v>80</v>
      </c>
      <c r="D11" t="s">
        <v>624</v>
      </c>
      <c r="E11">
        <v>2</v>
      </c>
      <c r="F11" t="s">
        <v>625</v>
      </c>
      <c r="G11" t="s">
        <v>135</v>
      </c>
      <c r="H11" t="s">
        <v>135</v>
      </c>
      <c r="I11" t="s">
        <v>129</v>
      </c>
      <c r="J11">
        <v>10.33</v>
      </c>
      <c r="K11">
        <v>9.0299999999999994</v>
      </c>
      <c r="L11">
        <f t="shared" si="0"/>
        <v>0.65000000000000036</v>
      </c>
      <c r="M11">
        <f t="shared" si="1"/>
        <v>6.2923523717328206E-2</v>
      </c>
      <c r="N11">
        <v>2.9049999999999998</v>
      </c>
      <c r="O11">
        <v>1.6E-2</v>
      </c>
      <c r="P11">
        <f>N11-O2</f>
        <v>2.8889999999999998</v>
      </c>
      <c r="Q11">
        <v>1.339</v>
      </c>
      <c r="R11">
        <f t="shared" si="3"/>
        <v>0.46348217376254763</v>
      </c>
    </row>
    <row r="12" spans="1:20" x14ac:dyDescent="0.25">
      <c r="A12">
        <v>11</v>
      </c>
      <c r="B12" t="s">
        <v>69</v>
      </c>
      <c r="D12" t="s">
        <v>346</v>
      </c>
      <c r="E12">
        <v>3</v>
      </c>
      <c r="F12" t="s">
        <v>372</v>
      </c>
      <c r="G12">
        <v>11.96</v>
      </c>
      <c r="H12">
        <v>5.0999999999999996</v>
      </c>
      <c r="I12" t="s">
        <v>128</v>
      </c>
      <c r="J12">
        <v>7.61</v>
      </c>
      <c r="K12">
        <v>6.1</v>
      </c>
      <c r="L12">
        <f t="shared" si="0"/>
        <v>0.75500000000000034</v>
      </c>
      <c r="M12">
        <f t="shared" si="1"/>
        <v>9.9211563731931712E-2</v>
      </c>
      <c r="N12">
        <v>0.2</v>
      </c>
      <c r="O12">
        <v>1.6E-2</v>
      </c>
      <c r="P12">
        <f t="shared" ref="P12:P18" si="4">(3.14159*((H12/2)^2) * G12)/1000</f>
        <v>0.24432114014100001</v>
      </c>
      <c r="Q12">
        <v>0.14699999999999999</v>
      </c>
      <c r="R12">
        <f t="shared" si="3"/>
        <v>0.60166713332773791</v>
      </c>
    </row>
    <row r="13" spans="1:20" x14ac:dyDescent="0.25">
      <c r="A13">
        <v>12</v>
      </c>
      <c r="B13" t="s">
        <v>81</v>
      </c>
      <c r="D13" t="s">
        <v>358</v>
      </c>
      <c r="E13">
        <v>1</v>
      </c>
      <c r="F13" t="s">
        <v>257</v>
      </c>
      <c r="G13">
        <v>11.67</v>
      </c>
      <c r="H13">
        <v>5.15</v>
      </c>
      <c r="I13" t="s">
        <v>128</v>
      </c>
      <c r="J13">
        <v>4.75</v>
      </c>
      <c r="K13">
        <v>3.59</v>
      </c>
      <c r="L13">
        <f t="shared" si="0"/>
        <v>0.58000000000000007</v>
      </c>
      <c r="M13">
        <f t="shared" si="1"/>
        <v>0.12210526315789476</v>
      </c>
      <c r="N13">
        <v>0.17499999999999999</v>
      </c>
      <c r="O13">
        <v>1.6E-2</v>
      </c>
      <c r="P13">
        <f t="shared" si="4"/>
        <v>0.24309432961106253</v>
      </c>
      <c r="Q13">
        <v>0.13700000000000001</v>
      </c>
      <c r="R13">
        <f t="shared" si="3"/>
        <v>0.56356723836048506</v>
      </c>
    </row>
    <row r="14" spans="1:20" x14ac:dyDescent="0.25">
      <c r="A14">
        <v>13</v>
      </c>
      <c r="B14" t="s">
        <v>79</v>
      </c>
      <c r="D14" t="s">
        <v>346</v>
      </c>
      <c r="E14">
        <v>4</v>
      </c>
      <c r="F14" t="s">
        <v>372</v>
      </c>
      <c r="G14">
        <v>26.4</v>
      </c>
      <c r="H14">
        <v>5.0999999999999996</v>
      </c>
      <c r="I14" t="s">
        <v>128</v>
      </c>
      <c r="J14">
        <v>5.37</v>
      </c>
      <c r="K14">
        <v>3.52</v>
      </c>
      <c r="L14">
        <f t="shared" si="0"/>
        <v>0.92500000000000004</v>
      </c>
      <c r="M14">
        <f t="shared" si="1"/>
        <v>0.17225325884543763</v>
      </c>
      <c r="N14">
        <v>0.495</v>
      </c>
      <c r="O14">
        <v>1.6E-2</v>
      </c>
      <c r="P14">
        <f t="shared" si="4"/>
        <v>0.53930418893999987</v>
      </c>
      <c r="Q14">
        <v>0.38400000000000001</v>
      </c>
      <c r="R14">
        <f t="shared" si="3"/>
        <v>0.7120285877154976</v>
      </c>
    </row>
    <row r="15" spans="1:20" x14ac:dyDescent="0.25">
      <c r="A15">
        <v>14</v>
      </c>
      <c r="B15" t="s">
        <v>77</v>
      </c>
      <c r="D15" t="s">
        <v>338</v>
      </c>
      <c r="E15">
        <v>3</v>
      </c>
      <c r="F15" t="s">
        <v>19</v>
      </c>
      <c r="G15">
        <v>24.52</v>
      </c>
      <c r="H15">
        <v>5.16</v>
      </c>
      <c r="I15" t="s">
        <v>128</v>
      </c>
      <c r="J15">
        <v>5.91</v>
      </c>
      <c r="K15">
        <v>3.66</v>
      </c>
      <c r="L15">
        <f t="shared" si="0"/>
        <v>1.125</v>
      </c>
      <c r="M15">
        <f t="shared" si="1"/>
        <v>0.19035532994923857</v>
      </c>
      <c r="N15">
        <v>0.48299999999999998</v>
      </c>
      <c r="O15">
        <v>1.6E-2</v>
      </c>
      <c r="P15">
        <f t="shared" si="4"/>
        <v>0.51275438565552012</v>
      </c>
      <c r="Q15">
        <v>0.20399999999999999</v>
      </c>
      <c r="R15">
        <f t="shared" si="3"/>
        <v>0.39785130211846059</v>
      </c>
    </row>
    <row r="16" spans="1:20" x14ac:dyDescent="0.25">
      <c r="A16">
        <v>15</v>
      </c>
      <c r="B16" t="s">
        <v>132</v>
      </c>
      <c r="D16" t="s">
        <v>353</v>
      </c>
      <c r="E16">
        <v>5</v>
      </c>
      <c r="F16" t="s">
        <v>354</v>
      </c>
      <c r="G16">
        <v>59</v>
      </c>
      <c r="H16">
        <v>5.0999999999999996</v>
      </c>
      <c r="I16" t="s">
        <v>128</v>
      </c>
      <c r="J16">
        <v>6.34</v>
      </c>
      <c r="K16">
        <v>5.01</v>
      </c>
      <c r="L16">
        <f t="shared" si="0"/>
        <v>0.66500000000000004</v>
      </c>
      <c r="M16">
        <f t="shared" si="1"/>
        <v>0.10488958990536279</v>
      </c>
      <c r="N16">
        <v>1.1319999999999999</v>
      </c>
      <c r="O16">
        <v>1.6E-2</v>
      </c>
      <c r="P16">
        <f t="shared" si="4"/>
        <v>1.2052631495249997</v>
      </c>
      <c r="Q16">
        <v>0.68300000000000005</v>
      </c>
      <c r="R16">
        <f t="shared" si="3"/>
        <v>0.56668122664264131</v>
      </c>
    </row>
    <row r="17" spans="1:18" x14ac:dyDescent="0.25">
      <c r="A17">
        <v>16</v>
      </c>
      <c r="B17" t="s">
        <v>110</v>
      </c>
      <c r="D17" t="s">
        <v>338</v>
      </c>
      <c r="E17">
        <v>4</v>
      </c>
      <c r="F17" t="s">
        <v>19</v>
      </c>
      <c r="G17">
        <v>40</v>
      </c>
      <c r="H17">
        <v>5.0999999999999996</v>
      </c>
      <c r="I17" t="s">
        <v>128</v>
      </c>
      <c r="J17">
        <v>5.44</v>
      </c>
      <c r="K17">
        <v>3.68</v>
      </c>
      <c r="L17">
        <f t="shared" si="0"/>
        <v>0.88000000000000012</v>
      </c>
      <c r="M17">
        <f t="shared" si="1"/>
        <v>0.16176470588235295</v>
      </c>
      <c r="N17">
        <v>0.80400000000000005</v>
      </c>
      <c r="O17">
        <v>1.6E-2</v>
      </c>
      <c r="P17">
        <f t="shared" si="4"/>
        <v>0.81712755899999989</v>
      </c>
      <c r="Q17">
        <v>0.30599999999999999</v>
      </c>
      <c r="R17">
        <f t="shared" si="3"/>
        <v>0.37448253535161946</v>
      </c>
    </row>
    <row r="18" spans="1:18" x14ac:dyDescent="0.25">
      <c r="A18">
        <v>17</v>
      </c>
      <c r="B18" t="s">
        <v>70</v>
      </c>
      <c r="D18" t="s">
        <v>352</v>
      </c>
      <c r="E18">
        <v>3</v>
      </c>
      <c r="F18" t="s">
        <v>209</v>
      </c>
      <c r="G18">
        <v>34.79</v>
      </c>
      <c r="H18">
        <v>5.0999999999999996</v>
      </c>
      <c r="I18" t="s">
        <v>128</v>
      </c>
      <c r="J18">
        <v>6.37</v>
      </c>
      <c r="K18">
        <v>4.83</v>
      </c>
      <c r="L18">
        <f t="shared" si="0"/>
        <v>0.77</v>
      </c>
      <c r="M18">
        <f t="shared" si="1"/>
        <v>0.12087912087912088</v>
      </c>
      <c r="N18">
        <v>0.68300000000000005</v>
      </c>
      <c r="O18">
        <v>1.6E-2</v>
      </c>
      <c r="P18">
        <f t="shared" si="4"/>
        <v>0.71069669444024985</v>
      </c>
      <c r="Q18">
        <v>0.39</v>
      </c>
      <c r="R18">
        <f t="shared" si="3"/>
        <v>0.54875730118199995</v>
      </c>
    </row>
    <row r="19" spans="1:18" x14ac:dyDescent="0.25">
      <c r="A19">
        <v>18</v>
      </c>
      <c r="B19" t="s">
        <v>1255</v>
      </c>
      <c r="C19" t="s">
        <v>199</v>
      </c>
      <c r="D19" t="s">
        <v>376</v>
      </c>
      <c r="E19">
        <v>1</v>
      </c>
      <c r="F19" t="s">
        <v>312</v>
      </c>
      <c r="G19" t="s">
        <v>135</v>
      </c>
      <c r="H19" t="s">
        <v>135</v>
      </c>
      <c r="I19" t="s">
        <v>129</v>
      </c>
      <c r="J19">
        <v>6.35</v>
      </c>
      <c r="K19">
        <v>5.23</v>
      </c>
      <c r="L19">
        <f t="shared" si="0"/>
        <v>0.55999999999999961</v>
      </c>
      <c r="M19">
        <f t="shared" si="1"/>
        <v>8.8188976377952699E-2</v>
      </c>
      <c r="N19">
        <v>0.89700000000000002</v>
      </c>
      <c r="O19">
        <v>0.02</v>
      </c>
      <c r="P19">
        <f t="shared" ref="P19:P82" si="5">N19-O19</f>
        <v>0.877</v>
      </c>
      <c r="Q19">
        <v>0.46200000000000002</v>
      </c>
      <c r="R19">
        <f t="shared" si="3"/>
        <v>0.52679589509692137</v>
      </c>
    </row>
    <row r="20" spans="1:18" x14ac:dyDescent="0.25">
      <c r="A20">
        <v>19</v>
      </c>
      <c r="B20" t="s">
        <v>294</v>
      </c>
      <c r="D20" t="s">
        <v>351</v>
      </c>
      <c r="E20">
        <v>5</v>
      </c>
      <c r="F20" t="s">
        <v>219</v>
      </c>
      <c r="G20" t="s">
        <v>135</v>
      </c>
      <c r="H20" t="s">
        <v>135</v>
      </c>
      <c r="I20" t="s">
        <v>129</v>
      </c>
      <c r="J20">
        <v>11.81</v>
      </c>
      <c r="K20">
        <v>5.69</v>
      </c>
      <c r="L20">
        <f t="shared" si="0"/>
        <v>3.06</v>
      </c>
      <c r="M20">
        <f t="shared" si="1"/>
        <v>0.2591024555461473</v>
      </c>
      <c r="N20">
        <v>0.63200000000000001</v>
      </c>
      <c r="O20">
        <v>0.02</v>
      </c>
      <c r="P20">
        <f t="shared" si="5"/>
        <v>0.61199999999999999</v>
      </c>
      <c r="Q20">
        <v>0.46200000000000002</v>
      </c>
      <c r="R20">
        <f t="shared" si="3"/>
        <v>0.75490196078431382</v>
      </c>
    </row>
    <row r="21" spans="1:18" x14ac:dyDescent="0.25">
      <c r="A21">
        <v>20</v>
      </c>
      <c r="B21" t="s">
        <v>292</v>
      </c>
      <c r="D21" t="s">
        <v>387</v>
      </c>
      <c r="E21">
        <v>2</v>
      </c>
      <c r="F21" t="s">
        <v>281</v>
      </c>
      <c r="G21" t="s">
        <v>135</v>
      </c>
      <c r="H21" t="s">
        <v>135</v>
      </c>
      <c r="I21" t="s">
        <v>129</v>
      </c>
      <c r="J21">
        <v>7.39</v>
      </c>
      <c r="K21">
        <v>6.33</v>
      </c>
      <c r="L21">
        <f t="shared" si="0"/>
        <v>0.5299999999999998</v>
      </c>
      <c r="M21">
        <f t="shared" si="1"/>
        <v>7.1718538565629208E-2</v>
      </c>
      <c r="N21">
        <v>0.96099999999999997</v>
      </c>
      <c r="O21">
        <v>0.02</v>
      </c>
      <c r="P21">
        <f t="shared" si="5"/>
        <v>0.94099999999999995</v>
      </c>
      <c r="Q21">
        <v>0.69899999999999995</v>
      </c>
      <c r="R21">
        <f t="shared" si="3"/>
        <v>0.74282678002125402</v>
      </c>
    </row>
    <row r="22" spans="1:18" x14ac:dyDescent="0.25">
      <c r="A22">
        <v>21</v>
      </c>
      <c r="B22" t="s">
        <v>1204</v>
      </c>
      <c r="C22" t="s">
        <v>293</v>
      </c>
      <c r="D22" t="s">
        <v>358</v>
      </c>
      <c r="E22">
        <v>3</v>
      </c>
      <c r="F22" t="s">
        <v>257</v>
      </c>
      <c r="G22" t="s">
        <v>135</v>
      </c>
      <c r="H22" t="s">
        <v>135</v>
      </c>
      <c r="I22" t="s">
        <v>129</v>
      </c>
      <c r="J22">
        <v>11.93</v>
      </c>
      <c r="K22">
        <v>8.6199999999999992</v>
      </c>
      <c r="L22">
        <f t="shared" si="0"/>
        <v>1.6550000000000002</v>
      </c>
      <c r="M22">
        <f t="shared" si="1"/>
        <v>0.13872590108968988</v>
      </c>
      <c r="N22">
        <v>1.68</v>
      </c>
      <c r="O22">
        <v>0.02</v>
      </c>
      <c r="P22">
        <f t="shared" si="5"/>
        <v>1.66</v>
      </c>
      <c r="Q22">
        <v>0.86</v>
      </c>
      <c r="R22">
        <f t="shared" si="3"/>
        <v>0.51807228915662651</v>
      </c>
    </row>
    <row r="23" spans="1:18" x14ac:dyDescent="0.25">
      <c r="A23">
        <v>22</v>
      </c>
      <c r="B23" t="s">
        <v>291</v>
      </c>
      <c r="D23" t="s">
        <v>381</v>
      </c>
      <c r="E23">
        <v>2</v>
      </c>
      <c r="F23" t="s">
        <v>232</v>
      </c>
      <c r="G23" t="s">
        <v>135</v>
      </c>
      <c r="H23" t="s">
        <v>135</v>
      </c>
      <c r="I23" t="s">
        <v>129</v>
      </c>
      <c r="J23">
        <v>9.65</v>
      </c>
      <c r="K23">
        <v>7.57</v>
      </c>
      <c r="L23">
        <f t="shared" si="0"/>
        <v>1.04</v>
      </c>
      <c r="M23">
        <f t="shared" si="1"/>
        <v>0.10777202072538861</v>
      </c>
      <c r="N23">
        <v>1.254</v>
      </c>
      <c r="O23">
        <v>0.02</v>
      </c>
      <c r="P23">
        <f t="shared" si="5"/>
        <v>1.234</v>
      </c>
      <c r="Q23">
        <v>0.56599999999999995</v>
      </c>
      <c r="R23">
        <f t="shared" si="3"/>
        <v>0.45867098865478118</v>
      </c>
    </row>
    <row r="24" spans="1:18" x14ac:dyDescent="0.25">
      <c r="A24">
        <v>23</v>
      </c>
      <c r="B24" t="s">
        <v>288</v>
      </c>
      <c r="D24" t="s">
        <v>378</v>
      </c>
      <c r="E24">
        <v>3</v>
      </c>
      <c r="F24" t="s">
        <v>227</v>
      </c>
      <c r="G24" t="s">
        <v>135</v>
      </c>
      <c r="H24" t="s">
        <v>135</v>
      </c>
      <c r="I24" t="s">
        <v>129</v>
      </c>
      <c r="J24">
        <v>9.6300000000000008</v>
      </c>
      <c r="K24">
        <v>7.91</v>
      </c>
      <c r="L24">
        <f t="shared" si="0"/>
        <v>0.86000000000000032</v>
      </c>
      <c r="M24">
        <f t="shared" si="1"/>
        <v>8.9304257528556613E-2</v>
      </c>
      <c r="N24">
        <v>1.4079999999999999</v>
      </c>
      <c r="O24">
        <v>0.02</v>
      </c>
      <c r="P24">
        <f t="shared" si="5"/>
        <v>1.3879999999999999</v>
      </c>
      <c r="Q24">
        <v>0.874</v>
      </c>
      <c r="R24">
        <f t="shared" si="3"/>
        <v>0.62968299711815567</v>
      </c>
    </row>
    <row r="25" spans="1:18" x14ac:dyDescent="0.25">
      <c r="A25">
        <v>24</v>
      </c>
      <c r="B25" t="s">
        <v>282</v>
      </c>
      <c r="D25" t="s">
        <v>376</v>
      </c>
      <c r="E25">
        <v>3</v>
      </c>
      <c r="F25" t="s">
        <v>312</v>
      </c>
      <c r="G25" t="s">
        <v>135</v>
      </c>
      <c r="H25" t="s">
        <v>135</v>
      </c>
      <c r="I25" t="s">
        <v>129</v>
      </c>
      <c r="J25">
        <v>7.72</v>
      </c>
      <c r="K25">
        <v>6.96</v>
      </c>
      <c r="L25">
        <f t="shared" si="0"/>
        <v>0.37999999999999989</v>
      </c>
      <c r="M25">
        <f t="shared" si="1"/>
        <v>4.9222797927461127E-2</v>
      </c>
      <c r="N25">
        <v>0.78700000000000003</v>
      </c>
      <c r="O25">
        <v>0.02</v>
      </c>
      <c r="P25">
        <f t="shared" si="5"/>
        <v>0.76700000000000002</v>
      </c>
      <c r="Q25">
        <v>0.46500000000000002</v>
      </c>
      <c r="R25">
        <f t="shared" si="3"/>
        <v>0.60625814863103</v>
      </c>
    </row>
    <row r="26" spans="1:18" x14ac:dyDescent="0.25">
      <c r="A26">
        <v>25</v>
      </c>
      <c r="B26" t="s">
        <v>287</v>
      </c>
      <c r="D26" t="s">
        <v>388</v>
      </c>
      <c r="E26">
        <v>1</v>
      </c>
      <c r="F26" t="s">
        <v>284</v>
      </c>
      <c r="G26" t="s">
        <v>135</v>
      </c>
      <c r="H26" t="s">
        <v>135</v>
      </c>
      <c r="I26" t="s">
        <v>129</v>
      </c>
      <c r="J26">
        <v>8.18</v>
      </c>
      <c r="K26">
        <v>3.66</v>
      </c>
      <c r="L26">
        <f t="shared" si="0"/>
        <v>2.2599999999999998</v>
      </c>
      <c r="M26">
        <f t="shared" si="1"/>
        <v>0.27628361858190709</v>
      </c>
      <c r="N26">
        <v>0.41599999999999998</v>
      </c>
      <c r="O26">
        <v>0.02</v>
      </c>
      <c r="P26">
        <f t="shared" si="5"/>
        <v>0.39599999999999996</v>
      </c>
      <c r="Q26">
        <v>0.21299999999999999</v>
      </c>
      <c r="R26">
        <f t="shared" si="3"/>
        <v>0.53787878787878796</v>
      </c>
    </row>
    <row r="27" spans="1:18" x14ac:dyDescent="0.25">
      <c r="A27">
        <v>26</v>
      </c>
      <c r="B27" t="s">
        <v>285</v>
      </c>
      <c r="D27" t="s">
        <v>388</v>
      </c>
      <c r="E27">
        <v>3</v>
      </c>
      <c r="F27" t="s">
        <v>284</v>
      </c>
      <c r="G27" t="s">
        <v>135</v>
      </c>
      <c r="H27" t="s">
        <v>135</v>
      </c>
      <c r="I27" t="s">
        <v>129</v>
      </c>
      <c r="J27">
        <v>12.06</v>
      </c>
      <c r="K27">
        <v>8.14</v>
      </c>
      <c r="L27">
        <f t="shared" si="0"/>
        <v>1.96</v>
      </c>
      <c r="M27">
        <f t="shared" si="1"/>
        <v>0.16252072968490877</v>
      </c>
      <c r="N27">
        <v>0.79500000000000004</v>
      </c>
      <c r="O27">
        <v>0.02</v>
      </c>
      <c r="P27">
        <f t="shared" si="5"/>
        <v>0.77500000000000002</v>
      </c>
      <c r="Q27">
        <v>0.38500000000000001</v>
      </c>
      <c r="R27">
        <f t="shared" si="3"/>
        <v>0.49677419354838709</v>
      </c>
    </row>
    <row r="28" spans="1:18" x14ac:dyDescent="0.25">
      <c r="A28">
        <v>27</v>
      </c>
      <c r="B28" t="s">
        <v>280</v>
      </c>
      <c r="D28" t="s">
        <v>387</v>
      </c>
      <c r="E28">
        <v>1</v>
      </c>
      <c r="F28" t="s">
        <v>281</v>
      </c>
      <c r="G28" t="s">
        <v>135</v>
      </c>
      <c r="H28" t="s">
        <v>135</v>
      </c>
      <c r="I28" t="s">
        <v>129</v>
      </c>
      <c r="J28">
        <v>10.3</v>
      </c>
      <c r="K28">
        <v>9.09</v>
      </c>
      <c r="L28">
        <f t="shared" si="0"/>
        <v>0.60500000000000043</v>
      </c>
      <c r="M28">
        <f t="shared" si="1"/>
        <v>5.8737864077669941E-2</v>
      </c>
      <c r="N28">
        <v>1.649</v>
      </c>
      <c r="O28">
        <v>0.02</v>
      </c>
      <c r="P28">
        <f t="shared" si="5"/>
        <v>1.629</v>
      </c>
      <c r="Q28">
        <v>0.94499999999999995</v>
      </c>
      <c r="R28">
        <f t="shared" si="3"/>
        <v>0.58011049723756902</v>
      </c>
    </row>
    <row r="29" spans="1:18" x14ac:dyDescent="0.25">
      <c r="A29">
        <v>28</v>
      </c>
      <c r="B29" t="s">
        <v>644</v>
      </c>
      <c r="C29" t="s">
        <v>96</v>
      </c>
      <c r="D29" t="s">
        <v>382</v>
      </c>
      <c r="E29">
        <v>1</v>
      </c>
      <c r="F29" t="s">
        <v>313</v>
      </c>
      <c r="G29" t="s">
        <v>135</v>
      </c>
      <c r="H29" t="s">
        <v>135</v>
      </c>
      <c r="I29" t="s">
        <v>129</v>
      </c>
      <c r="J29">
        <v>6.73</v>
      </c>
      <c r="K29">
        <v>5.12</v>
      </c>
      <c r="L29">
        <f t="shared" si="0"/>
        <v>0.80500000000000016</v>
      </c>
      <c r="M29">
        <f t="shared" si="1"/>
        <v>0.11961367013372959</v>
      </c>
      <c r="N29">
        <v>0.73</v>
      </c>
      <c r="O29">
        <v>0.02</v>
      </c>
      <c r="P29">
        <f t="shared" si="5"/>
        <v>0.71</v>
      </c>
      <c r="Q29">
        <v>0.40200000000000002</v>
      </c>
      <c r="R29">
        <f t="shared" si="3"/>
        <v>0.56619718309859157</v>
      </c>
    </row>
    <row r="30" spans="1:18" x14ac:dyDescent="0.25">
      <c r="A30">
        <v>29</v>
      </c>
      <c r="B30" t="s">
        <v>286</v>
      </c>
      <c r="D30" t="s">
        <v>378</v>
      </c>
      <c r="E30">
        <v>2</v>
      </c>
      <c r="F30" t="s">
        <v>227</v>
      </c>
      <c r="G30" t="s">
        <v>135</v>
      </c>
      <c r="H30" t="s">
        <v>135</v>
      </c>
      <c r="I30" t="s">
        <v>129</v>
      </c>
      <c r="J30">
        <v>12.54</v>
      </c>
      <c r="K30">
        <v>10.31</v>
      </c>
      <c r="L30">
        <f t="shared" si="0"/>
        <v>1.1149999999999993</v>
      </c>
      <c r="M30">
        <f t="shared" si="1"/>
        <v>8.8915470494417809E-2</v>
      </c>
      <c r="N30">
        <v>2.3740000000000001</v>
      </c>
      <c r="O30">
        <v>0.02</v>
      </c>
      <c r="P30">
        <f t="shared" si="5"/>
        <v>2.3540000000000001</v>
      </c>
      <c r="Q30">
        <v>1.5209999999999999</v>
      </c>
      <c r="R30">
        <f t="shared" si="3"/>
        <v>0.64613423959218341</v>
      </c>
    </row>
    <row r="31" spans="1:18" x14ac:dyDescent="0.25">
      <c r="A31">
        <v>30</v>
      </c>
      <c r="B31" t="s">
        <v>283</v>
      </c>
      <c r="D31" t="s">
        <v>388</v>
      </c>
      <c r="E31">
        <v>2</v>
      </c>
      <c r="F31" t="s">
        <v>284</v>
      </c>
      <c r="G31" t="s">
        <v>135</v>
      </c>
      <c r="H31" t="s">
        <v>135</v>
      </c>
      <c r="I31" t="s">
        <v>129</v>
      </c>
      <c r="J31">
        <v>7.55</v>
      </c>
      <c r="K31">
        <v>5.43</v>
      </c>
      <c r="L31">
        <f t="shared" si="0"/>
        <v>1.06</v>
      </c>
      <c r="M31">
        <f t="shared" si="1"/>
        <v>0.1403973509933775</v>
      </c>
      <c r="N31">
        <v>0.63100000000000001</v>
      </c>
      <c r="O31">
        <v>0.02</v>
      </c>
      <c r="P31">
        <f t="shared" si="5"/>
        <v>0.61099999999999999</v>
      </c>
      <c r="Q31">
        <v>0.33400000000000002</v>
      </c>
      <c r="R31">
        <f t="shared" si="3"/>
        <v>0.54664484451718498</v>
      </c>
    </row>
    <row r="32" spans="1:18" x14ac:dyDescent="0.25">
      <c r="A32">
        <v>31</v>
      </c>
      <c r="B32" t="s">
        <v>282</v>
      </c>
      <c r="C32" t="s">
        <v>275</v>
      </c>
      <c r="D32" t="s">
        <v>376</v>
      </c>
      <c r="E32">
        <v>3</v>
      </c>
      <c r="F32" t="s">
        <v>312</v>
      </c>
      <c r="G32" t="s">
        <v>135</v>
      </c>
      <c r="H32" t="s">
        <v>135</v>
      </c>
      <c r="I32" t="s">
        <v>129</v>
      </c>
      <c r="J32">
        <v>9.2200000000000006</v>
      </c>
      <c r="K32">
        <v>7.57</v>
      </c>
      <c r="L32">
        <f t="shared" si="0"/>
        <v>0.82500000000000018</v>
      </c>
      <c r="M32">
        <f t="shared" si="1"/>
        <v>8.9479392624728857E-2</v>
      </c>
      <c r="N32">
        <v>1.0549999999999999</v>
      </c>
      <c r="O32">
        <v>0.02</v>
      </c>
      <c r="P32">
        <f t="shared" si="5"/>
        <v>1.0349999999999999</v>
      </c>
      <c r="Q32">
        <v>0.61799999999999999</v>
      </c>
      <c r="R32">
        <f t="shared" si="3"/>
        <v>0.59710144927536235</v>
      </c>
    </row>
    <row r="33" spans="1:18" x14ac:dyDescent="0.25">
      <c r="A33">
        <v>32</v>
      </c>
      <c r="B33" t="s">
        <v>1220</v>
      </c>
      <c r="C33" t="s">
        <v>271</v>
      </c>
      <c r="D33" t="s">
        <v>357</v>
      </c>
      <c r="E33">
        <v>4</v>
      </c>
      <c r="F33" t="s">
        <v>272</v>
      </c>
      <c r="G33" t="s">
        <v>135</v>
      </c>
      <c r="H33" t="s">
        <v>135</v>
      </c>
      <c r="I33" t="s">
        <v>129</v>
      </c>
      <c r="J33">
        <v>5.45</v>
      </c>
      <c r="K33">
        <v>4.3600000000000003</v>
      </c>
      <c r="L33">
        <f t="shared" si="0"/>
        <v>0.54499999999999993</v>
      </c>
      <c r="M33">
        <f t="shared" si="1"/>
        <v>9.9999999999999978E-2</v>
      </c>
      <c r="N33">
        <v>0.75</v>
      </c>
      <c r="O33">
        <v>0.02</v>
      </c>
      <c r="P33">
        <f t="shared" si="5"/>
        <v>0.73</v>
      </c>
      <c r="Q33">
        <v>0.24199999999999999</v>
      </c>
      <c r="R33">
        <f t="shared" si="3"/>
        <v>0.33150684931506852</v>
      </c>
    </row>
    <row r="34" spans="1:18" x14ac:dyDescent="0.25">
      <c r="A34">
        <v>33</v>
      </c>
      <c r="B34" t="s">
        <v>1237</v>
      </c>
      <c r="C34" t="s">
        <v>258</v>
      </c>
      <c r="D34" t="s">
        <v>352</v>
      </c>
      <c r="E34">
        <v>6</v>
      </c>
      <c r="F34" t="s">
        <v>209</v>
      </c>
      <c r="G34" t="s">
        <v>135</v>
      </c>
      <c r="H34" t="s">
        <v>135</v>
      </c>
      <c r="I34" t="s">
        <v>129</v>
      </c>
      <c r="J34">
        <v>9.17</v>
      </c>
      <c r="K34">
        <v>7.49</v>
      </c>
      <c r="L34">
        <f t="shared" si="0"/>
        <v>0.83999999999999986</v>
      </c>
      <c r="M34">
        <f t="shared" si="1"/>
        <v>9.160305343511449E-2</v>
      </c>
      <c r="N34">
        <v>1.3779999999999999</v>
      </c>
      <c r="O34">
        <v>0.02</v>
      </c>
      <c r="P34">
        <f t="shared" si="5"/>
        <v>1.3579999999999999</v>
      </c>
      <c r="Q34">
        <v>0.79300000000000004</v>
      </c>
      <c r="R34">
        <f t="shared" si="3"/>
        <v>0.58394698085419738</v>
      </c>
    </row>
    <row r="35" spans="1:18" x14ac:dyDescent="0.25">
      <c r="A35">
        <v>34</v>
      </c>
      <c r="B35" t="s">
        <v>1203</v>
      </c>
      <c r="C35" t="s">
        <v>256</v>
      </c>
      <c r="D35" t="s">
        <v>358</v>
      </c>
      <c r="E35">
        <v>2</v>
      </c>
      <c r="F35" t="s">
        <v>257</v>
      </c>
      <c r="G35" t="s">
        <v>135</v>
      </c>
      <c r="H35" t="s">
        <v>135</v>
      </c>
      <c r="I35" t="s">
        <v>129</v>
      </c>
      <c r="J35">
        <v>9.66</v>
      </c>
      <c r="K35">
        <v>7.4</v>
      </c>
      <c r="L35">
        <f t="shared" si="0"/>
        <v>1.1299999999999999</v>
      </c>
      <c r="M35">
        <f t="shared" si="1"/>
        <v>0.11697722567287784</v>
      </c>
      <c r="N35">
        <v>1.532</v>
      </c>
      <c r="O35">
        <v>0.02</v>
      </c>
      <c r="P35">
        <f t="shared" si="5"/>
        <v>1.512</v>
      </c>
      <c r="Q35">
        <v>0.76500000000000001</v>
      </c>
      <c r="R35">
        <f t="shared" si="3"/>
        <v>0.50595238095238093</v>
      </c>
    </row>
    <row r="36" spans="1:18" x14ac:dyDescent="0.25">
      <c r="A36">
        <v>35</v>
      </c>
      <c r="B36" t="s">
        <v>1243</v>
      </c>
      <c r="C36" t="s">
        <v>253</v>
      </c>
      <c r="D36" t="s">
        <v>383</v>
      </c>
      <c r="E36">
        <v>2</v>
      </c>
      <c r="F36" t="s">
        <v>249</v>
      </c>
      <c r="G36" t="s">
        <v>135</v>
      </c>
      <c r="H36" t="s">
        <v>135</v>
      </c>
      <c r="I36" t="s">
        <v>129</v>
      </c>
      <c r="J36">
        <v>8.77</v>
      </c>
      <c r="K36">
        <v>6.73</v>
      </c>
      <c r="L36">
        <f t="shared" si="0"/>
        <v>1.0199999999999996</v>
      </c>
      <c r="M36">
        <f t="shared" si="1"/>
        <v>0.11630558722919038</v>
      </c>
      <c r="N36">
        <v>0.623</v>
      </c>
      <c r="O36">
        <v>0.02</v>
      </c>
      <c r="P36">
        <f t="shared" si="5"/>
        <v>0.60299999999999998</v>
      </c>
      <c r="Q36">
        <v>0.46400000000000002</v>
      </c>
      <c r="R36">
        <f t="shared" si="3"/>
        <v>0.76948590381426207</v>
      </c>
    </row>
    <row r="37" spans="1:18" x14ac:dyDescent="0.25">
      <c r="A37">
        <v>36</v>
      </c>
      <c r="B37" t="s">
        <v>1242</v>
      </c>
      <c r="C37" t="s">
        <v>248</v>
      </c>
      <c r="D37" t="s">
        <v>383</v>
      </c>
      <c r="E37">
        <v>1</v>
      </c>
      <c r="F37" t="s">
        <v>249</v>
      </c>
      <c r="G37" t="s">
        <v>135</v>
      </c>
      <c r="H37" t="s">
        <v>135</v>
      </c>
      <c r="I37" t="s">
        <v>129</v>
      </c>
      <c r="J37">
        <v>7.39</v>
      </c>
      <c r="K37">
        <v>6.19</v>
      </c>
      <c r="L37">
        <f t="shared" si="0"/>
        <v>0.59999999999999964</v>
      </c>
      <c r="M37">
        <f t="shared" si="1"/>
        <v>8.1190798376183981E-2</v>
      </c>
      <c r="N37">
        <v>0.7</v>
      </c>
      <c r="O37">
        <v>0.02</v>
      </c>
      <c r="P37">
        <f t="shared" si="5"/>
        <v>0.67999999999999994</v>
      </c>
      <c r="Q37">
        <v>0.44700000000000001</v>
      </c>
      <c r="R37">
        <f t="shared" si="3"/>
        <v>0.6573529411764707</v>
      </c>
    </row>
    <row r="38" spans="1:18" x14ac:dyDescent="0.25">
      <c r="A38">
        <v>37</v>
      </c>
      <c r="B38" t="s">
        <v>1260</v>
      </c>
      <c r="C38" t="s">
        <v>254</v>
      </c>
      <c r="D38" t="s">
        <v>385</v>
      </c>
      <c r="E38">
        <v>1</v>
      </c>
      <c r="F38" t="s">
        <v>255</v>
      </c>
      <c r="G38" t="s">
        <v>135</v>
      </c>
      <c r="H38" t="s">
        <v>135</v>
      </c>
      <c r="I38" t="s">
        <v>129</v>
      </c>
      <c r="J38">
        <v>8.4</v>
      </c>
      <c r="K38">
        <v>5.6</v>
      </c>
      <c r="L38">
        <f t="shared" si="0"/>
        <v>1.4000000000000004</v>
      </c>
      <c r="M38">
        <f t="shared" si="1"/>
        <v>0.16666666666666671</v>
      </c>
      <c r="N38">
        <v>0.94299999999999995</v>
      </c>
      <c r="O38">
        <v>0.02</v>
      </c>
      <c r="P38">
        <f t="shared" si="5"/>
        <v>0.92299999999999993</v>
      </c>
      <c r="Q38">
        <v>0.42199999999999999</v>
      </c>
      <c r="R38">
        <f t="shared" si="3"/>
        <v>0.45720476706392199</v>
      </c>
    </row>
    <row r="39" spans="1:18" x14ac:dyDescent="0.25">
      <c r="A39">
        <v>38</v>
      </c>
      <c r="B39" t="s">
        <v>1232</v>
      </c>
      <c r="C39" t="s">
        <v>268</v>
      </c>
      <c r="D39" t="s">
        <v>366</v>
      </c>
      <c r="E39">
        <v>3</v>
      </c>
      <c r="F39" t="s">
        <v>480</v>
      </c>
      <c r="G39" t="s">
        <v>135</v>
      </c>
      <c r="H39" t="s">
        <v>135</v>
      </c>
      <c r="I39" t="s">
        <v>129</v>
      </c>
      <c r="J39">
        <v>10.26</v>
      </c>
      <c r="K39">
        <v>8.35</v>
      </c>
      <c r="L39">
        <f t="shared" si="0"/>
        <v>0.95500000000000007</v>
      </c>
      <c r="M39">
        <f t="shared" si="1"/>
        <v>9.3079922027290457E-2</v>
      </c>
      <c r="N39">
        <v>1.1499999999999999</v>
      </c>
      <c r="O39">
        <v>0.02</v>
      </c>
      <c r="P39">
        <f t="shared" si="5"/>
        <v>1.1299999999999999</v>
      </c>
      <c r="Q39">
        <v>0.52900000000000003</v>
      </c>
      <c r="R39">
        <f t="shared" si="3"/>
        <v>0.46814159292035407</v>
      </c>
    </row>
    <row r="40" spans="1:18" x14ac:dyDescent="0.25">
      <c r="A40">
        <v>39</v>
      </c>
      <c r="B40" t="s">
        <v>1222</v>
      </c>
      <c r="C40" t="s">
        <v>259</v>
      </c>
      <c r="D40" t="s">
        <v>386</v>
      </c>
      <c r="E40">
        <v>1</v>
      </c>
      <c r="F40" t="s">
        <v>260</v>
      </c>
      <c r="G40" t="s">
        <v>135</v>
      </c>
      <c r="H40" t="s">
        <v>135</v>
      </c>
      <c r="I40" t="s">
        <v>129</v>
      </c>
      <c r="J40">
        <v>8.24</v>
      </c>
      <c r="K40">
        <v>5.91</v>
      </c>
      <c r="L40">
        <f t="shared" si="0"/>
        <v>1.165</v>
      </c>
      <c r="M40">
        <f t="shared" si="1"/>
        <v>0.14138349514563106</v>
      </c>
      <c r="N40">
        <v>1.0209999999999999</v>
      </c>
      <c r="O40">
        <v>0.02</v>
      </c>
      <c r="P40">
        <f t="shared" si="5"/>
        <v>1.0009999999999999</v>
      </c>
      <c r="Q40">
        <v>0.72899999999999998</v>
      </c>
      <c r="R40">
        <f t="shared" si="3"/>
        <v>0.72827172827172837</v>
      </c>
    </row>
    <row r="41" spans="1:18" x14ac:dyDescent="0.25">
      <c r="A41">
        <v>40</v>
      </c>
      <c r="B41" t="s">
        <v>274</v>
      </c>
      <c r="D41" t="s">
        <v>379</v>
      </c>
      <c r="E41">
        <v>3</v>
      </c>
      <c r="F41" t="s">
        <v>314</v>
      </c>
      <c r="G41" t="s">
        <v>135</v>
      </c>
      <c r="H41" t="s">
        <v>135</v>
      </c>
      <c r="I41" t="s">
        <v>129</v>
      </c>
      <c r="J41">
        <v>9.83</v>
      </c>
      <c r="K41">
        <v>7.28</v>
      </c>
      <c r="L41">
        <f t="shared" si="0"/>
        <v>1.2749999999999999</v>
      </c>
      <c r="M41">
        <f t="shared" si="1"/>
        <v>0.12970498474059003</v>
      </c>
      <c r="N41">
        <v>0.58599999999999997</v>
      </c>
      <c r="O41">
        <v>0.02</v>
      </c>
      <c r="P41">
        <f t="shared" si="5"/>
        <v>0.56599999999999995</v>
      </c>
      <c r="Q41">
        <v>0.372</v>
      </c>
      <c r="R41">
        <f t="shared" si="3"/>
        <v>0.65724381625441697</v>
      </c>
    </row>
    <row r="42" spans="1:18" x14ac:dyDescent="0.25">
      <c r="A42">
        <v>41</v>
      </c>
      <c r="B42" t="s">
        <v>1239</v>
      </c>
      <c r="C42" t="s">
        <v>221</v>
      </c>
      <c r="D42" t="s">
        <v>377</v>
      </c>
      <c r="E42">
        <v>1</v>
      </c>
      <c r="F42" t="s">
        <v>222</v>
      </c>
      <c r="G42" t="s">
        <v>135</v>
      </c>
      <c r="H42" t="s">
        <v>135</v>
      </c>
      <c r="I42" t="s">
        <v>129</v>
      </c>
      <c r="J42">
        <v>7.06</v>
      </c>
      <c r="K42">
        <v>4.78</v>
      </c>
      <c r="L42">
        <f t="shared" si="0"/>
        <v>1.1399999999999997</v>
      </c>
      <c r="M42">
        <f t="shared" si="1"/>
        <v>0.16147308781869685</v>
      </c>
      <c r="N42">
        <v>0.89400000000000002</v>
      </c>
      <c r="O42">
        <v>0.02</v>
      </c>
      <c r="P42">
        <f t="shared" si="5"/>
        <v>0.874</v>
      </c>
      <c r="Q42">
        <v>0.51800000000000002</v>
      </c>
      <c r="R42">
        <f t="shared" si="3"/>
        <v>0.59267734553775742</v>
      </c>
    </row>
    <row r="43" spans="1:18" x14ac:dyDescent="0.25">
      <c r="A43">
        <v>42</v>
      </c>
      <c r="B43" t="s">
        <v>1197</v>
      </c>
      <c r="C43" t="s">
        <v>251</v>
      </c>
      <c r="D43" t="s">
        <v>384</v>
      </c>
      <c r="E43">
        <v>5</v>
      </c>
      <c r="F43" t="s">
        <v>252</v>
      </c>
      <c r="G43" t="s">
        <v>135</v>
      </c>
      <c r="H43" t="s">
        <v>135</v>
      </c>
      <c r="I43" t="s">
        <v>129</v>
      </c>
      <c r="J43">
        <v>8.24</v>
      </c>
      <c r="K43">
        <v>4.6500000000000004</v>
      </c>
      <c r="L43">
        <f t="shared" si="0"/>
        <v>1.7949999999999999</v>
      </c>
      <c r="M43">
        <f t="shared" si="1"/>
        <v>0.2178398058252427</v>
      </c>
      <c r="N43">
        <v>0.95499999999999996</v>
      </c>
      <c r="O43">
        <v>0.02</v>
      </c>
      <c r="P43">
        <f t="shared" si="5"/>
        <v>0.93499999999999994</v>
      </c>
      <c r="Q43">
        <v>0.30099999999999999</v>
      </c>
      <c r="R43">
        <f t="shared" si="3"/>
        <v>0.3219251336898396</v>
      </c>
    </row>
    <row r="44" spans="1:18" x14ac:dyDescent="0.25">
      <c r="A44">
        <v>43</v>
      </c>
      <c r="B44" t="s">
        <v>1259</v>
      </c>
      <c r="C44" t="s">
        <v>277</v>
      </c>
      <c r="D44" t="s">
        <v>344</v>
      </c>
      <c r="E44">
        <v>4</v>
      </c>
      <c r="F44" t="s">
        <v>278</v>
      </c>
      <c r="G44" t="s">
        <v>135</v>
      </c>
      <c r="H44" t="s">
        <v>135</v>
      </c>
      <c r="I44" t="s">
        <v>129</v>
      </c>
      <c r="J44">
        <v>6.61</v>
      </c>
      <c r="K44">
        <v>5.2</v>
      </c>
      <c r="L44">
        <f t="shared" si="0"/>
        <v>0.70500000000000007</v>
      </c>
      <c r="M44">
        <f t="shared" si="1"/>
        <v>0.10665658093797277</v>
      </c>
      <c r="N44">
        <v>0.52500000000000002</v>
      </c>
      <c r="O44">
        <v>0.02</v>
      </c>
      <c r="P44">
        <f t="shared" si="5"/>
        <v>0.505</v>
      </c>
      <c r="Q44">
        <v>0.24299999999999999</v>
      </c>
      <c r="R44">
        <f t="shared" si="3"/>
        <v>0.48118811881188117</v>
      </c>
    </row>
    <row r="45" spans="1:18" x14ac:dyDescent="0.25">
      <c r="A45">
        <v>44</v>
      </c>
      <c r="B45" t="s">
        <v>1213</v>
      </c>
      <c r="C45" t="s">
        <v>245</v>
      </c>
      <c r="D45" t="s">
        <v>382</v>
      </c>
      <c r="E45">
        <v>2</v>
      </c>
      <c r="F45" t="s">
        <v>315</v>
      </c>
      <c r="G45" t="s">
        <v>135</v>
      </c>
      <c r="H45" t="s">
        <v>135</v>
      </c>
      <c r="I45" t="s">
        <v>129</v>
      </c>
      <c r="J45">
        <v>8.31</v>
      </c>
      <c r="K45">
        <v>6.28</v>
      </c>
      <c r="L45">
        <f t="shared" si="0"/>
        <v>1.0150000000000001</v>
      </c>
      <c r="M45">
        <f t="shared" si="1"/>
        <v>0.12214199759326114</v>
      </c>
      <c r="N45">
        <v>1.575</v>
      </c>
      <c r="O45">
        <v>0.02</v>
      </c>
      <c r="P45">
        <f t="shared" si="5"/>
        <v>1.5549999999999999</v>
      </c>
      <c r="Q45">
        <v>1.002</v>
      </c>
      <c r="R45">
        <f t="shared" si="3"/>
        <v>0.64437299035369777</v>
      </c>
    </row>
    <row r="46" spans="1:18" x14ac:dyDescent="0.25">
      <c r="A46">
        <v>45</v>
      </c>
      <c r="B46" t="s">
        <v>1240</v>
      </c>
      <c r="C46" t="s">
        <v>279</v>
      </c>
      <c r="D46" t="s">
        <v>377</v>
      </c>
      <c r="E46">
        <v>2</v>
      </c>
      <c r="F46" t="s">
        <v>222</v>
      </c>
      <c r="G46" t="s">
        <v>135</v>
      </c>
      <c r="H46" t="s">
        <v>135</v>
      </c>
      <c r="I46" t="s">
        <v>129</v>
      </c>
      <c r="J46">
        <v>7.68</v>
      </c>
      <c r="K46">
        <v>5.0599999999999996</v>
      </c>
      <c r="L46">
        <f t="shared" si="0"/>
        <v>1.31</v>
      </c>
      <c r="M46">
        <f t="shared" si="1"/>
        <v>0.17057291666666669</v>
      </c>
      <c r="N46">
        <v>0.70299999999999996</v>
      </c>
      <c r="O46">
        <v>0.02</v>
      </c>
      <c r="P46">
        <f t="shared" si="5"/>
        <v>0.68299999999999994</v>
      </c>
      <c r="Q46">
        <v>0.41399999999999998</v>
      </c>
      <c r="R46">
        <f t="shared" si="3"/>
        <v>0.60614934114202057</v>
      </c>
    </row>
    <row r="47" spans="1:18" x14ac:dyDescent="0.25">
      <c r="A47">
        <v>46</v>
      </c>
      <c r="B47" t="s">
        <v>299</v>
      </c>
      <c r="D47" t="s">
        <v>383</v>
      </c>
      <c r="E47">
        <v>3</v>
      </c>
      <c r="F47" t="s">
        <v>249</v>
      </c>
      <c r="G47" t="s">
        <v>135</v>
      </c>
      <c r="H47" t="s">
        <v>135</v>
      </c>
      <c r="I47" t="s">
        <v>129</v>
      </c>
      <c r="J47">
        <v>7.9</v>
      </c>
      <c r="K47">
        <v>6.6</v>
      </c>
      <c r="L47">
        <f t="shared" si="0"/>
        <v>0.65000000000000036</v>
      </c>
      <c r="M47">
        <f t="shared" si="1"/>
        <v>8.2278481012658264E-2</v>
      </c>
      <c r="N47">
        <v>1.0760000000000001</v>
      </c>
      <c r="O47">
        <v>0.02</v>
      </c>
      <c r="P47">
        <f t="shared" si="5"/>
        <v>1.056</v>
      </c>
      <c r="Q47">
        <v>0.72799999999999998</v>
      </c>
      <c r="R47">
        <f t="shared" si="3"/>
        <v>0.68939393939393934</v>
      </c>
    </row>
    <row r="48" spans="1:18" x14ac:dyDescent="0.25">
      <c r="A48">
        <v>47</v>
      </c>
      <c r="B48" t="s">
        <v>1212</v>
      </c>
      <c r="C48" t="s">
        <v>307</v>
      </c>
      <c r="D48" t="s">
        <v>342</v>
      </c>
      <c r="E48">
        <v>6</v>
      </c>
      <c r="F48" t="s">
        <v>214</v>
      </c>
      <c r="G48" t="s">
        <v>135</v>
      </c>
      <c r="H48" t="s">
        <v>135</v>
      </c>
      <c r="I48" t="s">
        <v>129</v>
      </c>
      <c r="J48">
        <v>7.13</v>
      </c>
      <c r="K48">
        <v>4.58</v>
      </c>
      <c r="L48">
        <f t="shared" si="0"/>
        <v>1.2749999999999999</v>
      </c>
      <c r="M48">
        <f t="shared" si="1"/>
        <v>0.17882187938288918</v>
      </c>
      <c r="N48">
        <v>0.40799999999999997</v>
      </c>
      <c r="O48">
        <v>0.02</v>
      </c>
      <c r="P48">
        <f t="shared" si="5"/>
        <v>0.38799999999999996</v>
      </c>
      <c r="Q48">
        <v>0.22900000000000001</v>
      </c>
      <c r="R48">
        <f t="shared" si="3"/>
        <v>0.59020618556701043</v>
      </c>
    </row>
    <row r="49" spans="1:18" x14ac:dyDescent="0.25">
      <c r="A49">
        <v>48</v>
      </c>
      <c r="B49" t="s">
        <v>468</v>
      </c>
      <c r="D49" t="s">
        <v>344</v>
      </c>
      <c r="E49">
        <v>3</v>
      </c>
      <c r="F49" t="s">
        <v>278</v>
      </c>
      <c r="G49" t="s">
        <v>135</v>
      </c>
      <c r="H49" t="s">
        <v>135</v>
      </c>
      <c r="I49" t="s">
        <v>129</v>
      </c>
      <c r="J49">
        <v>6.11</v>
      </c>
      <c r="K49">
        <v>4.9800000000000004</v>
      </c>
      <c r="L49">
        <f t="shared" si="0"/>
        <v>0.56499999999999995</v>
      </c>
      <c r="M49">
        <f t="shared" si="1"/>
        <v>9.2471358428805217E-2</v>
      </c>
      <c r="N49">
        <v>0.92</v>
      </c>
      <c r="O49">
        <v>0.02</v>
      </c>
      <c r="P49">
        <f t="shared" si="5"/>
        <v>0.9</v>
      </c>
      <c r="Q49">
        <v>0.64200000000000002</v>
      </c>
      <c r="R49">
        <f t="shared" si="3"/>
        <v>0.71333333333333337</v>
      </c>
    </row>
    <row r="50" spans="1:18" x14ac:dyDescent="0.25">
      <c r="A50">
        <v>49</v>
      </c>
      <c r="B50" t="s">
        <v>1244</v>
      </c>
      <c r="C50" t="s">
        <v>231</v>
      </c>
      <c r="D50" t="s">
        <v>381</v>
      </c>
      <c r="E50">
        <v>1</v>
      </c>
      <c r="F50" t="s">
        <v>232</v>
      </c>
      <c r="G50" t="s">
        <v>135</v>
      </c>
      <c r="H50" t="s">
        <v>135</v>
      </c>
      <c r="I50" t="s">
        <v>129</v>
      </c>
      <c r="J50">
        <v>7.05</v>
      </c>
      <c r="K50">
        <v>5.28</v>
      </c>
      <c r="L50">
        <f t="shared" si="0"/>
        <v>0.88499999999999979</v>
      </c>
      <c r="M50">
        <f t="shared" si="1"/>
        <v>0.12553191489361698</v>
      </c>
      <c r="N50">
        <v>0.53400000000000003</v>
      </c>
      <c r="O50">
        <v>0.02</v>
      </c>
      <c r="P50">
        <f t="shared" si="5"/>
        <v>0.51400000000000001</v>
      </c>
      <c r="Q50">
        <v>0.17799999999999999</v>
      </c>
      <c r="R50">
        <f t="shared" si="3"/>
        <v>0.34630350194552528</v>
      </c>
    </row>
    <row r="51" spans="1:18" x14ac:dyDescent="0.25">
      <c r="A51">
        <v>50</v>
      </c>
      <c r="B51" t="s">
        <v>1217</v>
      </c>
      <c r="C51" t="s">
        <v>203</v>
      </c>
      <c r="D51" t="s">
        <v>373</v>
      </c>
      <c r="E51">
        <v>2</v>
      </c>
      <c r="F51" t="s">
        <v>316</v>
      </c>
      <c r="G51" t="s">
        <v>135</v>
      </c>
      <c r="H51" t="s">
        <v>135</v>
      </c>
      <c r="I51" t="s">
        <v>129</v>
      </c>
      <c r="J51">
        <v>6.62</v>
      </c>
      <c r="K51">
        <v>4.7699999999999996</v>
      </c>
      <c r="L51">
        <f t="shared" si="0"/>
        <v>0.92500000000000027</v>
      </c>
      <c r="M51">
        <f t="shared" si="1"/>
        <v>0.13972809667673719</v>
      </c>
      <c r="N51">
        <v>0.58599999999999997</v>
      </c>
      <c r="O51">
        <v>0.02</v>
      </c>
      <c r="P51">
        <f t="shared" si="5"/>
        <v>0.56599999999999995</v>
      </c>
      <c r="Q51">
        <v>0.42599999999999999</v>
      </c>
      <c r="R51">
        <f t="shared" si="3"/>
        <v>0.75265017667844525</v>
      </c>
    </row>
    <row r="52" spans="1:18" x14ac:dyDescent="0.25">
      <c r="A52">
        <v>51</v>
      </c>
      <c r="B52" t="s">
        <v>1229</v>
      </c>
      <c r="C52" t="s">
        <v>229</v>
      </c>
      <c r="D52" t="s">
        <v>351</v>
      </c>
      <c r="E52">
        <v>3</v>
      </c>
      <c r="F52" t="s">
        <v>219</v>
      </c>
      <c r="G52" t="s">
        <v>135</v>
      </c>
      <c r="H52" t="s">
        <v>135</v>
      </c>
      <c r="I52" t="s">
        <v>129</v>
      </c>
      <c r="J52">
        <v>14.18</v>
      </c>
      <c r="K52">
        <v>5.0999999999999996</v>
      </c>
      <c r="L52">
        <f t="shared" si="0"/>
        <v>4.54</v>
      </c>
      <c r="M52">
        <f t="shared" si="1"/>
        <v>0.32016925246826516</v>
      </c>
      <c r="N52">
        <v>0.52</v>
      </c>
      <c r="O52">
        <v>0.02</v>
      </c>
      <c r="P52">
        <f t="shared" si="5"/>
        <v>0.5</v>
      </c>
      <c r="Q52">
        <v>0.30299999999999999</v>
      </c>
      <c r="R52">
        <f t="shared" si="3"/>
        <v>0.60599999999999998</v>
      </c>
    </row>
    <row r="53" spans="1:18" x14ac:dyDescent="0.25">
      <c r="A53">
        <v>52</v>
      </c>
      <c r="B53" t="s">
        <v>1210</v>
      </c>
      <c r="C53" t="s">
        <v>213</v>
      </c>
      <c r="D53" t="s">
        <v>342</v>
      </c>
      <c r="E53">
        <v>3</v>
      </c>
      <c r="F53" t="s">
        <v>214</v>
      </c>
      <c r="G53" t="s">
        <v>135</v>
      </c>
      <c r="H53" t="s">
        <v>135</v>
      </c>
      <c r="I53" t="s">
        <v>129</v>
      </c>
      <c r="J53">
        <v>8.93</v>
      </c>
      <c r="K53">
        <v>5.01</v>
      </c>
      <c r="L53">
        <f t="shared" si="0"/>
        <v>1.96</v>
      </c>
      <c r="M53">
        <f t="shared" si="1"/>
        <v>0.219484882418813</v>
      </c>
      <c r="N53">
        <v>0.27800000000000002</v>
      </c>
      <c r="O53">
        <v>0.02</v>
      </c>
      <c r="P53">
        <f t="shared" si="5"/>
        <v>0.25800000000000001</v>
      </c>
      <c r="Q53">
        <v>0.126</v>
      </c>
      <c r="R53">
        <f t="shared" si="3"/>
        <v>0.48837209302325579</v>
      </c>
    </row>
    <row r="54" spans="1:18" x14ac:dyDescent="0.25">
      <c r="A54">
        <v>53</v>
      </c>
      <c r="B54" t="s">
        <v>289</v>
      </c>
      <c r="D54" t="s">
        <v>389</v>
      </c>
      <c r="E54">
        <v>1</v>
      </c>
      <c r="F54" t="s">
        <v>317</v>
      </c>
      <c r="G54" t="s">
        <v>135</v>
      </c>
      <c r="H54" t="s">
        <v>135</v>
      </c>
      <c r="I54" t="s">
        <v>129</v>
      </c>
      <c r="J54">
        <v>8.85</v>
      </c>
      <c r="K54">
        <v>7.22</v>
      </c>
      <c r="L54">
        <f t="shared" si="0"/>
        <v>0.81499999999999995</v>
      </c>
      <c r="M54">
        <f t="shared" si="1"/>
        <v>9.2090395480225989E-2</v>
      </c>
      <c r="N54">
        <v>1.1000000000000001</v>
      </c>
      <c r="O54">
        <v>0.02</v>
      </c>
      <c r="P54">
        <f t="shared" si="5"/>
        <v>1.08</v>
      </c>
      <c r="Q54">
        <v>0.47099999999999997</v>
      </c>
      <c r="R54">
        <f t="shared" si="3"/>
        <v>0.43611111111111106</v>
      </c>
    </row>
    <row r="55" spans="1:18" x14ac:dyDescent="0.25">
      <c r="A55">
        <v>54</v>
      </c>
      <c r="B55" t="s">
        <v>1219</v>
      </c>
      <c r="C55" t="s">
        <v>189</v>
      </c>
      <c r="D55" t="s">
        <v>1055</v>
      </c>
      <c r="E55">
        <v>1</v>
      </c>
      <c r="F55" t="s">
        <v>188</v>
      </c>
      <c r="G55" t="s">
        <v>135</v>
      </c>
      <c r="H55" t="s">
        <v>135</v>
      </c>
      <c r="I55" t="s">
        <v>129</v>
      </c>
      <c r="J55">
        <v>7.82</v>
      </c>
      <c r="K55">
        <v>6.6</v>
      </c>
      <c r="L55">
        <f t="shared" si="0"/>
        <v>0.61000000000000032</v>
      </c>
      <c r="M55">
        <f t="shared" si="1"/>
        <v>7.8005115089514104E-2</v>
      </c>
      <c r="N55">
        <v>0.71399999999999997</v>
      </c>
      <c r="O55">
        <v>0.02</v>
      </c>
      <c r="P55">
        <f t="shared" si="5"/>
        <v>0.69399999999999995</v>
      </c>
      <c r="Q55">
        <v>0.54</v>
      </c>
      <c r="R55">
        <f t="shared" si="3"/>
        <v>0.77809798270893382</v>
      </c>
    </row>
    <row r="56" spans="1:18" x14ac:dyDescent="0.25">
      <c r="A56">
        <v>55</v>
      </c>
      <c r="B56" t="s">
        <v>302</v>
      </c>
      <c r="D56" t="s">
        <v>388</v>
      </c>
      <c r="E56">
        <v>4</v>
      </c>
      <c r="F56" t="s">
        <v>284</v>
      </c>
      <c r="G56" t="s">
        <v>135</v>
      </c>
      <c r="H56" t="s">
        <v>135</v>
      </c>
      <c r="I56" t="s">
        <v>129</v>
      </c>
      <c r="J56">
        <v>12.44</v>
      </c>
      <c r="K56">
        <v>8.08</v>
      </c>
      <c r="L56">
        <f t="shared" si="0"/>
        <v>2.1799999999999997</v>
      </c>
      <c r="M56">
        <f t="shared" si="1"/>
        <v>0.17524115755627009</v>
      </c>
      <c r="N56">
        <v>0.57499999999999996</v>
      </c>
      <c r="O56">
        <v>0.02</v>
      </c>
      <c r="P56">
        <f t="shared" si="5"/>
        <v>0.55499999999999994</v>
      </c>
      <c r="Q56">
        <v>0.27800000000000002</v>
      </c>
      <c r="R56">
        <f t="shared" si="3"/>
        <v>0.500900900900901</v>
      </c>
    </row>
    <row r="57" spans="1:18" x14ac:dyDescent="0.25">
      <c r="A57">
        <v>56</v>
      </c>
      <c r="B57" t="s">
        <v>1211</v>
      </c>
      <c r="C57" t="s">
        <v>216</v>
      </c>
      <c r="D57" t="s">
        <v>342</v>
      </c>
      <c r="E57">
        <v>4</v>
      </c>
      <c r="F57" t="s">
        <v>214</v>
      </c>
      <c r="G57" t="s">
        <v>135</v>
      </c>
      <c r="H57" t="s">
        <v>135</v>
      </c>
      <c r="I57" t="s">
        <v>129</v>
      </c>
      <c r="J57">
        <v>19.149999999999999</v>
      </c>
      <c r="K57">
        <v>10.08</v>
      </c>
      <c r="L57">
        <f t="shared" si="0"/>
        <v>4.5349999999999993</v>
      </c>
      <c r="M57">
        <f t="shared" si="1"/>
        <v>0.23681462140992166</v>
      </c>
      <c r="N57">
        <v>1.27</v>
      </c>
      <c r="O57">
        <v>0.02</v>
      </c>
      <c r="P57">
        <f t="shared" si="5"/>
        <v>1.25</v>
      </c>
      <c r="Q57">
        <v>0.874</v>
      </c>
      <c r="R57">
        <f t="shared" si="3"/>
        <v>0.69920000000000004</v>
      </c>
    </row>
    <row r="58" spans="1:18" x14ac:dyDescent="0.25">
      <c r="A58">
        <v>57</v>
      </c>
      <c r="B58" t="s">
        <v>304</v>
      </c>
      <c r="D58" t="s">
        <v>355</v>
      </c>
      <c r="E58">
        <v>4</v>
      </c>
      <c r="F58" t="s">
        <v>305</v>
      </c>
      <c r="G58" t="s">
        <v>135</v>
      </c>
      <c r="H58" t="s">
        <v>135</v>
      </c>
      <c r="I58" t="s">
        <v>129</v>
      </c>
      <c r="J58">
        <v>8.6999999999999993</v>
      </c>
      <c r="K58">
        <v>6.2</v>
      </c>
      <c r="L58">
        <f t="shared" si="0"/>
        <v>1.2499999999999996</v>
      </c>
      <c r="M58">
        <f t="shared" si="1"/>
        <v>0.14367816091954019</v>
      </c>
      <c r="N58">
        <v>0.312</v>
      </c>
      <c r="O58">
        <v>0.02</v>
      </c>
      <c r="P58">
        <f t="shared" si="5"/>
        <v>0.29199999999999998</v>
      </c>
      <c r="Q58">
        <v>0.23200000000000001</v>
      </c>
      <c r="R58">
        <f t="shared" si="3"/>
        <v>0.79452054794520555</v>
      </c>
    </row>
    <row r="59" spans="1:18" x14ac:dyDescent="0.25">
      <c r="A59">
        <v>58</v>
      </c>
      <c r="B59" t="s">
        <v>303</v>
      </c>
      <c r="D59" t="s">
        <v>378</v>
      </c>
      <c r="E59">
        <v>1</v>
      </c>
      <c r="F59" t="s">
        <v>227</v>
      </c>
      <c r="G59" t="s">
        <v>135</v>
      </c>
      <c r="H59" t="s">
        <v>135</v>
      </c>
      <c r="I59" t="s">
        <v>129</v>
      </c>
      <c r="J59">
        <v>9.8800000000000008</v>
      </c>
      <c r="K59">
        <v>8.1999999999999993</v>
      </c>
      <c r="L59">
        <f t="shared" si="0"/>
        <v>0.84000000000000075</v>
      </c>
      <c r="M59">
        <f t="shared" si="1"/>
        <v>8.5020242914979824E-2</v>
      </c>
      <c r="N59">
        <v>1.3120000000000001</v>
      </c>
      <c r="O59">
        <v>0.02</v>
      </c>
      <c r="P59">
        <f t="shared" si="5"/>
        <v>1.292</v>
      </c>
      <c r="Q59">
        <v>0.97199999999999998</v>
      </c>
      <c r="R59">
        <f t="shared" si="3"/>
        <v>0.75232198142414852</v>
      </c>
    </row>
    <row r="60" spans="1:18" x14ac:dyDescent="0.25">
      <c r="A60">
        <v>59</v>
      </c>
      <c r="B60" t="s">
        <v>1228</v>
      </c>
      <c r="C60" t="s">
        <v>218</v>
      </c>
      <c r="D60" t="s">
        <v>351</v>
      </c>
      <c r="E60">
        <v>2</v>
      </c>
      <c r="F60" t="s">
        <v>219</v>
      </c>
      <c r="G60" t="s">
        <v>135</v>
      </c>
      <c r="H60" t="s">
        <v>135</v>
      </c>
      <c r="I60" t="s">
        <v>129</v>
      </c>
      <c r="J60">
        <v>10.69</v>
      </c>
      <c r="K60">
        <v>4.55</v>
      </c>
      <c r="L60">
        <f t="shared" si="0"/>
        <v>3.07</v>
      </c>
      <c r="M60">
        <f t="shared" si="1"/>
        <v>0.28718428437792332</v>
      </c>
      <c r="N60">
        <v>0.373</v>
      </c>
      <c r="O60">
        <v>0.02</v>
      </c>
      <c r="P60">
        <f t="shared" si="5"/>
        <v>0.35299999999999998</v>
      </c>
      <c r="Q60">
        <v>0.26800000000000002</v>
      </c>
      <c r="R60">
        <f t="shared" si="3"/>
        <v>0.7592067988668556</v>
      </c>
    </row>
    <row r="61" spans="1:18" x14ac:dyDescent="0.25">
      <c r="A61">
        <v>60</v>
      </c>
      <c r="B61" t="s">
        <v>1234</v>
      </c>
      <c r="C61" t="s">
        <v>236</v>
      </c>
      <c r="D61" t="s">
        <v>379</v>
      </c>
      <c r="E61">
        <v>2</v>
      </c>
      <c r="F61" t="s">
        <v>314</v>
      </c>
      <c r="G61" t="s">
        <v>135</v>
      </c>
      <c r="H61" t="s">
        <v>135</v>
      </c>
      <c r="I61" t="s">
        <v>129</v>
      </c>
      <c r="J61">
        <v>10.74</v>
      </c>
      <c r="K61">
        <v>7.05</v>
      </c>
      <c r="L61">
        <f t="shared" si="0"/>
        <v>1.8450000000000002</v>
      </c>
      <c r="M61">
        <f t="shared" si="1"/>
        <v>0.17178770949720673</v>
      </c>
      <c r="N61">
        <v>1.024</v>
      </c>
      <c r="O61">
        <v>0.02</v>
      </c>
      <c r="P61">
        <f t="shared" si="5"/>
        <v>1.004</v>
      </c>
      <c r="Q61">
        <v>0.63200000000000001</v>
      </c>
      <c r="R61">
        <f t="shared" si="3"/>
        <v>0.62948207171314741</v>
      </c>
    </row>
    <row r="62" spans="1:18" x14ac:dyDescent="0.25">
      <c r="A62">
        <v>61</v>
      </c>
      <c r="B62" t="s">
        <v>1233</v>
      </c>
      <c r="C62" t="s">
        <v>233</v>
      </c>
      <c r="D62" t="s">
        <v>379</v>
      </c>
      <c r="E62">
        <v>1</v>
      </c>
      <c r="F62" t="s">
        <v>314</v>
      </c>
      <c r="G62" t="s">
        <v>135</v>
      </c>
      <c r="H62" t="s">
        <v>135</v>
      </c>
      <c r="I62" t="s">
        <v>129</v>
      </c>
      <c r="J62">
        <v>11.81</v>
      </c>
      <c r="K62">
        <v>9.52</v>
      </c>
      <c r="L62">
        <f t="shared" si="0"/>
        <v>1.1450000000000005</v>
      </c>
      <c r="M62">
        <f t="shared" si="1"/>
        <v>9.6951735817104187E-2</v>
      </c>
      <c r="N62">
        <v>1.3420000000000001</v>
      </c>
      <c r="O62">
        <v>0.02</v>
      </c>
      <c r="P62">
        <f t="shared" si="5"/>
        <v>1.3220000000000001</v>
      </c>
      <c r="Q62">
        <v>0.86199999999999999</v>
      </c>
      <c r="R62">
        <f t="shared" si="3"/>
        <v>0.6520423600605143</v>
      </c>
    </row>
    <row r="63" spans="1:18" x14ac:dyDescent="0.25">
      <c r="A63">
        <v>62</v>
      </c>
      <c r="B63" t="s">
        <v>1221</v>
      </c>
      <c r="C63" t="s">
        <v>238</v>
      </c>
      <c r="D63" t="s">
        <v>380</v>
      </c>
      <c r="E63">
        <v>1</v>
      </c>
      <c r="F63" t="s">
        <v>239</v>
      </c>
      <c r="G63" t="s">
        <v>135</v>
      </c>
      <c r="H63" t="s">
        <v>135</v>
      </c>
      <c r="I63" t="s">
        <v>129</v>
      </c>
      <c r="J63">
        <v>6.29</v>
      </c>
      <c r="K63">
        <v>3.75</v>
      </c>
      <c r="L63">
        <f t="shared" si="0"/>
        <v>1.27</v>
      </c>
      <c r="M63">
        <f t="shared" si="1"/>
        <v>0.20190779014308427</v>
      </c>
      <c r="N63">
        <v>0.27700000000000002</v>
      </c>
      <c r="O63">
        <v>0.02</v>
      </c>
      <c r="P63">
        <f t="shared" si="5"/>
        <v>0.25700000000000001</v>
      </c>
      <c r="Q63">
        <v>0.126</v>
      </c>
      <c r="R63">
        <f t="shared" si="3"/>
        <v>0.49027237354085601</v>
      </c>
    </row>
    <row r="64" spans="1:18" x14ac:dyDescent="0.25">
      <c r="A64">
        <v>63</v>
      </c>
      <c r="B64" t="s">
        <v>1238</v>
      </c>
      <c r="C64" t="s">
        <v>226</v>
      </c>
      <c r="D64" t="s">
        <v>378</v>
      </c>
      <c r="E64">
        <v>4</v>
      </c>
      <c r="F64" t="s">
        <v>227</v>
      </c>
      <c r="G64" t="s">
        <v>135</v>
      </c>
      <c r="H64" t="s">
        <v>135</v>
      </c>
      <c r="I64" t="s">
        <v>129</v>
      </c>
      <c r="J64">
        <v>7.77</v>
      </c>
      <c r="K64">
        <v>6.52</v>
      </c>
      <c r="L64">
        <f t="shared" si="0"/>
        <v>0.625</v>
      </c>
      <c r="M64">
        <f t="shared" si="1"/>
        <v>8.0437580437580439E-2</v>
      </c>
      <c r="N64">
        <v>1.1279999999999999</v>
      </c>
      <c r="O64">
        <v>0.02</v>
      </c>
      <c r="P64">
        <f t="shared" si="5"/>
        <v>1.1079999999999999</v>
      </c>
      <c r="Q64">
        <v>0.69799999999999995</v>
      </c>
      <c r="R64">
        <f t="shared" si="3"/>
        <v>0.62996389891696758</v>
      </c>
    </row>
    <row r="65" spans="1:20" x14ac:dyDescent="0.25">
      <c r="A65">
        <v>64</v>
      </c>
      <c r="B65" t="s">
        <v>1230</v>
      </c>
      <c r="C65" t="s">
        <v>242</v>
      </c>
      <c r="D65" t="s">
        <v>351</v>
      </c>
      <c r="E65">
        <v>4</v>
      </c>
      <c r="F65" t="s">
        <v>219</v>
      </c>
      <c r="G65" t="s">
        <v>135</v>
      </c>
      <c r="H65" t="s">
        <v>135</v>
      </c>
      <c r="I65" t="s">
        <v>129</v>
      </c>
      <c r="J65">
        <v>10.15</v>
      </c>
      <c r="K65">
        <v>4.34</v>
      </c>
      <c r="L65">
        <f t="shared" si="0"/>
        <v>2.9050000000000002</v>
      </c>
      <c r="M65">
        <f t="shared" si="1"/>
        <v>0.28620689655172415</v>
      </c>
      <c r="N65">
        <v>0.33</v>
      </c>
      <c r="O65">
        <v>0.02</v>
      </c>
      <c r="P65">
        <f t="shared" si="5"/>
        <v>0.31</v>
      </c>
      <c r="Q65">
        <v>0.218</v>
      </c>
      <c r="R65">
        <f t="shared" si="3"/>
        <v>0.70322580645161292</v>
      </c>
    </row>
    <row r="66" spans="1:20" x14ac:dyDescent="0.25">
      <c r="A66">
        <v>65</v>
      </c>
      <c r="B66" t="s">
        <v>1236</v>
      </c>
      <c r="C66" t="s">
        <v>211</v>
      </c>
      <c r="D66" t="s">
        <v>352</v>
      </c>
      <c r="E66">
        <v>5</v>
      </c>
      <c r="F66" t="s">
        <v>209</v>
      </c>
      <c r="G66" t="s">
        <v>135</v>
      </c>
      <c r="H66" t="s">
        <v>135</v>
      </c>
      <c r="I66" t="s">
        <v>129</v>
      </c>
      <c r="J66">
        <v>7.63</v>
      </c>
      <c r="K66">
        <v>5.44</v>
      </c>
      <c r="L66">
        <f t="shared" ref="L66:L129" si="6">(J66-K66)/2</f>
        <v>1.0949999999999998</v>
      </c>
      <c r="M66">
        <f t="shared" ref="M66:M129" si="7">L66/J66</f>
        <v>0.14351245085190037</v>
      </c>
      <c r="N66">
        <v>0.67500000000000004</v>
      </c>
      <c r="O66">
        <v>0.02</v>
      </c>
      <c r="P66">
        <f t="shared" si="5"/>
        <v>0.65500000000000003</v>
      </c>
      <c r="Q66">
        <v>0.41099999999999998</v>
      </c>
      <c r="R66">
        <f t="shared" ref="R66:R129" si="8">Q66/P66</f>
        <v>0.62748091603053424</v>
      </c>
    </row>
    <row r="67" spans="1:20" x14ac:dyDescent="0.25">
      <c r="A67">
        <v>66</v>
      </c>
      <c r="B67" t="s">
        <v>1256</v>
      </c>
      <c r="C67" t="s">
        <v>224</v>
      </c>
      <c r="D67" t="s">
        <v>376</v>
      </c>
      <c r="E67">
        <v>2</v>
      </c>
      <c r="F67" t="s">
        <v>312</v>
      </c>
      <c r="G67" t="s">
        <v>135</v>
      </c>
      <c r="H67" t="s">
        <v>135</v>
      </c>
      <c r="I67" t="s">
        <v>129</v>
      </c>
      <c r="J67">
        <v>8.81</v>
      </c>
      <c r="K67">
        <v>6.63</v>
      </c>
      <c r="L67">
        <f t="shared" si="6"/>
        <v>1.0900000000000003</v>
      </c>
      <c r="M67">
        <f t="shared" si="7"/>
        <v>0.12372304199772988</v>
      </c>
      <c r="N67">
        <v>1.0349999999999999</v>
      </c>
      <c r="O67">
        <v>0.02</v>
      </c>
      <c r="P67">
        <f t="shared" si="5"/>
        <v>1.0149999999999999</v>
      </c>
      <c r="Q67">
        <v>0.501</v>
      </c>
      <c r="R67">
        <f t="shared" si="8"/>
        <v>0.49359605911330057</v>
      </c>
    </row>
    <row r="68" spans="1:20" x14ac:dyDescent="0.25">
      <c r="A68">
        <v>67</v>
      </c>
      <c r="B68" t="s">
        <v>1235</v>
      </c>
      <c r="C68" t="s">
        <v>208</v>
      </c>
      <c r="D68" t="s">
        <v>352</v>
      </c>
      <c r="E68">
        <v>4</v>
      </c>
      <c r="F68" t="s">
        <v>209</v>
      </c>
      <c r="G68" t="s">
        <v>135</v>
      </c>
      <c r="H68" t="s">
        <v>135</v>
      </c>
      <c r="I68" t="s">
        <v>129</v>
      </c>
      <c r="J68">
        <v>9.39</v>
      </c>
      <c r="K68">
        <v>7.96</v>
      </c>
      <c r="L68">
        <f t="shared" si="6"/>
        <v>0.7150000000000003</v>
      </c>
      <c r="M68">
        <f t="shared" si="7"/>
        <v>7.614483493077745E-2</v>
      </c>
      <c r="N68">
        <v>0.99</v>
      </c>
      <c r="O68">
        <v>0.02</v>
      </c>
      <c r="P68">
        <f t="shared" si="5"/>
        <v>0.97</v>
      </c>
      <c r="Q68">
        <v>0.54700000000000004</v>
      </c>
      <c r="R68">
        <f t="shared" si="8"/>
        <v>0.56391752577319598</v>
      </c>
    </row>
    <row r="69" spans="1:20" x14ac:dyDescent="0.25">
      <c r="A69">
        <v>68</v>
      </c>
      <c r="B69" t="s">
        <v>1231</v>
      </c>
      <c r="C69" t="s">
        <v>206</v>
      </c>
      <c r="D69" t="s">
        <v>346</v>
      </c>
      <c r="E69">
        <v>5</v>
      </c>
      <c r="F69" t="s">
        <v>61</v>
      </c>
      <c r="G69" t="s">
        <v>135</v>
      </c>
      <c r="H69" t="s">
        <v>135</v>
      </c>
      <c r="I69" t="s">
        <v>129</v>
      </c>
      <c r="J69">
        <v>5.88</v>
      </c>
      <c r="K69">
        <v>4.46</v>
      </c>
      <c r="L69">
        <f t="shared" si="6"/>
        <v>0.71</v>
      </c>
      <c r="M69">
        <f t="shared" si="7"/>
        <v>0.12074829931972789</v>
      </c>
      <c r="N69">
        <v>0.438</v>
      </c>
      <c r="O69">
        <v>0.02</v>
      </c>
      <c r="P69">
        <f t="shared" si="5"/>
        <v>0.41799999999999998</v>
      </c>
      <c r="Q69">
        <v>0.19400000000000001</v>
      </c>
      <c r="R69">
        <f t="shared" si="8"/>
        <v>0.4641148325358852</v>
      </c>
    </row>
    <row r="70" spans="1:20" x14ac:dyDescent="0.25">
      <c r="A70">
        <v>69</v>
      </c>
      <c r="B70" t="s">
        <v>1227</v>
      </c>
      <c r="C70" t="s">
        <v>196</v>
      </c>
      <c r="D70" t="s">
        <v>332</v>
      </c>
      <c r="E70">
        <v>2</v>
      </c>
      <c r="F70" t="s">
        <v>68</v>
      </c>
      <c r="G70" t="s">
        <v>135</v>
      </c>
      <c r="H70" t="s">
        <v>135</v>
      </c>
      <c r="I70" t="s">
        <v>129</v>
      </c>
      <c r="J70">
        <v>8.82</v>
      </c>
      <c r="K70">
        <v>5.97</v>
      </c>
      <c r="L70">
        <f t="shared" si="6"/>
        <v>1.4250000000000003</v>
      </c>
      <c r="M70">
        <f t="shared" si="7"/>
        <v>0.16156462585034015</v>
      </c>
      <c r="N70">
        <v>0.72099999999999997</v>
      </c>
      <c r="O70">
        <v>0.02</v>
      </c>
      <c r="P70">
        <f t="shared" si="5"/>
        <v>0.70099999999999996</v>
      </c>
      <c r="Q70">
        <v>0.44400000000000001</v>
      </c>
      <c r="R70">
        <f t="shared" si="8"/>
        <v>0.63338088445078466</v>
      </c>
    </row>
    <row r="71" spans="1:20" x14ac:dyDescent="0.25">
      <c r="A71">
        <v>70</v>
      </c>
      <c r="B71" t="s">
        <v>295</v>
      </c>
      <c r="D71" t="s">
        <v>374</v>
      </c>
      <c r="E71">
        <v>3</v>
      </c>
      <c r="F71" t="s">
        <v>319</v>
      </c>
      <c r="G71" t="s">
        <v>135</v>
      </c>
      <c r="H71" t="s">
        <v>135</v>
      </c>
      <c r="I71" t="s">
        <v>129</v>
      </c>
      <c r="J71">
        <v>13.27</v>
      </c>
      <c r="K71">
        <v>9.02</v>
      </c>
      <c r="L71">
        <f t="shared" si="6"/>
        <v>2.125</v>
      </c>
      <c r="M71">
        <f t="shared" si="7"/>
        <v>0.16013564431047475</v>
      </c>
      <c r="N71">
        <v>1.0549999999999999</v>
      </c>
      <c r="O71">
        <v>0.02</v>
      </c>
      <c r="P71">
        <f t="shared" si="5"/>
        <v>1.0349999999999999</v>
      </c>
      <c r="Q71">
        <v>0.55500000000000005</v>
      </c>
      <c r="R71">
        <f t="shared" si="8"/>
        <v>0.53623188405797106</v>
      </c>
    </row>
    <row r="72" spans="1:20" x14ac:dyDescent="0.25">
      <c r="A72">
        <v>71</v>
      </c>
      <c r="B72" t="s">
        <v>297</v>
      </c>
      <c r="D72" t="s">
        <v>390</v>
      </c>
      <c r="E72">
        <v>1</v>
      </c>
      <c r="F72" t="s">
        <v>320</v>
      </c>
      <c r="G72" t="s">
        <v>135</v>
      </c>
      <c r="H72" t="s">
        <v>135</v>
      </c>
      <c r="I72" t="s">
        <v>129</v>
      </c>
      <c r="J72">
        <v>6.97</v>
      </c>
      <c r="K72">
        <v>5.17</v>
      </c>
      <c r="L72">
        <f t="shared" si="6"/>
        <v>0.89999999999999991</v>
      </c>
      <c r="M72">
        <f t="shared" si="7"/>
        <v>0.1291248206599713</v>
      </c>
      <c r="N72">
        <v>0.81799999999999995</v>
      </c>
      <c r="O72">
        <v>0.02</v>
      </c>
      <c r="P72">
        <f t="shared" si="5"/>
        <v>0.79799999999999993</v>
      </c>
      <c r="Q72">
        <v>0.41899999999999998</v>
      </c>
      <c r="R72">
        <f t="shared" si="8"/>
        <v>0.52506265664160401</v>
      </c>
    </row>
    <row r="73" spans="1:20" x14ac:dyDescent="0.25">
      <c r="A73">
        <v>72</v>
      </c>
      <c r="B73" t="s">
        <v>22</v>
      </c>
      <c r="D73" t="s">
        <v>341</v>
      </c>
      <c r="E73">
        <v>1</v>
      </c>
      <c r="F73" t="s">
        <v>321</v>
      </c>
      <c r="G73" t="s">
        <v>135</v>
      </c>
      <c r="H73" t="s">
        <v>135</v>
      </c>
      <c r="I73" t="s">
        <v>129</v>
      </c>
      <c r="J73">
        <v>9.4700000000000006</v>
      </c>
      <c r="K73">
        <v>5.46</v>
      </c>
      <c r="L73">
        <f t="shared" si="6"/>
        <v>2.0050000000000003</v>
      </c>
      <c r="M73">
        <f t="shared" si="7"/>
        <v>0.21172122492080256</v>
      </c>
      <c r="N73">
        <v>0.73299999999999998</v>
      </c>
      <c r="O73">
        <v>0.02</v>
      </c>
      <c r="P73">
        <f t="shared" si="5"/>
        <v>0.71299999999999997</v>
      </c>
      <c r="Q73">
        <v>0.37</v>
      </c>
      <c r="R73">
        <f t="shared" si="8"/>
        <v>0.5189340813464236</v>
      </c>
    </row>
    <row r="74" spans="1:20" x14ac:dyDescent="0.25">
      <c r="A74">
        <v>73</v>
      </c>
      <c r="B74" t="s">
        <v>6</v>
      </c>
      <c r="D74" t="s">
        <v>368</v>
      </c>
      <c r="E74">
        <v>1</v>
      </c>
      <c r="F74" t="s">
        <v>322</v>
      </c>
      <c r="G74" t="s">
        <v>135</v>
      </c>
      <c r="H74" t="s">
        <v>135</v>
      </c>
      <c r="I74" t="s">
        <v>129</v>
      </c>
      <c r="J74">
        <v>8.86</v>
      </c>
      <c r="K74">
        <v>7.15</v>
      </c>
      <c r="L74">
        <f t="shared" si="6"/>
        <v>0.85499999999999954</v>
      </c>
      <c r="M74">
        <f t="shared" si="7"/>
        <v>9.650112866817151E-2</v>
      </c>
      <c r="N74">
        <v>0.94199999999999995</v>
      </c>
      <c r="O74">
        <v>0.02</v>
      </c>
      <c r="P74">
        <f t="shared" si="5"/>
        <v>0.92199999999999993</v>
      </c>
      <c r="Q74">
        <v>0.57599999999999996</v>
      </c>
      <c r="R74">
        <f t="shared" si="8"/>
        <v>0.62472885032537961</v>
      </c>
    </row>
    <row r="75" spans="1:20" x14ac:dyDescent="0.25">
      <c r="A75">
        <v>74</v>
      </c>
      <c r="B75" t="s">
        <v>1209</v>
      </c>
      <c r="C75" t="s">
        <v>25</v>
      </c>
      <c r="D75" t="s">
        <v>343</v>
      </c>
      <c r="E75">
        <v>3</v>
      </c>
      <c r="F75" t="s">
        <v>323</v>
      </c>
      <c r="G75" t="s">
        <v>135</v>
      </c>
      <c r="H75" t="s">
        <v>135</v>
      </c>
      <c r="I75" t="s">
        <v>129</v>
      </c>
      <c r="J75">
        <v>12.4</v>
      </c>
      <c r="K75">
        <v>8.66</v>
      </c>
      <c r="L75">
        <f t="shared" si="6"/>
        <v>1.87</v>
      </c>
      <c r="M75">
        <f t="shared" si="7"/>
        <v>0.15080645161290324</v>
      </c>
      <c r="N75">
        <v>1.367</v>
      </c>
      <c r="O75">
        <v>0.02</v>
      </c>
      <c r="P75">
        <f t="shared" si="5"/>
        <v>1.347</v>
      </c>
      <c r="Q75">
        <v>0.90400000000000003</v>
      </c>
      <c r="R75">
        <f t="shared" si="8"/>
        <v>0.67112100965107646</v>
      </c>
      <c r="T75" t="s">
        <v>325</v>
      </c>
    </row>
    <row r="76" spans="1:20" x14ac:dyDescent="0.25">
      <c r="A76">
        <v>75</v>
      </c>
      <c r="B76" t="s">
        <v>20</v>
      </c>
      <c r="D76" t="s">
        <v>339</v>
      </c>
      <c r="E76">
        <v>1</v>
      </c>
      <c r="F76" t="s">
        <v>326</v>
      </c>
      <c r="G76" t="s">
        <v>135</v>
      </c>
      <c r="H76" t="s">
        <v>135</v>
      </c>
      <c r="I76" t="s">
        <v>129</v>
      </c>
      <c r="J76">
        <v>9.4499999999999993</v>
      </c>
      <c r="K76">
        <v>7.9</v>
      </c>
      <c r="L76">
        <f t="shared" si="6"/>
        <v>0.77499999999999947</v>
      </c>
      <c r="M76">
        <f t="shared" si="7"/>
        <v>8.2010582010581964E-2</v>
      </c>
      <c r="N76">
        <v>0.54500000000000004</v>
      </c>
      <c r="O76">
        <v>0.02</v>
      </c>
      <c r="P76">
        <f t="shared" si="5"/>
        <v>0.52500000000000002</v>
      </c>
      <c r="Q76">
        <v>0.39300000000000002</v>
      </c>
      <c r="R76">
        <f t="shared" si="8"/>
        <v>0.74857142857142855</v>
      </c>
    </row>
    <row r="77" spans="1:20" x14ac:dyDescent="0.25">
      <c r="A77">
        <v>76</v>
      </c>
      <c r="B77" t="s">
        <v>26</v>
      </c>
      <c r="D77" t="s">
        <v>344</v>
      </c>
      <c r="E77">
        <v>1</v>
      </c>
      <c r="F77" t="s">
        <v>278</v>
      </c>
      <c r="G77" t="s">
        <v>135</v>
      </c>
      <c r="H77" t="s">
        <v>135</v>
      </c>
      <c r="I77" t="s">
        <v>129</v>
      </c>
      <c r="J77">
        <v>10.87</v>
      </c>
      <c r="K77">
        <v>8.1300000000000008</v>
      </c>
      <c r="L77">
        <f t="shared" si="6"/>
        <v>1.3699999999999992</v>
      </c>
      <c r="M77">
        <f t="shared" si="7"/>
        <v>0.12603495860165587</v>
      </c>
      <c r="N77">
        <v>0.60899999999999999</v>
      </c>
      <c r="O77">
        <v>0.02</v>
      </c>
      <c r="P77">
        <f t="shared" si="5"/>
        <v>0.58899999999999997</v>
      </c>
      <c r="Q77">
        <v>0.27500000000000002</v>
      </c>
      <c r="R77">
        <f t="shared" si="8"/>
        <v>0.46689303904923607</v>
      </c>
    </row>
    <row r="78" spans="1:20" x14ac:dyDescent="0.25">
      <c r="A78">
        <v>77</v>
      </c>
      <c r="B78" t="s">
        <v>29</v>
      </c>
      <c r="D78" t="s">
        <v>336</v>
      </c>
      <c r="E78">
        <v>1</v>
      </c>
      <c r="F78" t="s">
        <v>59</v>
      </c>
      <c r="G78" t="s">
        <v>135</v>
      </c>
      <c r="H78" t="s">
        <v>135</v>
      </c>
      <c r="I78" t="s">
        <v>129</v>
      </c>
      <c r="J78">
        <v>13.07</v>
      </c>
      <c r="K78">
        <v>8.1</v>
      </c>
      <c r="L78">
        <f t="shared" si="6"/>
        <v>2.4850000000000003</v>
      </c>
      <c r="M78">
        <f t="shared" si="7"/>
        <v>0.19013006885998471</v>
      </c>
      <c r="N78">
        <v>1.548</v>
      </c>
      <c r="O78">
        <v>0.02</v>
      </c>
      <c r="P78">
        <f t="shared" si="5"/>
        <v>1.528</v>
      </c>
      <c r="Q78">
        <v>0.70099999999999996</v>
      </c>
      <c r="R78">
        <f t="shared" si="8"/>
        <v>0.45876963350785338</v>
      </c>
    </row>
    <row r="79" spans="1:20" x14ac:dyDescent="0.25">
      <c r="A79">
        <v>78</v>
      </c>
      <c r="B79" t="s">
        <v>30</v>
      </c>
      <c r="D79" t="s">
        <v>346</v>
      </c>
      <c r="E79">
        <v>1</v>
      </c>
      <c r="F79" t="s">
        <v>61</v>
      </c>
      <c r="G79" t="s">
        <v>135</v>
      </c>
      <c r="H79" t="s">
        <v>135</v>
      </c>
      <c r="I79" t="s">
        <v>129</v>
      </c>
      <c r="J79">
        <v>9.51</v>
      </c>
      <c r="K79">
        <v>7</v>
      </c>
      <c r="L79">
        <f t="shared" si="6"/>
        <v>1.2549999999999999</v>
      </c>
      <c r="M79">
        <f t="shared" si="7"/>
        <v>0.1319663512092534</v>
      </c>
      <c r="N79">
        <v>0.58799999999999997</v>
      </c>
      <c r="O79">
        <v>0.02</v>
      </c>
      <c r="P79">
        <f t="shared" si="5"/>
        <v>0.56799999999999995</v>
      </c>
      <c r="Q79">
        <v>0.35699999999999998</v>
      </c>
      <c r="R79">
        <f t="shared" si="8"/>
        <v>0.62852112676056338</v>
      </c>
    </row>
    <row r="80" spans="1:20" x14ac:dyDescent="0.25">
      <c r="A80">
        <v>79</v>
      </c>
      <c r="B80" t="s">
        <v>87</v>
      </c>
      <c r="D80" t="s">
        <v>357</v>
      </c>
      <c r="E80">
        <v>1</v>
      </c>
      <c r="F80" t="s">
        <v>272</v>
      </c>
      <c r="G80" t="s">
        <v>135</v>
      </c>
      <c r="H80" t="s">
        <v>135</v>
      </c>
      <c r="I80" t="s">
        <v>129</v>
      </c>
      <c r="J80">
        <v>7.42</v>
      </c>
      <c r="K80">
        <v>4.99</v>
      </c>
      <c r="L80">
        <f t="shared" si="6"/>
        <v>1.2149999999999999</v>
      </c>
      <c r="M80">
        <f t="shared" si="7"/>
        <v>0.1637466307277628</v>
      </c>
      <c r="N80">
        <v>0.56200000000000006</v>
      </c>
      <c r="O80">
        <v>0.02</v>
      </c>
      <c r="P80">
        <f t="shared" si="5"/>
        <v>0.54200000000000004</v>
      </c>
      <c r="Q80">
        <v>0.248</v>
      </c>
      <c r="R80">
        <f t="shared" si="8"/>
        <v>0.45756457564575642</v>
      </c>
    </row>
    <row r="81" spans="1:20" x14ac:dyDescent="0.25">
      <c r="A81">
        <v>80</v>
      </c>
      <c r="B81" t="s">
        <v>112</v>
      </c>
      <c r="D81" t="s">
        <v>369</v>
      </c>
      <c r="E81">
        <v>3</v>
      </c>
      <c r="F81" t="s">
        <v>93</v>
      </c>
      <c r="G81" t="s">
        <v>135</v>
      </c>
      <c r="H81" t="s">
        <v>135</v>
      </c>
      <c r="I81" t="s">
        <v>129</v>
      </c>
      <c r="J81">
        <v>8.64</v>
      </c>
      <c r="K81">
        <v>7.08</v>
      </c>
      <c r="L81">
        <f t="shared" si="6"/>
        <v>0.78000000000000025</v>
      </c>
      <c r="M81">
        <f t="shared" si="7"/>
        <v>9.0277777777777804E-2</v>
      </c>
      <c r="N81">
        <v>0.71099999999999997</v>
      </c>
      <c r="O81">
        <v>0.02</v>
      </c>
      <c r="P81">
        <f t="shared" si="5"/>
        <v>0.69099999999999995</v>
      </c>
      <c r="Q81">
        <v>0.40699999999999997</v>
      </c>
      <c r="R81">
        <f t="shared" si="8"/>
        <v>0.58900144717800285</v>
      </c>
    </row>
    <row r="82" spans="1:20" x14ac:dyDescent="0.25">
      <c r="A82">
        <v>81</v>
      </c>
      <c r="B82" t="s">
        <v>91</v>
      </c>
      <c r="D82" t="s">
        <v>369</v>
      </c>
      <c r="E82">
        <v>1</v>
      </c>
      <c r="F82" t="s">
        <v>93</v>
      </c>
      <c r="G82" t="s">
        <v>135</v>
      </c>
      <c r="H82" t="s">
        <v>135</v>
      </c>
      <c r="I82" t="s">
        <v>129</v>
      </c>
      <c r="J82">
        <v>6.2</v>
      </c>
      <c r="K82">
        <v>5.0999999999999996</v>
      </c>
      <c r="L82">
        <f t="shared" si="6"/>
        <v>0.55000000000000027</v>
      </c>
      <c r="M82">
        <f t="shared" si="7"/>
        <v>8.8709677419354885E-2</v>
      </c>
      <c r="N82">
        <v>0.997</v>
      </c>
      <c r="O82">
        <v>0.02</v>
      </c>
      <c r="P82">
        <f t="shared" si="5"/>
        <v>0.97699999999999998</v>
      </c>
      <c r="Q82">
        <v>0.53400000000000003</v>
      </c>
      <c r="R82">
        <f t="shared" si="8"/>
        <v>0.54657113613101338</v>
      </c>
    </row>
    <row r="83" spans="1:20" x14ac:dyDescent="0.25">
      <c r="A83">
        <v>82</v>
      </c>
      <c r="B83" t="s">
        <v>125</v>
      </c>
      <c r="D83" t="s">
        <v>336</v>
      </c>
      <c r="E83">
        <v>3</v>
      </c>
      <c r="F83" t="s">
        <v>59</v>
      </c>
      <c r="G83" t="s">
        <v>135</v>
      </c>
      <c r="H83" t="s">
        <v>135</v>
      </c>
      <c r="I83" t="s">
        <v>129</v>
      </c>
      <c r="J83">
        <v>6.47</v>
      </c>
      <c r="K83">
        <v>3.44</v>
      </c>
      <c r="L83">
        <f t="shared" si="6"/>
        <v>1.5149999999999999</v>
      </c>
      <c r="M83">
        <f t="shared" si="7"/>
        <v>0.23415765069551778</v>
      </c>
      <c r="N83">
        <v>0.434</v>
      </c>
      <c r="O83">
        <v>0.02</v>
      </c>
      <c r="P83">
        <f t="shared" ref="P83:P146" si="9">N83-O83</f>
        <v>0.41399999999999998</v>
      </c>
      <c r="Q83">
        <v>0.161</v>
      </c>
      <c r="R83">
        <f t="shared" si="8"/>
        <v>0.3888888888888889</v>
      </c>
    </row>
    <row r="84" spans="1:20" x14ac:dyDescent="0.25">
      <c r="A84">
        <v>83</v>
      </c>
      <c r="B84" t="s">
        <v>40</v>
      </c>
      <c r="D84" t="s">
        <v>351</v>
      </c>
      <c r="E84">
        <v>1</v>
      </c>
      <c r="F84" t="s">
        <v>219</v>
      </c>
      <c r="G84" t="s">
        <v>135</v>
      </c>
      <c r="H84" t="s">
        <v>135</v>
      </c>
      <c r="I84" t="s">
        <v>129</v>
      </c>
      <c r="J84">
        <v>11.82</v>
      </c>
      <c r="K84">
        <v>3.82</v>
      </c>
      <c r="L84">
        <f t="shared" si="6"/>
        <v>4</v>
      </c>
      <c r="M84">
        <f t="shared" si="7"/>
        <v>0.33840947546531303</v>
      </c>
      <c r="N84">
        <v>0.627</v>
      </c>
      <c r="O84">
        <v>0.02</v>
      </c>
      <c r="P84">
        <f t="shared" si="9"/>
        <v>0.60699999999999998</v>
      </c>
      <c r="Q84">
        <v>0.41199999999999998</v>
      </c>
      <c r="R84">
        <f t="shared" si="8"/>
        <v>0.67874794069192745</v>
      </c>
    </row>
    <row r="85" spans="1:20" x14ac:dyDescent="0.25">
      <c r="A85">
        <v>84</v>
      </c>
      <c r="B85" t="s">
        <v>117</v>
      </c>
      <c r="D85" t="s">
        <v>340</v>
      </c>
      <c r="E85">
        <v>3</v>
      </c>
      <c r="F85" t="s">
        <v>60</v>
      </c>
      <c r="G85" t="s">
        <v>135</v>
      </c>
      <c r="H85" t="s">
        <v>135</v>
      </c>
      <c r="I85" t="s">
        <v>129</v>
      </c>
      <c r="J85">
        <v>6.82</v>
      </c>
      <c r="K85">
        <v>4.5999999999999996</v>
      </c>
      <c r="L85">
        <f t="shared" si="6"/>
        <v>1.1100000000000003</v>
      </c>
      <c r="M85">
        <f t="shared" si="7"/>
        <v>0.16275659824046926</v>
      </c>
      <c r="N85">
        <v>0.45200000000000001</v>
      </c>
      <c r="O85">
        <v>0.02</v>
      </c>
      <c r="P85">
        <f t="shared" si="9"/>
        <v>0.432</v>
      </c>
      <c r="Q85">
        <v>0.22900000000000001</v>
      </c>
      <c r="R85">
        <f t="shared" si="8"/>
        <v>0.53009259259259267</v>
      </c>
    </row>
    <row r="86" spans="1:20" x14ac:dyDescent="0.25">
      <c r="A86">
        <v>85</v>
      </c>
      <c r="B86" t="s">
        <v>1200</v>
      </c>
      <c r="C86" t="s">
        <v>327</v>
      </c>
      <c r="D86" t="s">
        <v>530</v>
      </c>
      <c r="E86">
        <v>1</v>
      </c>
      <c r="F86" t="s">
        <v>531</v>
      </c>
      <c r="G86" t="s">
        <v>135</v>
      </c>
      <c r="H86" t="s">
        <v>135</v>
      </c>
      <c r="I86" t="s">
        <v>129</v>
      </c>
      <c r="J86">
        <v>8.1</v>
      </c>
      <c r="K86">
        <v>5.51</v>
      </c>
      <c r="L86">
        <f t="shared" si="6"/>
        <v>1.2949999999999999</v>
      </c>
      <c r="M86">
        <f t="shared" si="7"/>
        <v>0.15987654320987654</v>
      </c>
      <c r="N86">
        <v>0.748</v>
      </c>
      <c r="O86">
        <v>0.02</v>
      </c>
      <c r="P86">
        <f t="shared" si="9"/>
        <v>0.72799999999999998</v>
      </c>
      <c r="Q86">
        <v>0.26500000000000001</v>
      </c>
      <c r="R86">
        <f t="shared" si="8"/>
        <v>0.36401098901098905</v>
      </c>
    </row>
    <row r="87" spans="1:20" x14ac:dyDescent="0.25">
      <c r="A87">
        <v>86</v>
      </c>
      <c r="B87" t="s">
        <v>36</v>
      </c>
      <c r="D87" t="s">
        <v>348</v>
      </c>
      <c r="E87">
        <v>1</v>
      </c>
      <c r="F87" t="s">
        <v>328</v>
      </c>
      <c r="G87" t="s">
        <v>135</v>
      </c>
      <c r="H87" t="s">
        <v>135</v>
      </c>
      <c r="I87" t="s">
        <v>129</v>
      </c>
      <c r="J87">
        <v>7.49</v>
      </c>
      <c r="K87">
        <v>4.92</v>
      </c>
      <c r="L87">
        <f t="shared" si="6"/>
        <v>1.2850000000000001</v>
      </c>
      <c r="M87">
        <f t="shared" si="7"/>
        <v>0.17156208277703605</v>
      </c>
      <c r="N87">
        <v>0.64300000000000002</v>
      </c>
      <c r="O87">
        <v>0.02</v>
      </c>
      <c r="P87">
        <f t="shared" si="9"/>
        <v>0.623</v>
      </c>
      <c r="Q87">
        <v>0.33100000000000002</v>
      </c>
      <c r="R87">
        <f t="shared" si="8"/>
        <v>0.5313001605136437</v>
      </c>
    </row>
    <row r="88" spans="1:20" x14ac:dyDescent="0.25">
      <c r="A88">
        <v>87</v>
      </c>
      <c r="B88" t="s">
        <v>118</v>
      </c>
      <c r="D88" t="s">
        <v>369</v>
      </c>
      <c r="E88">
        <v>2</v>
      </c>
      <c r="F88" t="s">
        <v>93</v>
      </c>
      <c r="G88" t="s">
        <v>135</v>
      </c>
      <c r="H88" t="s">
        <v>135</v>
      </c>
      <c r="I88" t="s">
        <v>129</v>
      </c>
      <c r="J88">
        <v>8.4600000000000009</v>
      </c>
      <c r="K88">
        <v>7.13</v>
      </c>
      <c r="L88">
        <f t="shared" si="6"/>
        <v>0.66500000000000048</v>
      </c>
      <c r="M88">
        <f t="shared" si="7"/>
        <v>7.8605200945626522E-2</v>
      </c>
      <c r="N88">
        <v>1.1419999999999999</v>
      </c>
      <c r="O88">
        <v>0.02</v>
      </c>
      <c r="P88">
        <f t="shared" si="9"/>
        <v>1.1219999999999999</v>
      </c>
      <c r="Q88">
        <v>0.58899999999999997</v>
      </c>
      <c r="R88">
        <f t="shared" si="8"/>
        <v>0.52495543672014267</v>
      </c>
    </row>
    <row r="89" spans="1:20" x14ac:dyDescent="0.25">
      <c r="A89">
        <v>88</v>
      </c>
      <c r="B89" t="s">
        <v>13</v>
      </c>
      <c r="D89" t="s">
        <v>336</v>
      </c>
      <c r="E89">
        <v>2</v>
      </c>
      <c r="F89" t="s">
        <v>59</v>
      </c>
      <c r="G89" t="s">
        <v>135</v>
      </c>
      <c r="H89" t="s">
        <v>135</v>
      </c>
      <c r="I89" t="s">
        <v>129</v>
      </c>
      <c r="J89">
        <v>9.98</v>
      </c>
      <c r="K89">
        <v>6.82</v>
      </c>
      <c r="L89">
        <f t="shared" si="6"/>
        <v>1.58</v>
      </c>
      <c r="M89">
        <f t="shared" si="7"/>
        <v>0.15831663326653306</v>
      </c>
      <c r="N89">
        <v>0.69</v>
      </c>
      <c r="O89">
        <v>0.02</v>
      </c>
      <c r="P89">
        <f t="shared" si="9"/>
        <v>0.66999999999999993</v>
      </c>
      <c r="Q89">
        <v>0.24399999999999999</v>
      </c>
      <c r="R89">
        <f t="shared" si="8"/>
        <v>0.36417910447761198</v>
      </c>
    </row>
    <row r="90" spans="1:20" x14ac:dyDescent="0.25">
      <c r="A90">
        <v>89</v>
      </c>
      <c r="B90" t="s">
        <v>10</v>
      </c>
      <c r="D90" t="s">
        <v>333</v>
      </c>
      <c r="E90">
        <v>1</v>
      </c>
      <c r="F90" t="s">
        <v>364</v>
      </c>
      <c r="G90" t="s">
        <v>135</v>
      </c>
      <c r="H90" t="s">
        <v>135</v>
      </c>
      <c r="I90" t="s">
        <v>129</v>
      </c>
      <c r="J90">
        <v>6.57</v>
      </c>
      <c r="K90">
        <v>3.98</v>
      </c>
      <c r="L90">
        <f t="shared" si="6"/>
        <v>1.2950000000000002</v>
      </c>
      <c r="M90">
        <f t="shared" si="7"/>
        <v>0.19710806697108069</v>
      </c>
      <c r="N90">
        <v>0.41499999999999998</v>
      </c>
      <c r="O90">
        <v>0.02</v>
      </c>
      <c r="P90">
        <f t="shared" si="9"/>
        <v>0.39499999999999996</v>
      </c>
      <c r="Q90">
        <v>0.254</v>
      </c>
      <c r="R90">
        <f t="shared" si="8"/>
        <v>0.6430379746835444</v>
      </c>
    </row>
    <row r="91" spans="1:20" x14ac:dyDescent="0.25">
      <c r="A91">
        <v>90</v>
      </c>
      <c r="B91" t="s">
        <v>105</v>
      </c>
      <c r="C91" t="s">
        <v>24</v>
      </c>
      <c r="D91" t="s">
        <v>337</v>
      </c>
      <c r="E91">
        <v>1</v>
      </c>
      <c r="F91" t="s">
        <v>305</v>
      </c>
      <c r="G91" t="s">
        <v>135</v>
      </c>
      <c r="H91" t="s">
        <v>135</v>
      </c>
      <c r="I91" t="s">
        <v>129</v>
      </c>
      <c r="J91">
        <v>8.83</v>
      </c>
      <c r="K91">
        <v>4.54</v>
      </c>
      <c r="L91">
        <f t="shared" si="6"/>
        <v>2.145</v>
      </c>
      <c r="M91">
        <f t="shared" si="7"/>
        <v>0.24292185730464327</v>
      </c>
      <c r="N91">
        <v>0.56599999999999995</v>
      </c>
      <c r="O91">
        <v>0.03</v>
      </c>
      <c r="P91">
        <f t="shared" si="9"/>
        <v>0.53599999999999992</v>
      </c>
      <c r="Q91">
        <v>0.32700000000000001</v>
      </c>
      <c r="R91">
        <f t="shared" si="8"/>
        <v>0.61007462686567171</v>
      </c>
      <c r="T91" t="s">
        <v>1224</v>
      </c>
    </row>
    <row r="92" spans="1:20" x14ac:dyDescent="0.25">
      <c r="A92">
        <v>91</v>
      </c>
      <c r="B92" t="s">
        <v>143</v>
      </c>
      <c r="D92" t="s">
        <v>332</v>
      </c>
      <c r="E92">
        <v>1</v>
      </c>
      <c r="F92" t="s">
        <v>363</v>
      </c>
      <c r="G92" t="s">
        <v>135</v>
      </c>
      <c r="H92" t="s">
        <v>135</v>
      </c>
      <c r="I92" t="s">
        <v>129</v>
      </c>
      <c r="J92">
        <v>12.82</v>
      </c>
      <c r="K92">
        <v>8.32</v>
      </c>
      <c r="L92">
        <f t="shared" si="6"/>
        <v>2.25</v>
      </c>
      <c r="M92">
        <f t="shared" si="7"/>
        <v>0.17550702028081122</v>
      </c>
      <c r="N92">
        <v>1.6779999999999999</v>
      </c>
      <c r="O92">
        <v>0.03</v>
      </c>
      <c r="P92">
        <f t="shared" si="9"/>
        <v>1.6479999999999999</v>
      </c>
      <c r="Q92">
        <v>1.0029999999999999</v>
      </c>
      <c r="R92">
        <f t="shared" si="8"/>
        <v>0.60861650485436891</v>
      </c>
    </row>
    <row r="93" spans="1:20" x14ac:dyDescent="0.25">
      <c r="A93">
        <v>92</v>
      </c>
      <c r="B93" t="s">
        <v>1183</v>
      </c>
      <c r="C93" t="s">
        <v>1186</v>
      </c>
      <c r="D93" t="s">
        <v>626</v>
      </c>
      <c r="E93">
        <v>1</v>
      </c>
      <c r="F93" t="s">
        <v>627</v>
      </c>
      <c r="G93" t="s">
        <v>135</v>
      </c>
      <c r="H93" t="s">
        <v>135</v>
      </c>
      <c r="I93" t="s">
        <v>129</v>
      </c>
      <c r="J93">
        <v>6.88</v>
      </c>
      <c r="K93">
        <v>5.7</v>
      </c>
      <c r="L93">
        <f t="shared" si="6"/>
        <v>0.58999999999999986</v>
      </c>
      <c r="M93">
        <f t="shared" si="7"/>
        <v>8.5755813953488358E-2</v>
      </c>
      <c r="N93">
        <v>0.79</v>
      </c>
      <c r="O93">
        <v>0.03</v>
      </c>
      <c r="P93">
        <f t="shared" si="9"/>
        <v>0.76</v>
      </c>
      <c r="Q93">
        <v>0.53100000000000003</v>
      </c>
      <c r="R93">
        <f t="shared" si="8"/>
        <v>0.6986842105263158</v>
      </c>
    </row>
    <row r="94" spans="1:20" x14ac:dyDescent="0.25">
      <c r="A94">
        <v>93</v>
      </c>
      <c r="B94" t="s">
        <v>9</v>
      </c>
      <c r="D94" t="s">
        <v>333</v>
      </c>
      <c r="E94">
        <v>2</v>
      </c>
      <c r="F94" t="s">
        <v>364</v>
      </c>
      <c r="G94" t="s">
        <v>135</v>
      </c>
      <c r="H94" t="s">
        <v>135</v>
      </c>
      <c r="I94" t="s">
        <v>129</v>
      </c>
      <c r="J94">
        <v>7.18</v>
      </c>
      <c r="K94">
        <v>4.16</v>
      </c>
      <c r="L94">
        <f t="shared" si="6"/>
        <v>1.5099999999999998</v>
      </c>
      <c r="M94">
        <f t="shared" si="7"/>
        <v>0.21030640668523676</v>
      </c>
      <c r="N94">
        <v>0.48099999999999998</v>
      </c>
      <c r="O94">
        <v>0.03</v>
      </c>
      <c r="P94">
        <f t="shared" si="9"/>
        <v>0.45099999999999996</v>
      </c>
      <c r="Q94">
        <v>0.29299999999999998</v>
      </c>
      <c r="R94">
        <f t="shared" si="8"/>
        <v>0.64966740576496673</v>
      </c>
    </row>
    <row r="95" spans="1:20" x14ac:dyDescent="0.25">
      <c r="A95">
        <v>94</v>
      </c>
      <c r="B95" t="s">
        <v>33</v>
      </c>
      <c r="D95" t="s">
        <v>340</v>
      </c>
      <c r="E95">
        <v>2</v>
      </c>
      <c r="F95" t="s">
        <v>60</v>
      </c>
      <c r="G95" t="s">
        <v>135</v>
      </c>
      <c r="H95" t="s">
        <v>135</v>
      </c>
      <c r="I95" t="s">
        <v>129</v>
      </c>
      <c r="J95">
        <v>9.2100000000000009</v>
      </c>
      <c r="K95">
        <v>6.7</v>
      </c>
      <c r="L95">
        <f t="shared" si="6"/>
        <v>1.2550000000000003</v>
      </c>
      <c r="M95">
        <f t="shared" si="7"/>
        <v>0.13626492942453858</v>
      </c>
      <c r="N95">
        <v>0.49</v>
      </c>
      <c r="O95">
        <v>0.03</v>
      </c>
      <c r="P95">
        <f t="shared" si="9"/>
        <v>0.45999999999999996</v>
      </c>
      <c r="Q95">
        <v>0.245</v>
      </c>
      <c r="R95">
        <f t="shared" si="8"/>
        <v>0.53260869565217395</v>
      </c>
    </row>
    <row r="96" spans="1:20" x14ac:dyDescent="0.25">
      <c r="A96">
        <v>95</v>
      </c>
      <c r="B96" t="s">
        <v>4</v>
      </c>
      <c r="D96" t="s">
        <v>331</v>
      </c>
      <c r="E96">
        <v>1</v>
      </c>
      <c r="F96" t="s">
        <v>5</v>
      </c>
      <c r="G96" t="s">
        <v>135</v>
      </c>
      <c r="H96" t="s">
        <v>135</v>
      </c>
      <c r="I96" t="s">
        <v>129</v>
      </c>
      <c r="J96">
        <v>9.16</v>
      </c>
      <c r="K96">
        <v>7.74</v>
      </c>
      <c r="L96">
        <f t="shared" si="6"/>
        <v>0.71</v>
      </c>
      <c r="M96">
        <f t="shared" si="7"/>
        <v>7.7510917030567686E-2</v>
      </c>
      <c r="N96">
        <v>0.78800000000000003</v>
      </c>
      <c r="O96">
        <v>0.03</v>
      </c>
      <c r="P96">
        <f t="shared" si="9"/>
        <v>0.75800000000000001</v>
      </c>
      <c r="Q96">
        <v>0.42499999999999999</v>
      </c>
      <c r="R96">
        <f t="shared" si="8"/>
        <v>0.56068601583113453</v>
      </c>
    </row>
    <row r="97" spans="1:18" x14ac:dyDescent="0.25">
      <c r="A97">
        <v>96</v>
      </c>
      <c r="B97" t="s">
        <v>470</v>
      </c>
      <c r="C97" t="s">
        <v>470</v>
      </c>
      <c r="D97" t="s">
        <v>384</v>
      </c>
      <c r="E97">
        <v>1</v>
      </c>
      <c r="F97" t="s">
        <v>252</v>
      </c>
      <c r="G97" t="s">
        <v>135</v>
      </c>
      <c r="H97" t="s">
        <v>135</v>
      </c>
      <c r="I97" t="s">
        <v>129</v>
      </c>
      <c r="J97">
        <v>9.4499999999999993</v>
      </c>
      <c r="K97">
        <v>4.74</v>
      </c>
      <c r="L97">
        <f t="shared" si="6"/>
        <v>2.3549999999999995</v>
      </c>
      <c r="M97">
        <f t="shared" si="7"/>
        <v>0.24920634920634918</v>
      </c>
      <c r="N97">
        <v>0.68799999999999994</v>
      </c>
      <c r="O97">
        <v>0.03</v>
      </c>
      <c r="P97">
        <f t="shared" si="9"/>
        <v>0.65799999999999992</v>
      </c>
      <c r="Q97">
        <v>0.19700000000000001</v>
      </c>
      <c r="R97">
        <f t="shared" si="8"/>
        <v>0.29939209726443772</v>
      </c>
    </row>
    <row r="98" spans="1:18" x14ac:dyDescent="0.25">
      <c r="A98">
        <v>97</v>
      </c>
      <c r="B98" t="s">
        <v>108</v>
      </c>
      <c r="D98" t="s">
        <v>338</v>
      </c>
      <c r="E98">
        <v>2</v>
      </c>
      <c r="F98" t="s">
        <v>19</v>
      </c>
      <c r="G98" t="s">
        <v>135</v>
      </c>
      <c r="H98" t="s">
        <v>135</v>
      </c>
      <c r="I98" t="s">
        <v>129</v>
      </c>
      <c r="J98">
        <v>7.64</v>
      </c>
      <c r="K98">
        <v>5.44</v>
      </c>
      <c r="L98">
        <f t="shared" si="6"/>
        <v>1.0999999999999996</v>
      </c>
      <c r="M98">
        <f t="shared" si="7"/>
        <v>0.14397905759162299</v>
      </c>
      <c r="N98">
        <v>0.60399999999999998</v>
      </c>
      <c r="O98">
        <v>0.03</v>
      </c>
      <c r="P98">
        <f t="shared" si="9"/>
        <v>0.57399999999999995</v>
      </c>
      <c r="Q98">
        <v>0.27800000000000002</v>
      </c>
      <c r="R98">
        <f t="shared" si="8"/>
        <v>0.48432055749128927</v>
      </c>
    </row>
    <row r="99" spans="1:18" x14ac:dyDescent="0.25">
      <c r="A99">
        <v>98</v>
      </c>
      <c r="B99" t="s">
        <v>1184</v>
      </c>
      <c r="C99" t="s">
        <v>1187</v>
      </c>
      <c r="D99" t="s">
        <v>626</v>
      </c>
      <c r="E99">
        <v>2</v>
      </c>
      <c r="F99" t="s">
        <v>627</v>
      </c>
      <c r="G99" t="s">
        <v>135</v>
      </c>
      <c r="H99" t="s">
        <v>135</v>
      </c>
      <c r="I99" t="s">
        <v>129</v>
      </c>
      <c r="J99">
        <v>6.34</v>
      </c>
      <c r="K99">
        <v>5.2</v>
      </c>
      <c r="L99">
        <f t="shared" si="6"/>
        <v>0.56999999999999984</v>
      </c>
      <c r="M99">
        <f t="shared" si="7"/>
        <v>8.9905362776025219E-2</v>
      </c>
      <c r="N99">
        <v>0.755</v>
      </c>
      <c r="O99">
        <v>0.03</v>
      </c>
      <c r="P99">
        <f t="shared" si="9"/>
        <v>0.72499999999999998</v>
      </c>
      <c r="Q99">
        <v>0.41899999999999998</v>
      </c>
      <c r="R99">
        <f t="shared" si="8"/>
        <v>0.57793103448275862</v>
      </c>
    </row>
    <row r="100" spans="1:18" x14ac:dyDescent="0.25">
      <c r="A100">
        <v>99</v>
      </c>
      <c r="B100" t="s">
        <v>11</v>
      </c>
      <c r="D100" t="s">
        <v>334</v>
      </c>
      <c r="E100">
        <v>1</v>
      </c>
      <c r="F100" t="s">
        <v>365</v>
      </c>
      <c r="G100" t="s">
        <v>135</v>
      </c>
      <c r="H100" t="s">
        <v>135</v>
      </c>
      <c r="I100" t="s">
        <v>129</v>
      </c>
      <c r="J100">
        <v>6.94</v>
      </c>
      <c r="K100">
        <v>5.14</v>
      </c>
      <c r="L100">
        <f t="shared" si="6"/>
        <v>0.90000000000000036</v>
      </c>
      <c r="M100">
        <f t="shared" si="7"/>
        <v>0.12968299711815567</v>
      </c>
      <c r="N100">
        <v>0.56799999999999995</v>
      </c>
      <c r="O100">
        <v>0.03</v>
      </c>
      <c r="P100">
        <f t="shared" si="9"/>
        <v>0.53799999999999992</v>
      </c>
      <c r="Q100">
        <v>0.22</v>
      </c>
      <c r="R100">
        <f t="shared" si="8"/>
        <v>0.4089219330855019</v>
      </c>
    </row>
    <row r="101" spans="1:18" x14ac:dyDescent="0.25">
      <c r="A101">
        <v>100</v>
      </c>
      <c r="B101" t="s">
        <v>471</v>
      </c>
      <c r="C101" t="s">
        <v>1192</v>
      </c>
      <c r="D101" t="s">
        <v>384</v>
      </c>
      <c r="E101">
        <v>4</v>
      </c>
      <c r="F101" t="s">
        <v>252</v>
      </c>
      <c r="G101" t="s">
        <v>135</v>
      </c>
      <c r="H101" t="s">
        <v>135</v>
      </c>
      <c r="I101" t="s">
        <v>129</v>
      </c>
      <c r="J101">
        <v>8.36</v>
      </c>
      <c r="K101">
        <v>5.07</v>
      </c>
      <c r="L101">
        <f t="shared" si="6"/>
        <v>1.6449999999999996</v>
      </c>
      <c r="M101">
        <f t="shared" si="7"/>
        <v>0.19677033492822962</v>
      </c>
      <c r="N101">
        <v>0.99</v>
      </c>
      <c r="O101">
        <v>0.03</v>
      </c>
      <c r="P101">
        <f t="shared" si="9"/>
        <v>0.96</v>
      </c>
      <c r="Q101">
        <v>0.25700000000000001</v>
      </c>
      <c r="R101">
        <f t="shared" si="8"/>
        <v>0.26770833333333333</v>
      </c>
    </row>
    <row r="102" spans="1:18" x14ac:dyDescent="0.25">
      <c r="A102">
        <v>101</v>
      </c>
      <c r="B102" t="s">
        <v>472</v>
      </c>
      <c r="D102" t="s">
        <v>335</v>
      </c>
      <c r="E102">
        <v>1</v>
      </c>
      <c r="F102" t="s">
        <v>473</v>
      </c>
      <c r="G102" t="s">
        <v>135</v>
      </c>
      <c r="H102" t="s">
        <v>135</v>
      </c>
      <c r="I102" t="s">
        <v>129</v>
      </c>
      <c r="J102">
        <v>8.2200000000000006</v>
      </c>
      <c r="K102">
        <v>6.61</v>
      </c>
      <c r="L102">
        <f t="shared" si="6"/>
        <v>0.80500000000000016</v>
      </c>
      <c r="M102">
        <f t="shared" si="7"/>
        <v>9.793187347931874E-2</v>
      </c>
      <c r="N102">
        <v>1.5720000000000001</v>
      </c>
      <c r="O102">
        <v>0.03</v>
      </c>
      <c r="P102">
        <f t="shared" si="9"/>
        <v>1.542</v>
      </c>
      <c r="Q102">
        <v>1.129</v>
      </c>
      <c r="R102">
        <f t="shared" si="8"/>
        <v>0.73216601815823601</v>
      </c>
    </row>
    <row r="103" spans="1:18" x14ac:dyDescent="0.25">
      <c r="A103">
        <v>102</v>
      </c>
      <c r="B103" t="s">
        <v>27</v>
      </c>
      <c r="D103" t="s">
        <v>345</v>
      </c>
      <c r="E103">
        <v>1</v>
      </c>
      <c r="F103" t="s">
        <v>350</v>
      </c>
      <c r="G103" t="s">
        <v>135</v>
      </c>
      <c r="H103" t="s">
        <v>135</v>
      </c>
      <c r="I103" t="s">
        <v>129</v>
      </c>
      <c r="J103">
        <v>7.75</v>
      </c>
      <c r="K103">
        <v>4.42</v>
      </c>
      <c r="L103">
        <f t="shared" si="6"/>
        <v>1.665</v>
      </c>
      <c r="M103">
        <f t="shared" si="7"/>
        <v>0.21483870967741936</v>
      </c>
      <c r="N103">
        <v>0.60399999999999998</v>
      </c>
      <c r="O103">
        <v>0.03</v>
      </c>
      <c r="P103">
        <f t="shared" si="9"/>
        <v>0.57399999999999995</v>
      </c>
      <c r="Q103">
        <v>0.27300000000000002</v>
      </c>
      <c r="R103">
        <f t="shared" si="8"/>
        <v>0.47560975609756106</v>
      </c>
    </row>
    <row r="104" spans="1:18" x14ac:dyDescent="0.25">
      <c r="A104">
        <v>103</v>
      </c>
      <c r="B104" t="s">
        <v>28</v>
      </c>
      <c r="D104" t="s">
        <v>337</v>
      </c>
      <c r="E104">
        <v>2</v>
      </c>
      <c r="F104" t="s">
        <v>15</v>
      </c>
      <c r="G104" t="s">
        <v>135</v>
      </c>
      <c r="H104" t="s">
        <v>135</v>
      </c>
      <c r="I104" t="s">
        <v>129</v>
      </c>
      <c r="J104">
        <v>10.02</v>
      </c>
      <c r="K104">
        <v>4.2</v>
      </c>
      <c r="L104">
        <f t="shared" si="6"/>
        <v>2.9099999999999997</v>
      </c>
      <c r="M104">
        <f t="shared" si="7"/>
        <v>0.29041916167664666</v>
      </c>
      <c r="N104">
        <v>0.55400000000000005</v>
      </c>
      <c r="O104">
        <v>0.03</v>
      </c>
      <c r="P104">
        <f t="shared" si="9"/>
        <v>0.52400000000000002</v>
      </c>
      <c r="Q104">
        <v>0.32500000000000001</v>
      </c>
      <c r="R104">
        <f t="shared" si="8"/>
        <v>0.62022900763358779</v>
      </c>
    </row>
    <row r="105" spans="1:18" x14ac:dyDescent="0.25">
      <c r="A105">
        <v>104</v>
      </c>
      <c r="B105" t="s">
        <v>23</v>
      </c>
      <c r="D105" t="s">
        <v>342</v>
      </c>
      <c r="E105">
        <v>1</v>
      </c>
      <c r="F105" t="s">
        <v>214</v>
      </c>
      <c r="G105" t="s">
        <v>135</v>
      </c>
      <c r="H105" t="s">
        <v>135</v>
      </c>
      <c r="I105" t="s">
        <v>129</v>
      </c>
      <c r="J105">
        <v>9.5299999999999994</v>
      </c>
      <c r="K105">
        <v>4.47</v>
      </c>
      <c r="L105">
        <f t="shared" si="6"/>
        <v>2.5299999999999998</v>
      </c>
      <c r="M105">
        <f t="shared" si="7"/>
        <v>0.26547743966421827</v>
      </c>
      <c r="N105">
        <v>0.79300000000000004</v>
      </c>
      <c r="O105">
        <v>0.03</v>
      </c>
      <c r="P105">
        <f t="shared" si="9"/>
        <v>0.76300000000000001</v>
      </c>
      <c r="Q105">
        <v>0.38900000000000001</v>
      </c>
      <c r="R105">
        <f t="shared" si="8"/>
        <v>0.509829619921363</v>
      </c>
    </row>
    <row r="106" spans="1:18" x14ac:dyDescent="0.25">
      <c r="A106">
        <v>105</v>
      </c>
      <c r="B106" t="s">
        <v>1193</v>
      </c>
      <c r="C106" t="s">
        <v>475</v>
      </c>
      <c r="D106" t="s">
        <v>384</v>
      </c>
      <c r="E106">
        <v>3</v>
      </c>
      <c r="F106" t="s">
        <v>252</v>
      </c>
      <c r="G106" t="s">
        <v>135</v>
      </c>
      <c r="H106" t="s">
        <v>135</v>
      </c>
      <c r="I106" t="s">
        <v>129</v>
      </c>
      <c r="J106">
        <v>10.7</v>
      </c>
      <c r="K106">
        <v>4.8099999999999996</v>
      </c>
      <c r="L106">
        <f t="shared" si="6"/>
        <v>2.9449999999999998</v>
      </c>
      <c r="M106">
        <f t="shared" si="7"/>
        <v>0.27523364485981311</v>
      </c>
      <c r="N106">
        <v>0.77800000000000002</v>
      </c>
      <c r="O106">
        <v>0.03</v>
      </c>
      <c r="P106">
        <f t="shared" si="9"/>
        <v>0.748</v>
      </c>
      <c r="Q106">
        <v>0.27500000000000002</v>
      </c>
      <c r="R106">
        <f t="shared" si="8"/>
        <v>0.36764705882352944</v>
      </c>
    </row>
    <row r="107" spans="1:18" x14ac:dyDescent="0.25">
      <c r="A107">
        <v>106</v>
      </c>
      <c r="B107" t="s">
        <v>1198</v>
      </c>
      <c r="C107" t="s">
        <v>474</v>
      </c>
      <c r="D107" t="s">
        <v>420</v>
      </c>
      <c r="E107">
        <v>2</v>
      </c>
      <c r="F107" t="s">
        <v>467</v>
      </c>
      <c r="G107" t="s">
        <v>135</v>
      </c>
      <c r="H107" t="s">
        <v>135</v>
      </c>
      <c r="I107" t="s">
        <v>129</v>
      </c>
      <c r="J107">
        <v>6.08</v>
      </c>
      <c r="K107">
        <v>3.7</v>
      </c>
      <c r="L107">
        <f t="shared" si="6"/>
        <v>1.19</v>
      </c>
      <c r="M107">
        <f t="shared" si="7"/>
        <v>0.1957236842105263</v>
      </c>
      <c r="N107">
        <v>0.38700000000000001</v>
      </c>
      <c r="O107">
        <v>0.03</v>
      </c>
      <c r="P107">
        <f t="shared" si="9"/>
        <v>0.35699999999999998</v>
      </c>
      <c r="Q107">
        <v>0.127</v>
      </c>
      <c r="R107">
        <f t="shared" si="8"/>
        <v>0.35574229691876752</v>
      </c>
    </row>
    <row r="108" spans="1:18" x14ac:dyDescent="0.25">
      <c r="A108">
        <v>107</v>
      </c>
      <c r="B108" t="s">
        <v>34</v>
      </c>
      <c r="D108" t="s">
        <v>347</v>
      </c>
      <c r="E108">
        <v>1</v>
      </c>
      <c r="F108" t="s">
        <v>768</v>
      </c>
      <c r="G108" t="s">
        <v>135</v>
      </c>
      <c r="H108" t="s">
        <v>135</v>
      </c>
      <c r="I108" t="s">
        <v>129</v>
      </c>
      <c r="J108">
        <v>5.7</v>
      </c>
      <c r="K108">
        <v>4.3099999999999996</v>
      </c>
      <c r="L108">
        <f t="shared" si="6"/>
        <v>0.69500000000000028</v>
      </c>
      <c r="M108">
        <f t="shared" si="7"/>
        <v>0.12192982456140355</v>
      </c>
      <c r="N108">
        <v>0.50600000000000001</v>
      </c>
      <c r="O108">
        <v>0.03</v>
      </c>
      <c r="P108">
        <f t="shared" si="9"/>
        <v>0.47599999999999998</v>
      </c>
      <c r="Q108">
        <v>0.28999999999999998</v>
      </c>
      <c r="R108">
        <f t="shared" si="8"/>
        <v>0.60924369747899154</v>
      </c>
    </row>
    <row r="109" spans="1:18" x14ac:dyDescent="0.25">
      <c r="A109">
        <v>108</v>
      </c>
      <c r="B109" t="s">
        <v>35</v>
      </c>
      <c r="D109" t="s">
        <v>341</v>
      </c>
      <c r="E109">
        <v>2</v>
      </c>
      <c r="F109" t="s">
        <v>321</v>
      </c>
      <c r="G109" t="s">
        <v>135</v>
      </c>
      <c r="H109" t="s">
        <v>135</v>
      </c>
      <c r="I109" t="s">
        <v>129</v>
      </c>
      <c r="J109">
        <v>8.8800000000000008</v>
      </c>
      <c r="K109">
        <v>6.3</v>
      </c>
      <c r="L109">
        <f t="shared" si="6"/>
        <v>1.2900000000000005</v>
      </c>
      <c r="M109">
        <f t="shared" si="7"/>
        <v>0.14527027027027031</v>
      </c>
      <c r="N109">
        <v>0.47499999999999998</v>
      </c>
      <c r="O109">
        <v>0.03</v>
      </c>
      <c r="P109">
        <f t="shared" si="9"/>
        <v>0.44499999999999995</v>
      </c>
      <c r="Q109">
        <v>0.25900000000000001</v>
      </c>
      <c r="R109">
        <f t="shared" si="8"/>
        <v>0.58202247191011247</v>
      </c>
    </row>
    <row r="110" spans="1:18" x14ac:dyDescent="0.25">
      <c r="A110">
        <v>109</v>
      </c>
      <c r="B110" t="s">
        <v>18</v>
      </c>
      <c r="D110" t="s">
        <v>338</v>
      </c>
      <c r="E110">
        <v>1</v>
      </c>
      <c r="F110" t="s">
        <v>19</v>
      </c>
      <c r="G110" t="s">
        <v>135</v>
      </c>
      <c r="H110" t="s">
        <v>135</v>
      </c>
      <c r="I110" t="s">
        <v>129</v>
      </c>
      <c r="J110">
        <v>10.36</v>
      </c>
      <c r="K110">
        <v>6.15</v>
      </c>
      <c r="L110">
        <f t="shared" si="6"/>
        <v>2.1049999999999995</v>
      </c>
      <c r="M110">
        <f t="shared" si="7"/>
        <v>0.20318532818532814</v>
      </c>
      <c r="N110">
        <v>0.63600000000000001</v>
      </c>
      <c r="O110">
        <v>0.03</v>
      </c>
      <c r="P110">
        <f t="shared" si="9"/>
        <v>0.60599999999999998</v>
      </c>
      <c r="Q110">
        <v>0.23599999999999999</v>
      </c>
      <c r="R110">
        <f t="shared" si="8"/>
        <v>0.38943894389438943</v>
      </c>
    </row>
    <row r="111" spans="1:18" x14ac:dyDescent="0.25">
      <c r="A111">
        <v>110</v>
      </c>
      <c r="B111" t="s">
        <v>1199</v>
      </c>
      <c r="C111" t="s">
        <v>476</v>
      </c>
      <c r="D111" t="s">
        <v>420</v>
      </c>
      <c r="E111">
        <v>1</v>
      </c>
      <c r="F111" t="s">
        <v>467</v>
      </c>
      <c r="G111" t="s">
        <v>135</v>
      </c>
      <c r="H111" t="s">
        <v>135</v>
      </c>
      <c r="I111" t="s">
        <v>129</v>
      </c>
      <c r="J111">
        <v>8.49</v>
      </c>
      <c r="K111">
        <v>5.0999999999999996</v>
      </c>
      <c r="L111">
        <f t="shared" si="6"/>
        <v>1.6950000000000003</v>
      </c>
      <c r="M111">
        <f t="shared" si="7"/>
        <v>0.19964664310954067</v>
      </c>
      <c r="N111">
        <v>0.46800000000000003</v>
      </c>
      <c r="O111">
        <v>0.03</v>
      </c>
      <c r="P111">
        <f t="shared" si="9"/>
        <v>0.43800000000000006</v>
      </c>
      <c r="Q111">
        <v>0.17299999999999999</v>
      </c>
      <c r="R111">
        <f t="shared" si="8"/>
        <v>0.39497716894977158</v>
      </c>
    </row>
    <row r="112" spans="1:18" x14ac:dyDescent="0.25">
      <c r="A112">
        <v>111</v>
      </c>
      <c r="B112" t="s">
        <v>101</v>
      </c>
      <c r="D112" t="s">
        <v>337</v>
      </c>
      <c r="E112">
        <v>4</v>
      </c>
      <c r="F112" t="s">
        <v>15</v>
      </c>
      <c r="G112" t="s">
        <v>135</v>
      </c>
      <c r="H112" t="s">
        <v>135</v>
      </c>
      <c r="I112" t="s">
        <v>129</v>
      </c>
      <c r="J112">
        <v>17.46</v>
      </c>
      <c r="K112">
        <v>4.88</v>
      </c>
      <c r="L112">
        <f t="shared" si="6"/>
        <v>6.2900000000000009</v>
      </c>
      <c r="M112">
        <f t="shared" si="7"/>
        <v>0.36025200458190154</v>
      </c>
      <c r="N112">
        <v>0.72099999999999997</v>
      </c>
      <c r="O112">
        <v>0.03</v>
      </c>
      <c r="P112">
        <f t="shared" si="9"/>
        <v>0.69099999999999995</v>
      </c>
      <c r="Q112">
        <v>0.39100000000000001</v>
      </c>
      <c r="R112">
        <f t="shared" si="8"/>
        <v>0.56584659913169322</v>
      </c>
    </row>
    <row r="113" spans="1:18" x14ac:dyDescent="0.25">
      <c r="A113">
        <v>112</v>
      </c>
      <c r="B113" t="s">
        <v>90</v>
      </c>
      <c r="C113" t="s">
        <v>477</v>
      </c>
      <c r="D113" t="s">
        <v>367</v>
      </c>
      <c r="E113">
        <v>1</v>
      </c>
      <c r="F113" t="s">
        <v>371</v>
      </c>
      <c r="G113" t="s">
        <v>135</v>
      </c>
      <c r="H113" t="s">
        <v>135</v>
      </c>
      <c r="I113" t="s">
        <v>129</v>
      </c>
      <c r="J113">
        <v>7.1</v>
      </c>
      <c r="K113">
        <v>5.86</v>
      </c>
      <c r="L113">
        <f t="shared" si="6"/>
        <v>0.61999999999999966</v>
      </c>
      <c r="M113">
        <f t="shared" si="7"/>
        <v>8.7323943661971784E-2</v>
      </c>
      <c r="N113">
        <v>0.628</v>
      </c>
      <c r="O113">
        <v>0.03</v>
      </c>
      <c r="P113">
        <f t="shared" si="9"/>
        <v>0.59799999999999998</v>
      </c>
      <c r="Q113">
        <v>0.38700000000000001</v>
      </c>
      <c r="R113">
        <f t="shared" si="8"/>
        <v>0.64715719063545152</v>
      </c>
    </row>
    <row r="114" spans="1:18" x14ac:dyDescent="0.25">
      <c r="A114">
        <v>113</v>
      </c>
      <c r="B114" t="s">
        <v>74</v>
      </c>
      <c r="D114" t="s">
        <v>352</v>
      </c>
      <c r="E114">
        <v>2</v>
      </c>
      <c r="F114" t="s">
        <v>209</v>
      </c>
      <c r="G114" t="s">
        <v>135</v>
      </c>
      <c r="H114" t="s">
        <v>135</v>
      </c>
      <c r="I114" t="s">
        <v>128</v>
      </c>
      <c r="J114">
        <v>7.7</v>
      </c>
      <c r="K114">
        <v>6.15</v>
      </c>
      <c r="L114">
        <f t="shared" si="6"/>
        <v>0.77499999999999991</v>
      </c>
      <c r="M114">
        <f t="shared" si="7"/>
        <v>0.10064935064935064</v>
      </c>
      <c r="N114">
        <v>0.54</v>
      </c>
      <c r="O114">
        <v>0.03</v>
      </c>
      <c r="P114">
        <f t="shared" si="9"/>
        <v>0.51</v>
      </c>
      <c r="Q114">
        <v>0.35899999999999999</v>
      </c>
      <c r="R114">
        <f t="shared" si="8"/>
        <v>0.70392156862745092</v>
      </c>
    </row>
    <row r="115" spans="1:18" x14ac:dyDescent="0.25">
      <c r="A115">
        <v>114</v>
      </c>
      <c r="B115" t="s">
        <v>83</v>
      </c>
      <c r="D115" t="s">
        <v>346</v>
      </c>
      <c r="E115">
        <v>2</v>
      </c>
      <c r="F115" t="s">
        <v>372</v>
      </c>
      <c r="G115" t="s">
        <v>135</v>
      </c>
      <c r="H115" t="s">
        <v>135</v>
      </c>
      <c r="I115" t="s">
        <v>128</v>
      </c>
      <c r="J115">
        <v>8.6</v>
      </c>
      <c r="K115">
        <v>5.67</v>
      </c>
      <c r="L115">
        <f t="shared" si="6"/>
        <v>1.4649999999999999</v>
      </c>
      <c r="M115">
        <f t="shared" si="7"/>
        <v>0.17034883720930233</v>
      </c>
      <c r="N115">
        <v>0.35099999999999998</v>
      </c>
      <c r="O115">
        <v>0.03</v>
      </c>
      <c r="P115">
        <f t="shared" si="9"/>
        <v>0.32099999999999995</v>
      </c>
      <c r="Q115">
        <v>0.252</v>
      </c>
      <c r="R115">
        <f t="shared" si="8"/>
        <v>0.7850467289719627</v>
      </c>
    </row>
    <row r="116" spans="1:18" x14ac:dyDescent="0.25">
      <c r="A116">
        <v>115</v>
      </c>
      <c r="B116" t="s">
        <v>124</v>
      </c>
      <c r="D116" t="s">
        <v>339</v>
      </c>
      <c r="E116">
        <v>2</v>
      </c>
      <c r="F116" t="s">
        <v>362</v>
      </c>
      <c r="G116" t="s">
        <v>135</v>
      </c>
      <c r="H116" t="s">
        <v>135</v>
      </c>
      <c r="I116" t="s">
        <v>129</v>
      </c>
      <c r="J116">
        <v>6.34</v>
      </c>
      <c r="K116">
        <v>4.66</v>
      </c>
      <c r="L116">
        <f t="shared" si="6"/>
        <v>0.83999999999999986</v>
      </c>
      <c r="M116">
        <f t="shared" si="7"/>
        <v>0.13249211356466875</v>
      </c>
      <c r="N116">
        <v>0.995</v>
      </c>
      <c r="O116">
        <v>0.03</v>
      </c>
      <c r="P116">
        <f t="shared" si="9"/>
        <v>0.96499999999999997</v>
      </c>
      <c r="Q116">
        <v>0.74399999999999999</v>
      </c>
      <c r="R116">
        <f t="shared" si="8"/>
        <v>0.77098445595854925</v>
      </c>
    </row>
    <row r="117" spans="1:18" x14ac:dyDescent="0.25">
      <c r="A117">
        <v>116</v>
      </c>
      <c r="B117" t="s">
        <v>14</v>
      </c>
      <c r="D117" t="s">
        <v>337</v>
      </c>
      <c r="E117">
        <v>3</v>
      </c>
      <c r="F117" t="s">
        <v>15</v>
      </c>
      <c r="G117" t="s">
        <v>135</v>
      </c>
      <c r="H117" t="s">
        <v>135</v>
      </c>
      <c r="I117" t="s">
        <v>129</v>
      </c>
      <c r="J117">
        <v>11.42</v>
      </c>
      <c r="K117">
        <v>5.07</v>
      </c>
      <c r="L117">
        <f t="shared" si="6"/>
        <v>3.1749999999999998</v>
      </c>
      <c r="M117">
        <f t="shared" si="7"/>
        <v>0.27802101576182137</v>
      </c>
      <c r="N117">
        <v>0.75700000000000001</v>
      </c>
      <c r="O117">
        <v>0.03</v>
      </c>
      <c r="P117">
        <f t="shared" si="9"/>
        <v>0.72699999999999998</v>
      </c>
      <c r="Q117">
        <v>0.40899999999999997</v>
      </c>
      <c r="R117">
        <f t="shared" si="8"/>
        <v>0.56258596973865194</v>
      </c>
    </row>
    <row r="118" spans="1:18" x14ac:dyDescent="0.25">
      <c r="A118">
        <v>117</v>
      </c>
      <c r="B118" t="s">
        <v>1195</v>
      </c>
      <c r="C118" t="s">
        <v>478</v>
      </c>
      <c r="D118" t="s">
        <v>384</v>
      </c>
      <c r="E118">
        <v>6</v>
      </c>
      <c r="F118" t="s">
        <v>252</v>
      </c>
      <c r="G118" t="s">
        <v>135</v>
      </c>
      <c r="H118" t="s">
        <v>135</v>
      </c>
      <c r="I118" t="s">
        <v>128</v>
      </c>
      <c r="J118">
        <v>11.2</v>
      </c>
      <c r="K118">
        <v>5.85</v>
      </c>
      <c r="L118">
        <f t="shared" si="6"/>
        <v>2.6749999999999998</v>
      </c>
      <c r="M118">
        <f t="shared" si="7"/>
        <v>0.23883928571428573</v>
      </c>
      <c r="N118">
        <v>0.81299999999999994</v>
      </c>
      <c r="O118">
        <v>0.03</v>
      </c>
      <c r="P118">
        <f t="shared" si="9"/>
        <v>0.78299999999999992</v>
      </c>
      <c r="Q118">
        <v>0.39</v>
      </c>
      <c r="R118">
        <f t="shared" si="8"/>
        <v>0.49808429118773956</v>
      </c>
    </row>
    <row r="119" spans="1:18" x14ac:dyDescent="0.25">
      <c r="A119">
        <v>118</v>
      </c>
      <c r="B119" t="s">
        <v>106</v>
      </c>
      <c r="D119" t="s">
        <v>331</v>
      </c>
      <c r="E119">
        <v>2</v>
      </c>
      <c r="F119" t="s">
        <v>5</v>
      </c>
      <c r="G119" t="s">
        <v>135</v>
      </c>
      <c r="H119" t="s">
        <v>135</v>
      </c>
      <c r="I119" t="s">
        <v>128</v>
      </c>
      <c r="J119">
        <v>7.87</v>
      </c>
      <c r="K119">
        <v>5.99</v>
      </c>
      <c r="L119">
        <f t="shared" si="6"/>
        <v>0.94</v>
      </c>
      <c r="M119">
        <f t="shared" si="7"/>
        <v>0.11944091486658195</v>
      </c>
      <c r="N119">
        <v>0.66500000000000004</v>
      </c>
      <c r="O119">
        <v>0.03</v>
      </c>
      <c r="P119">
        <f t="shared" si="9"/>
        <v>0.63500000000000001</v>
      </c>
      <c r="Q119">
        <v>0.38200000000000001</v>
      </c>
      <c r="R119">
        <f t="shared" si="8"/>
        <v>0.60157480314960632</v>
      </c>
    </row>
    <row r="120" spans="1:18" x14ac:dyDescent="0.25">
      <c r="A120">
        <v>119</v>
      </c>
      <c r="B120" t="s">
        <v>1215</v>
      </c>
      <c r="C120" t="s">
        <v>89</v>
      </c>
      <c r="D120" t="s">
        <v>382</v>
      </c>
      <c r="E120">
        <v>3</v>
      </c>
      <c r="F120" t="s">
        <v>257</v>
      </c>
      <c r="G120" t="s">
        <v>135</v>
      </c>
      <c r="H120" t="s">
        <v>135</v>
      </c>
      <c r="I120" t="s">
        <v>129</v>
      </c>
      <c r="J120">
        <v>6.31</v>
      </c>
      <c r="K120">
        <v>4.8899999999999997</v>
      </c>
      <c r="L120">
        <f t="shared" si="6"/>
        <v>0.71</v>
      </c>
      <c r="M120">
        <f t="shared" si="7"/>
        <v>0.11251980982567354</v>
      </c>
      <c r="N120">
        <v>0.46200000000000002</v>
      </c>
      <c r="O120">
        <v>0.03</v>
      </c>
      <c r="P120">
        <f t="shared" si="9"/>
        <v>0.43200000000000005</v>
      </c>
      <c r="Q120">
        <v>0.24299999999999999</v>
      </c>
      <c r="R120">
        <f t="shared" si="8"/>
        <v>0.56249999999999989</v>
      </c>
    </row>
    <row r="121" spans="1:18" x14ac:dyDescent="0.25">
      <c r="A121">
        <v>120</v>
      </c>
      <c r="B121" t="s">
        <v>122</v>
      </c>
      <c r="D121" t="s">
        <v>344</v>
      </c>
      <c r="E121">
        <v>2</v>
      </c>
      <c r="F121" t="s">
        <v>278</v>
      </c>
      <c r="G121" t="s">
        <v>135</v>
      </c>
      <c r="H121" t="s">
        <v>135</v>
      </c>
      <c r="I121" t="s">
        <v>128</v>
      </c>
      <c r="J121">
        <v>8.1999999999999993</v>
      </c>
      <c r="K121">
        <v>6.32</v>
      </c>
      <c r="L121">
        <f t="shared" si="6"/>
        <v>0.9399999999999995</v>
      </c>
      <c r="M121">
        <f t="shared" si="7"/>
        <v>0.11463414634146336</v>
      </c>
      <c r="N121">
        <v>0.73299999999999998</v>
      </c>
      <c r="O121">
        <v>0.03</v>
      </c>
      <c r="P121">
        <f t="shared" si="9"/>
        <v>0.70299999999999996</v>
      </c>
      <c r="Q121">
        <v>0.28299999999999997</v>
      </c>
      <c r="R121">
        <f t="shared" si="8"/>
        <v>0.40256045519203415</v>
      </c>
    </row>
    <row r="122" spans="1:18" x14ac:dyDescent="0.25">
      <c r="A122">
        <v>121</v>
      </c>
      <c r="B122" t="s">
        <v>100</v>
      </c>
      <c r="D122" t="s">
        <v>337</v>
      </c>
      <c r="E122">
        <v>5</v>
      </c>
      <c r="F122" t="s">
        <v>15</v>
      </c>
      <c r="G122" t="s">
        <v>135</v>
      </c>
      <c r="H122" t="s">
        <v>135</v>
      </c>
      <c r="I122" t="s">
        <v>128</v>
      </c>
      <c r="J122">
        <v>9.42</v>
      </c>
      <c r="K122">
        <v>5.08</v>
      </c>
      <c r="L122">
        <f t="shared" si="6"/>
        <v>2.17</v>
      </c>
      <c r="M122">
        <f t="shared" si="7"/>
        <v>0.23036093418259024</v>
      </c>
      <c r="N122">
        <v>0.495</v>
      </c>
      <c r="O122">
        <v>0.03</v>
      </c>
      <c r="P122">
        <f t="shared" si="9"/>
        <v>0.46499999999999997</v>
      </c>
      <c r="Q122">
        <v>0.309</v>
      </c>
      <c r="R122">
        <f t="shared" si="8"/>
        <v>0.6645161290322581</v>
      </c>
    </row>
    <row r="123" spans="1:18" x14ac:dyDescent="0.25">
      <c r="A123">
        <v>122</v>
      </c>
      <c r="B123" t="s">
        <v>76</v>
      </c>
      <c r="D123" t="s">
        <v>356</v>
      </c>
      <c r="E123">
        <v>1</v>
      </c>
      <c r="F123" t="s">
        <v>479</v>
      </c>
      <c r="G123" t="s">
        <v>135</v>
      </c>
      <c r="H123" t="s">
        <v>135</v>
      </c>
      <c r="I123" t="s">
        <v>129</v>
      </c>
      <c r="J123">
        <v>6.15</v>
      </c>
      <c r="K123">
        <v>5.03</v>
      </c>
      <c r="L123">
        <f t="shared" si="6"/>
        <v>0.56000000000000005</v>
      </c>
      <c r="M123">
        <f t="shared" si="7"/>
        <v>9.1056910569105698E-2</v>
      </c>
      <c r="N123">
        <v>0.89</v>
      </c>
      <c r="O123">
        <v>0.03</v>
      </c>
      <c r="P123">
        <f t="shared" si="9"/>
        <v>0.86</v>
      </c>
      <c r="Q123">
        <v>0.46600000000000003</v>
      </c>
      <c r="R123">
        <f t="shared" si="8"/>
        <v>0.54186046511627906</v>
      </c>
    </row>
    <row r="124" spans="1:18" x14ac:dyDescent="0.25">
      <c r="A124">
        <v>123</v>
      </c>
      <c r="B124" t="s">
        <v>107</v>
      </c>
      <c r="D124" t="s">
        <v>373</v>
      </c>
      <c r="E124">
        <v>1</v>
      </c>
      <c r="F124" t="s">
        <v>316</v>
      </c>
      <c r="G124" t="s">
        <v>135</v>
      </c>
      <c r="H124" t="s">
        <v>135</v>
      </c>
      <c r="I124" t="s">
        <v>129</v>
      </c>
      <c r="J124">
        <v>6.23</v>
      </c>
      <c r="K124">
        <v>4.9000000000000004</v>
      </c>
      <c r="L124">
        <f t="shared" si="6"/>
        <v>0.66500000000000004</v>
      </c>
      <c r="M124">
        <f t="shared" si="7"/>
        <v>0.10674157303370786</v>
      </c>
      <c r="N124">
        <v>0.72599999999999998</v>
      </c>
      <c r="O124">
        <v>0.03</v>
      </c>
      <c r="P124">
        <f t="shared" si="9"/>
        <v>0.69599999999999995</v>
      </c>
      <c r="Q124">
        <v>0.51200000000000001</v>
      </c>
      <c r="R124">
        <f t="shared" si="8"/>
        <v>0.73563218390804608</v>
      </c>
    </row>
    <row r="125" spans="1:18" x14ac:dyDescent="0.25">
      <c r="A125">
        <v>124</v>
      </c>
      <c r="B125" t="s">
        <v>84</v>
      </c>
      <c r="D125" t="s">
        <v>366</v>
      </c>
      <c r="E125">
        <v>2</v>
      </c>
      <c r="F125" t="s">
        <v>480</v>
      </c>
      <c r="G125" t="s">
        <v>135</v>
      </c>
      <c r="H125" t="s">
        <v>135</v>
      </c>
      <c r="I125" t="s">
        <v>129</v>
      </c>
      <c r="J125">
        <v>9.31</v>
      </c>
      <c r="K125">
        <v>6.32</v>
      </c>
      <c r="L125">
        <f t="shared" si="6"/>
        <v>1.4950000000000001</v>
      </c>
      <c r="M125">
        <f t="shared" si="7"/>
        <v>0.16058002148227712</v>
      </c>
      <c r="N125">
        <v>0.94199999999999995</v>
      </c>
      <c r="O125">
        <v>0.03</v>
      </c>
      <c r="P125">
        <f t="shared" si="9"/>
        <v>0.91199999999999992</v>
      </c>
      <c r="Q125">
        <v>0.64100000000000001</v>
      </c>
      <c r="R125">
        <f t="shared" si="8"/>
        <v>0.70285087719298256</v>
      </c>
    </row>
    <row r="126" spans="1:18" x14ac:dyDescent="0.25">
      <c r="A126">
        <v>125</v>
      </c>
      <c r="B126" t="s">
        <v>94</v>
      </c>
      <c r="D126" t="s">
        <v>369</v>
      </c>
      <c r="E126">
        <v>4</v>
      </c>
      <c r="F126" t="s">
        <v>93</v>
      </c>
      <c r="G126" t="s">
        <v>135</v>
      </c>
      <c r="H126" t="s">
        <v>135</v>
      </c>
      <c r="I126" t="s">
        <v>129</v>
      </c>
      <c r="J126">
        <v>7.61</v>
      </c>
      <c r="K126">
        <v>6.47</v>
      </c>
      <c r="L126">
        <f t="shared" si="6"/>
        <v>0.57000000000000028</v>
      </c>
      <c r="M126">
        <f t="shared" si="7"/>
        <v>7.4901445466491495E-2</v>
      </c>
      <c r="N126">
        <v>0.748</v>
      </c>
      <c r="O126">
        <v>0.03</v>
      </c>
      <c r="P126">
        <f t="shared" si="9"/>
        <v>0.71799999999999997</v>
      </c>
      <c r="Q126">
        <v>0.35599999999999998</v>
      </c>
      <c r="R126">
        <f t="shared" si="8"/>
        <v>0.49582172701949861</v>
      </c>
    </row>
    <row r="127" spans="1:18" x14ac:dyDescent="0.25">
      <c r="A127">
        <v>126</v>
      </c>
      <c r="B127" t="s">
        <v>103</v>
      </c>
      <c r="D127" t="s">
        <v>353</v>
      </c>
      <c r="E127">
        <v>1</v>
      </c>
      <c r="F127" t="s">
        <v>354</v>
      </c>
      <c r="G127" t="s">
        <v>135</v>
      </c>
      <c r="H127" t="s">
        <v>135</v>
      </c>
      <c r="I127" t="s">
        <v>129</v>
      </c>
      <c r="J127">
        <v>6.55</v>
      </c>
      <c r="K127">
        <v>4.34</v>
      </c>
      <c r="L127">
        <f t="shared" si="6"/>
        <v>1.105</v>
      </c>
      <c r="M127">
        <f t="shared" si="7"/>
        <v>0.16870229007633589</v>
      </c>
      <c r="N127">
        <v>0.58299999999999996</v>
      </c>
      <c r="O127">
        <v>0.03</v>
      </c>
      <c r="P127">
        <f t="shared" si="9"/>
        <v>0.55299999999999994</v>
      </c>
      <c r="Q127">
        <v>0.29799999999999999</v>
      </c>
      <c r="R127">
        <f t="shared" si="8"/>
        <v>0.53887884267631103</v>
      </c>
    </row>
    <row r="128" spans="1:18" x14ac:dyDescent="0.25">
      <c r="A128">
        <v>127</v>
      </c>
      <c r="B128" t="s">
        <v>1214</v>
      </c>
      <c r="C128" t="s">
        <v>96</v>
      </c>
      <c r="D128" t="s">
        <v>382</v>
      </c>
      <c r="E128">
        <v>6</v>
      </c>
      <c r="F128" t="s">
        <v>313</v>
      </c>
      <c r="G128" t="s">
        <v>135</v>
      </c>
      <c r="H128" t="s">
        <v>135</v>
      </c>
      <c r="I128" t="s">
        <v>129</v>
      </c>
      <c r="J128">
        <v>5.63</v>
      </c>
      <c r="K128">
        <v>4.5199999999999996</v>
      </c>
      <c r="L128">
        <f t="shared" si="6"/>
        <v>0.55500000000000016</v>
      </c>
      <c r="M128">
        <f t="shared" si="7"/>
        <v>9.8579040852575517E-2</v>
      </c>
      <c r="N128">
        <v>0.40500000000000003</v>
      </c>
      <c r="O128">
        <v>0.03</v>
      </c>
      <c r="P128">
        <f t="shared" si="9"/>
        <v>0.375</v>
      </c>
      <c r="Q128">
        <v>0.23799999999999999</v>
      </c>
      <c r="R128">
        <f t="shared" si="8"/>
        <v>0.6346666666666666</v>
      </c>
    </row>
    <row r="129" spans="1:18" x14ac:dyDescent="0.25">
      <c r="A129">
        <v>128</v>
      </c>
      <c r="B129" t="s">
        <v>82</v>
      </c>
      <c r="D129" t="s">
        <v>359</v>
      </c>
      <c r="E129">
        <v>1</v>
      </c>
      <c r="F129" t="s">
        <v>370</v>
      </c>
      <c r="G129" t="s">
        <v>135</v>
      </c>
      <c r="H129" t="s">
        <v>135</v>
      </c>
      <c r="I129" t="s">
        <v>129</v>
      </c>
      <c r="J129">
        <v>9.69</v>
      </c>
      <c r="K129">
        <v>7.39</v>
      </c>
      <c r="L129">
        <f t="shared" si="6"/>
        <v>1.1499999999999999</v>
      </c>
      <c r="M129">
        <f t="shared" si="7"/>
        <v>0.11867905056759545</v>
      </c>
      <c r="N129">
        <v>0.77300000000000002</v>
      </c>
      <c r="O129">
        <v>0.03</v>
      </c>
      <c r="P129">
        <f t="shared" si="9"/>
        <v>0.74299999999999999</v>
      </c>
      <c r="Q129">
        <v>0.49399999999999999</v>
      </c>
      <c r="R129">
        <f t="shared" si="8"/>
        <v>0.66487213997308214</v>
      </c>
    </row>
    <row r="130" spans="1:18" x14ac:dyDescent="0.25">
      <c r="A130">
        <v>129</v>
      </c>
      <c r="B130" t="s">
        <v>99</v>
      </c>
      <c r="D130" t="s">
        <v>352</v>
      </c>
      <c r="E130">
        <v>1</v>
      </c>
      <c r="F130" t="s">
        <v>209</v>
      </c>
      <c r="G130" t="s">
        <v>135</v>
      </c>
      <c r="H130" t="s">
        <v>135</v>
      </c>
      <c r="I130" t="s">
        <v>129</v>
      </c>
      <c r="J130">
        <v>8.94</v>
      </c>
      <c r="K130">
        <v>7.06</v>
      </c>
      <c r="L130">
        <f t="shared" ref="L130:L193" si="10">(J130-K130)/2</f>
        <v>0.94</v>
      </c>
      <c r="M130">
        <f t="shared" ref="M130:M193" si="11">L130/J130</f>
        <v>0.10514541387024609</v>
      </c>
      <c r="N130">
        <v>0.91400000000000003</v>
      </c>
      <c r="O130">
        <v>0.03</v>
      </c>
      <c r="P130">
        <f t="shared" si="9"/>
        <v>0.88400000000000001</v>
      </c>
      <c r="Q130">
        <v>0.58299999999999996</v>
      </c>
      <c r="R130">
        <f t="shared" ref="R130:R193" si="12">Q130/P130</f>
        <v>0.6595022624434389</v>
      </c>
    </row>
    <row r="131" spans="1:18" x14ac:dyDescent="0.25">
      <c r="A131">
        <v>130</v>
      </c>
      <c r="B131" t="s">
        <v>481</v>
      </c>
      <c r="D131" t="s">
        <v>335</v>
      </c>
      <c r="E131">
        <v>2</v>
      </c>
      <c r="F131" t="s">
        <v>473</v>
      </c>
      <c r="G131" t="s">
        <v>135</v>
      </c>
      <c r="H131" t="s">
        <v>135</v>
      </c>
      <c r="I131" t="s">
        <v>129</v>
      </c>
      <c r="J131">
        <v>7.85</v>
      </c>
      <c r="K131">
        <v>6.38</v>
      </c>
      <c r="L131">
        <f t="shared" si="10"/>
        <v>0.73499999999999988</v>
      </c>
      <c r="M131">
        <f t="shared" si="11"/>
        <v>9.3630573248407636E-2</v>
      </c>
      <c r="N131">
        <v>0.82799999999999996</v>
      </c>
      <c r="O131">
        <v>0.03</v>
      </c>
      <c r="P131">
        <f t="shared" si="9"/>
        <v>0.79799999999999993</v>
      </c>
      <c r="Q131">
        <v>0.61</v>
      </c>
      <c r="R131">
        <f t="shared" si="12"/>
        <v>0.76441102756892232</v>
      </c>
    </row>
    <row r="132" spans="1:18" x14ac:dyDescent="0.25">
      <c r="A132">
        <v>131</v>
      </c>
      <c r="B132" t="s">
        <v>1201</v>
      </c>
      <c r="C132" t="s">
        <v>482</v>
      </c>
      <c r="D132" t="s">
        <v>530</v>
      </c>
      <c r="E132">
        <v>2</v>
      </c>
      <c r="F132" t="s">
        <v>531</v>
      </c>
      <c r="G132" t="s">
        <v>135</v>
      </c>
      <c r="H132" t="s">
        <v>135</v>
      </c>
      <c r="I132" t="s">
        <v>129</v>
      </c>
      <c r="J132">
        <v>9.24</v>
      </c>
      <c r="K132">
        <v>6.98</v>
      </c>
      <c r="L132">
        <f t="shared" si="10"/>
        <v>1.1299999999999999</v>
      </c>
      <c r="M132">
        <f t="shared" si="11"/>
        <v>0.12229437229437227</v>
      </c>
      <c r="N132">
        <v>0.77800000000000002</v>
      </c>
      <c r="O132">
        <v>0.03</v>
      </c>
      <c r="P132">
        <f t="shared" si="9"/>
        <v>0.748</v>
      </c>
      <c r="Q132">
        <v>0.214</v>
      </c>
      <c r="R132">
        <f t="shared" si="12"/>
        <v>0.28609625668449196</v>
      </c>
    </row>
    <row r="133" spans="1:18" x14ac:dyDescent="0.25">
      <c r="A133">
        <v>132</v>
      </c>
      <c r="B133" t="s">
        <v>88</v>
      </c>
      <c r="D133" t="s">
        <v>341</v>
      </c>
      <c r="E133">
        <v>3</v>
      </c>
      <c r="F133" t="s">
        <v>321</v>
      </c>
      <c r="G133" t="s">
        <v>135</v>
      </c>
      <c r="H133" t="s">
        <v>135</v>
      </c>
      <c r="I133" t="s">
        <v>129</v>
      </c>
      <c r="J133">
        <v>5.99</v>
      </c>
      <c r="K133">
        <v>3.97</v>
      </c>
      <c r="L133">
        <f t="shared" si="10"/>
        <v>1.01</v>
      </c>
      <c r="M133">
        <f t="shared" si="11"/>
        <v>0.1686143572621035</v>
      </c>
      <c r="N133">
        <v>0.6</v>
      </c>
      <c r="O133">
        <v>0.03</v>
      </c>
      <c r="P133">
        <f t="shared" si="9"/>
        <v>0.56999999999999995</v>
      </c>
      <c r="Q133">
        <v>0.39400000000000002</v>
      </c>
      <c r="R133">
        <f t="shared" si="12"/>
        <v>0.69122807017543864</v>
      </c>
    </row>
    <row r="134" spans="1:18" x14ac:dyDescent="0.25">
      <c r="A134">
        <v>133</v>
      </c>
      <c r="B134" t="s">
        <v>111</v>
      </c>
      <c r="D134" t="s">
        <v>374</v>
      </c>
      <c r="E134">
        <v>1</v>
      </c>
      <c r="F134" t="s">
        <v>319</v>
      </c>
      <c r="G134" t="s">
        <v>135</v>
      </c>
      <c r="H134" t="s">
        <v>135</v>
      </c>
      <c r="I134" t="s">
        <v>129</v>
      </c>
      <c r="J134">
        <v>6.46</v>
      </c>
      <c r="K134">
        <v>5.54</v>
      </c>
      <c r="L134">
        <f t="shared" si="10"/>
        <v>0.45999999999999996</v>
      </c>
      <c r="M134">
        <f t="shared" si="11"/>
        <v>7.1207430340557265E-2</v>
      </c>
      <c r="N134">
        <v>0.52100000000000002</v>
      </c>
      <c r="O134">
        <v>0.03</v>
      </c>
      <c r="P134">
        <f t="shared" si="9"/>
        <v>0.49099999999999999</v>
      </c>
      <c r="Q134">
        <v>0.27400000000000002</v>
      </c>
      <c r="R134">
        <f t="shared" si="12"/>
        <v>0.5580448065173117</v>
      </c>
    </row>
    <row r="135" spans="1:18" x14ac:dyDescent="0.25">
      <c r="A135">
        <v>134</v>
      </c>
      <c r="B135" t="s">
        <v>21</v>
      </c>
      <c r="D135" t="s">
        <v>340</v>
      </c>
      <c r="E135">
        <v>1</v>
      </c>
      <c r="F135" t="s">
        <v>60</v>
      </c>
      <c r="G135" t="s">
        <v>135</v>
      </c>
      <c r="H135" t="s">
        <v>135</v>
      </c>
      <c r="I135" t="s">
        <v>129</v>
      </c>
      <c r="J135">
        <v>9.92</v>
      </c>
      <c r="K135">
        <v>6.88</v>
      </c>
      <c r="L135">
        <f t="shared" si="10"/>
        <v>1.52</v>
      </c>
      <c r="M135">
        <f t="shared" si="11"/>
        <v>0.15322580645161291</v>
      </c>
      <c r="N135">
        <v>0.68500000000000005</v>
      </c>
      <c r="O135">
        <v>0.03</v>
      </c>
      <c r="P135">
        <f t="shared" si="9"/>
        <v>0.65500000000000003</v>
      </c>
      <c r="Q135">
        <v>0.251</v>
      </c>
      <c r="R135">
        <f t="shared" si="12"/>
        <v>0.38320610687022899</v>
      </c>
    </row>
    <row r="136" spans="1:18" x14ac:dyDescent="0.25">
      <c r="A136">
        <v>135</v>
      </c>
      <c r="B136" t="s">
        <v>109</v>
      </c>
      <c r="D136" t="s">
        <v>366</v>
      </c>
      <c r="E136">
        <v>1</v>
      </c>
      <c r="F136" t="s">
        <v>480</v>
      </c>
      <c r="G136" t="s">
        <v>135</v>
      </c>
      <c r="H136" t="s">
        <v>135</v>
      </c>
      <c r="I136" t="s">
        <v>129</v>
      </c>
      <c r="J136">
        <v>9.9499999999999993</v>
      </c>
      <c r="K136">
        <v>7.71</v>
      </c>
      <c r="L136">
        <f t="shared" si="10"/>
        <v>1.1199999999999997</v>
      </c>
      <c r="M136">
        <f t="shared" si="11"/>
        <v>0.11256281407035174</v>
      </c>
      <c r="N136">
        <v>1.155</v>
      </c>
      <c r="O136">
        <v>0.03</v>
      </c>
      <c r="P136">
        <f t="shared" si="9"/>
        <v>1.125</v>
      </c>
      <c r="Q136">
        <v>0.65200000000000002</v>
      </c>
      <c r="R136">
        <f t="shared" si="12"/>
        <v>0.5795555555555556</v>
      </c>
    </row>
    <row r="137" spans="1:18" x14ac:dyDescent="0.25">
      <c r="A137">
        <v>136</v>
      </c>
      <c r="B137" t="s">
        <v>1194</v>
      </c>
      <c r="C137" t="s">
        <v>483</v>
      </c>
      <c r="D137" t="s">
        <v>384</v>
      </c>
      <c r="E137">
        <v>2</v>
      </c>
      <c r="F137" t="s">
        <v>252</v>
      </c>
      <c r="G137" t="s">
        <v>135</v>
      </c>
      <c r="H137" t="s">
        <v>135</v>
      </c>
      <c r="I137" t="s">
        <v>129</v>
      </c>
      <c r="J137">
        <v>10.89</v>
      </c>
      <c r="K137">
        <v>6.8</v>
      </c>
      <c r="L137">
        <f t="shared" si="10"/>
        <v>2.0450000000000004</v>
      </c>
      <c r="M137">
        <f t="shared" si="11"/>
        <v>0.18778696051423327</v>
      </c>
      <c r="N137">
        <v>0.78200000000000003</v>
      </c>
      <c r="O137">
        <v>0.03</v>
      </c>
      <c r="P137">
        <f t="shared" si="9"/>
        <v>0.752</v>
      </c>
      <c r="Q137">
        <v>0.24299999999999999</v>
      </c>
      <c r="R137">
        <f t="shared" si="12"/>
        <v>0.32313829787234044</v>
      </c>
    </row>
    <row r="138" spans="1:18" x14ac:dyDescent="0.25">
      <c r="A138">
        <v>137</v>
      </c>
      <c r="B138" t="s">
        <v>114</v>
      </c>
      <c r="D138" t="s">
        <v>353</v>
      </c>
      <c r="E138">
        <v>2</v>
      </c>
      <c r="F138" t="s">
        <v>354</v>
      </c>
      <c r="G138" t="s">
        <v>135</v>
      </c>
      <c r="H138" t="s">
        <v>135</v>
      </c>
      <c r="I138" t="s">
        <v>129</v>
      </c>
      <c r="J138">
        <v>6.91</v>
      </c>
      <c r="K138">
        <v>5.47</v>
      </c>
      <c r="L138">
        <f t="shared" si="10"/>
        <v>0.7200000000000002</v>
      </c>
      <c r="M138">
        <f t="shared" si="11"/>
        <v>0.10419681620839366</v>
      </c>
      <c r="N138">
        <v>0.46100000000000002</v>
      </c>
      <c r="O138">
        <v>0.03</v>
      </c>
      <c r="P138">
        <f t="shared" si="9"/>
        <v>0.43100000000000005</v>
      </c>
      <c r="Q138">
        <v>0.27600000000000002</v>
      </c>
      <c r="R138">
        <f t="shared" si="12"/>
        <v>0.6403712296983759</v>
      </c>
    </row>
    <row r="139" spans="1:18" x14ac:dyDescent="0.25">
      <c r="A139">
        <v>138</v>
      </c>
      <c r="B139" t="s">
        <v>123</v>
      </c>
      <c r="D139" t="s">
        <v>355</v>
      </c>
      <c r="E139">
        <v>2</v>
      </c>
      <c r="F139" t="s">
        <v>305</v>
      </c>
      <c r="G139" t="s">
        <v>135</v>
      </c>
      <c r="H139" t="s">
        <v>135</v>
      </c>
      <c r="I139" t="s">
        <v>129</v>
      </c>
      <c r="J139">
        <v>4.6100000000000003</v>
      </c>
      <c r="K139">
        <v>3.82</v>
      </c>
      <c r="L139">
        <f t="shared" si="10"/>
        <v>0.39500000000000024</v>
      </c>
      <c r="M139">
        <f t="shared" si="11"/>
        <v>8.568329718004343E-2</v>
      </c>
      <c r="N139">
        <v>0.4</v>
      </c>
      <c r="O139">
        <v>0.03</v>
      </c>
      <c r="P139">
        <f t="shared" si="9"/>
        <v>0.37</v>
      </c>
      <c r="Q139">
        <v>0.28199999999999997</v>
      </c>
      <c r="R139">
        <f t="shared" si="12"/>
        <v>0.76216216216216215</v>
      </c>
    </row>
    <row r="140" spans="1:18" x14ac:dyDescent="0.25">
      <c r="A140">
        <v>139</v>
      </c>
      <c r="B140" t="s">
        <v>1202</v>
      </c>
      <c r="C140" t="s">
        <v>484</v>
      </c>
      <c r="D140" t="s">
        <v>335</v>
      </c>
      <c r="E140">
        <v>4</v>
      </c>
      <c r="F140" t="s">
        <v>473</v>
      </c>
      <c r="G140" t="s">
        <v>135</v>
      </c>
      <c r="H140" t="s">
        <v>135</v>
      </c>
      <c r="I140" t="s">
        <v>128</v>
      </c>
      <c r="J140">
        <v>7.03</v>
      </c>
      <c r="K140">
        <v>5.08</v>
      </c>
      <c r="L140">
        <f t="shared" si="10"/>
        <v>0.97500000000000009</v>
      </c>
      <c r="M140">
        <f t="shared" si="11"/>
        <v>0.13869132290184921</v>
      </c>
      <c r="N140">
        <v>0.52900000000000003</v>
      </c>
      <c r="O140">
        <v>0.03</v>
      </c>
      <c r="P140">
        <f t="shared" si="9"/>
        <v>0.499</v>
      </c>
      <c r="Q140">
        <v>0.435</v>
      </c>
      <c r="R140">
        <f t="shared" si="12"/>
        <v>0.87174348697394788</v>
      </c>
    </row>
    <row r="141" spans="1:18" x14ac:dyDescent="0.25">
      <c r="A141">
        <v>140</v>
      </c>
      <c r="B141" t="s">
        <v>72</v>
      </c>
      <c r="D141" t="s">
        <v>353</v>
      </c>
      <c r="E141">
        <v>4</v>
      </c>
      <c r="F141" t="s">
        <v>354</v>
      </c>
      <c r="G141" t="s">
        <v>135</v>
      </c>
      <c r="H141" t="s">
        <v>135</v>
      </c>
      <c r="I141" t="s">
        <v>128</v>
      </c>
      <c r="J141">
        <v>10.74</v>
      </c>
      <c r="K141">
        <v>7.51</v>
      </c>
      <c r="L141">
        <f t="shared" si="10"/>
        <v>1.6150000000000002</v>
      </c>
      <c r="M141">
        <f t="shared" si="11"/>
        <v>0.15037243947858475</v>
      </c>
      <c r="N141">
        <v>0.61499999999999999</v>
      </c>
      <c r="O141">
        <v>0.03</v>
      </c>
      <c r="P141">
        <f t="shared" si="9"/>
        <v>0.58499999999999996</v>
      </c>
      <c r="Q141">
        <v>0.36199999999999999</v>
      </c>
      <c r="R141">
        <f t="shared" si="12"/>
        <v>0.61880341880341883</v>
      </c>
    </row>
    <row r="142" spans="1:18" x14ac:dyDescent="0.25">
      <c r="A142">
        <v>141</v>
      </c>
      <c r="B142" t="s">
        <v>485</v>
      </c>
      <c r="D142" t="s">
        <v>342</v>
      </c>
      <c r="E142">
        <v>2</v>
      </c>
      <c r="F142" t="s">
        <v>214</v>
      </c>
      <c r="G142" t="s">
        <v>135</v>
      </c>
      <c r="H142" t="s">
        <v>135</v>
      </c>
      <c r="I142" t="s">
        <v>128</v>
      </c>
      <c r="J142">
        <v>6.78</v>
      </c>
      <c r="K142">
        <v>3.61</v>
      </c>
      <c r="L142">
        <f t="shared" si="10"/>
        <v>1.5850000000000002</v>
      </c>
      <c r="M142">
        <f t="shared" si="11"/>
        <v>0.23377581120943955</v>
      </c>
      <c r="N142">
        <v>0.84699999999999998</v>
      </c>
      <c r="O142">
        <v>0.03</v>
      </c>
      <c r="P142">
        <f t="shared" si="9"/>
        <v>0.81699999999999995</v>
      </c>
      <c r="Q142">
        <v>0.57799999999999996</v>
      </c>
      <c r="R142">
        <f t="shared" si="12"/>
        <v>0.70746634026927779</v>
      </c>
    </row>
    <row r="143" spans="1:18" x14ac:dyDescent="0.25">
      <c r="A143">
        <v>142</v>
      </c>
      <c r="B143" t="s">
        <v>182</v>
      </c>
      <c r="D143" t="s">
        <v>348</v>
      </c>
      <c r="E143">
        <v>2</v>
      </c>
      <c r="F143" t="s">
        <v>328</v>
      </c>
      <c r="G143" t="s">
        <v>135</v>
      </c>
      <c r="H143" t="s">
        <v>135</v>
      </c>
      <c r="I143" t="s">
        <v>128</v>
      </c>
      <c r="J143">
        <v>9.2200000000000006</v>
      </c>
      <c r="K143">
        <v>6.85</v>
      </c>
      <c r="L143">
        <f t="shared" si="10"/>
        <v>1.1850000000000005</v>
      </c>
      <c r="M143">
        <f t="shared" si="11"/>
        <v>0.12852494577006512</v>
      </c>
      <c r="N143">
        <v>0.70299999999999996</v>
      </c>
      <c r="O143">
        <v>0.03</v>
      </c>
      <c r="P143">
        <f t="shared" si="9"/>
        <v>0.67299999999999993</v>
      </c>
      <c r="Q143">
        <v>0.48</v>
      </c>
      <c r="R143">
        <f t="shared" si="12"/>
        <v>0.71322436849925708</v>
      </c>
    </row>
    <row r="144" spans="1:18" x14ac:dyDescent="0.25">
      <c r="A144">
        <v>143</v>
      </c>
      <c r="B144" t="s">
        <v>1196</v>
      </c>
      <c r="C144" t="s">
        <v>486</v>
      </c>
      <c r="D144" t="s">
        <v>384</v>
      </c>
      <c r="E144">
        <v>7</v>
      </c>
      <c r="F144" t="s">
        <v>252</v>
      </c>
      <c r="G144" t="s">
        <v>135</v>
      </c>
      <c r="H144" t="s">
        <v>135</v>
      </c>
      <c r="I144" t="s">
        <v>128</v>
      </c>
      <c r="J144">
        <v>9.6300000000000008</v>
      </c>
      <c r="K144">
        <v>5.81</v>
      </c>
      <c r="L144">
        <f t="shared" si="10"/>
        <v>1.9100000000000006</v>
      </c>
      <c r="M144">
        <f t="shared" si="11"/>
        <v>0.19833852544132921</v>
      </c>
      <c r="N144">
        <v>1.248</v>
      </c>
      <c r="O144">
        <v>0.03</v>
      </c>
      <c r="P144">
        <f t="shared" si="9"/>
        <v>1.218</v>
      </c>
      <c r="Q144">
        <v>0.64300000000000002</v>
      </c>
      <c r="R144">
        <f t="shared" si="12"/>
        <v>0.52791461412151075</v>
      </c>
    </row>
    <row r="145" spans="1:21" x14ac:dyDescent="0.25">
      <c r="A145">
        <v>144</v>
      </c>
      <c r="B145" t="s">
        <v>71</v>
      </c>
      <c r="D145" t="s">
        <v>353</v>
      </c>
      <c r="E145">
        <v>3</v>
      </c>
      <c r="F145" t="s">
        <v>354</v>
      </c>
      <c r="G145" t="s">
        <v>135</v>
      </c>
      <c r="H145" t="s">
        <v>135</v>
      </c>
      <c r="I145" t="s">
        <v>128</v>
      </c>
      <c r="J145">
        <v>9.43</v>
      </c>
      <c r="K145">
        <v>5.9</v>
      </c>
      <c r="L145">
        <f t="shared" si="10"/>
        <v>1.7649999999999997</v>
      </c>
      <c r="M145">
        <f t="shared" si="11"/>
        <v>0.18716861081654293</v>
      </c>
      <c r="N145">
        <v>0.90500000000000003</v>
      </c>
      <c r="O145">
        <v>0.03</v>
      </c>
      <c r="P145">
        <f t="shared" si="9"/>
        <v>0.875</v>
      </c>
      <c r="Q145">
        <v>0.61399999999999999</v>
      </c>
      <c r="R145">
        <f t="shared" si="12"/>
        <v>0.70171428571428573</v>
      </c>
    </row>
    <row r="146" spans="1:21" x14ac:dyDescent="0.25">
      <c r="A146">
        <v>145</v>
      </c>
      <c r="B146" t="s">
        <v>184</v>
      </c>
      <c r="D146" t="s">
        <v>374</v>
      </c>
      <c r="E146">
        <v>2</v>
      </c>
      <c r="F146" t="s">
        <v>319</v>
      </c>
      <c r="G146" t="s">
        <v>135</v>
      </c>
      <c r="H146" t="s">
        <v>135</v>
      </c>
      <c r="I146" t="s">
        <v>128</v>
      </c>
      <c r="J146">
        <v>8.66</v>
      </c>
      <c r="K146">
        <v>6.69</v>
      </c>
      <c r="L146">
        <f t="shared" si="10"/>
        <v>0.98499999999999988</v>
      </c>
      <c r="M146">
        <f t="shared" si="11"/>
        <v>0.11374133949191684</v>
      </c>
      <c r="N146">
        <v>0.185</v>
      </c>
      <c r="O146">
        <v>0.03</v>
      </c>
      <c r="P146">
        <f t="shared" si="9"/>
        <v>0.155</v>
      </c>
      <c r="Q146">
        <v>0.10299999999999999</v>
      </c>
      <c r="R146">
        <f t="shared" si="12"/>
        <v>0.66451612903225799</v>
      </c>
    </row>
    <row r="147" spans="1:21" x14ac:dyDescent="0.25">
      <c r="A147">
        <v>146</v>
      </c>
      <c r="B147" t="s">
        <v>115</v>
      </c>
      <c r="D147" t="s">
        <v>331</v>
      </c>
      <c r="E147">
        <v>3</v>
      </c>
      <c r="F147" t="s">
        <v>5</v>
      </c>
      <c r="G147" t="s">
        <v>135</v>
      </c>
      <c r="H147" t="s">
        <v>135</v>
      </c>
      <c r="I147" t="s">
        <v>128</v>
      </c>
      <c r="J147">
        <v>4.84</v>
      </c>
      <c r="K147">
        <v>3.86</v>
      </c>
      <c r="L147">
        <f t="shared" si="10"/>
        <v>0.49</v>
      </c>
      <c r="M147">
        <f t="shared" si="11"/>
        <v>0.1012396694214876</v>
      </c>
      <c r="N147">
        <v>0.748</v>
      </c>
      <c r="O147">
        <v>0.03</v>
      </c>
      <c r="P147">
        <f t="shared" ref="P147:P210" si="13">N147-O147</f>
        <v>0.71799999999999997</v>
      </c>
      <c r="Q147">
        <v>0.36099999999999999</v>
      </c>
      <c r="R147">
        <f t="shared" si="12"/>
        <v>0.50278551532033422</v>
      </c>
    </row>
    <row r="148" spans="1:21" x14ac:dyDescent="0.25">
      <c r="A148">
        <v>147</v>
      </c>
      <c r="B148" t="s">
        <v>78</v>
      </c>
      <c r="D148" t="s">
        <v>357</v>
      </c>
      <c r="E148">
        <v>3</v>
      </c>
      <c r="F148" t="s">
        <v>272</v>
      </c>
      <c r="G148" t="s">
        <v>135</v>
      </c>
      <c r="H148" t="s">
        <v>135</v>
      </c>
      <c r="I148" t="s">
        <v>128</v>
      </c>
      <c r="J148">
        <v>5.38</v>
      </c>
      <c r="K148">
        <v>4.03</v>
      </c>
      <c r="L148">
        <f t="shared" si="10"/>
        <v>0.67499999999999982</v>
      </c>
      <c r="M148">
        <f t="shared" si="11"/>
        <v>0.12546468401486985</v>
      </c>
      <c r="N148">
        <v>0.39</v>
      </c>
      <c r="O148">
        <v>0.03</v>
      </c>
      <c r="P148">
        <f t="shared" si="13"/>
        <v>0.36</v>
      </c>
      <c r="Q148">
        <v>0.188</v>
      </c>
      <c r="R148">
        <f t="shared" si="12"/>
        <v>0.52222222222222225</v>
      </c>
    </row>
    <row r="149" spans="1:21" x14ac:dyDescent="0.25">
      <c r="A149">
        <v>148</v>
      </c>
      <c r="B149" t="s">
        <v>525</v>
      </c>
      <c r="D149" t="s">
        <v>366</v>
      </c>
      <c r="E149">
        <v>4</v>
      </c>
      <c r="F149" t="s">
        <v>480</v>
      </c>
      <c r="G149" t="s">
        <v>135</v>
      </c>
      <c r="H149" t="s">
        <v>135</v>
      </c>
      <c r="I149" t="s">
        <v>129</v>
      </c>
      <c r="J149">
        <v>9</v>
      </c>
      <c r="K149">
        <v>6.93</v>
      </c>
      <c r="L149">
        <f t="shared" si="10"/>
        <v>1.0350000000000001</v>
      </c>
      <c r="M149">
        <f t="shared" si="11"/>
        <v>0.11500000000000002</v>
      </c>
      <c r="N149">
        <v>0.61199999999999999</v>
      </c>
      <c r="O149">
        <v>2.5999999999999999E-2</v>
      </c>
      <c r="P149">
        <f t="shared" si="13"/>
        <v>0.58599999999999997</v>
      </c>
      <c r="Q149">
        <v>0.45100000000000001</v>
      </c>
      <c r="R149">
        <f t="shared" si="12"/>
        <v>0.7696245733788396</v>
      </c>
    </row>
    <row r="150" spans="1:21" x14ac:dyDescent="0.25">
      <c r="A150">
        <v>149</v>
      </c>
      <c r="B150" t="s">
        <v>528</v>
      </c>
      <c r="D150" t="s">
        <v>494</v>
      </c>
      <c r="E150">
        <v>1</v>
      </c>
      <c r="F150" t="s">
        <v>495</v>
      </c>
      <c r="G150" t="s">
        <v>135</v>
      </c>
      <c r="H150" t="s">
        <v>135</v>
      </c>
      <c r="I150" t="s">
        <v>129</v>
      </c>
      <c r="J150">
        <v>8.89</v>
      </c>
      <c r="K150">
        <v>6.33</v>
      </c>
      <c r="L150">
        <f t="shared" si="10"/>
        <v>1.2800000000000002</v>
      </c>
      <c r="M150">
        <f t="shared" si="11"/>
        <v>0.1439820022497188</v>
      </c>
      <c r="N150">
        <v>0.86</v>
      </c>
      <c r="O150">
        <v>2.5999999999999999E-2</v>
      </c>
      <c r="P150">
        <f t="shared" si="13"/>
        <v>0.83399999999999996</v>
      </c>
      <c r="Q150">
        <v>0.53400000000000003</v>
      </c>
      <c r="R150">
        <f t="shared" si="12"/>
        <v>0.64028776978417268</v>
      </c>
    </row>
    <row r="151" spans="1:21" x14ac:dyDescent="0.25">
      <c r="A151">
        <v>150</v>
      </c>
      <c r="B151" t="s">
        <v>526</v>
      </c>
      <c r="D151" t="s">
        <v>420</v>
      </c>
      <c r="E151">
        <v>5</v>
      </c>
      <c r="F151" t="s">
        <v>467</v>
      </c>
      <c r="G151" t="s">
        <v>135</v>
      </c>
      <c r="H151" t="s">
        <v>135</v>
      </c>
      <c r="I151" t="s">
        <v>129</v>
      </c>
      <c r="J151">
        <v>12.6</v>
      </c>
      <c r="K151">
        <v>6.83</v>
      </c>
      <c r="L151">
        <f t="shared" si="10"/>
        <v>2.8849999999999998</v>
      </c>
      <c r="M151">
        <f t="shared" si="11"/>
        <v>0.22896825396825396</v>
      </c>
      <c r="N151">
        <v>0.68200000000000005</v>
      </c>
      <c r="O151">
        <v>2.5999999999999999E-2</v>
      </c>
      <c r="P151">
        <f t="shared" si="13"/>
        <v>0.65600000000000003</v>
      </c>
      <c r="Q151">
        <v>0.217</v>
      </c>
      <c r="R151">
        <f t="shared" si="12"/>
        <v>0.33079268292682923</v>
      </c>
    </row>
    <row r="152" spans="1:21" x14ac:dyDescent="0.25">
      <c r="A152">
        <v>151</v>
      </c>
      <c r="B152" t="s">
        <v>524</v>
      </c>
      <c r="D152" t="s">
        <v>494</v>
      </c>
      <c r="E152">
        <v>2</v>
      </c>
      <c r="F152" t="s">
        <v>495</v>
      </c>
      <c r="G152" t="s">
        <v>135</v>
      </c>
      <c r="H152" t="s">
        <v>135</v>
      </c>
      <c r="I152" t="s">
        <v>129</v>
      </c>
      <c r="J152">
        <v>6.98</v>
      </c>
      <c r="K152">
        <v>4.78</v>
      </c>
      <c r="L152">
        <f t="shared" si="10"/>
        <v>1.1000000000000001</v>
      </c>
      <c r="M152">
        <f t="shared" si="11"/>
        <v>0.15759312320916904</v>
      </c>
      <c r="N152">
        <v>0.66600000000000004</v>
      </c>
      <c r="O152">
        <v>2.5999999999999999E-2</v>
      </c>
      <c r="P152">
        <f t="shared" si="13"/>
        <v>0.64</v>
      </c>
      <c r="Q152">
        <v>0.46</v>
      </c>
      <c r="R152">
        <f t="shared" si="12"/>
        <v>0.71875</v>
      </c>
    </row>
    <row r="153" spans="1:21" x14ac:dyDescent="0.25">
      <c r="A153">
        <v>152</v>
      </c>
      <c r="B153" t="s">
        <v>522</v>
      </c>
      <c r="D153" t="s">
        <v>491</v>
      </c>
      <c r="E153">
        <v>1</v>
      </c>
      <c r="F153" t="s">
        <v>492</v>
      </c>
      <c r="G153" t="s">
        <v>135</v>
      </c>
      <c r="H153" t="s">
        <v>135</v>
      </c>
      <c r="I153" t="s">
        <v>129</v>
      </c>
      <c r="J153">
        <v>8.19</v>
      </c>
      <c r="K153">
        <v>7.09</v>
      </c>
      <c r="L153">
        <f t="shared" si="10"/>
        <v>0.54999999999999982</v>
      </c>
      <c r="M153">
        <f t="shared" si="11"/>
        <v>6.7155067155067139E-2</v>
      </c>
      <c r="N153">
        <v>0.61099999999999999</v>
      </c>
      <c r="O153">
        <v>2.5999999999999999E-2</v>
      </c>
      <c r="P153">
        <f t="shared" si="13"/>
        <v>0.58499999999999996</v>
      </c>
      <c r="Q153">
        <v>0.52</v>
      </c>
      <c r="R153">
        <f t="shared" si="12"/>
        <v>0.88888888888888895</v>
      </c>
    </row>
    <row r="154" spans="1:21" x14ac:dyDescent="0.25">
      <c r="A154">
        <v>153</v>
      </c>
      <c r="B154" t="s">
        <v>519</v>
      </c>
      <c r="D154" t="s">
        <v>514</v>
      </c>
      <c r="E154">
        <v>2</v>
      </c>
      <c r="F154" t="s">
        <v>532</v>
      </c>
      <c r="G154" t="s">
        <v>135</v>
      </c>
      <c r="H154" t="s">
        <v>135</v>
      </c>
      <c r="I154" t="s">
        <v>129</v>
      </c>
      <c r="J154">
        <v>8.57</v>
      </c>
      <c r="K154">
        <v>5.59</v>
      </c>
      <c r="L154">
        <f t="shared" si="10"/>
        <v>1.4900000000000002</v>
      </c>
      <c r="M154">
        <f t="shared" si="11"/>
        <v>0.17386231038506419</v>
      </c>
      <c r="N154">
        <v>0.66200000000000003</v>
      </c>
      <c r="O154">
        <v>2.5999999999999999E-2</v>
      </c>
      <c r="P154">
        <f t="shared" si="13"/>
        <v>0.63600000000000001</v>
      </c>
      <c r="Q154">
        <v>0.29199999999999998</v>
      </c>
      <c r="R154">
        <f t="shared" si="12"/>
        <v>0.45911949685534587</v>
      </c>
    </row>
    <row r="155" spans="1:21" x14ac:dyDescent="0.25">
      <c r="A155">
        <v>154</v>
      </c>
      <c r="B155" t="s">
        <v>527</v>
      </c>
      <c r="D155" t="s">
        <v>498</v>
      </c>
      <c r="E155">
        <v>2</v>
      </c>
      <c r="F155" t="s">
        <v>499</v>
      </c>
      <c r="G155" t="s">
        <v>135</v>
      </c>
      <c r="H155" t="s">
        <v>135</v>
      </c>
      <c r="I155" t="s">
        <v>129</v>
      </c>
      <c r="J155">
        <v>7.71</v>
      </c>
      <c r="K155">
        <v>6.41</v>
      </c>
      <c r="L155">
        <f t="shared" si="10"/>
        <v>0.64999999999999991</v>
      </c>
      <c r="M155">
        <f t="shared" si="11"/>
        <v>8.4306095979247722E-2</v>
      </c>
      <c r="N155">
        <v>0.65300000000000002</v>
      </c>
      <c r="O155">
        <v>2.5999999999999999E-2</v>
      </c>
      <c r="P155">
        <f t="shared" si="13"/>
        <v>0.627</v>
      </c>
      <c r="Q155">
        <v>0.36099999999999999</v>
      </c>
      <c r="R155">
        <f t="shared" si="12"/>
        <v>0.57575757575757569</v>
      </c>
    </row>
    <row r="156" spans="1:21" x14ac:dyDescent="0.25">
      <c r="A156">
        <v>155</v>
      </c>
      <c r="B156" t="s">
        <v>523</v>
      </c>
      <c r="D156" t="s">
        <v>389</v>
      </c>
      <c r="E156">
        <v>2</v>
      </c>
      <c r="F156" t="s">
        <v>317</v>
      </c>
      <c r="G156" t="s">
        <v>135</v>
      </c>
      <c r="H156" t="s">
        <v>135</v>
      </c>
      <c r="I156" t="s">
        <v>129</v>
      </c>
      <c r="J156">
        <v>7.91</v>
      </c>
      <c r="K156">
        <v>6.38</v>
      </c>
      <c r="L156">
        <f t="shared" si="10"/>
        <v>0.76500000000000012</v>
      </c>
      <c r="M156">
        <f t="shared" si="11"/>
        <v>9.6713021491782569E-2</v>
      </c>
      <c r="N156">
        <v>1.331</v>
      </c>
      <c r="O156">
        <v>2.5999999999999999E-2</v>
      </c>
      <c r="P156">
        <f t="shared" si="13"/>
        <v>1.3049999999999999</v>
      </c>
      <c r="Q156">
        <v>0.69499999999999995</v>
      </c>
      <c r="R156">
        <f t="shared" si="12"/>
        <v>0.53256704980842906</v>
      </c>
    </row>
    <row r="157" spans="1:21" x14ac:dyDescent="0.25">
      <c r="A157">
        <v>156</v>
      </c>
      <c r="B157" t="s">
        <v>518</v>
      </c>
      <c r="D157" t="s">
        <v>366</v>
      </c>
      <c r="E157">
        <v>5</v>
      </c>
      <c r="F157" t="s">
        <v>480</v>
      </c>
      <c r="G157" t="s">
        <v>135</v>
      </c>
      <c r="H157" t="s">
        <v>135</v>
      </c>
      <c r="I157" t="s">
        <v>129</v>
      </c>
      <c r="J157">
        <v>6.89</v>
      </c>
      <c r="K157">
        <v>4.87</v>
      </c>
      <c r="L157">
        <f t="shared" si="10"/>
        <v>1.0099999999999998</v>
      </c>
      <c r="M157">
        <f t="shared" si="11"/>
        <v>0.14658925979680695</v>
      </c>
      <c r="N157">
        <v>0.99</v>
      </c>
      <c r="O157">
        <v>2.5999999999999999E-2</v>
      </c>
      <c r="P157">
        <f t="shared" si="13"/>
        <v>0.96399999999999997</v>
      </c>
      <c r="Q157">
        <v>0.61199999999999999</v>
      </c>
      <c r="R157">
        <f t="shared" si="12"/>
        <v>0.63485477178423233</v>
      </c>
    </row>
    <row r="158" spans="1:21" x14ac:dyDescent="0.25">
      <c r="A158">
        <v>157</v>
      </c>
      <c r="B158" t="s">
        <v>520</v>
      </c>
      <c r="D158" t="s">
        <v>521</v>
      </c>
      <c r="E158">
        <v>1</v>
      </c>
      <c r="F158" t="s">
        <v>769</v>
      </c>
      <c r="G158" t="s">
        <v>135</v>
      </c>
      <c r="H158" t="s">
        <v>135</v>
      </c>
      <c r="I158" t="s">
        <v>129</v>
      </c>
      <c r="J158">
        <v>7.35</v>
      </c>
      <c r="K158">
        <v>5.81</v>
      </c>
      <c r="L158">
        <f t="shared" si="10"/>
        <v>0.77</v>
      </c>
      <c r="M158">
        <f t="shared" si="11"/>
        <v>0.10476190476190476</v>
      </c>
      <c r="N158">
        <v>0.79200000000000004</v>
      </c>
      <c r="O158">
        <v>2.5999999999999999E-2</v>
      </c>
      <c r="P158">
        <f t="shared" si="13"/>
        <v>0.76600000000000001</v>
      </c>
      <c r="Q158">
        <v>0.29799999999999999</v>
      </c>
      <c r="R158">
        <f t="shared" si="12"/>
        <v>0.38903394255874674</v>
      </c>
      <c r="U158" s="1"/>
    </row>
    <row r="159" spans="1:21" x14ac:dyDescent="0.25">
      <c r="A159">
        <v>158</v>
      </c>
      <c r="B159" t="s">
        <v>517</v>
      </c>
      <c r="D159" t="s">
        <v>356</v>
      </c>
      <c r="E159">
        <v>2</v>
      </c>
      <c r="F159" t="s">
        <v>479</v>
      </c>
      <c r="G159" t="s">
        <v>135</v>
      </c>
      <c r="H159" t="s">
        <v>135</v>
      </c>
      <c r="I159" t="s">
        <v>129</v>
      </c>
      <c r="J159">
        <v>4.78</v>
      </c>
      <c r="K159">
        <v>3.06</v>
      </c>
      <c r="L159">
        <f t="shared" si="10"/>
        <v>0.8600000000000001</v>
      </c>
      <c r="M159">
        <f t="shared" si="11"/>
        <v>0.1799163179916318</v>
      </c>
      <c r="N159">
        <v>0.32600000000000001</v>
      </c>
      <c r="O159">
        <v>2.5999999999999999E-2</v>
      </c>
      <c r="P159">
        <f t="shared" si="13"/>
        <v>0.3</v>
      </c>
      <c r="Q159">
        <v>0.17199999999999999</v>
      </c>
      <c r="R159">
        <f t="shared" si="12"/>
        <v>0.57333333333333336</v>
      </c>
    </row>
    <row r="160" spans="1:21" x14ac:dyDescent="0.25">
      <c r="A160">
        <v>159</v>
      </c>
      <c r="B160" t="s">
        <v>496</v>
      </c>
      <c r="D160" t="s">
        <v>494</v>
      </c>
      <c r="E160">
        <v>4</v>
      </c>
      <c r="F160" t="s">
        <v>495</v>
      </c>
      <c r="G160" t="s">
        <v>135</v>
      </c>
      <c r="H160" t="s">
        <v>135</v>
      </c>
      <c r="I160" t="s">
        <v>129</v>
      </c>
      <c r="J160">
        <v>8.81</v>
      </c>
      <c r="K160">
        <v>6.43</v>
      </c>
      <c r="L160">
        <f t="shared" si="10"/>
        <v>1.1900000000000004</v>
      </c>
      <c r="M160">
        <f t="shared" si="11"/>
        <v>0.13507377979568674</v>
      </c>
      <c r="N160">
        <v>0.71799999999999997</v>
      </c>
      <c r="O160">
        <v>2.5999999999999999E-2</v>
      </c>
      <c r="P160">
        <f t="shared" si="13"/>
        <v>0.69199999999999995</v>
      </c>
      <c r="Q160">
        <v>0.46899999999999997</v>
      </c>
      <c r="R160">
        <f t="shared" si="12"/>
        <v>0.6777456647398844</v>
      </c>
    </row>
    <row r="161" spans="1:20" x14ac:dyDescent="0.25">
      <c r="A161">
        <v>160</v>
      </c>
      <c r="B161" t="s">
        <v>509</v>
      </c>
      <c r="D161" t="s">
        <v>510</v>
      </c>
      <c r="E161">
        <v>1</v>
      </c>
      <c r="F161" t="s">
        <v>511</v>
      </c>
      <c r="G161" t="s">
        <v>135</v>
      </c>
      <c r="H161" t="s">
        <v>135</v>
      </c>
      <c r="I161" t="s">
        <v>129</v>
      </c>
      <c r="J161">
        <v>8.69</v>
      </c>
      <c r="K161">
        <v>4.8099999999999996</v>
      </c>
      <c r="L161">
        <f t="shared" si="10"/>
        <v>1.94</v>
      </c>
      <c r="M161">
        <f t="shared" si="11"/>
        <v>0.2232451093210587</v>
      </c>
      <c r="N161">
        <v>0.379</v>
      </c>
      <c r="O161">
        <v>2.5999999999999999E-2</v>
      </c>
      <c r="P161">
        <f t="shared" si="13"/>
        <v>0.35299999999999998</v>
      </c>
      <c r="Q161">
        <v>0.17699999999999999</v>
      </c>
      <c r="R161">
        <f t="shared" si="12"/>
        <v>0.50141643059490082</v>
      </c>
    </row>
    <row r="162" spans="1:20" x14ac:dyDescent="0.25">
      <c r="A162">
        <v>161</v>
      </c>
      <c r="B162" t="s">
        <v>513</v>
      </c>
      <c r="D162" t="s">
        <v>514</v>
      </c>
      <c r="E162">
        <v>1</v>
      </c>
      <c r="F162" t="s">
        <v>532</v>
      </c>
      <c r="G162" t="s">
        <v>135</v>
      </c>
      <c r="H162" t="s">
        <v>135</v>
      </c>
      <c r="I162" t="s">
        <v>129</v>
      </c>
      <c r="J162">
        <v>10</v>
      </c>
      <c r="K162">
        <v>5.59</v>
      </c>
      <c r="L162">
        <f t="shared" si="10"/>
        <v>2.2050000000000001</v>
      </c>
      <c r="M162">
        <f t="shared" si="11"/>
        <v>0.2205</v>
      </c>
      <c r="N162">
        <v>0.57199999999999995</v>
      </c>
      <c r="O162">
        <v>2.5999999999999999E-2</v>
      </c>
      <c r="P162">
        <f t="shared" si="13"/>
        <v>0.54599999999999993</v>
      </c>
      <c r="Q162">
        <v>0.247</v>
      </c>
      <c r="R162">
        <f t="shared" si="12"/>
        <v>0.45238095238095244</v>
      </c>
    </row>
    <row r="163" spans="1:20" x14ac:dyDescent="0.25">
      <c r="A163">
        <v>162</v>
      </c>
      <c r="B163" t="s">
        <v>506</v>
      </c>
      <c r="D163" t="s">
        <v>498</v>
      </c>
      <c r="E163">
        <v>3</v>
      </c>
      <c r="F163" t="s">
        <v>499</v>
      </c>
      <c r="G163" t="s">
        <v>135</v>
      </c>
      <c r="H163" t="s">
        <v>135</v>
      </c>
      <c r="I163" t="s">
        <v>129</v>
      </c>
      <c r="J163">
        <v>6.67</v>
      </c>
      <c r="K163">
        <v>4.3600000000000003</v>
      </c>
      <c r="L163">
        <f t="shared" si="10"/>
        <v>1.1549999999999998</v>
      </c>
      <c r="M163">
        <f t="shared" si="11"/>
        <v>0.17316341829085455</v>
      </c>
      <c r="N163">
        <v>0.61099999999999999</v>
      </c>
      <c r="O163">
        <v>2.5999999999999999E-2</v>
      </c>
      <c r="P163">
        <f t="shared" si="13"/>
        <v>0.58499999999999996</v>
      </c>
      <c r="Q163">
        <v>0.36299999999999999</v>
      </c>
      <c r="R163">
        <f t="shared" si="12"/>
        <v>0.62051282051282053</v>
      </c>
    </row>
    <row r="164" spans="1:20" x14ac:dyDescent="0.25">
      <c r="A164">
        <v>163</v>
      </c>
      <c r="B164" t="s">
        <v>516</v>
      </c>
      <c r="D164" t="s">
        <v>388</v>
      </c>
      <c r="E164">
        <v>5</v>
      </c>
      <c r="F164" t="s">
        <v>284</v>
      </c>
      <c r="G164" t="s">
        <v>135</v>
      </c>
      <c r="H164" t="s">
        <v>135</v>
      </c>
      <c r="I164" t="s">
        <v>129</v>
      </c>
      <c r="J164">
        <v>11.8</v>
      </c>
      <c r="K164">
        <v>5.95</v>
      </c>
      <c r="L164">
        <f t="shared" si="10"/>
        <v>2.9250000000000003</v>
      </c>
      <c r="M164">
        <f t="shared" si="11"/>
        <v>0.2478813559322034</v>
      </c>
      <c r="N164">
        <v>0.40600000000000003</v>
      </c>
      <c r="O164">
        <v>2.5999999999999999E-2</v>
      </c>
      <c r="P164">
        <f t="shared" si="13"/>
        <v>0.38</v>
      </c>
      <c r="Q164">
        <v>0.19700000000000001</v>
      </c>
      <c r="R164">
        <f t="shared" si="12"/>
        <v>0.518421052631579</v>
      </c>
    </row>
    <row r="165" spans="1:20" x14ac:dyDescent="0.25">
      <c r="A165">
        <v>164</v>
      </c>
      <c r="B165" t="s">
        <v>487</v>
      </c>
      <c r="D165" t="s">
        <v>488</v>
      </c>
      <c r="E165">
        <v>1</v>
      </c>
      <c r="F165" t="s">
        <v>489</v>
      </c>
      <c r="G165" t="s">
        <v>135</v>
      </c>
      <c r="H165" t="s">
        <v>135</v>
      </c>
      <c r="I165" t="s">
        <v>129</v>
      </c>
      <c r="J165">
        <v>7.72</v>
      </c>
      <c r="K165">
        <v>5.95</v>
      </c>
      <c r="L165">
        <f t="shared" si="10"/>
        <v>0.88499999999999979</v>
      </c>
      <c r="M165">
        <f t="shared" si="11"/>
        <v>0.11463730569948184</v>
      </c>
      <c r="N165">
        <v>0.81799999999999995</v>
      </c>
      <c r="O165">
        <v>2.5999999999999999E-2</v>
      </c>
      <c r="P165">
        <f t="shared" si="13"/>
        <v>0.79199999999999993</v>
      </c>
      <c r="Q165">
        <v>0.49099999999999999</v>
      </c>
      <c r="R165">
        <f t="shared" si="12"/>
        <v>0.61994949494949503</v>
      </c>
    </row>
    <row r="166" spans="1:20" x14ac:dyDescent="0.25">
      <c r="A166">
        <v>165</v>
      </c>
      <c r="B166" t="s">
        <v>493</v>
      </c>
      <c r="D166" t="s">
        <v>494</v>
      </c>
      <c r="E166">
        <v>3</v>
      </c>
      <c r="F166" t="s">
        <v>495</v>
      </c>
      <c r="G166" t="s">
        <v>135</v>
      </c>
      <c r="H166" t="s">
        <v>135</v>
      </c>
      <c r="I166" t="s">
        <v>129</v>
      </c>
      <c r="J166">
        <v>8.89</v>
      </c>
      <c r="K166">
        <v>6.55</v>
      </c>
      <c r="L166">
        <f t="shared" si="10"/>
        <v>1.1700000000000004</v>
      </c>
      <c r="M166">
        <f t="shared" si="11"/>
        <v>0.1316085489313836</v>
      </c>
      <c r="N166">
        <v>0.56899999999999995</v>
      </c>
      <c r="O166">
        <v>2.5999999999999999E-2</v>
      </c>
      <c r="P166">
        <f t="shared" si="13"/>
        <v>0.54299999999999993</v>
      </c>
      <c r="Q166">
        <v>0.32600000000000001</v>
      </c>
      <c r="R166">
        <f t="shared" si="12"/>
        <v>0.60036832412523033</v>
      </c>
    </row>
    <row r="167" spans="1:20" x14ac:dyDescent="0.25">
      <c r="A167">
        <v>166</v>
      </c>
      <c r="B167" t="s">
        <v>497</v>
      </c>
      <c r="D167" t="s">
        <v>498</v>
      </c>
      <c r="E167">
        <v>1</v>
      </c>
      <c r="F167" t="s">
        <v>499</v>
      </c>
      <c r="G167" t="s">
        <v>135</v>
      </c>
      <c r="H167" t="s">
        <v>135</v>
      </c>
      <c r="I167" t="s">
        <v>129</v>
      </c>
      <c r="J167">
        <v>6.59</v>
      </c>
      <c r="K167">
        <v>5.66</v>
      </c>
      <c r="L167">
        <f t="shared" si="10"/>
        <v>0.46499999999999986</v>
      </c>
      <c r="M167">
        <f t="shared" si="11"/>
        <v>7.0561456752655516E-2</v>
      </c>
      <c r="N167">
        <v>0.92700000000000005</v>
      </c>
      <c r="O167">
        <v>2.5999999999999999E-2</v>
      </c>
      <c r="P167">
        <f t="shared" si="13"/>
        <v>0.90100000000000002</v>
      </c>
      <c r="Q167">
        <v>0.48099999999999998</v>
      </c>
      <c r="R167">
        <f t="shared" si="12"/>
        <v>0.53385127635960039</v>
      </c>
      <c r="T167" t="s">
        <v>533</v>
      </c>
    </row>
    <row r="168" spans="1:20" x14ac:dyDescent="0.25">
      <c r="A168">
        <v>167</v>
      </c>
      <c r="B168" t="s">
        <v>504</v>
      </c>
      <c r="D168" t="s">
        <v>420</v>
      </c>
      <c r="E168">
        <v>4</v>
      </c>
      <c r="F168" t="s">
        <v>467</v>
      </c>
      <c r="G168" t="s">
        <v>135</v>
      </c>
      <c r="H168" t="s">
        <v>135</v>
      </c>
      <c r="I168" t="s">
        <v>129</v>
      </c>
      <c r="J168">
        <v>7.11</v>
      </c>
      <c r="K168">
        <v>3.47</v>
      </c>
      <c r="L168">
        <f t="shared" si="10"/>
        <v>1.82</v>
      </c>
      <c r="M168">
        <f t="shared" si="11"/>
        <v>0.25597749648382562</v>
      </c>
      <c r="N168">
        <v>0.45800000000000002</v>
      </c>
      <c r="O168">
        <v>2.5999999999999999E-2</v>
      </c>
      <c r="P168">
        <f t="shared" si="13"/>
        <v>0.432</v>
      </c>
      <c r="Q168">
        <v>0.159</v>
      </c>
      <c r="R168">
        <f t="shared" si="12"/>
        <v>0.36805555555555558</v>
      </c>
    </row>
    <row r="169" spans="1:20" x14ac:dyDescent="0.25">
      <c r="A169">
        <v>168</v>
      </c>
      <c r="B169" t="s">
        <v>505</v>
      </c>
      <c r="D169" t="s">
        <v>359</v>
      </c>
      <c r="E169">
        <v>3</v>
      </c>
      <c r="F169" t="s">
        <v>370</v>
      </c>
      <c r="G169" t="s">
        <v>135</v>
      </c>
      <c r="H169" t="s">
        <v>135</v>
      </c>
      <c r="I169" t="s">
        <v>129</v>
      </c>
      <c r="J169">
        <v>7.45</v>
      </c>
      <c r="K169">
        <v>5.66</v>
      </c>
      <c r="L169">
        <f t="shared" si="10"/>
        <v>0.89500000000000002</v>
      </c>
      <c r="M169">
        <f t="shared" si="11"/>
        <v>0.12013422818791947</v>
      </c>
      <c r="N169">
        <v>0.69199999999999995</v>
      </c>
      <c r="O169">
        <v>2.5999999999999999E-2</v>
      </c>
      <c r="P169">
        <f t="shared" si="13"/>
        <v>0.66599999999999993</v>
      </c>
      <c r="Q169">
        <v>0.45700000000000002</v>
      </c>
      <c r="R169">
        <f t="shared" si="12"/>
        <v>0.68618618618618632</v>
      </c>
    </row>
    <row r="170" spans="1:20" x14ac:dyDescent="0.25">
      <c r="A170">
        <v>169</v>
      </c>
      <c r="B170" t="s">
        <v>490</v>
      </c>
      <c r="D170" t="s">
        <v>491</v>
      </c>
      <c r="E170">
        <v>2</v>
      </c>
      <c r="F170" t="s">
        <v>492</v>
      </c>
      <c r="G170" t="s">
        <v>135</v>
      </c>
      <c r="H170" t="s">
        <v>135</v>
      </c>
      <c r="I170" t="s">
        <v>129</v>
      </c>
      <c r="J170">
        <v>9.0500000000000007</v>
      </c>
      <c r="K170">
        <v>7.51</v>
      </c>
      <c r="L170">
        <f t="shared" si="10"/>
        <v>0.77000000000000046</v>
      </c>
      <c r="M170">
        <f t="shared" si="11"/>
        <v>8.5082872928176845E-2</v>
      </c>
      <c r="N170">
        <v>0.46</v>
      </c>
      <c r="O170">
        <v>2.5999999999999999E-2</v>
      </c>
      <c r="P170">
        <f t="shared" si="13"/>
        <v>0.434</v>
      </c>
      <c r="Q170">
        <v>0.40100000000000002</v>
      </c>
      <c r="R170">
        <f t="shared" si="12"/>
        <v>0.92396313364055305</v>
      </c>
    </row>
    <row r="171" spans="1:20" x14ac:dyDescent="0.25">
      <c r="A171">
        <v>170</v>
      </c>
      <c r="B171" t="s">
        <v>529</v>
      </c>
      <c r="D171" t="s">
        <v>377</v>
      </c>
      <c r="E171">
        <v>5</v>
      </c>
      <c r="F171" t="s">
        <v>222</v>
      </c>
      <c r="G171" t="s">
        <v>135</v>
      </c>
      <c r="H171" t="s">
        <v>135</v>
      </c>
      <c r="I171" t="s">
        <v>129</v>
      </c>
      <c r="J171">
        <v>9.09</v>
      </c>
      <c r="K171">
        <v>4.79</v>
      </c>
      <c r="L171">
        <f t="shared" si="10"/>
        <v>2.15</v>
      </c>
      <c r="M171">
        <f t="shared" si="11"/>
        <v>0.23652365236523651</v>
      </c>
      <c r="N171">
        <v>0.74099999999999999</v>
      </c>
      <c r="O171">
        <v>2.5999999999999999E-2</v>
      </c>
      <c r="P171">
        <f t="shared" si="13"/>
        <v>0.71499999999999997</v>
      </c>
      <c r="Q171">
        <v>0.44700000000000001</v>
      </c>
      <c r="R171">
        <f t="shared" si="12"/>
        <v>0.62517482517482525</v>
      </c>
    </row>
    <row r="172" spans="1:20" x14ac:dyDescent="0.25">
      <c r="A172">
        <v>171</v>
      </c>
      <c r="B172" t="s">
        <v>501</v>
      </c>
      <c r="D172" t="s">
        <v>502</v>
      </c>
      <c r="E172">
        <v>1</v>
      </c>
      <c r="F172" t="s">
        <v>534</v>
      </c>
      <c r="G172" t="s">
        <v>135</v>
      </c>
      <c r="H172" t="s">
        <v>135</v>
      </c>
      <c r="I172" t="s">
        <v>129</v>
      </c>
      <c r="J172">
        <v>7.61</v>
      </c>
      <c r="K172">
        <v>6.27</v>
      </c>
      <c r="L172">
        <f t="shared" si="10"/>
        <v>0.67000000000000037</v>
      </c>
      <c r="M172">
        <f t="shared" si="11"/>
        <v>8.8042049934297026E-2</v>
      </c>
      <c r="N172">
        <v>0.99299999999999999</v>
      </c>
      <c r="O172">
        <v>2.5999999999999999E-2</v>
      </c>
      <c r="P172">
        <f t="shared" si="13"/>
        <v>0.96699999999999997</v>
      </c>
      <c r="Q172">
        <v>0.58199999999999996</v>
      </c>
      <c r="R172">
        <f t="shared" si="12"/>
        <v>0.60186142709410551</v>
      </c>
    </row>
    <row r="173" spans="1:20" x14ac:dyDescent="0.25">
      <c r="A173">
        <v>172</v>
      </c>
      <c r="B173" t="s">
        <v>507</v>
      </c>
      <c r="D173" t="s">
        <v>508</v>
      </c>
      <c r="E173">
        <v>1</v>
      </c>
      <c r="F173" t="s">
        <v>770</v>
      </c>
      <c r="G173" t="s">
        <v>135</v>
      </c>
      <c r="H173" t="s">
        <v>135</v>
      </c>
      <c r="I173" t="s">
        <v>129</v>
      </c>
      <c r="J173">
        <v>6.69</v>
      </c>
      <c r="K173">
        <v>5.51</v>
      </c>
      <c r="L173">
        <f t="shared" si="10"/>
        <v>0.5900000000000003</v>
      </c>
      <c r="M173">
        <f t="shared" si="11"/>
        <v>8.8191330343796753E-2</v>
      </c>
      <c r="N173">
        <v>0.42699999999999999</v>
      </c>
      <c r="O173">
        <v>2.5999999999999999E-2</v>
      </c>
      <c r="P173">
        <f t="shared" si="13"/>
        <v>0.40099999999999997</v>
      </c>
      <c r="Q173">
        <v>0.17100000000000001</v>
      </c>
      <c r="R173">
        <f t="shared" si="12"/>
        <v>0.42643391521197016</v>
      </c>
    </row>
    <row r="174" spans="1:20" x14ac:dyDescent="0.25">
      <c r="A174">
        <v>173</v>
      </c>
      <c r="B174" t="s">
        <v>512</v>
      </c>
      <c r="D174" t="s">
        <v>336</v>
      </c>
      <c r="E174">
        <v>4</v>
      </c>
      <c r="F174" t="s">
        <v>59</v>
      </c>
      <c r="G174" t="s">
        <v>135</v>
      </c>
      <c r="H174" t="s">
        <v>135</v>
      </c>
      <c r="I174" t="s">
        <v>129</v>
      </c>
      <c r="J174">
        <v>10.08</v>
      </c>
      <c r="K174">
        <v>5.6</v>
      </c>
      <c r="L174">
        <f t="shared" si="10"/>
        <v>2.2400000000000002</v>
      </c>
      <c r="M174">
        <f t="shared" si="11"/>
        <v>0.22222222222222224</v>
      </c>
      <c r="N174">
        <v>1.0920000000000001</v>
      </c>
      <c r="O174">
        <v>2.5999999999999999E-2</v>
      </c>
      <c r="P174">
        <f t="shared" si="13"/>
        <v>1.0660000000000001</v>
      </c>
      <c r="Q174">
        <v>0.45900000000000002</v>
      </c>
      <c r="R174">
        <f t="shared" si="12"/>
        <v>0.43058161350844276</v>
      </c>
    </row>
    <row r="175" spans="1:20" x14ac:dyDescent="0.25">
      <c r="A175">
        <v>174</v>
      </c>
      <c r="B175" t="s">
        <v>1016</v>
      </c>
      <c r="C175" t="s">
        <v>596</v>
      </c>
      <c r="D175" t="s">
        <v>369</v>
      </c>
      <c r="E175">
        <v>6</v>
      </c>
      <c r="F175" t="s">
        <v>93</v>
      </c>
      <c r="G175" t="s">
        <v>135</v>
      </c>
      <c r="H175" t="s">
        <v>135</v>
      </c>
      <c r="I175" t="s">
        <v>129</v>
      </c>
      <c r="J175">
        <v>9.15</v>
      </c>
      <c r="K175">
        <v>7.48</v>
      </c>
      <c r="L175">
        <f t="shared" si="10"/>
        <v>0.83499999999999996</v>
      </c>
      <c r="M175">
        <f t="shared" si="11"/>
        <v>9.1256830601092895E-2</v>
      </c>
      <c r="N175">
        <v>1.4419999999999999</v>
      </c>
      <c r="O175">
        <v>2.5999999999999999E-2</v>
      </c>
      <c r="P175">
        <f t="shared" si="13"/>
        <v>1.4159999999999999</v>
      </c>
      <c r="Q175">
        <v>0.871</v>
      </c>
      <c r="R175">
        <f t="shared" si="12"/>
        <v>0.61511299435028255</v>
      </c>
      <c r="T175" t="s">
        <v>743</v>
      </c>
    </row>
    <row r="176" spans="1:20" x14ac:dyDescent="0.25">
      <c r="A176">
        <v>175</v>
      </c>
      <c r="B176" t="s">
        <v>500</v>
      </c>
      <c r="D176" t="s">
        <v>379</v>
      </c>
      <c r="E176">
        <v>5</v>
      </c>
      <c r="F176" t="s">
        <v>234</v>
      </c>
      <c r="G176" t="s">
        <v>135</v>
      </c>
      <c r="H176" t="s">
        <v>135</v>
      </c>
      <c r="I176" t="s">
        <v>129</v>
      </c>
      <c r="J176">
        <v>5.96</v>
      </c>
      <c r="K176">
        <v>4.74</v>
      </c>
      <c r="L176">
        <f t="shared" si="10"/>
        <v>0.60999999999999988</v>
      </c>
      <c r="M176">
        <f t="shared" si="11"/>
        <v>0.10234899328859058</v>
      </c>
      <c r="N176">
        <v>0.98499999999999999</v>
      </c>
      <c r="O176">
        <v>2.5999999999999999E-2</v>
      </c>
      <c r="P176">
        <f t="shared" si="13"/>
        <v>0.95899999999999996</v>
      </c>
      <c r="Q176">
        <v>0.62</v>
      </c>
      <c r="R176">
        <f t="shared" si="12"/>
        <v>0.6465067778936392</v>
      </c>
    </row>
    <row r="177" spans="1:19" x14ac:dyDescent="0.25">
      <c r="A177">
        <v>176</v>
      </c>
      <c r="B177" t="s">
        <v>460</v>
      </c>
      <c r="D177" t="s">
        <v>348</v>
      </c>
      <c r="E177">
        <v>3</v>
      </c>
      <c r="F177" t="s">
        <v>328</v>
      </c>
      <c r="G177" t="s">
        <v>135</v>
      </c>
      <c r="H177" t="s">
        <v>135</v>
      </c>
      <c r="I177" t="s">
        <v>129</v>
      </c>
      <c r="J177">
        <v>8.8000000000000007</v>
      </c>
      <c r="K177">
        <v>6.59</v>
      </c>
      <c r="L177">
        <f t="shared" si="10"/>
        <v>1.1050000000000004</v>
      </c>
      <c r="M177">
        <f t="shared" si="11"/>
        <v>0.12556818181818186</v>
      </c>
      <c r="N177">
        <v>1.0820000000000001</v>
      </c>
      <c r="O177">
        <v>2.5999999999999999E-2</v>
      </c>
      <c r="P177">
        <f t="shared" si="13"/>
        <v>1.056</v>
      </c>
      <c r="Q177">
        <v>0.51300000000000001</v>
      </c>
      <c r="R177">
        <f t="shared" si="12"/>
        <v>0.48579545454545453</v>
      </c>
    </row>
    <row r="178" spans="1:19" x14ac:dyDescent="0.25">
      <c r="A178">
        <v>177</v>
      </c>
      <c r="B178" t="s">
        <v>458</v>
      </c>
      <c r="D178" t="s">
        <v>416</v>
      </c>
      <c r="E178">
        <v>1</v>
      </c>
      <c r="F178" t="s">
        <v>492</v>
      </c>
      <c r="G178" t="s">
        <v>135</v>
      </c>
      <c r="H178" t="s">
        <v>135</v>
      </c>
      <c r="I178" t="s">
        <v>129</v>
      </c>
      <c r="J178">
        <v>5.74</v>
      </c>
      <c r="K178">
        <v>4.7</v>
      </c>
      <c r="L178">
        <f t="shared" si="10"/>
        <v>0.52</v>
      </c>
      <c r="M178">
        <f t="shared" si="11"/>
        <v>9.0592334494773524E-2</v>
      </c>
      <c r="N178">
        <v>0.52</v>
      </c>
      <c r="O178">
        <v>2.5999999999999999E-2</v>
      </c>
      <c r="P178">
        <f t="shared" si="13"/>
        <v>0.49399999999999999</v>
      </c>
      <c r="Q178">
        <v>0.35399999999999998</v>
      </c>
      <c r="R178">
        <f t="shared" si="12"/>
        <v>0.7165991902834008</v>
      </c>
    </row>
    <row r="179" spans="1:19" x14ac:dyDescent="0.25">
      <c r="A179">
        <v>178</v>
      </c>
      <c r="B179" t="s">
        <v>462</v>
      </c>
      <c r="D179" t="s">
        <v>446</v>
      </c>
      <c r="E179">
        <v>1</v>
      </c>
      <c r="F179" t="s">
        <v>447</v>
      </c>
      <c r="G179" t="s">
        <v>135</v>
      </c>
      <c r="H179" t="s">
        <v>135</v>
      </c>
      <c r="I179" t="s">
        <v>129</v>
      </c>
      <c r="J179">
        <v>8.06</v>
      </c>
      <c r="K179">
        <v>5.6</v>
      </c>
      <c r="L179">
        <f t="shared" si="10"/>
        <v>1.2300000000000004</v>
      </c>
      <c r="M179">
        <f t="shared" si="11"/>
        <v>0.15260545905707201</v>
      </c>
      <c r="N179">
        <v>0.95499999999999996</v>
      </c>
      <c r="O179">
        <v>2.5999999999999999E-2</v>
      </c>
      <c r="P179">
        <f t="shared" si="13"/>
        <v>0.92899999999999994</v>
      </c>
      <c r="Q179">
        <v>0.57299999999999995</v>
      </c>
      <c r="R179">
        <f t="shared" si="12"/>
        <v>0.61679224973089342</v>
      </c>
    </row>
    <row r="180" spans="1:19" x14ac:dyDescent="0.25">
      <c r="A180">
        <v>179</v>
      </c>
      <c r="B180" t="s">
        <v>459</v>
      </c>
      <c r="D180" t="s">
        <v>332</v>
      </c>
      <c r="E180">
        <v>5</v>
      </c>
      <c r="F180" t="s">
        <v>363</v>
      </c>
      <c r="G180" t="s">
        <v>135</v>
      </c>
      <c r="H180" t="s">
        <v>135</v>
      </c>
      <c r="I180" t="s">
        <v>129</v>
      </c>
      <c r="J180">
        <v>9.07</v>
      </c>
      <c r="K180">
        <v>7.31</v>
      </c>
      <c r="L180">
        <f t="shared" si="10"/>
        <v>0.88000000000000034</v>
      </c>
      <c r="M180">
        <f t="shared" si="11"/>
        <v>9.7023153252480746E-2</v>
      </c>
      <c r="N180">
        <v>0.97699999999999998</v>
      </c>
      <c r="O180">
        <v>2.5999999999999999E-2</v>
      </c>
      <c r="P180">
        <f t="shared" si="13"/>
        <v>0.95099999999999996</v>
      </c>
      <c r="Q180">
        <v>0.58499999999999996</v>
      </c>
      <c r="R180">
        <f t="shared" si="12"/>
        <v>0.6151419558359621</v>
      </c>
    </row>
    <row r="181" spans="1:19" x14ac:dyDescent="0.25">
      <c r="A181">
        <v>180</v>
      </c>
      <c r="B181" t="s">
        <v>461</v>
      </c>
      <c r="D181" t="s">
        <v>357</v>
      </c>
      <c r="E181">
        <v>5</v>
      </c>
      <c r="F181" t="s">
        <v>272</v>
      </c>
      <c r="G181" t="s">
        <v>135</v>
      </c>
      <c r="H181" t="s">
        <v>135</v>
      </c>
      <c r="I181" t="s">
        <v>129</v>
      </c>
      <c r="J181">
        <v>10.15</v>
      </c>
      <c r="K181">
        <v>6.88</v>
      </c>
      <c r="L181">
        <f t="shared" si="10"/>
        <v>1.6350000000000002</v>
      </c>
      <c r="M181">
        <f t="shared" si="11"/>
        <v>0.16108374384236454</v>
      </c>
      <c r="N181">
        <v>1.333</v>
      </c>
      <c r="O181">
        <v>2.5999999999999999E-2</v>
      </c>
      <c r="P181">
        <f t="shared" si="13"/>
        <v>1.3069999999999999</v>
      </c>
      <c r="Q181">
        <v>0.54</v>
      </c>
      <c r="R181">
        <f t="shared" si="12"/>
        <v>0.41315990818668713</v>
      </c>
    </row>
    <row r="182" spans="1:19" x14ac:dyDescent="0.25">
      <c r="A182">
        <v>181</v>
      </c>
      <c r="B182" t="s">
        <v>455</v>
      </c>
      <c r="D182" t="s">
        <v>430</v>
      </c>
      <c r="E182">
        <v>2</v>
      </c>
      <c r="F182" t="s">
        <v>431</v>
      </c>
      <c r="G182" t="s">
        <v>135</v>
      </c>
      <c r="H182" t="s">
        <v>135</v>
      </c>
      <c r="I182" t="s">
        <v>129</v>
      </c>
      <c r="J182">
        <v>7.34</v>
      </c>
      <c r="K182">
        <v>4.66</v>
      </c>
      <c r="L182">
        <f t="shared" si="10"/>
        <v>1.3399999999999999</v>
      </c>
      <c r="M182">
        <f t="shared" si="11"/>
        <v>0.18256130790190733</v>
      </c>
      <c r="N182">
        <v>0.745</v>
      </c>
      <c r="O182">
        <v>2.5999999999999999E-2</v>
      </c>
      <c r="P182">
        <f t="shared" si="13"/>
        <v>0.71899999999999997</v>
      </c>
      <c r="Q182">
        <v>0.313</v>
      </c>
      <c r="R182">
        <f t="shared" si="12"/>
        <v>0.43532684283727402</v>
      </c>
    </row>
    <row r="183" spans="1:19" x14ac:dyDescent="0.25">
      <c r="A183">
        <v>182</v>
      </c>
      <c r="B183" t="s">
        <v>454</v>
      </c>
      <c r="D183" t="s">
        <v>430</v>
      </c>
      <c r="E183">
        <v>3</v>
      </c>
      <c r="F183" t="s">
        <v>431</v>
      </c>
      <c r="G183" t="s">
        <v>135</v>
      </c>
      <c r="H183" t="s">
        <v>135</v>
      </c>
      <c r="I183" t="s">
        <v>129</v>
      </c>
      <c r="J183">
        <v>6.22</v>
      </c>
      <c r="K183">
        <v>3.92</v>
      </c>
      <c r="L183">
        <f t="shared" si="10"/>
        <v>1.1499999999999999</v>
      </c>
      <c r="M183">
        <f t="shared" si="11"/>
        <v>0.18488745980707394</v>
      </c>
      <c r="N183">
        <v>0.373</v>
      </c>
      <c r="O183">
        <v>2.5999999999999999E-2</v>
      </c>
      <c r="P183">
        <f t="shared" si="13"/>
        <v>0.34699999999999998</v>
      </c>
      <c r="Q183">
        <v>0.20300000000000001</v>
      </c>
      <c r="R183">
        <f t="shared" si="12"/>
        <v>0.58501440922190207</v>
      </c>
    </row>
    <row r="184" spans="1:19" x14ac:dyDescent="0.25">
      <c r="A184">
        <v>183</v>
      </c>
      <c r="B184" t="s">
        <v>453</v>
      </c>
      <c r="D184" t="s">
        <v>449</v>
      </c>
      <c r="E184">
        <v>2</v>
      </c>
      <c r="F184" t="s">
        <v>771</v>
      </c>
      <c r="G184" t="s">
        <v>135</v>
      </c>
      <c r="H184" t="s">
        <v>135</v>
      </c>
      <c r="I184" t="s">
        <v>129</v>
      </c>
      <c r="J184">
        <v>8.36</v>
      </c>
      <c r="K184">
        <v>4.97</v>
      </c>
      <c r="L184">
        <f t="shared" si="10"/>
        <v>1.6949999999999998</v>
      </c>
      <c r="M184">
        <f t="shared" si="11"/>
        <v>0.20275119617224879</v>
      </c>
      <c r="N184">
        <v>0.52800000000000002</v>
      </c>
      <c r="O184">
        <v>2.5999999999999999E-2</v>
      </c>
      <c r="P184">
        <f t="shared" si="13"/>
        <v>0.502</v>
      </c>
      <c r="Q184">
        <v>0.31</v>
      </c>
      <c r="R184">
        <f t="shared" si="12"/>
        <v>0.61752988047808766</v>
      </c>
      <c r="S184" t="s">
        <v>536</v>
      </c>
    </row>
    <row r="185" spans="1:19" x14ac:dyDescent="0.25">
      <c r="A185">
        <v>184</v>
      </c>
      <c r="B185" t="s">
        <v>1206</v>
      </c>
      <c r="C185" t="s">
        <v>466</v>
      </c>
      <c r="D185" t="s">
        <v>1207</v>
      </c>
      <c r="E185">
        <v>1</v>
      </c>
      <c r="F185" t="s">
        <v>1208</v>
      </c>
      <c r="G185" t="s">
        <v>135</v>
      </c>
      <c r="H185" t="s">
        <v>135</v>
      </c>
      <c r="I185" t="s">
        <v>129</v>
      </c>
      <c r="J185">
        <v>8.77</v>
      </c>
      <c r="K185">
        <v>5.63</v>
      </c>
      <c r="L185">
        <f t="shared" si="10"/>
        <v>1.5699999999999998</v>
      </c>
      <c r="M185">
        <f t="shared" si="11"/>
        <v>0.1790193842645382</v>
      </c>
      <c r="N185">
        <v>0.59099999999999997</v>
      </c>
      <c r="O185">
        <v>2.5999999999999999E-2</v>
      </c>
      <c r="P185">
        <f t="shared" si="13"/>
        <v>0.56499999999999995</v>
      </c>
      <c r="Q185">
        <v>0.28399999999999997</v>
      </c>
      <c r="R185">
        <f t="shared" si="12"/>
        <v>0.50265486725663722</v>
      </c>
      <c r="S185" t="s">
        <v>537</v>
      </c>
    </row>
    <row r="186" spans="1:19" x14ac:dyDescent="0.25">
      <c r="A186">
        <v>185</v>
      </c>
      <c r="B186" t="s">
        <v>445</v>
      </c>
      <c r="D186" t="s">
        <v>446</v>
      </c>
      <c r="E186">
        <v>2</v>
      </c>
      <c r="F186" t="s">
        <v>447</v>
      </c>
      <c r="G186" t="s">
        <v>135</v>
      </c>
      <c r="H186" t="s">
        <v>135</v>
      </c>
      <c r="I186" t="s">
        <v>129</v>
      </c>
      <c r="J186">
        <v>9.4700000000000006</v>
      </c>
      <c r="K186">
        <v>7.04</v>
      </c>
      <c r="L186">
        <f t="shared" si="10"/>
        <v>1.2150000000000003</v>
      </c>
      <c r="M186">
        <f t="shared" si="11"/>
        <v>0.12829989440337911</v>
      </c>
      <c r="N186">
        <v>0.84799999999999998</v>
      </c>
      <c r="O186">
        <v>2.5999999999999999E-2</v>
      </c>
      <c r="P186">
        <f t="shared" si="13"/>
        <v>0.82199999999999995</v>
      </c>
      <c r="Q186">
        <v>0.46400000000000002</v>
      </c>
      <c r="R186">
        <f t="shared" si="12"/>
        <v>0.56447688564476894</v>
      </c>
      <c r="S186" t="s">
        <v>537</v>
      </c>
    </row>
    <row r="187" spans="1:19" x14ac:dyDescent="0.25">
      <c r="A187">
        <v>186</v>
      </c>
      <c r="B187" t="s">
        <v>441</v>
      </c>
      <c r="D187" t="s">
        <v>345</v>
      </c>
      <c r="E187">
        <v>2</v>
      </c>
      <c r="F187" t="s">
        <v>350</v>
      </c>
      <c r="G187" t="s">
        <v>135</v>
      </c>
      <c r="H187" t="s">
        <v>135</v>
      </c>
      <c r="I187" t="s">
        <v>129</v>
      </c>
      <c r="J187">
        <v>9.2899999999999991</v>
      </c>
      <c r="K187">
        <v>5</v>
      </c>
      <c r="L187">
        <f t="shared" si="10"/>
        <v>2.1449999999999996</v>
      </c>
      <c r="M187">
        <f t="shared" si="11"/>
        <v>0.23089343379978469</v>
      </c>
      <c r="N187">
        <v>0.40699999999999997</v>
      </c>
      <c r="O187">
        <v>2.5999999999999999E-2</v>
      </c>
      <c r="P187">
        <f t="shared" si="13"/>
        <v>0.38099999999999995</v>
      </c>
      <c r="Q187">
        <v>0.13600000000000001</v>
      </c>
      <c r="R187">
        <f t="shared" si="12"/>
        <v>0.35695538057742787</v>
      </c>
      <c r="S187" t="s">
        <v>536</v>
      </c>
    </row>
    <row r="188" spans="1:19" x14ac:dyDescent="0.25">
      <c r="A188">
        <v>187</v>
      </c>
      <c r="B188" t="s">
        <v>443</v>
      </c>
      <c r="D188" t="s">
        <v>345</v>
      </c>
      <c r="E188">
        <v>3</v>
      </c>
      <c r="F188" t="s">
        <v>350</v>
      </c>
      <c r="G188" t="s">
        <v>135</v>
      </c>
      <c r="H188" t="s">
        <v>135</v>
      </c>
      <c r="I188" t="s">
        <v>129</v>
      </c>
      <c r="J188">
        <v>6.17</v>
      </c>
      <c r="K188">
        <v>3.34</v>
      </c>
      <c r="L188">
        <f t="shared" si="10"/>
        <v>1.415</v>
      </c>
      <c r="M188">
        <f t="shared" si="11"/>
        <v>0.22933549432739062</v>
      </c>
      <c r="N188">
        <v>0.38900000000000001</v>
      </c>
      <c r="O188">
        <v>2.5999999999999999E-2</v>
      </c>
      <c r="P188">
        <f t="shared" si="13"/>
        <v>0.36299999999999999</v>
      </c>
      <c r="Q188">
        <v>0.18</v>
      </c>
      <c r="R188">
        <f t="shared" si="12"/>
        <v>0.49586776859504134</v>
      </c>
      <c r="S188" t="s">
        <v>536</v>
      </c>
    </row>
    <row r="189" spans="1:19" x14ac:dyDescent="0.25">
      <c r="A189">
        <v>188</v>
      </c>
      <c r="B189" t="s">
        <v>439</v>
      </c>
      <c r="C189" t="s">
        <v>538</v>
      </c>
      <c r="D189" t="s">
        <v>416</v>
      </c>
      <c r="E189">
        <v>4</v>
      </c>
      <c r="F189" t="s">
        <v>539</v>
      </c>
      <c r="G189" t="s">
        <v>135</v>
      </c>
      <c r="H189" t="s">
        <v>135</v>
      </c>
      <c r="I189" t="s">
        <v>129</v>
      </c>
      <c r="J189">
        <v>7.28</v>
      </c>
      <c r="K189">
        <v>6.15</v>
      </c>
      <c r="L189">
        <f t="shared" si="10"/>
        <v>0.56499999999999995</v>
      </c>
      <c r="M189">
        <f t="shared" si="11"/>
        <v>7.7609890109890098E-2</v>
      </c>
      <c r="N189">
        <v>0.61</v>
      </c>
      <c r="O189">
        <v>2.5999999999999999E-2</v>
      </c>
      <c r="P189">
        <f t="shared" si="13"/>
        <v>0.58399999999999996</v>
      </c>
      <c r="Q189">
        <v>0.42699999999999999</v>
      </c>
      <c r="R189">
        <f t="shared" si="12"/>
        <v>0.73116438356164382</v>
      </c>
      <c r="S189" t="s">
        <v>537</v>
      </c>
    </row>
    <row r="190" spans="1:19" x14ac:dyDescent="0.25">
      <c r="A190">
        <v>189</v>
      </c>
      <c r="B190" t="s">
        <v>440</v>
      </c>
      <c r="D190" t="s">
        <v>381</v>
      </c>
      <c r="E190">
        <v>3</v>
      </c>
      <c r="F190" t="s">
        <v>232</v>
      </c>
      <c r="G190" t="s">
        <v>135</v>
      </c>
      <c r="H190" t="s">
        <v>135</v>
      </c>
      <c r="I190" t="s">
        <v>129</v>
      </c>
      <c r="J190">
        <v>7.13</v>
      </c>
      <c r="K190">
        <v>5.28</v>
      </c>
      <c r="L190">
        <f t="shared" si="10"/>
        <v>0.92499999999999982</v>
      </c>
      <c r="M190">
        <f t="shared" si="11"/>
        <v>0.12973352033660587</v>
      </c>
      <c r="N190">
        <v>0.70499999999999996</v>
      </c>
      <c r="O190">
        <v>2.5999999999999999E-2</v>
      </c>
      <c r="P190">
        <f t="shared" si="13"/>
        <v>0.67899999999999994</v>
      </c>
      <c r="Q190">
        <v>0.32500000000000001</v>
      </c>
      <c r="R190">
        <f t="shared" si="12"/>
        <v>0.47864506627393233</v>
      </c>
      <c r="S190" t="s">
        <v>537</v>
      </c>
    </row>
    <row r="191" spans="1:19" x14ac:dyDescent="0.25">
      <c r="A191">
        <v>190</v>
      </c>
      <c r="B191" t="s">
        <v>444</v>
      </c>
      <c r="D191" t="s">
        <v>347</v>
      </c>
      <c r="E191">
        <v>4</v>
      </c>
      <c r="F191" t="s">
        <v>361</v>
      </c>
      <c r="G191" t="s">
        <v>135</v>
      </c>
      <c r="H191" t="s">
        <v>135</v>
      </c>
      <c r="I191" t="s">
        <v>129</v>
      </c>
      <c r="J191">
        <v>6.66</v>
      </c>
      <c r="K191">
        <v>4.53</v>
      </c>
      <c r="L191">
        <f t="shared" si="10"/>
        <v>1.0649999999999999</v>
      </c>
      <c r="M191">
        <f t="shared" si="11"/>
        <v>0.15990990990990989</v>
      </c>
      <c r="N191">
        <v>0.44400000000000001</v>
      </c>
      <c r="O191">
        <v>2.5999999999999999E-2</v>
      </c>
      <c r="P191">
        <f t="shared" si="13"/>
        <v>0.41799999999999998</v>
      </c>
      <c r="Q191">
        <v>0.27200000000000002</v>
      </c>
      <c r="R191">
        <f t="shared" si="12"/>
        <v>0.65071770334928236</v>
      </c>
      <c r="S191" t="s">
        <v>537</v>
      </c>
    </row>
    <row r="192" spans="1:19" x14ac:dyDescent="0.25">
      <c r="A192">
        <v>191</v>
      </c>
      <c r="B192" t="s">
        <v>438</v>
      </c>
      <c r="D192" t="s">
        <v>387</v>
      </c>
      <c r="E192">
        <v>3</v>
      </c>
      <c r="F192" t="s">
        <v>281</v>
      </c>
      <c r="G192" t="s">
        <v>135</v>
      </c>
      <c r="H192" t="s">
        <v>135</v>
      </c>
      <c r="I192" t="s">
        <v>129</v>
      </c>
      <c r="J192">
        <v>7.75</v>
      </c>
      <c r="K192">
        <v>6.84</v>
      </c>
      <c r="L192">
        <f t="shared" si="10"/>
        <v>0.45500000000000007</v>
      </c>
      <c r="M192">
        <f t="shared" si="11"/>
        <v>5.8709677419354851E-2</v>
      </c>
      <c r="N192">
        <v>0.97599999999999998</v>
      </c>
      <c r="O192">
        <v>2.5999999999999999E-2</v>
      </c>
      <c r="P192">
        <f t="shared" si="13"/>
        <v>0.95</v>
      </c>
      <c r="Q192">
        <v>0.66900000000000004</v>
      </c>
      <c r="R192">
        <f t="shared" si="12"/>
        <v>0.70421052631578951</v>
      </c>
      <c r="S192" t="s">
        <v>537</v>
      </c>
    </row>
    <row r="193" spans="1:20" x14ac:dyDescent="0.25">
      <c r="A193">
        <v>192</v>
      </c>
      <c r="B193" t="s">
        <v>436</v>
      </c>
      <c r="D193" t="s">
        <v>390</v>
      </c>
      <c r="E193">
        <v>4</v>
      </c>
      <c r="F193" t="s">
        <v>320</v>
      </c>
      <c r="G193" t="s">
        <v>135</v>
      </c>
      <c r="H193" t="s">
        <v>135</v>
      </c>
      <c r="I193" t="s">
        <v>129</v>
      </c>
      <c r="J193">
        <v>10.07</v>
      </c>
      <c r="K193">
        <v>8.3699999999999992</v>
      </c>
      <c r="L193">
        <f t="shared" si="10"/>
        <v>0.85000000000000053</v>
      </c>
      <c r="M193">
        <f t="shared" si="11"/>
        <v>8.440913604766638E-2</v>
      </c>
      <c r="N193">
        <v>1.1779999999999999</v>
      </c>
      <c r="O193">
        <v>2.5999999999999999E-2</v>
      </c>
      <c r="P193">
        <f t="shared" si="13"/>
        <v>1.1519999999999999</v>
      </c>
      <c r="Q193">
        <v>0.497</v>
      </c>
      <c r="R193">
        <f t="shared" si="12"/>
        <v>0.43142361111111116</v>
      </c>
      <c r="S193" t="s">
        <v>537</v>
      </c>
    </row>
    <row r="194" spans="1:20" x14ac:dyDescent="0.25">
      <c r="A194">
        <v>193</v>
      </c>
      <c r="B194" t="s">
        <v>437</v>
      </c>
      <c r="C194" t="s">
        <v>437</v>
      </c>
      <c r="D194" t="s">
        <v>358</v>
      </c>
      <c r="E194">
        <v>5</v>
      </c>
      <c r="F194" t="s">
        <v>257</v>
      </c>
      <c r="G194" t="s">
        <v>135</v>
      </c>
      <c r="H194" t="s">
        <v>135</v>
      </c>
      <c r="I194" t="s">
        <v>129</v>
      </c>
      <c r="J194">
        <v>5.3</v>
      </c>
      <c r="K194">
        <v>3.65</v>
      </c>
      <c r="L194">
        <f t="shared" ref="L194:L257" si="14">(J194-K194)/2</f>
        <v>0.82499999999999996</v>
      </c>
      <c r="M194">
        <f t="shared" ref="M194:M257" si="15">L194/J194</f>
        <v>0.15566037735849056</v>
      </c>
      <c r="N194">
        <v>0.315</v>
      </c>
      <c r="O194">
        <v>2.5999999999999999E-2</v>
      </c>
      <c r="P194">
        <f t="shared" si="13"/>
        <v>0.28899999999999998</v>
      </c>
      <c r="Q194">
        <v>0.20799999999999999</v>
      </c>
      <c r="R194">
        <f t="shared" ref="R194:R257" si="16">Q194/P194</f>
        <v>0.7197231833910035</v>
      </c>
      <c r="S194" t="s">
        <v>537</v>
      </c>
    </row>
    <row r="195" spans="1:20" x14ac:dyDescent="0.25">
      <c r="A195">
        <v>194</v>
      </c>
      <c r="B195" t="s">
        <v>435</v>
      </c>
      <c r="D195" t="s">
        <v>377</v>
      </c>
      <c r="E195">
        <v>4</v>
      </c>
      <c r="F195" t="s">
        <v>222</v>
      </c>
      <c r="G195" t="s">
        <v>135</v>
      </c>
      <c r="H195" t="s">
        <v>135</v>
      </c>
      <c r="I195" t="s">
        <v>129</v>
      </c>
      <c r="J195">
        <v>8.9</v>
      </c>
      <c r="K195">
        <v>7.02</v>
      </c>
      <c r="L195">
        <f t="shared" si="14"/>
        <v>0.94000000000000039</v>
      </c>
      <c r="M195">
        <f t="shared" si="15"/>
        <v>0.10561797752808992</v>
      </c>
      <c r="N195">
        <v>0.56299999999999994</v>
      </c>
      <c r="O195">
        <v>2.5999999999999999E-2</v>
      </c>
      <c r="P195">
        <f t="shared" si="13"/>
        <v>0.53699999999999992</v>
      </c>
      <c r="Q195">
        <v>0.34499999999999997</v>
      </c>
      <c r="R195">
        <f t="shared" si="16"/>
        <v>0.64245810055865926</v>
      </c>
      <c r="S195" t="s">
        <v>537</v>
      </c>
    </row>
    <row r="196" spans="1:20" x14ac:dyDescent="0.25">
      <c r="A196">
        <v>195</v>
      </c>
      <c r="B196" t="s">
        <v>442</v>
      </c>
      <c r="C196" t="s">
        <v>434</v>
      </c>
      <c r="D196" t="s">
        <v>334</v>
      </c>
      <c r="E196">
        <v>5</v>
      </c>
      <c r="F196" t="s">
        <v>365</v>
      </c>
      <c r="G196" t="s">
        <v>135</v>
      </c>
      <c r="H196" t="s">
        <v>135</v>
      </c>
      <c r="I196" t="s">
        <v>129</v>
      </c>
      <c r="J196">
        <v>11.76</v>
      </c>
      <c r="K196">
        <v>9.6300000000000008</v>
      </c>
      <c r="L196">
        <f t="shared" si="14"/>
        <v>1.0649999999999995</v>
      </c>
      <c r="M196">
        <f t="shared" si="15"/>
        <v>9.056122448979588E-2</v>
      </c>
      <c r="N196">
        <v>1.298</v>
      </c>
      <c r="O196">
        <v>2.5999999999999999E-2</v>
      </c>
      <c r="P196">
        <f t="shared" si="13"/>
        <v>1.272</v>
      </c>
      <c r="Q196">
        <v>0.64</v>
      </c>
      <c r="R196">
        <f t="shared" si="16"/>
        <v>0.50314465408805031</v>
      </c>
      <c r="S196" t="s">
        <v>537</v>
      </c>
    </row>
    <row r="197" spans="1:20" x14ac:dyDescent="0.25">
      <c r="A197">
        <v>196</v>
      </c>
      <c r="B197" t="s">
        <v>422</v>
      </c>
      <c r="D197" t="s">
        <v>390</v>
      </c>
      <c r="E197">
        <v>3</v>
      </c>
      <c r="F197" t="s">
        <v>320</v>
      </c>
      <c r="G197" t="s">
        <v>135</v>
      </c>
      <c r="H197" t="s">
        <v>135</v>
      </c>
      <c r="I197" t="s">
        <v>129</v>
      </c>
      <c r="J197">
        <v>12.76</v>
      </c>
      <c r="K197">
        <v>10.62</v>
      </c>
      <c r="L197">
        <f t="shared" si="14"/>
        <v>1.0700000000000003</v>
      </c>
      <c r="M197">
        <f t="shared" si="15"/>
        <v>8.3855799373040774E-2</v>
      </c>
      <c r="N197">
        <v>1.4339999999999999</v>
      </c>
      <c r="O197">
        <v>2.5999999999999999E-2</v>
      </c>
      <c r="P197">
        <f t="shared" si="13"/>
        <v>1.4079999999999999</v>
      </c>
      <c r="Q197">
        <v>0.72</v>
      </c>
      <c r="R197">
        <f t="shared" si="16"/>
        <v>0.51136363636363635</v>
      </c>
      <c r="S197" t="s">
        <v>537</v>
      </c>
    </row>
    <row r="198" spans="1:20" x14ac:dyDescent="0.25">
      <c r="A198">
        <v>197</v>
      </c>
      <c r="B198" t="s">
        <v>432</v>
      </c>
      <c r="D198" t="s">
        <v>411</v>
      </c>
      <c r="E198">
        <v>1</v>
      </c>
      <c r="F198" t="s">
        <v>412</v>
      </c>
      <c r="G198" t="s">
        <v>135</v>
      </c>
      <c r="H198" t="s">
        <v>135</v>
      </c>
      <c r="I198" t="s">
        <v>129</v>
      </c>
      <c r="J198">
        <v>8.09</v>
      </c>
      <c r="K198">
        <v>4.53</v>
      </c>
      <c r="L198">
        <f t="shared" si="14"/>
        <v>1.7799999999999998</v>
      </c>
      <c r="M198">
        <f t="shared" si="15"/>
        <v>0.22002472187886277</v>
      </c>
      <c r="N198">
        <v>0.58199999999999996</v>
      </c>
      <c r="O198">
        <v>2.5999999999999999E-2</v>
      </c>
      <c r="P198">
        <f t="shared" si="13"/>
        <v>0.55599999999999994</v>
      </c>
      <c r="Q198">
        <v>0.30199999999999999</v>
      </c>
      <c r="R198">
        <f t="shared" si="16"/>
        <v>0.54316546762589935</v>
      </c>
      <c r="S198" t="s">
        <v>537</v>
      </c>
    </row>
    <row r="199" spans="1:20" x14ac:dyDescent="0.25">
      <c r="A199">
        <v>198</v>
      </c>
      <c r="B199" t="s">
        <v>448</v>
      </c>
      <c r="D199" t="s">
        <v>449</v>
      </c>
      <c r="E199">
        <v>1</v>
      </c>
      <c r="F199" t="s">
        <v>450</v>
      </c>
      <c r="G199" t="s">
        <v>135</v>
      </c>
      <c r="H199" t="s">
        <v>135</v>
      </c>
      <c r="I199" t="s">
        <v>129</v>
      </c>
      <c r="J199">
        <v>8.92</v>
      </c>
      <c r="K199">
        <v>5.71</v>
      </c>
      <c r="L199">
        <f t="shared" si="14"/>
        <v>1.605</v>
      </c>
      <c r="M199">
        <f t="shared" si="15"/>
        <v>0.17993273542600896</v>
      </c>
      <c r="N199">
        <v>0.56399999999999995</v>
      </c>
      <c r="O199">
        <v>2.5999999999999999E-2</v>
      </c>
      <c r="P199">
        <f t="shared" si="13"/>
        <v>0.53799999999999992</v>
      </c>
      <c r="Q199">
        <v>0.26700000000000002</v>
      </c>
      <c r="R199">
        <f t="shared" si="16"/>
        <v>0.49628252788104099</v>
      </c>
      <c r="S199" t="s">
        <v>536</v>
      </c>
    </row>
    <row r="200" spans="1:20" x14ac:dyDescent="0.25">
      <c r="A200">
        <v>199</v>
      </c>
      <c r="B200" t="s">
        <v>404</v>
      </c>
      <c r="D200" t="s">
        <v>381</v>
      </c>
      <c r="E200">
        <v>4</v>
      </c>
      <c r="F200" t="s">
        <v>232</v>
      </c>
      <c r="G200" t="s">
        <v>135</v>
      </c>
      <c r="H200" t="s">
        <v>135</v>
      </c>
      <c r="I200" t="s">
        <v>129</v>
      </c>
      <c r="J200">
        <v>10.44</v>
      </c>
      <c r="K200">
        <v>7.67</v>
      </c>
      <c r="L200">
        <f t="shared" si="14"/>
        <v>1.3849999999999998</v>
      </c>
      <c r="M200">
        <f t="shared" si="15"/>
        <v>0.13266283524904213</v>
      </c>
      <c r="N200">
        <v>0.97399999999999998</v>
      </c>
      <c r="O200">
        <v>2.5999999999999999E-2</v>
      </c>
      <c r="P200">
        <f t="shared" si="13"/>
        <v>0.94799999999999995</v>
      </c>
      <c r="Q200">
        <v>0.436</v>
      </c>
      <c r="R200">
        <f t="shared" si="16"/>
        <v>0.45991561181434604</v>
      </c>
      <c r="S200" t="s">
        <v>537</v>
      </c>
    </row>
    <row r="201" spans="1:20" x14ac:dyDescent="0.25">
      <c r="A201">
        <v>200</v>
      </c>
      <c r="B201" t="s">
        <v>406</v>
      </c>
      <c r="D201" t="s">
        <v>355</v>
      </c>
      <c r="E201">
        <v>5</v>
      </c>
      <c r="F201" t="s">
        <v>305</v>
      </c>
      <c r="G201" t="s">
        <v>135</v>
      </c>
      <c r="H201" t="s">
        <v>135</v>
      </c>
      <c r="I201" t="s">
        <v>129</v>
      </c>
      <c r="J201">
        <v>4.29</v>
      </c>
      <c r="K201">
        <v>3.09</v>
      </c>
      <c r="L201">
        <f t="shared" si="14"/>
        <v>0.60000000000000009</v>
      </c>
      <c r="M201">
        <f t="shared" si="15"/>
        <v>0.13986013986013987</v>
      </c>
      <c r="N201">
        <v>0.39700000000000002</v>
      </c>
      <c r="O201">
        <v>2.5999999999999999E-2</v>
      </c>
      <c r="P201">
        <f t="shared" si="13"/>
        <v>0.371</v>
      </c>
      <c r="Q201">
        <v>0.318</v>
      </c>
      <c r="R201">
        <f t="shared" si="16"/>
        <v>0.85714285714285721</v>
      </c>
      <c r="S201" t="s">
        <v>537</v>
      </c>
    </row>
    <row r="202" spans="1:20" x14ac:dyDescent="0.25">
      <c r="A202">
        <v>201</v>
      </c>
      <c r="B202" t="s">
        <v>405</v>
      </c>
      <c r="D202" t="s">
        <v>378</v>
      </c>
      <c r="E202">
        <v>5</v>
      </c>
      <c r="F202" t="s">
        <v>227</v>
      </c>
      <c r="G202" t="s">
        <v>135</v>
      </c>
      <c r="H202" t="s">
        <v>135</v>
      </c>
      <c r="I202" t="s">
        <v>129</v>
      </c>
      <c r="J202">
        <v>12.23</v>
      </c>
      <c r="K202">
        <v>10</v>
      </c>
      <c r="L202">
        <f t="shared" si="14"/>
        <v>1.1150000000000002</v>
      </c>
      <c r="M202">
        <f t="shared" si="15"/>
        <v>9.1169255928045798E-2</v>
      </c>
      <c r="N202">
        <v>1.6040000000000001</v>
      </c>
      <c r="O202">
        <v>2.5999999999999999E-2</v>
      </c>
      <c r="P202">
        <f t="shared" si="13"/>
        <v>1.5780000000000001</v>
      </c>
      <c r="Q202">
        <v>0.93300000000000005</v>
      </c>
      <c r="R202">
        <f t="shared" si="16"/>
        <v>0.59125475285171103</v>
      </c>
      <c r="S202" t="s">
        <v>537</v>
      </c>
    </row>
    <row r="203" spans="1:20" x14ac:dyDescent="0.25">
      <c r="A203">
        <v>202</v>
      </c>
      <c r="B203" t="s">
        <v>408</v>
      </c>
      <c r="D203" t="s">
        <v>374</v>
      </c>
      <c r="E203">
        <v>5</v>
      </c>
      <c r="F203" t="s">
        <v>319</v>
      </c>
      <c r="G203" t="s">
        <v>135</v>
      </c>
      <c r="H203" t="s">
        <v>135</v>
      </c>
      <c r="I203" t="s">
        <v>129</v>
      </c>
      <c r="J203">
        <v>9.76</v>
      </c>
      <c r="K203">
        <v>7.43</v>
      </c>
      <c r="L203">
        <f t="shared" si="14"/>
        <v>1.165</v>
      </c>
      <c r="M203">
        <f t="shared" si="15"/>
        <v>0.11936475409836066</v>
      </c>
      <c r="N203">
        <v>0.434</v>
      </c>
      <c r="O203">
        <v>2.5999999999999999E-2</v>
      </c>
      <c r="P203">
        <f t="shared" si="13"/>
        <v>0.40799999999999997</v>
      </c>
      <c r="Q203">
        <v>0.219</v>
      </c>
      <c r="R203">
        <f t="shared" si="16"/>
        <v>0.53676470588235292</v>
      </c>
      <c r="S203" t="s">
        <v>537</v>
      </c>
    </row>
    <row r="204" spans="1:20" x14ac:dyDescent="0.25">
      <c r="A204">
        <v>203</v>
      </c>
      <c r="B204" t="s">
        <v>1770</v>
      </c>
      <c r="C204" t="s">
        <v>1249</v>
      </c>
      <c r="D204" t="s">
        <v>1251</v>
      </c>
      <c r="E204">
        <v>4</v>
      </c>
      <c r="F204" t="s">
        <v>1250</v>
      </c>
      <c r="G204" t="s">
        <v>135</v>
      </c>
      <c r="H204" t="s">
        <v>135</v>
      </c>
      <c r="I204" t="s">
        <v>129</v>
      </c>
      <c r="J204">
        <v>9.0299999999999994</v>
      </c>
      <c r="K204">
        <v>6.42</v>
      </c>
      <c r="L204">
        <f t="shared" si="14"/>
        <v>1.3049999999999997</v>
      </c>
      <c r="M204">
        <f t="shared" si="15"/>
        <v>0.14451827242524914</v>
      </c>
      <c r="N204">
        <v>0.95499999999999996</v>
      </c>
      <c r="O204">
        <v>2.5999999999999999E-2</v>
      </c>
      <c r="P204">
        <f t="shared" si="13"/>
        <v>0.92899999999999994</v>
      </c>
      <c r="Q204">
        <v>0.442</v>
      </c>
      <c r="R204">
        <f t="shared" si="16"/>
        <v>0.47578040904198066</v>
      </c>
      <c r="S204" t="s">
        <v>537</v>
      </c>
    </row>
    <row r="205" spans="1:20" x14ac:dyDescent="0.25">
      <c r="A205">
        <v>204</v>
      </c>
      <c r="B205" t="s">
        <v>423</v>
      </c>
      <c r="D205" t="s">
        <v>390</v>
      </c>
      <c r="E205">
        <v>2</v>
      </c>
      <c r="F205" t="s">
        <v>320</v>
      </c>
      <c r="G205" t="s">
        <v>135</v>
      </c>
      <c r="H205" t="s">
        <v>135</v>
      </c>
      <c r="I205" t="s">
        <v>129</v>
      </c>
      <c r="J205">
        <v>8.2899999999999991</v>
      </c>
      <c r="K205">
        <v>6.74</v>
      </c>
      <c r="L205">
        <f t="shared" si="14"/>
        <v>0.77499999999999947</v>
      </c>
      <c r="M205">
        <f t="shared" si="15"/>
        <v>9.3486127864897406E-2</v>
      </c>
      <c r="N205">
        <v>0.40400000000000003</v>
      </c>
      <c r="O205">
        <v>2.5999999999999999E-2</v>
      </c>
      <c r="P205">
        <f t="shared" si="13"/>
        <v>0.378</v>
      </c>
      <c r="Q205">
        <v>0.17100000000000001</v>
      </c>
      <c r="R205">
        <f t="shared" si="16"/>
        <v>0.45238095238095244</v>
      </c>
      <c r="S205" t="s">
        <v>537</v>
      </c>
    </row>
    <row r="206" spans="1:20" x14ac:dyDescent="0.25">
      <c r="A206">
        <v>205</v>
      </c>
      <c r="B206" t="s">
        <v>402</v>
      </c>
      <c r="D206" t="s">
        <v>345</v>
      </c>
      <c r="E206">
        <v>4</v>
      </c>
      <c r="F206" t="s">
        <v>350</v>
      </c>
      <c r="G206" t="s">
        <v>135</v>
      </c>
      <c r="H206" t="s">
        <v>135</v>
      </c>
      <c r="I206" t="s">
        <v>129</v>
      </c>
      <c r="J206">
        <v>11.02</v>
      </c>
      <c r="K206">
        <v>5.45</v>
      </c>
      <c r="L206">
        <f t="shared" si="14"/>
        <v>2.7849999999999997</v>
      </c>
      <c r="M206">
        <f t="shared" si="15"/>
        <v>0.25272232304900177</v>
      </c>
      <c r="N206">
        <v>0.64200000000000002</v>
      </c>
      <c r="O206">
        <v>2.5999999999999999E-2</v>
      </c>
      <c r="P206">
        <f t="shared" si="13"/>
        <v>0.61599999999999999</v>
      </c>
      <c r="Q206">
        <v>0.24299999999999999</v>
      </c>
      <c r="R206">
        <f t="shared" si="16"/>
        <v>0.39448051948051949</v>
      </c>
      <c r="S206" t="s">
        <v>536</v>
      </c>
    </row>
    <row r="207" spans="1:20" x14ac:dyDescent="0.25">
      <c r="A207">
        <v>206</v>
      </c>
      <c r="B207" t="s">
        <v>428</v>
      </c>
      <c r="D207" t="s">
        <v>347</v>
      </c>
      <c r="E207">
        <v>2</v>
      </c>
      <c r="F207" t="s">
        <v>361</v>
      </c>
      <c r="G207" t="s">
        <v>135</v>
      </c>
      <c r="H207" t="s">
        <v>135</v>
      </c>
      <c r="I207" t="s">
        <v>129</v>
      </c>
      <c r="J207">
        <v>5.28</v>
      </c>
      <c r="K207">
        <v>3.45</v>
      </c>
      <c r="L207">
        <f t="shared" si="14"/>
        <v>0.91500000000000004</v>
      </c>
      <c r="M207">
        <f t="shared" si="15"/>
        <v>0.17329545454545453</v>
      </c>
      <c r="N207">
        <v>0.218</v>
      </c>
      <c r="O207">
        <v>2.5999999999999999E-2</v>
      </c>
      <c r="P207">
        <f t="shared" si="13"/>
        <v>0.192</v>
      </c>
      <c r="Q207">
        <v>0.124</v>
      </c>
      <c r="R207">
        <f t="shared" si="16"/>
        <v>0.64583333333333337</v>
      </c>
      <c r="S207" t="s">
        <v>537</v>
      </c>
    </row>
    <row r="208" spans="1:20" x14ac:dyDescent="0.25">
      <c r="A208">
        <v>207</v>
      </c>
      <c r="B208" t="s">
        <v>1245</v>
      </c>
      <c r="C208" t="s">
        <v>422</v>
      </c>
      <c r="D208" t="s">
        <v>390</v>
      </c>
      <c r="E208">
        <v>6</v>
      </c>
      <c r="F208" t="s">
        <v>320</v>
      </c>
      <c r="G208" t="s">
        <v>135</v>
      </c>
      <c r="H208" t="s">
        <v>135</v>
      </c>
      <c r="I208" t="s">
        <v>129</v>
      </c>
      <c r="J208">
        <v>10</v>
      </c>
      <c r="K208">
        <v>7.99</v>
      </c>
      <c r="L208">
        <f t="shared" si="14"/>
        <v>1.0049999999999999</v>
      </c>
      <c r="M208">
        <f t="shared" si="15"/>
        <v>0.10049999999999999</v>
      </c>
      <c r="N208">
        <v>1.212</v>
      </c>
      <c r="O208">
        <v>2.5999999999999999E-2</v>
      </c>
      <c r="P208">
        <f t="shared" si="13"/>
        <v>1.1859999999999999</v>
      </c>
      <c r="Q208">
        <v>0.496</v>
      </c>
      <c r="R208">
        <f t="shared" si="16"/>
        <v>0.41821247892074198</v>
      </c>
      <c r="S208" t="s">
        <v>537</v>
      </c>
      <c r="T208" t="s">
        <v>1247</v>
      </c>
    </row>
    <row r="209" spans="1:20" x14ac:dyDescent="0.25">
      <c r="A209">
        <v>208</v>
      </c>
      <c r="B209" t="s">
        <v>456</v>
      </c>
      <c r="D209" t="s">
        <v>342</v>
      </c>
      <c r="E209">
        <v>5</v>
      </c>
      <c r="F209" t="s">
        <v>214</v>
      </c>
      <c r="G209" t="s">
        <v>135</v>
      </c>
      <c r="H209" t="s">
        <v>135</v>
      </c>
      <c r="I209" t="s">
        <v>129</v>
      </c>
      <c r="J209">
        <v>8.41</v>
      </c>
      <c r="K209">
        <v>4.84</v>
      </c>
      <c r="L209">
        <f t="shared" si="14"/>
        <v>1.7850000000000001</v>
      </c>
      <c r="M209">
        <f t="shared" si="15"/>
        <v>0.2122473246135553</v>
      </c>
      <c r="N209">
        <v>0.32400000000000001</v>
      </c>
      <c r="O209">
        <v>2.5999999999999999E-2</v>
      </c>
      <c r="P209">
        <f t="shared" si="13"/>
        <v>0.29799999999999999</v>
      </c>
      <c r="Q209">
        <v>0.16400000000000001</v>
      </c>
      <c r="R209">
        <f t="shared" si="16"/>
        <v>0.55033557046979875</v>
      </c>
      <c r="S209" t="s">
        <v>537</v>
      </c>
    </row>
    <row r="210" spans="1:20" x14ac:dyDescent="0.25">
      <c r="A210">
        <v>209</v>
      </c>
      <c r="B210" t="s">
        <v>464</v>
      </c>
      <c r="C210" t="s">
        <v>1188</v>
      </c>
      <c r="D210" t="s">
        <v>463</v>
      </c>
      <c r="E210">
        <v>1</v>
      </c>
      <c r="F210" t="s">
        <v>465</v>
      </c>
      <c r="G210" t="s">
        <v>135</v>
      </c>
      <c r="H210" t="s">
        <v>135</v>
      </c>
      <c r="I210" t="s">
        <v>129</v>
      </c>
      <c r="J210">
        <v>11.63</v>
      </c>
      <c r="K210">
        <v>10.26</v>
      </c>
      <c r="L210">
        <f t="shared" si="14"/>
        <v>0.6850000000000005</v>
      </c>
      <c r="M210">
        <f t="shared" si="15"/>
        <v>5.8899398108340537E-2</v>
      </c>
      <c r="N210">
        <v>1.2270000000000001</v>
      </c>
      <c r="O210">
        <v>2.5999999999999999E-2</v>
      </c>
      <c r="P210">
        <f t="shared" si="13"/>
        <v>1.2010000000000001</v>
      </c>
      <c r="Q210">
        <v>0.73</v>
      </c>
      <c r="R210">
        <f t="shared" si="16"/>
        <v>0.6078268109908409</v>
      </c>
      <c r="S210" t="s">
        <v>537</v>
      </c>
      <c r="T210" t="s">
        <v>772</v>
      </c>
    </row>
    <row r="211" spans="1:20" x14ac:dyDescent="0.25">
      <c r="A211">
        <v>210</v>
      </c>
      <c r="B211" t="s">
        <v>403</v>
      </c>
      <c r="D211" t="s">
        <v>377</v>
      </c>
      <c r="E211">
        <v>3</v>
      </c>
      <c r="F211" t="s">
        <v>222</v>
      </c>
      <c r="G211" t="s">
        <v>135</v>
      </c>
      <c r="H211" t="s">
        <v>135</v>
      </c>
      <c r="I211" t="s">
        <v>129</v>
      </c>
      <c r="J211">
        <v>9.2100000000000009</v>
      </c>
      <c r="K211">
        <v>5.88</v>
      </c>
      <c r="L211">
        <f t="shared" si="14"/>
        <v>1.6650000000000005</v>
      </c>
      <c r="M211">
        <f t="shared" si="15"/>
        <v>0.18078175895765475</v>
      </c>
      <c r="N211">
        <v>0.38300000000000001</v>
      </c>
      <c r="O211">
        <v>2.5999999999999999E-2</v>
      </c>
      <c r="P211">
        <f t="shared" ref="P211:P274" si="17">N211-O211</f>
        <v>0.35699999999999998</v>
      </c>
      <c r="Q211">
        <v>0.24</v>
      </c>
      <c r="R211">
        <f t="shared" si="16"/>
        <v>0.67226890756302526</v>
      </c>
      <c r="S211" t="s">
        <v>537</v>
      </c>
    </row>
    <row r="212" spans="1:20" x14ac:dyDescent="0.25">
      <c r="A212">
        <v>211</v>
      </c>
      <c r="B212" t="s">
        <v>415</v>
      </c>
      <c r="C212" t="s">
        <v>540</v>
      </c>
      <c r="D212" t="s">
        <v>416</v>
      </c>
      <c r="E212">
        <v>3</v>
      </c>
      <c r="F212" t="s">
        <v>539</v>
      </c>
      <c r="G212" t="s">
        <v>135</v>
      </c>
      <c r="H212" t="s">
        <v>135</v>
      </c>
      <c r="I212" t="s">
        <v>129</v>
      </c>
      <c r="J212">
        <v>9.01</v>
      </c>
      <c r="K212">
        <v>7.41</v>
      </c>
      <c r="L212">
        <f t="shared" si="14"/>
        <v>0.79999999999999982</v>
      </c>
      <c r="M212">
        <f t="shared" si="15"/>
        <v>8.8790233074361805E-2</v>
      </c>
      <c r="N212">
        <v>1.0920000000000001</v>
      </c>
      <c r="O212">
        <v>2.5999999999999999E-2</v>
      </c>
      <c r="P212">
        <f t="shared" si="17"/>
        <v>1.0660000000000001</v>
      </c>
      <c r="Q212">
        <v>0.71299999999999997</v>
      </c>
      <c r="R212">
        <f t="shared" si="16"/>
        <v>0.66885553470919323</v>
      </c>
      <c r="S212" t="s">
        <v>537</v>
      </c>
    </row>
    <row r="213" spans="1:20" x14ac:dyDescent="0.25">
      <c r="A213">
        <v>212</v>
      </c>
      <c r="B213" t="s">
        <v>419</v>
      </c>
      <c r="D213" t="s">
        <v>420</v>
      </c>
      <c r="E213">
        <v>3</v>
      </c>
      <c r="F213" t="s">
        <v>467</v>
      </c>
      <c r="G213" t="s">
        <v>135</v>
      </c>
      <c r="H213" t="s">
        <v>135</v>
      </c>
      <c r="I213" t="s">
        <v>129</v>
      </c>
      <c r="J213">
        <v>11.8</v>
      </c>
      <c r="K213">
        <v>6.14</v>
      </c>
      <c r="L213">
        <f t="shared" si="14"/>
        <v>2.8300000000000005</v>
      </c>
      <c r="M213">
        <f t="shared" si="15"/>
        <v>0.23983050847457629</v>
      </c>
      <c r="N213">
        <v>1.3939999999999999</v>
      </c>
      <c r="O213">
        <v>2.5999999999999999E-2</v>
      </c>
      <c r="P213">
        <f t="shared" si="17"/>
        <v>1.3679999999999999</v>
      </c>
      <c r="Q213">
        <v>0.54</v>
      </c>
      <c r="R213">
        <f t="shared" si="16"/>
        <v>0.39473684210526322</v>
      </c>
      <c r="S213" t="s">
        <v>537</v>
      </c>
    </row>
    <row r="214" spans="1:20" x14ac:dyDescent="0.25">
      <c r="A214">
        <v>213</v>
      </c>
      <c r="B214" t="s">
        <v>429</v>
      </c>
      <c r="D214" t="s">
        <v>430</v>
      </c>
      <c r="E214">
        <v>1</v>
      </c>
      <c r="F214" t="s">
        <v>431</v>
      </c>
      <c r="G214" t="s">
        <v>135</v>
      </c>
      <c r="H214" t="s">
        <v>135</v>
      </c>
      <c r="I214" t="s">
        <v>129</v>
      </c>
      <c r="J214">
        <v>9.51</v>
      </c>
      <c r="K214">
        <v>6.04</v>
      </c>
      <c r="L214">
        <f t="shared" si="14"/>
        <v>1.7349999999999999</v>
      </c>
      <c r="M214">
        <f t="shared" si="15"/>
        <v>0.18243953732912724</v>
      </c>
      <c r="N214">
        <v>0.52200000000000002</v>
      </c>
      <c r="O214">
        <v>2.5999999999999999E-2</v>
      </c>
      <c r="P214">
        <f t="shared" si="17"/>
        <v>0.496</v>
      </c>
      <c r="Q214">
        <v>0.29599999999999999</v>
      </c>
      <c r="R214">
        <f t="shared" si="16"/>
        <v>0.59677419354838712</v>
      </c>
      <c r="S214" t="s">
        <v>537</v>
      </c>
    </row>
    <row r="215" spans="1:20" x14ac:dyDescent="0.25">
      <c r="A215">
        <v>214</v>
      </c>
      <c r="B215" t="s">
        <v>434</v>
      </c>
      <c r="D215" t="s">
        <v>334</v>
      </c>
      <c r="E215">
        <v>4</v>
      </c>
      <c r="F215" t="s">
        <v>365</v>
      </c>
      <c r="G215" t="s">
        <v>135</v>
      </c>
      <c r="H215" t="s">
        <v>135</v>
      </c>
      <c r="I215" t="s">
        <v>129</v>
      </c>
      <c r="J215">
        <v>8.35</v>
      </c>
      <c r="K215">
        <v>6.51</v>
      </c>
      <c r="L215">
        <f t="shared" si="14"/>
        <v>0.91999999999999993</v>
      </c>
      <c r="M215">
        <f t="shared" si="15"/>
        <v>0.11017964071856287</v>
      </c>
      <c r="N215">
        <v>0.56599999999999995</v>
      </c>
      <c r="O215">
        <v>2.5999999999999999E-2</v>
      </c>
      <c r="P215">
        <f t="shared" si="17"/>
        <v>0.53999999999999992</v>
      </c>
      <c r="Q215">
        <v>0.31</v>
      </c>
      <c r="R215">
        <f t="shared" si="16"/>
        <v>0.57407407407407418</v>
      </c>
      <c r="S215" t="s">
        <v>537</v>
      </c>
    </row>
    <row r="216" spans="1:20" x14ac:dyDescent="0.25">
      <c r="A216">
        <v>215</v>
      </c>
      <c r="B216" t="s">
        <v>407</v>
      </c>
      <c r="D216" t="s">
        <v>379</v>
      </c>
      <c r="E216">
        <v>4</v>
      </c>
      <c r="F216" t="s">
        <v>234</v>
      </c>
      <c r="G216" t="s">
        <v>135</v>
      </c>
      <c r="H216" t="s">
        <v>135</v>
      </c>
      <c r="I216" t="s">
        <v>129</v>
      </c>
      <c r="J216">
        <v>9.08</v>
      </c>
      <c r="K216">
        <v>6.5</v>
      </c>
      <c r="L216">
        <f t="shared" si="14"/>
        <v>1.29</v>
      </c>
      <c r="M216">
        <f t="shared" si="15"/>
        <v>0.14207048458149779</v>
      </c>
      <c r="N216">
        <v>0.85399999999999998</v>
      </c>
      <c r="O216">
        <v>2.5999999999999999E-2</v>
      </c>
      <c r="P216">
        <f t="shared" si="17"/>
        <v>0.82799999999999996</v>
      </c>
      <c r="Q216">
        <v>0.51700000000000002</v>
      </c>
      <c r="R216">
        <f t="shared" si="16"/>
        <v>0.62439613526570048</v>
      </c>
      <c r="S216" t="s">
        <v>537</v>
      </c>
    </row>
    <row r="217" spans="1:20" x14ac:dyDescent="0.25">
      <c r="A217">
        <v>216</v>
      </c>
      <c r="B217" t="s">
        <v>414</v>
      </c>
      <c r="D217" t="s">
        <v>334</v>
      </c>
      <c r="E217">
        <v>2</v>
      </c>
      <c r="F217" t="s">
        <v>365</v>
      </c>
      <c r="G217" t="s">
        <v>135</v>
      </c>
      <c r="H217" t="s">
        <v>135</v>
      </c>
      <c r="I217" t="s">
        <v>129</v>
      </c>
      <c r="J217">
        <v>6.85</v>
      </c>
      <c r="K217">
        <v>5.54</v>
      </c>
      <c r="L217">
        <f t="shared" si="14"/>
        <v>0.6549999999999998</v>
      </c>
      <c r="M217">
        <f t="shared" si="15"/>
        <v>9.5620437956204354E-2</v>
      </c>
      <c r="N217">
        <v>0.76500000000000001</v>
      </c>
      <c r="O217">
        <v>2.5999999999999999E-2</v>
      </c>
      <c r="P217">
        <f t="shared" si="17"/>
        <v>0.73899999999999999</v>
      </c>
      <c r="Q217">
        <v>0.38200000000000001</v>
      </c>
      <c r="R217">
        <f t="shared" si="16"/>
        <v>0.51691474966170503</v>
      </c>
      <c r="S217" t="s">
        <v>537</v>
      </c>
    </row>
    <row r="218" spans="1:20" x14ac:dyDescent="0.25">
      <c r="A218">
        <v>217</v>
      </c>
      <c r="B218" t="s">
        <v>452</v>
      </c>
      <c r="D218" t="s">
        <v>390</v>
      </c>
      <c r="E218">
        <v>5</v>
      </c>
      <c r="F218" t="s">
        <v>320</v>
      </c>
      <c r="G218" t="s">
        <v>135</v>
      </c>
      <c r="H218" t="s">
        <v>135</v>
      </c>
      <c r="I218" t="s">
        <v>129</v>
      </c>
      <c r="J218">
        <v>8.73</v>
      </c>
      <c r="K218">
        <v>7.18</v>
      </c>
      <c r="L218">
        <f t="shared" si="14"/>
        <v>0.77500000000000036</v>
      </c>
      <c r="M218">
        <f t="shared" si="15"/>
        <v>8.8774341351660971E-2</v>
      </c>
      <c r="N218">
        <v>0.872</v>
      </c>
      <c r="O218">
        <v>2.5999999999999999E-2</v>
      </c>
      <c r="P218">
        <f t="shared" si="17"/>
        <v>0.84599999999999997</v>
      </c>
      <c r="Q218">
        <v>0.40100000000000002</v>
      </c>
      <c r="R218">
        <f t="shared" si="16"/>
        <v>0.47399527186761231</v>
      </c>
      <c r="S218" t="s">
        <v>537</v>
      </c>
    </row>
    <row r="219" spans="1:20" x14ac:dyDescent="0.25">
      <c r="A219">
        <v>218</v>
      </c>
      <c r="B219" t="s">
        <v>409</v>
      </c>
      <c r="D219" t="s">
        <v>347</v>
      </c>
      <c r="E219">
        <v>3</v>
      </c>
      <c r="F219" t="s">
        <v>361</v>
      </c>
      <c r="G219" t="s">
        <v>135</v>
      </c>
      <c r="H219" t="s">
        <v>135</v>
      </c>
      <c r="I219" t="s">
        <v>129</v>
      </c>
      <c r="J219">
        <v>6.58</v>
      </c>
      <c r="K219">
        <v>4.9400000000000004</v>
      </c>
      <c r="L219">
        <f t="shared" si="14"/>
        <v>0.81999999999999984</v>
      </c>
      <c r="M219">
        <f t="shared" si="15"/>
        <v>0.12462006079027353</v>
      </c>
      <c r="N219">
        <v>0.89600000000000002</v>
      </c>
      <c r="O219">
        <v>2.5999999999999999E-2</v>
      </c>
      <c r="P219">
        <f t="shared" si="17"/>
        <v>0.87</v>
      </c>
      <c r="Q219">
        <v>0.64800000000000002</v>
      </c>
      <c r="R219">
        <f t="shared" si="16"/>
        <v>0.7448275862068966</v>
      </c>
      <c r="S219" t="s">
        <v>537</v>
      </c>
    </row>
    <row r="220" spans="1:20" x14ac:dyDescent="0.25">
      <c r="A220">
        <v>219</v>
      </c>
      <c r="B220" t="s">
        <v>433</v>
      </c>
      <c r="D220" t="s">
        <v>374</v>
      </c>
      <c r="E220">
        <v>4</v>
      </c>
      <c r="F220" t="s">
        <v>319</v>
      </c>
      <c r="G220" t="s">
        <v>135</v>
      </c>
      <c r="H220" t="s">
        <v>135</v>
      </c>
      <c r="I220" t="s">
        <v>129</v>
      </c>
      <c r="J220">
        <v>8.3000000000000007</v>
      </c>
      <c r="K220">
        <v>6.75</v>
      </c>
      <c r="L220">
        <f t="shared" si="14"/>
        <v>0.77500000000000036</v>
      </c>
      <c r="M220">
        <f t="shared" si="15"/>
        <v>9.3373493975903651E-2</v>
      </c>
      <c r="N220">
        <v>0.28199999999999997</v>
      </c>
      <c r="O220">
        <v>2.5999999999999999E-2</v>
      </c>
      <c r="P220">
        <f t="shared" si="17"/>
        <v>0.25599999999999995</v>
      </c>
      <c r="Q220">
        <v>0.16800000000000001</v>
      </c>
      <c r="R220">
        <f t="shared" si="16"/>
        <v>0.65625000000000022</v>
      </c>
      <c r="S220" t="s">
        <v>537</v>
      </c>
    </row>
    <row r="221" spans="1:20" x14ac:dyDescent="0.25">
      <c r="A221">
        <v>220</v>
      </c>
      <c r="B221" t="s">
        <v>1189</v>
      </c>
      <c r="C221" t="s">
        <v>724</v>
      </c>
      <c r="D221" t="s">
        <v>498</v>
      </c>
      <c r="E221">
        <v>4</v>
      </c>
      <c r="F221" t="s">
        <v>499</v>
      </c>
      <c r="G221" t="s">
        <v>135</v>
      </c>
      <c r="H221" t="s">
        <v>135</v>
      </c>
      <c r="I221" t="s">
        <v>129</v>
      </c>
      <c r="J221">
        <v>7.45</v>
      </c>
      <c r="K221">
        <v>5.15</v>
      </c>
      <c r="L221">
        <f t="shared" si="14"/>
        <v>1.1499999999999999</v>
      </c>
      <c r="M221">
        <f t="shared" si="15"/>
        <v>0.15436241610738252</v>
      </c>
      <c r="N221">
        <v>0.94499999999999995</v>
      </c>
      <c r="O221">
        <v>2.5999999999999999E-2</v>
      </c>
      <c r="P221">
        <f t="shared" si="17"/>
        <v>0.91899999999999993</v>
      </c>
      <c r="Q221">
        <v>0.66200000000000003</v>
      </c>
      <c r="R221">
        <f t="shared" si="16"/>
        <v>0.72034820457018511</v>
      </c>
      <c r="S221" t="s">
        <v>537</v>
      </c>
    </row>
    <row r="222" spans="1:20" x14ac:dyDescent="0.25">
      <c r="A222">
        <v>221</v>
      </c>
      <c r="B222" t="s">
        <v>413</v>
      </c>
      <c r="D222" t="s">
        <v>334</v>
      </c>
      <c r="E222">
        <v>3</v>
      </c>
      <c r="F222" t="s">
        <v>365</v>
      </c>
      <c r="G222" t="s">
        <v>135</v>
      </c>
      <c r="H222" t="s">
        <v>135</v>
      </c>
      <c r="I222" t="s">
        <v>129</v>
      </c>
      <c r="J222">
        <v>7.58</v>
      </c>
      <c r="K222">
        <v>6.05</v>
      </c>
      <c r="L222">
        <f t="shared" si="14"/>
        <v>0.76500000000000012</v>
      </c>
      <c r="M222">
        <f t="shared" si="15"/>
        <v>0.10092348284960424</v>
      </c>
      <c r="N222">
        <v>0.54200000000000004</v>
      </c>
      <c r="O222">
        <v>2.5999999999999999E-2</v>
      </c>
      <c r="P222">
        <f t="shared" si="17"/>
        <v>0.51600000000000001</v>
      </c>
      <c r="Q222">
        <v>0.29399999999999998</v>
      </c>
      <c r="R222">
        <f t="shared" si="16"/>
        <v>0.56976744186046502</v>
      </c>
      <c r="S222" t="s">
        <v>537</v>
      </c>
    </row>
    <row r="223" spans="1:20" x14ac:dyDescent="0.25">
      <c r="A223">
        <v>222</v>
      </c>
      <c r="B223" t="s">
        <v>410</v>
      </c>
      <c r="D223" t="s">
        <v>411</v>
      </c>
      <c r="E223">
        <v>2</v>
      </c>
      <c r="F223" t="s">
        <v>412</v>
      </c>
      <c r="G223" t="s">
        <v>135</v>
      </c>
      <c r="H223" t="s">
        <v>135</v>
      </c>
      <c r="I223" t="s">
        <v>129</v>
      </c>
      <c r="J223">
        <v>9.89</v>
      </c>
      <c r="K223">
        <v>4.9400000000000004</v>
      </c>
      <c r="L223">
        <f t="shared" si="14"/>
        <v>2.4750000000000001</v>
      </c>
      <c r="M223">
        <f t="shared" si="15"/>
        <v>0.25025278058645095</v>
      </c>
      <c r="N223">
        <v>0.68600000000000005</v>
      </c>
      <c r="O223">
        <v>2.5999999999999999E-2</v>
      </c>
      <c r="P223">
        <f t="shared" si="17"/>
        <v>0.66</v>
      </c>
      <c r="Q223">
        <v>0.40799999999999997</v>
      </c>
      <c r="R223">
        <f t="shared" si="16"/>
        <v>0.61818181818181817</v>
      </c>
      <c r="S223" t="s">
        <v>537</v>
      </c>
    </row>
    <row r="224" spans="1:20" x14ac:dyDescent="0.25">
      <c r="A224">
        <v>223</v>
      </c>
      <c r="B224" t="s">
        <v>399</v>
      </c>
      <c r="D224" t="s">
        <v>400</v>
      </c>
      <c r="E224">
        <v>1</v>
      </c>
      <c r="F224" t="s">
        <v>541</v>
      </c>
      <c r="G224" t="s">
        <v>135</v>
      </c>
      <c r="H224" t="s">
        <v>135</v>
      </c>
      <c r="I224" t="s">
        <v>129</v>
      </c>
      <c r="J224">
        <v>6.28</v>
      </c>
      <c r="K224">
        <v>5.0199999999999996</v>
      </c>
      <c r="L224">
        <f t="shared" si="14"/>
        <v>0.63000000000000034</v>
      </c>
      <c r="M224">
        <f t="shared" si="15"/>
        <v>0.10031847133757966</v>
      </c>
      <c r="N224">
        <v>0.997</v>
      </c>
      <c r="O224">
        <v>2.5999999999999999E-2</v>
      </c>
      <c r="P224">
        <f t="shared" si="17"/>
        <v>0.97099999999999997</v>
      </c>
      <c r="Q224">
        <v>0.52600000000000002</v>
      </c>
      <c r="R224">
        <f t="shared" si="16"/>
        <v>0.54170957775489192</v>
      </c>
      <c r="S224" t="s">
        <v>537</v>
      </c>
    </row>
    <row r="225" spans="1:19" x14ac:dyDescent="0.25">
      <c r="A225">
        <v>224</v>
      </c>
      <c r="B225" t="s">
        <v>293</v>
      </c>
      <c r="D225" t="s">
        <v>358</v>
      </c>
      <c r="E225">
        <v>4</v>
      </c>
      <c r="F225" t="s">
        <v>257</v>
      </c>
      <c r="G225" t="s">
        <v>135</v>
      </c>
      <c r="H225" t="s">
        <v>135</v>
      </c>
      <c r="I225" t="s">
        <v>129</v>
      </c>
      <c r="J225">
        <v>5.97</v>
      </c>
      <c r="K225">
        <v>4.17</v>
      </c>
      <c r="L225">
        <f t="shared" si="14"/>
        <v>0.89999999999999991</v>
      </c>
      <c r="M225">
        <f t="shared" si="15"/>
        <v>0.15075376884422109</v>
      </c>
      <c r="N225">
        <v>0.49099999999999999</v>
      </c>
      <c r="O225">
        <v>2.5999999999999999E-2</v>
      </c>
      <c r="P225">
        <f t="shared" si="17"/>
        <v>0.46499999999999997</v>
      </c>
      <c r="Q225">
        <v>0.27800000000000002</v>
      </c>
      <c r="R225">
        <f t="shared" si="16"/>
        <v>0.59784946236559144</v>
      </c>
      <c r="S225" t="s">
        <v>537</v>
      </c>
    </row>
    <row r="226" spans="1:19" x14ac:dyDescent="0.25">
      <c r="A226">
        <v>225</v>
      </c>
      <c r="B226" t="s">
        <v>425</v>
      </c>
      <c r="D226" t="s">
        <v>426</v>
      </c>
      <c r="E226">
        <v>1</v>
      </c>
      <c r="F226" t="s">
        <v>427</v>
      </c>
      <c r="G226" t="s">
        <v>135</v>
      </c>
      <c r="H226" t="s">
        <v>135</v>
      </c>
      <c r="I226" t="s">
        <v>129</v>
      </c>
      <c r="J226">
        <v>9.4499999999999993</v>
      </c>
      <c r="K226">
        <v>7.65</v>
      </c>
      <c r="L226">
        <f t="shared" si="14"/>
        <v>0.89999999999999947</v>
      </c>
      <c r="M226">
        <f t="shared" si="15"/>
        <v>9.5238095238095191E-2</v>
      </c>
      <c r="N226">
        <v>1.466</v>
      </c>
      <c r="O226">
        <v>2.5999999999999999E-2</v>
      </c>
      <c r="P226">
        <f t="shared" si="17"/>
        <v>1.44</v>
      </c>
      <c r="Q226">
        <v>0.77200000000000002</v>
      </c>
      <c r="R226">
        <f t="shared" si="16"/>
        <v>0.53611111111111109</v>
      </c>
      <c r="S226" t="s">
        <v>537</v>
      </c>
    </row>
    <row r="227" spans="1:19" x14ac:dyDescent="0.25">
      <c r="A227">
        <v>226</v>
      </c>
      <c r="B227" t="s">
        <v>424</v>
      </c>
      <c r="D227" t="s">
        <v>359</v>
      </c>
      <c r="E227">
        <v>2</v>
      </c>
      <c r="F227" t="s">
        <v>370</v>
      </c>
      <c r="G227" t="s">
        <v>135</v>
      </c>
      <c r="H227" t="s">
        <v>135</v>
      </c>
      <c r="I227" t="s">
        <v>129</v>
      </c>
      <c r="J227">
        <v>2.85</v>
      </c>
      <c r="K227">
        <v>2.09</v>
      </c>
      <c r="L227">
        <f t="shared" si="14"/>
        <v>0.38000000000000012</v>
      </c>
      <c r="M227">
        <f t="shared" si="15"/>
        <v>0.13333333333333336</v>
      </c>
      <c r="N227">
        <v>0.129</v>
      </c>
      <c r="O227">
        <v>2.5999999999999999E-2</v>
      </c>
      <c r="P227">
        <f t="shared" si="17"/>
        <v>0.10300000000000001</v>
      </c>
      <c r="Q227">
        <v>7.0000000000000007E-2</v>
      </c>
      <c r="R227">
        <f t="shared" si="16"/>
        <v>0.67961165048543692</v>
      </c>
      <c r="S227" t="s">
        <v>537</v>
      </c>
    </row>
    <row r="228" spans="1:19" x14ac:dyDescent="0.25">
      <c r="A228">
        <v>227</v>
      </c>
      <c r="B228" t="s">
        <v>457</v>
      </c>
      <c r="D228" t="s">
        <v>416</v>
      </c>
      <c r="E228">
        <v>2</v>
      </c>
      <c r="F228" t="s">
        <v>417</v>
      </c>
      <c r="G228" t="s">
        <v>135</v>
      </c>
      <c r="H228" t="s">
        <v>135</v>
      </c>
      <c r="I228" t="s">
        <v>129</v>
      </c>
      <c r="J228">
        <v>5.75</v>
      </c>
      <c r="K228">
        <v>4.58</v>
      </c>
      <c r="L228">
        <f t="shared" si="14"/>
        <v>0.58499999999999996</v>
      </c>
      <c r="M228">
        <f t="shared" si="15"/>
        <v>0.1017391304347826</v>
      </c>
      <c r="N228">
        <v>0.47499999999999998</v>
      </c>
      <c r="O228">
        <v>2.5999999999999999E-2</v>
      </c>
      <c r="P228">
        <f t="shared" si="17"/>
        <v>0.44899999999999995</v>
      </c>
      <c r="Q228">
        <v>0.317</v>
      </c>
      <c r="R228">
        <f t="shared" si="16"/>
        <v>0.70601336302895334</v>
      </c>
      <c r="S228" t="s">
        <v>537</v>
      </c>
    </row>
    <row r="229" spans="1:19" x14ac:dyDescent="0.25">
      <c r="A229">
        <v>228</v>
      </c>
      <c r="B229" t="s">
        <v>623</v>
      </c>
      <c r="D229" t="s">
        <v>338</v>
      </c>
      <c r="E229">
        <v>5</v>
      </c>
      <c r="F229" t="s">
        <v>19</v>
      </c>
      <c r="G229" t="s">
        <v>135</v>
      </c>
      <c r="H229" t="s">
        <v>135</v>
      </c>
      <c r="I229" t="s">
        <v>129</v>
      </c>
      <c r="J229">
        <v>8.2200000000000006</v>
      </c>
      <c r="K229">
        <v>6.22</v>
      </c>
      <c r="L229">
        <f t="shared" si="14"/>
        <v>1.0000000000000004</v>
      </c>
      <c r="M229">
        <f t="shared" si="15"/>
        <v>0.12165450121654506</v>
      </c>
      <c r="N229">
        <v>0.38400000000000001</v>
      </c>
      <c r="O229">
        <v>2.1999999999999999E-2</v>
      </c>
      <c r="P229">
        <f t="shared" si="17"/>
        <v>0.36199999999999999</v>
      </c>
      <c r="Q229">
        <v>0.185</v>
      </c>
      <c r="R229">
        <f t="shared" si="16"/>
        <v>0.51104972375690605</v>
      </c>
      <c r="S229" t="s">
        <v>537</v>
      </c>
    </row>
    <row r="230" spans="1:19" x14ac:dyDescent="0.25">
      <c r="A230">
        <v>229</v>
      </c>
      <c r="B230" t="s">
        <v>622</v>
      </c>
      <c r="D230" t="s">
        <v>373</v>
      </c>
      <c r="E230">
        <v>4</v>
      </c>
      <c r="F230" t="s">
        <v>316</v>
      </c>
      <c r="G230" t="s">
        <v>135</v>
      </c>
      <c r="H230" t="s">
        <v>135</v>
      </c>
      <c r="I230" t="s">
        <v>129</v>
      </c>
      <c r="J230">
        <v>5.62</v>
      </c>
      <c r="K230">
        <v>4.41</v>
      </c>
      <c r="L230">
        <f t="shared" si="14"/>
        <v>0.60499999999999998</v>
      </c>
      <c r="M230">
        <f t="shared" si="15"/>
        <v>0.10765124555160142</v>
      </c>
      <c r="N230">
        <v>0.38100000000000001</v>
      </c>
      <c r="O230">
        <v>2.1999999999999999E-2</v>
      </c>
      <c r="P230">
        <f t="shared" si="17"/>
        <v>0.35899999999999999</v>
      </c>
      <c r="Q230">
        <v>0.26200000000000001</v>
      </c>
      <c r="R230">
        <f t="shared" si="16"/>
        <v>0.72980501392757668</v>
      </c>
      <c r="S230" t="s">
        <v>537</v>
      </c>
    </row>
    <row r="231" spans="1:19" x14ac:dyDescent="0.25">
      <c r="A231">
        <v>230</v>
      </c>
      <c r="B231" t="s">
        <v>607</v>
      </c>
      <c r="D231" t="s">
        <v>368</v>
      </c>
      <c r="E231">
        <v>4</v>
      </c>
      <c r="F231" t="s">
        <v>322</v>
      </c>
      <c r="G231" t="s">
        <v>135</v>
      </c>
      <c r="H231" t="s">
        <v>135</v>
      </c>
      <c r="I231" t="s">
        <v>129</v>
      </c>
      <c r="J231">
        <v>6.25</v>
      </c>
      <c r="K231">
        <v>4.76</v>
      </c>
      <c r="L231">
        <f t="shared" si="14"/>
        <v>0.74500000000000011</v>
      </c>
      <c r="M231">
        <f t="shared" si="15"/>
        <v>0.11920000000000001</v>
      </c>
      <c r="N231">
        <v>0.74</v>
      </c>
      <c r="O231">
        <v>2.1999999999999999E-2</v>
      </c>
      <c r="P231">
        <f t="shared" si="17"/>
        <v>0.71799999999999997</v>
      </c>
      <c r="Q231">
        <v>0.35699999999999998</v>
      </c>
      <c r="R231">
        <f t="shared" si="16"/>
        <v>0.49721448467966572</v>
      </c>
      <c r="S231" t="s">
        <v>537</v>
      </c>
    </row>
    <row r="232" spans="1:19" x14ac:dyDescent="0.25">
      <c r="A232">
        <v>231</v>
      </c>
      <c r="B232" t="s">
        <v>587</v>
      </c>
      <c r="D232" t="s">
        <v>356</v>
      </c>
      <c r="E232">
        <v>3</v>
      </c>
      <c r="F232" t="s">
        <v>479</v>
      </c>
      <c r="G232" t="s">
        <v>135</v>
      </c>
      <c r="H232" t="s">
        <v>135</v>
      </c>
      <c r="I232" t="s">
        <v>129</v>
      </c>
      <c r="J232">
        <v>7.48</v>
      </c>
      <c r="K232">
        <v>6.04</v>
      </c>
      <c r="L232">
        <f t="shared" si="14"/>
        <v>0.7200000000000002</v>
      </c>
      <c r="M232">
        <f t="shared" si="15"/>
        <v>9.6256684491978634E-2</v>
      </c>
      <c r="N232">
        <v>0.441</v>
      </c>
      <c r="O232">
        <v>2.1999999999999999E-2</v>
      </c>
      <c r="P232">
        <f t="shared" si="17"/>
        <v>0.41899999999999998</v>
      </c>
      <c r="Q232">
        <v>0.23499999999999999</v>
      </c>
      <c r="R232">
        <f t="shared" si="16"/>
        <v>0.56085918854415273</v>
      </c>
      <c r="S232" t="s">
        <v>537</v>
      </c>
    </row>
    <row r="233" spans="1:19" x14ac:dyDescent="0.25">
      <c r="A233">
        <v>232</v>
      </c>
      <c r="B233" t="s">
        <v>586</v>
      </c>
      <c r="D233" t="s">
        <v>581</v>
      </c>
      <c r="E233">
        <v>2</v>
      </c>
      <c r="F233" t="s">
        <v>582</v>
      </c>
      <c r="G233" t="s">
        <v>135</v>
      </c>
      <c r="H233" t="s">
        <v>135</v>
      </c>
      <c r="I233" t="s">
        <v>129</v>
      </c>
      <c r="J233">
        <v>8.07</v>
      </c>
      <c r="K233">
        <v>6.88</v>
      </c>
      <c r="L233">
        <f t="shared" si="14"/>
        <v>0.5950000000000002</v>
      </c>
      <c r="M233">
        <f t="shared" si="15"/>
        <v>7.3729863692688996E-2</v>
      </c>
      <c r="N233">
        <v>0.91400000000000003</v>
      </c>
      <c r="O233">
        <v>2.1999999999999999E-2</v>
      </c>
      <c r="P233">
        <f t="shared" si="17"/>
        <v>0.89200000000000002</v>
      </c>
      <c r="Q233">
        <v>0.55400000000000005</v>
      </c>
      <c r="R233">
        <f t="shared" si="16"/>
        <v>0.62107623318385652</v>
      </c>
      <c r="S233" t="s">
        <v>537</v>
      </c>
    </row>
    <row r="234" spans="1:19" x14ac:dyDescent="0.25">
      <c r="A234">
        <v>233</v>
      </c>
      <c r="B234" t="s">
        <v>584</v>
      </c>
      <c r="D234" t="s">
        <v>389</v>
      </c>
      <c r="E234">
        <v>4</v>
      </c>
      <c r="F234" t="s">
        <v>317</v>
      </c>
      <c r="G234" t="s">
        <v>135</v>
      </c>
      <c r="H234" t="s">
        <v>135</v>
      </c>
      <c r="I234" t="s">
        <v>129</v>
      </c>
      <c r="J234">
        <v>6.91</v>
      </c>
      <c r="K234">
        <v>6.01</v>
      </c>
      <c r="L234">
        <f t="shared" si="14"/>
        <v>0.45000000000000018</v>
      </c>
      <c r="M234">
        <f t="shared" si="15"/>
        <v>6.5123010130246045E-2</v>
      </c>
      <c r="N234">
        <v>0.52100000000000002</v>
      </c>
      <c r="O234">
        <v>2.1999999999999999E-2</v>
      </c>
      <c r="P234">
        <f t="shared" si="17"/>
        <v>0.499</v>
      </c>
      <c r="Q234">
        <v>0.28100000000000003</v>
      </c>
      <c r="R234">
        <f t="shared" si="16"/>
        <v>0.56312625250501003</v>
      </c>
      <c r="S234" t="s">
        <v>537</v>
      </c>
    </row>
    <row r="235" spans="1:19" x14ac:dyDescent="0.25">
      <c r="A235">
        <v>234</v>
      </c>
      <c r="B235" t="s">
        <v>585</v>
      </c>
      <c r="D235" t="s">
        <v>581</v>
      </c>
      <c r="E235">
        <v>3</v>
      </c>
      <c r="F235" t="s">
        <v>582</v>
      </c>
      <c r="G235" t="s">
        <v>135</v>
      </c>
      <c r="H235" t="s">
        <v>135</v>
      </c>
      <c r="I235" t="s">
        <v>129</v>
      </c>
      <c r="J235">
        <v>7.02</v>
      </c>
      <c r="K235">
        <v>5.69</v>
      </c>
      <c r="L235">
        <f t="shared" si="14"/>
        <v>0.66499999999999959</v>
      </c>
      <c r="M235">
        <f t="shared" si="15"/>
        <v>9.4729344729344675E-2</v>
      </c>
      <c r="N235">
        <v>0.88400000000000001</v>
      </c>
      <c r="O235">
        <v>2.1999999999999999E-2</v>
      </c>
      <c r="P235">
        <f t="shared" si="17"/>
        <v>0.86199999999999999</v>
      </c>
      <c r="Q235">
        <v>0.50800000000000001</v>
      </c>
      <c r="R235">
        <f t="shared" si="16"/>
        <v>0.58932714617169379</v>
      </c>
    </row>
    <row r="236" spans="1:19" x14ac:dyDescent="0.25">
      <c r="A236">
        <v>235</v>
      </c>
      <c r="B236" t="s">
        <v>620</v>
      </c>
      <c r="D236" t="s">
        <v>420</v>
      </c>
      <c r="E236">
        <v>6</v>
      </c>
      <c r="F236" t="s">
        <v>467</v>
      </c>
      <c r="G236" t="s">
        <v>135</v>
      </c>
      <c r="H236" t="s">
        <v>135</v>
      </c>
      <c r="I236" t="s">
        <v>129</v>
      </c>
      <c r="J236">
        <v>8.2100000000000009</v>
      </c>
      <c r="K236">
        <v>3.91</v>
      </c>
      <c r="L236">
        <f t="shared" si="14"/>
        <v>2.1500000000000004</v>
      </c>
      <c r="M236">
        <f t="shared" si="15"/>
        <v>0.26187576126674789</v>
      </c>
      <c r="N236">
        <v>0.68799999999999994</v>
      </c>
      <c r="O236">
        <v>2.1999999999999999E-2</v>
      </c>
      <c r="P236">
        <f t="shared" si="17"/>
        <v>0.66599999999999993</v>
      </c>
      <c r="Q236">
        <v>0.36899999999999999</v>
      </c>
      <c r="R236">
        <f t="shared" si="16"/>
        <v>0.55405405405405406</v>
      </c>
    </row>
    <row r="237" spans="1:19" x14ac:dyDescent="0.25">
      <c r="A237">
        <v>236</v>
      </c>
      <c r="B237" t="s">
        <v>583</v>
      </c>
      <c r="D237" t="s">
        <v>488</v>
      </c>
      <c r="E237">
        <v>4</v>
      </c>
      <c r="F237" t="s">
        <v>489</v>
      </c>
      <c r="G237" t="s">
        <v>135</v>
      </c>
      <c r="H237" t="s">
        <v>135</v>
      </c>
      <c r="I237" t="s">
        <v>129</v>
      </c>
      <c r="J237">
        <v>7.93</v>
      </c>
      <c r="K237">
        <v>6.28</v>
      </c>
      <c r="L237">
        <f t="shared" si="14"/>
        <v>0.82499999999999973</v>
      </c>
      <c r="M237">
        <f t="shared" si="15"/>
        <v>0.1040353089533417</v>
      </c>
      <c r="N237">
        <v>0.72</v>
      </c>
      <c r="O237">
        <v>2.1999999999999999E-2</v>
      </c>
      <c r="P237">
        <f t="shared" si="17"/>
        <v>0.69799999999999995</v>
      </c>
      <c r="Q237">
        <v>0.501</v>
      </c>
      <c r="R237">
        <f t="shared" si="16"/>
        <v>0.7177650429799427</v>
      </c>
    </row>
    <row r="238" spans="1:19" x14ac:dyDescent="0.25">
      <c r="A238">
        <v>237</v>
      </c>
      <c r="B238" t="s">
        <v>580</v>
      </c>
      <c r="D238" t="s">
        <v>581</v>
      </c>
      <c r="E238">
        <v>1</v>
      </c>
      <c r="F238" t="s">
        <v>582</v>
      </c>
      <c r="G238" t="s">
        <v>135</v>
      </c>
      <c r="H238" t="s">
        <v>135</v>
      </c>
      <c r="I238" t="s">
        <v>129</v>
      </c>
      <c r="J238">
        <v>12.73</v>
      </c>
      <c r="K238">
        <v>11.22</v>
      </c>
      <c r="L238">
        <f t="shared" si="14"/>
        <v>0.75499999999999989</v>
      </c>
      <c r="M238">
        <f t="shared" si="15"/>
        <v>5.9308719560094258E-2</v>
      </c>
      <c r="N238">
        <v>1.774</v>
      </c>
      <c r="O238">
        <v>2.1999999999999999E-2</v>
      </c>
      <c r="P238">
        <f t="shared" si="17"/>
        <v>1.752</v>
      </c>
      <c r="Q238">
        <v>1.0580000000000001</v>
      </c>
      <c r="R238">
        <f t="shared" si="16"/>
        <v>0.60388127853881279</v>
      </c>
    </row>
    <row r="239" spans="1:19" x14ac:dyDescent="0.25">
      <c r="A239">
        <v>238</v>
      </c>
      <c r="B239" t="s">
        <v>579</v>
      </c>
      <c r="D239" t="s">
        <v>488</v>
      </c>
      <c r="E239">
        <v>3</v>
      </c>
      <c r="F239" t="s">
        <v>489</v>
      </c>
      <c r="G239" t="s">
        <v>135</v>
      </c>
      <c r="H239" t="s">
        <v>135</v>
      </c>
      <c r="I239" t="s">
        <v>129</v>
      </c>
      <c r="J239">
        <v>5.92</v>
      </c>
      <c r="K239">
        <v>4.67</v>
      </c>
      <c r="L239">
        <f t="shared" si="14"/>
        <v>0.625</v>
      </c>
      <c r="M239">
        <f t="shared" si="15"/>
        <v>0.10557432432432433</v>
      </c>
      <c r="N239">
        <v>0.86499999999999999</v>
      </c>
      <c r="O239">
        <v>2.1999999999999999E-2</v>
      </c>
      <c r="P239">
        <f t="shared" si="17"/>
        <v>0.84299999999999997</v>
      </c>
      <c r="Q239">
        <v>0.57799999999999996</v>
      </c>
      <c r="R239">
        <f t="shared" si="16"/>
        <v>0.68564650059311982</v>
      </c>
    </row>
    <row r="240" spans="1:19" x14ac:dyDescent="0.25">
      <c r="A240">
        <v>239</v>
      </c>
      <c r="B240" t="s">
        <v>578</v>
      </c>
      <c r="D240" t="s">
        <v>488</v>
      </c>
      <c r="E240">
        <v>2</v>
      </c>
      <c r="F240" t="s">
        <v>489</v>
      </c>
      <c r="G240" t="s">
        <v>135</v>
      </c>
      <c r="H240" t="s">
        <v>135</v>
      </c>
      <c r="I240" t="s">
        <v>129</v>
      </c>
      <c r="J240">
        <v>6.45</v>
      </c>
      <c r="K240">
        <v>5.14</v>
      </c>
      <c r="L240">
        <f t="shared" si="14"/>
        <v>0.65500000000000025</v>
      </c>
      <c r="M240">
        <f t="shared" si="15"/>
        <v>0.10155038759689926</v>
      </c>
      <c r="N240">
        <v>0.496</v>
      </c>
      <c r="O240">
        <v>2.1999999999999999E-2</v>
      </c>
      <c r="P240">
        <f t="shared" si="17"/>
        <v>0.47399999999999998</v>
      </c>
      <c r="Q240">
        <v>0.36</v>
      </c>
      <c r="R240">
        <f t="shared" si="16"/>
        <v>0.759493670886076</v>
      </c>
    </row>
    <row r="241" spans="1:18" x14ac:dyDescent="0.25">
      <c r="A241">
        <v>240</v>
      </c>
      <c r="B241" t="s">
        <v>577</v>
      </c>
      <c r="D241" t="s">
        <v>575</v>
      </c>
      <c r="E241">
        <v>2</v>
      </c>
      <c r="F241" t="s">
        <v>576</v>
      </c>
      <c r="G241" t="s">
        <v>135</v>
      </c>
      <c r="H241" t="s">
        <v>135</v>
      </c>
      <c r="I241" t="s">
        <v>129</v>
      </c>
      <c r="J241">
        <v>3.38</v>
      </c>
      <c r="K241">
        <v>3.09</v>
      </c>
      <c r="L241">
        <f t="shared" si="14"/>
        <v>0.14500000000000002</v>
      </c>
      <c r="M241">
        <f t="shared" si="15"/>
        <v>4.2899408284023673E-2</v>
      </c>
      <c r="N241">
        <v>0.33200000000000002</v>
      </c>
      <c r="O241">
        <v>2.1999999999999999E-2</v>
      </c>
      <c r="P241">
        <f t="shared" si="17"/>
        <v>0.31</v>
      </c>
      <c r="Q241">
        <v>0.23899999999999999</v>
      </c>
      <c r="R241">
        <f t="shared" si="16"/>
        <v>0.7709677419354839</v>
      </c>
    </row>
    <row r="242" spans="1:18" x14ac:dyDescent="0.25">
      <c r="A242">
        <v>241</v>
      </c>
      <c r="B242" t="s">
        <v>602</v>
      </c>
      <c r="D242" t="s">
        <v>385</v>
      </c>
      <c r="E242">
        <v>3</v>
      </c>
      <c r="F242" t="s">
        <v>255</v>
      </c>
      <c r="G242" t="s">
        <v>135</v>
      </c>
      <c r="H242" t="s">
        <v>135</v>
      </c>
      <c r="I242" t="s">
        <v>129</v>
      </c>
      <c r="J242">
        <v>8.4499999999999993</v>
      </c>
      <c r="K242">
        <v>4.7300000000000004</v>
      </c>
      <c r="L242">
        <f t="shared" si="14"/>
        <v>1.8599999999999994</v>
      </c>
      <c r="M242">
        <f t="shared" si="15"/>
        <v>0.22011834319526621</v>
      </c>
      <c r="N242">
        <v>1.002</v>
      </c>
      <c r="O242">
        <v>2.1999999999999999E-2</v>
      </c>
      <c r="P242">
        <f t="shared" si="17"/>
        <v>0.98</v>
      </c>
      <c r="Q242">
        <v>0.48199999999999998</v>
      </c>
      <c r="R242">
        <f t="shared" si="16"/>
        <v>0.49183673469387756</v>
      </c>
    </row>
    <row r="243" spans="1:18" x14ac:dyDescent="0.25">
      <c r="A243">
        <v>242</v>
      </c>
      <c r="B243" t="s">
        <v>574</v>
      </c>
      <c r="D243" t="s">
        <v>575</v>
      </c>
      <c r="E243">
        <v>3</v>
      </c>
      <c r="F243" t="s">
        <v>576</v>
      </c>
      <c r="G243" t="s">
        <v>135</v>
      </c>
      <c r="H243" t="s">
        <v>135</v>
      </c>
      <c r="I243" t="s">
        <v>129</v>
      </c>
      <c r="J243">
        <v>8.32</v>
      </c>
      <c r="K243">
        <v>7.13</v>
      </c>
      <c r="L243">
        <f t="shared" si="14"/>
        <v>0.5950000000000002</v>
      </c>
      <c r="M243">
        <f t="shared" si="15"/>
        <v>7.15144230769231E-2</v>
      </c>
      <c r="N243">
        <v>0.82299999999999995</v>
      </c>
      <c r="O243">
        <v>2.1999999999999999E-2</v>
      </c>
      <c r="P243">
        <f t="shared" si="17"/>
        <v>0.80099999999999993</v>
      </c>
      <c r="Q243">
        <v>0.495</v>
      </c>
      <c r="R243">
        <f t="shared" si="16"/>
        <v>0.61797752808988771</v>
      </c>
    </row>
    <row r="244" spans="1:18" x14ac:dyDescent="0.25">
      <c r="A244">
        <v>243</v>
      </c>
      <c r="B244" t="s">
        <v>618</v>
      </c>
      <c r="D244" t="s">
        <v>575</v>
      </c>
      <c r="E244">
        <v>1</v>
      </c>
      <c r="F244" t="s">
        <v>576</v>
      </c>
      <c r="G244" t="s">
        <v>135</v>
      </c>
      <c r="H244" t="s">
        <v>135</v>
      </c>
      <c r="I244" t="s">
        <v>129</v>
      </c>
      <c r="J244">
        <v>5.59</v>
      </c>
      <c r="K244">
        <v>4.5999999999999996</v>
      </c>
      <c r="L244">
        <f t="shared" si="14"/>
        <v>0.49500000000000011</v>
      </c>
      <c r="M244">
        <f t="shared" si="15"/>
        <v>8.8550983899821134E-2</v>
      </c>
      <c r="N244">
        <v>0.47299999999999998</v>
      </c>
      <c r="O244">
        <v>2.1999999999999999E-2</v>
      </c>
      <c r="P244">
        <f t="shared" si="17"/>
        <v>0.45099999999999996</v>
      </c>
      <c r="Q244">
        <v>0.33700000000000002</v>
      </c>
      <c r="R244">
        <f t="shared" si="16"/>
        <v>0.74722838137472292</v>
      </c>
    </row>
    <row r="245" spans="1:18" x14ac:dyDescent="0.25">
      <c r="A245">
        <v>244</v>
      </c>
      <c r="B245" t="s">
        <v>619</v>
      </c>
      <c r="D245" t="s">
        <v>381</v>
      </c>
      <c r="E245">
        <v>5</v>
      </c>
      <c r="F245" t="s">
        <v>232</v>
      </c>
      <c r="G245" t="s">
        <v>135</v>
      </c>
      <c r="H245" t="s">
        <v>135</v>
      </c>
      <c r="I245" t="s">
        <v>129</v>
      </c>
      <c r="J245">
        <v>9.9499999999999993</v>
      </c>
      <c r="K245">
        <v>6.51</v>
      </c>
      <c r="L245">
        <f t="shared" si="14"/>
        <v>1.7199999999999998</v>
      </c>
      <c r="M245">
        <f t="shared" si="15"/>
        <v>0.17286432160804019</v>
      </c>
      <c r="N245">
        <v>1.19</v>
      </c>
      <c r="O245">
        <v>2.1999999999999999E-2</v>
      </c>
      <c r="P245">
        <f t="shared" si="17"/>
        <v>1.1679999999999999</v>
      </c>
      <c r="Q245">
        <v>0.52500000000000002</v>
      </c>
      <c r="R245">
        <f t="shared" si="16"/>
        <v>0.44948630136986306</v>
      </c>
    </row>
    <row r="246" spans="1:18" x14ac:dyDescent="0.25">
      <c r="A246">
        <v>245</v>
      </c>
      <c r="B246" t="s">
        <v>615</v>
      </c>
      <c r="D246" t="s">
        <v>385</v>
      </c>
      <c r="E246">
        <v>2</v>
      </c>
      <c r="F246" t="s">
        <v>255</v>
      </c>
      <c r="G246" t="s">
        <v>135</v>
      </c>
      <c r="H246" t="s">
        <v>135</v>
      </c>
      <c r="I246" t="s">
        <v>129</v>
      </c>
      <c r="J246">
        <v>9.01</v>
      </c>
      <c r="K246">
        <v>4.5599999999999996</v>
      </c>
      <c r="L246">
        <f t="shared" si="14"/>
        <v>2.2250000000000001</v>
      </c>
      <c r="M246">
        <f t="shared" si="15"/>
        <v>0.24694783573806883</v>
      </c>
      <c r="N246">
        <v>0.52800000000000002</v>
      </c>
      <c r="O246">
        <v>2.1999999999999999E-2</v>
      </c>
      <c r="P246">
        <f t="shared" si="17"/>
        <v>0.50600000000000001</v>
      </c>
      <c r="Q246">
        <v>0.27600000000000002</v>
      </c>
      <c r="R246">
        <f t="shared" si="16"/>
        <v>0.54545454545454553</v>
      </c>
    </row>
    <row r="247" spans="1:18" x14ac:dyDescent="0.25">
      <c r="A247">
        <v>246</v>
      </c>
      <c r="B247" t="s">
        <v>621</v>
      </c>
      <c r="D247" t="s">
        <v>502</v>
      </c>
      <c r="E247">
        <v>2</v>
      </c>
      <c r="F247" t="s">
        <v>534</v>
      </c>
      <c r="G247" t="s">
        <v>135</v>
      </c>
      <c r="H247" t="s">
        <v>135</v>
      </c>
      <c r="I247" t="s">
        <v>129</v>
      </c>
      <c r="J247">
        <v>7.22</v>
      </c>
      <c r="K247">
        <v>5.96</v>
      </c>
      <c r="L247">
        <f t="shared" si="14"/>
        <v>0.62999999999999989</v>
      </c>
      <c r="M247">
        <f t="shared" si="15"/>
        <v>8.7257617728531842E-2</v>
      </c>
      <c r="N247">
        <v>1.83</v>
      </c>
      <c r="O247">
        <v>2.1999999999999999E-2</v>
      </c>
      <c r="P247">
        <f t="shared" si="17"/>
        <v>1.8080000000000001</v>
      </c>
      <c r="Q247">
        <v>0.92</v>
      </c>
      <c r="R247">
        <f t="shared" si="16"/>
        <v>0.50884955752212391</v>
      </c>
    </row>
    <row r="248" spans="1:18" x14ac:dyDescent="0.25">
      <c r="A248">
        <v>247</v>
      </c>
      <c r="B248" t="s">
        <v>614</v>
      </c>
      <c r="D248" t="s">
        <v>389</v>
      </c>
      <c r="E248">
        <v>3</v>
      </c>
      <c r="F248" t="s">
        <v>317</v>
      </c>
      <c r="G248" t="s">
        <v>135</v>
      </c>
      <c r="H248" t="s">
        <v>135</v>
      </c>
      <c r="I248" t="s">
        <v>129</v>
      </c>
      <c r="J248">
        <v>5.99</v>
      </c>
      <c r="K248">
        <v>4.78</v>
      </c>
      <c r="L248">
        <f t="shared" si="14"/>
        <v>0.60499999999999998</v>
      </c>
      <c r="M248">
        <f t="shared" si="15"/>
        <v>0.1010016694490818</v>
      </c>
      <c r="N248">
        <v>0.55600000000000005</v>
      </c>
      <c r="O248">
        <v>2.1999999999999999E-2</v>
      </c>
      <c r="P248">
        <f t="shared" si="17"/>
        <v>0.53400000000000003</v>
      </c>
      <c r="Q248">
        <v>0.29199999999999998</v>
      </c>
      <c r="R248">
        <f t="shared" si="16"/>
        <v>0.54681647940074896</v>
      </c>
    </row>
    <row r="249" spans="1:18" x14ac:dyDescent="0.25">
      <c r="A249">
        <v>248</v>
      </c>
      <c r="B249" t="s">
        <v>609</v>
      </c>
      <c r="D249" t="s">
        <v>368</v>
      </c>
      <c r="E249">
        <v>3</v>
      </c>
      <c r="F249" t="s">
        <v>322</v>
      </c>
      <c r="G249" t="s">
        <v>135</v>
      </c>
      <c r="H249" t="s">
        <v>135</v>
      </c>
      <c r="I249" t="s">
        <v>129</v>
      </c>
      <c r="J249">
        <v>8.6999999999999993</v>
      </c>
      <c r="K249">
        <v>6.81</v>
      </c>
      <c r="L249">
        <f t="shared" si="14"/>
        <v>0.94499999999999984</v>
      </c>
      <c r="M249">
        <f t="shared" si="15"/>
        <v>0.10862068965517241</v>
      </c>
      <c r="N249">
        <v>1.0880000000000001</v>
      </c>
      <c r="O249">
        <v>2.1999999999999999E-2</v>
      </c>
      <c r="P249">
        <f t="shared" si="17"/>
        <v>1.0660000000000001</v>
      </c>
      <c r="Q249">
        <v>0.64600000000000002</v>
      </c>
      <c r="R249">
        <f t="shared" si="16"/>
        <v>0.60600375234521575</v>
      </c>
    </row>
    <row r="250" spans="1:18" x14ac:dyDescent="0.25">
      <c r="A250">
        <v>249</v>
      </c>
      <c r="B250" t="s">
        <v>608</v>
      </c>
      <c r="D250" t="s">
        <v>430</v>
      </c>
      <c r="E250">
        <v>4</v>
      </c>
      <c r="F250" t="s">
        <v>431</v>
      </c>
      <c r="G250" t="s">
        <v>135</v>
      </c>
      <c r="H250" t="s">
        <v>135</v>
      </c>
      <c r="I250" t="s">
        <v>129</v>
      </c>
      <c r="J250">
        <v>9.3000000000000007</v>
      </c>
      <c r="K250">
        <v>5.64</v>
      </c>
      <c r="L250">
        <f t="shared" si="14"/>
        <v>1.8300000000000005</v>
      </c>
      <c r="M250">
        <f t="shared" si="15"/>
        <v>0.19677419354838713</v>
      </c>
      <c r="N250">
        <v>0.52</v>
      </c>
      <c r="O250">
        <v>2.1999999999999999E-2</v>
      </c>
      <c r="P250">
        <f t="shared" si="17"/>
        <v>0.498</v>
      </c>
      <c r="Q250">
        <v>0.15</v>
      </c>
      <c r="R250">
        <f t="shared" si="16"/>
        <v>0.3012048192771084</v>
      </c>
    </row>
    <row r="251" spans="1:18" x14ac:dyDescent="0.25">
      <c r="A251">
        <v>250</v>
      </c>
      <c r="B251" t="s">
        <v>606</v>
      </c>
      <c r="D251" t="s">
        <v>599</v>
      </c>
      <c r="E251">
        <v>1</v>
      </c>
      <c r="F251" t="s">
        <v>600</v>
      </c>
      <c r="G251" t="s">
        <v>135</v>
      </c>
      <c r="H251" t="s">
        <v>135</v>
      </c>
      <c r="I251" t="s">
        <v>129</v>
      </c>
      <c r="J251">
        <v>13.47</v>
      </c>
      <c r="K251">
        <v>9.73</v>
      </c>
      <c r="L251">
        <f t="shared" si="14"/>
        <v>1.87</v>
      </c>
      <c r="M251">
        <f t="shared" si="15"/>
        <v>0.13882702301410543</v>
      </c>
      <c r="N251">
        <v>1.496</v>
      </c>
      <c r="O251">
        <v>2.1999999999999999E-2</v>
      </c>
      <c r="P251">
        <f t="shared" si="17"/>
        <v>1.474</v>
      </c>
      <c r="Q251">
        <v>0.93500000000000005</v>
      </c>
      <c r="R251">
        <f t="shared" si="16"/>
        <v>0.63432835820895528</v>
      </c>
    </row>
    <row r="252" spans="1:18" x14ac:dyDescent="0.25">
      <c r="A252">
        <v>251</v>
      </c>
      <c r="B252" t="s">
        <v>616</v>
      </c>
      <c r="D252" t="s">
        <v>332</v>
      </c>
      <c r="E252">
        <v>4</v>
      </c>
      <c r="F252" t="s">
        <v>363</v>
      </c>
      <c r="G252" t="s">
        <v>135</v>
      </c>
      <c r="H252" t="s">
        <v>135</v>
      </c>
      <c r="I252" t="s">
        <v>129</v>
      </c>
      <c r="J252">
        <v>8.23</v>
      </c>
      <c r="K252">
        <v>6.67</v>
      </c>
      <c r="L252">
        <f t="shared" si="14"/>
        <v>0.78000000000000025</v>
      </c>
      <c r="M252">
        <f t="shared" si="15"/>
        <v>9.4775212636695041E-2</v>
      </c>
      <c r="N252">
        <v>0.6</v>
      </c>
      <c r="O252">
        <v>2.1999999999999999E-2</v>
      </c>
      <c r="P252">
        <f t="shared" si="17"/>
        <v>0.57799999999999996</v>
      </c>
      <c r="Q252">
        <v>0.38800000000000001</v>
      </c>
      <c r="R252">
        <f t="shared" si="16"/>
        <v>0.67128027681660907</v>
      </c>
    </row>
    <row r="253" spans="1:18" x14ac:dyDescent="0.25">
      <c r="A253">
        <v>252</v>
      </c>
      <c r="B253" t="s">
        <v>610</v>
      </c>
      <c r="D253" t="s">
        <v>336</v>
      </c>
      <c r="E253">
        <v>5</v>
      </c>
      <c r="F253" t="s">
        <v>59</v>
      </c>
      <c r="G253" t="s">
        <v>135</v>
      </c>
      <c r="H253" t="s">
        <v>135</v>
      </c>
      <c r="I253" t="s">
        <v>129</v>
      </c>
      <c r="J253">
        <v>9.06</v>
      </c>
      <c r="K253">
        <v>5.53</v>
      </c>
      <c r="L253">
        <f t="shared" si="14"/>
        <v>1.7650000000000001</v>
      </c>
      <c r="M253">
        <f t="shared" si="15"/>
        <v>0.19481236203090507</v>
      </c>
      <c r="N253">
        <v>0.86599999999999999</v>
      </c>
      <c r="O253">
        <v>2.1999999999999999E-2</v>
      </c>
      <c r="P253">
        <f t="shared" si="17"/>
        <v>0.84399999999999997</v>
      </c>
      <c r="Q253">
        <v>0.38100000000000001</v>
      </c>
      <c r="R253">
        <f t="shared" si="16"/>
        <v>0.45142180094786732</v>
      </c>
    </row>
    <row r="254" spans="1:18" x14ac:dyDescent="0.25">
      <c r="A254">
        <v>253</v>
      </c>
      <c r="B254" t="s">
        <v>617</v>
      </c>
      <c r="D254" t="s">
        <v>332</v>
      </c>
      <c r="E254">
        <v>3</v>
      </c>
      <c r="F254" t="s">
        <v>363</v>
      </c>
      <c r="G254" t="s">
        <v>135</v>
      </c>
      <c r="H254" t="s">
        <v>135</v>
      </c>
      <c r="I254" t="s">
        <v>129</v>
      </c>
      <c r="J254">
        <v>10.43</v>
      </c>
      <c r="K254">
        <v>8.57</v>
      </c>
      <c r="L254">
        <f t="shared" si="14"/>
        <v>0.92999999999999972</v>
      </c>
      <c r="M254">
        <f t="shared" si="15"/>
        <v>8.9165867689357595E-2</v>
      </c>
      <c r="N254">
        <v>0.88400000000000001</v>
      </c>
      <c r="O254">
        <v>2.1999999999999999E-2</v>
      </c>
      <c r="P254">
        <f t="shared" si="17"/>
        <v>0.86199999999999999</v>
      </c>
      <c r="Q254">
        <v>0.52400000000000002</v>
      </c>
      <c r="R254">
        <f t="shared" si="16"/>
        <v>0.6078886310904873</v>
      </c>
    </row>
    <row r="255" spans="1:18" x14ac:dyDescent="0.25">
      <c r="A255">
        <v>254</v>
      </c>
      <c r="B255" t="s">
        <v>611</v>
      </c>
      <c r="D255" t="s">
        <v>373</v>
      </c>
      <c r="E255">
        <v>5</v>
      </c>
      <c r="F255" t="s">
        <v>316</v>
      </c>
      <c r="G255" t="s">
        <v>135</v>
      </c>
      <c r="H255" t="s">
        <v>135</v>
      </c>
      <c r="I255" t="s">
        <v>129</v>
      </c>
      <c r="J255">
        <v>7.68</v>
      </c>
      <c r="K255">
        <v>6.23</v>
      </c>
      <c r="L255">
        <f t="shared" si="14"/>
        <v>0.72499999999999964</v>
      </c>
      <c r="M255">
        <f t="shared" si="15"/>
        <v>9.440104166666663E-2</v>
      </c>
      <c r="N255">
        <v>0.81799999999999995</v>
      </c>
      <c r="O255">
        <v>2.1999999999999999E-2</v>
      </c>
      <c r="P255">
        <f t="shared" si="17"/>
        <v>0.79599999999999993</v>
      </c>
      <c r="Q255">
        <v>0.55400000000000005</v>
      </c>
      <c r="R255">
        <f t="shared" si="16"/>
        <v>0.69597989949748751</v>
      </c>
    </row>
    <row r="256" spans="1:18" x14ac:dyDescent="0.25">
      <c r="A256">
        <v>255</v>
      </c>
      <c r="B256" t="s">
        <v>612</v>
      </c>
      <c r="D256" t="s">
        <v>613</v>
      </c>
      <c r="E256">
        <v>2</v>
      </c>
      <c r="F256" t="s">
        <v>725</v>
      </c>
      <c r="G256" t="s">
        <v>135</v>
      </c>
      <c r="H256" t="s">
        <v>135</v>
      </c>
      <c r="I256" t="s">
        <v>129</v>
      </c>
      <c r="J256">
        <v>5.83</v>
      </c>
      <c r="K256">
        <v>4.58</v>
      </c>
      <c r="L256">
        <f t="shared" si="14"/>
        <v>0.625</v>
      </c>
      <c r="M256">
        <f t="shared" si="15"/>
        <v>0.1072041166380789</v>
      </c>
      <c r="N256">
        <v>0.53800000000000003</v>
      </c>
      <c r="O256">
        <v>2.1999999999999999E-2</v>
      </c>
      <c r="P256">
        <f t="shared" si="17"/>
        <v>0.51600000000000001</v>
      </c>
      <c r="Q256">
        <v>0.26800000000000002</v>
      </c>
      <c r="R256">
        <f t="shared" si="16"/>
        <v>0.51937984496124034</v>
      </c>
    </row>
    <row r="257" spans="1:18" x14ac:dyDescent="0.25">
      <c r="A257">
        <v>256</v>
      </c>
      <c r="B257" t="s">
        <v>603</v>
      </c>
      <c r="D257" t="s">
        <v>613</v>
      </c>
      <c r="E257">
        <v>1</v>
      </c>
      <c r="F257" t="s">
        <v>725</v>
      </c>
      <c r="G257" t="s">
        <v>135</v>
      </c>
      <c r="H257" t="s">
        <v>135</v>
      </c>
      <c r="I257" t="s">
        <v>129</v>
      </c>
      <c r="J257">
        <v>8.48</v>
      </c>
      <c r="K257">
        <v>7.07</v>
      </c>
      <c r="L257">
        <f t="shared" si="14"/>
        <v>0.70500000000000007</v>
      </c>
      <c r="M257">
        <f t="shared" si="15"/>
        <v>8.3136792452830191E-2</v>
      </c>
      <c r="N257">
        <v>1.26</v>
      </c>
      <c r="O257">
        <v>2.1999999999999999E-2</v>
      </c>
      <c r="P257">
        <f t="shared" si="17"/>
        <v>1.238</v>
      </c>
      <c r="Q257">
        <v>0.70599999999999996</v>
      </c>
      <c r="R257">
        <f t="shared" si="16"/>
        <v>0.57027463651050081</v>
      </c>
    </row>
    <row r="258" spans="1:18" x14ac:dyDescent="0.25">
      <c r="A258">
        <v>257</v>
      </c>
      <c r="B258" t="s">
        <v>601</v>
      </c>
      <c r="D258" t="s">
        <v>335</v>
      </c>
      <c r="E258">
        <v>3</v>
      </c>
      <c r="F258" t="s">
        <v>473</v>
      </c>
      <c r="G258" t="s">
        <v>135</v>
      </c>
      <c r="H258" t="s">
        <v>135</v>
      </c>
      <c r="I258" t="s">
        <v>129</v>
      </c>
      <c r="J258">
        <v>7.2</v>
      </c>
      <c r="K258">
        <v>5.82</v>
      </c>
      <c r="L258">
        <f t="shared" ref="L258:L321" si="18">(J258-K258)/2</f>
        <v>0.69</v>
      </c>
      <c r="M258">
        <f t="shared" ref="M258:M321" si="19">L258/J258</f>
        <v>9.5833333333333326E-2</v>
      </c>
      <c r="N258">
        <v>1</v>
      </c>
      <c r="O258">
        <v>2.1999999999999999E-2</v>
      </c>
      <c r="P258">
        <f t="shared" si="17"/>
        <v>0.97799999999999998</v>
      </c>
      <c r="Q258">
        <v>0.78100000000000003</v>
      </c>
      <c r="R258">
        <f t="shared" ref="R258:R321" si="20">Q258/P258</f>
        <v>0.7985685071574643</v>
      </c>
    </row>
    <row r="259" spans="1:18" x14ac:dyDescent="0.25">
      <c r="A259">
        <v>258</v>
      </c>
      <c r="B259" t="s">
        <v>588</v>
      </c>
      <c r="D259" t="s">
        <v>411</v>
      </c>
      <c r="E259">
        <v>3</v>
      </c>
      <c r="F259" t="s">
        <v>412</v>
      </c>
      <c r="G259" t="s">
        <v>135</v>
      </c>
      <c r="H259" t="s">
        <v>135</v>
      </c>
      <c r="I259" t="s">
        <v>129</v>
      </c>
      <c r="J259">
        <v>6.73</v>
      </c>
      <c r="K259">
        <v>3.02</v>
      </c>
      <c r="L259">
        <f t="shared" si="18"/>
        <v>1.8550000000000002</v>
      </c>
      <c r="M259">
        <f t="shared" si="19"/>
        <v>0.27563150074294207</v>
      </c>
      <c r="N259">
        <v>0.22600000000000001</v>
      </c>
      <c r="O259">
        <v>2.1999999999999999E-2</v>
      </c>
      <c r="P259">
        <f t="shared" si="17"/>
        <v>0.20400000000000001</v>
      </c>
      <c r="Q259">
        <v>0.125</v>
      </c>
      <c r="R259">
        <f t="shared" si="20"/>
        <v>0.61274509803921562</v>
      </c>
    </row>
    <row r="260" spans="1:18" x14ac:dyDescent="0.25">
      <c r="A260">
        <v>259</v>
      </c>
      <c r="B260" t="s">
        <v>589</v>
      </c>
      <c r="D260" t="s">
        <v>389</v>
      </c>
      <c r="E260">
        <v>5</v>
      </c>
      <c r="F260" t="s">
        <v>317</v>
      </c>
      <c r="G260" t="s">
        <v>135</v>
      </c>
      <c r="H260" t="s">
        <v>135</v>
      </c>
      <c r="I260" t="s">
        <v>129</v>
      </c>
      <c r="J260">
        <v>4.1100000000000003</v>
      </c>
      <c r="K260">
        <v>3.4</v>
      </c>
      <c r="L260">
        <f t="shared" si="18"/>
        <v>0.3550000000000002</v>
      </c>
      <c r="M260">
        <f t="shared" si="19"/>
        <v>8.6374695863747006E-2</v>
      </c>
      <c r="N260">
        <v>0.47299999999999998</v>
      </c>
      <c r="O260">
        <v>2.1999999999999999E-2</v>
      </c>
      <c r="P260">
        <f t="shared" si="17"/>
        <v>0.45099999999999996</v>
      </c>
      <c r="Q260">
        <v>0.23</v>
      </c>
      <c r="R260">
        <f t="shared" si="20"/>
        <v>0.50997782705099781</v>
      </c>
    </row>
    <row r="261" spans="1:18" x14ac:dyDescent="0.25">
      <c r="A261">
        <v>260</v>
      </c>
      <c r="B261" t="s">
        <v>638</v>
      </c>
      <c r="D261" t="s">
        <v>411</v>
      </c>
      <c r="E261">
        <v>4</v>
      </c>
      <c r="F261" t="s">
        <v>412</v>
      </c>
      <c r="G261" t="s">
        <v>135</v>
      </c>
      <c r="H261" t="s">
        <v>135</v>
      </c>
      <c r="I261" t="s">
        <v>129</v>
      </c>
      <c r="J261">
        <v>9.31</v>
      </c>
      <c r="K261">
        <v>4.18</v>
      </c>
      <c r="L261">
        <f t="shared" si="18"/>
        <v>2.5650000000000004</v>
      </c>
      <c r="M261">
        <f t="shared" si="19"/>
        <v>0.27551020408163268</v>
      </c>
      <c r="N261">
        <v>0.67500000000000004</v>
      </c>
      <c r="O261">
        <v>2.1999999999999999E-2</v>
      </c>
      <c r="P261">
        <f t="shared" si="17"/>
        <v>0.65300000000000002</v>
      </c>
      <c r="Q261">
        <v>0.33400000000000002</v>
      </c>
      <c r="R261">
        <f t="shared" si="20"/>
        <v>0.51148545176110261</v>
      </c>
    </row>
    <row r="262" spans="1:18" x14ac:dyDescent="0.25">
      <c r="A262">
        <v>261</v>
      </c>
      <c r="B262" t="s">
        <v>591</v>
      </c>
      <c r="D262" t="s">
        <v>510</v>
      </c>
      <c r="E262">
        <v>3</v>
      </c>
      <c r="F262" t="s">
        <v>511</v>
      </c>
      <c r="G262" t="s">
        <v>135</v>
      </c>
      <c r="H262" t="s">
        <v>135</v>
      </c>
      <c r="I262" t="s">
        <v>129</v>
      </c>
      <c r="J262">
        <v>12.07</v>
      </c>
      <c r="K262">
        <v>3.73</v>
      </c>
      <c r="L262">
        <f t="shared" si="18"/>
        <v>4.17</v>
      </c>
      <c r="M262">
        <f t="shared" si="19"/>
        <v>0.34548467274233635</v>
      </c>
      <c r="N262">
        <v>0.42099999999999999</v>
      </c>
      <c r="O262">
        <v>2.1999999999999999E-2</v>
      </c>
      <c r="P262">
        <f t="shared" si="17"/>
        <v>0.39899999999999997</v>
      </c>
      <c r="Q262">
        <v>0.22800000000000001</v>
      </c>
      <c r="R262">
        <f t="shared" si="20"/>
        <v>0.57142857142857151</v>
      </c>
    </row>
    <row r="263" spans="1:18" x14ac:dyDescent="0.25">
      <c r="A263">
        <v>262</v>
      </c>
      <c r="B263" t="s">
        <v>590</v>
      </c>
      <c r="D263" t="s">
        <v>411</v>
      </c>
      <c r="E263">
        <v>5</v>
      </c>
      <c r="F263" t="s">
        <v>412</v>
      </c>
      <c r="G263" t="s">
        <v>135</v>
      </c>
      <c r="H263" t="s">
        <v>135</v>
      </c>
      <c r="I263" t="s">
        <v>129</v>
      </c>
      <c r="J263">
        <v>8.2799999999999994</v>
      </c>
      <c r="K263">
        <v>5.78</v>
      </c>
      <c r="L263">
        <f t="shared" si="18"/>
        <v>1.2499999999999996</v>
      </c>
      <c r="M263">
        <f t="shared" si="19"/>
        <v>0.15096618357487918</v>
      </c>
      <c r="N263">
        <v>0.93200000000000005</v>
      </c>
      <c r="O263">
        <v>2.1999999999999999E-2</v>
      </c>
      <c r="P263">
        <f t="shared" si="17"/>
        <v>0.91</v>
      </c>
      <c r="Q263">
        <v>0.504</v>
      </c>
      <c r="R263">
        <f t="shared" si="20"/>
        <v>0.55384615384615388</v>
      </c>
    </row>
    <row r="264" spans="1:18" x14ac:dyDescent="0.25">
      <c r="A264">
        <v>263</v>
      </c>
      <c r="B264" t="s">
        <v>598</v>
      </c>
      <c r="D264" t="s">
        <v>599</v>
      </c>
      <c r="E264">
        <v>2</v>
      </c>
      <c r="F264" t="s">
        <v>600</v>
      </c>
      <c r="G264" t="s">
        <v>135</v>
      </c>
      <c r="H264" t="s">
        <v>135</v>
      </c>
      <c r="I264" t="s">
        <v>129</v>
      </c>
      <c r="J264">
        <v>7.94</v>
      </c>
      <c r="K264">
        <v>6.58</v>
      </c>
      <c r="L264">
        <f t="shared" si="18"/>
        <v>0.68000000000000016</v>
      </c>
      <c r="M264">
        <f t="shared" si="19"/>
        <v>8.5642317380352662E-2</v>
      </c>
      <c r="N264">
        <v>0.84</v>
      </c>
      <c r="O264">
        <v>2.1999999999999999E-2</v>
      </c>
      <c r="P264">
        <f t="shared" si="17"/>
        <v>0.81799999999999995</v>
      </c>
      <c r="Q264">
        <v>0.49399999999999999</v>
      </c>
      <c r="R264">
        <f t="shared" si="20"/>
        <v>0.60391198044009786</v>
      </c>
    </row>
    <row r="265" spans="1:18" x14ac:dyDescent="0.25">
      <c r="A265">
        <v>264</v>
      </c>
      <c r="B265" t="s">
        <v>597</v>
      </c>
      <c r="D265" t="s">
        <v>510</v>
      </c>
      <c r="E265">
        <v>2</v>
      </c>
      <c r="F265" t="s">
        <v>511</v>
      </c>
      <c r="G265" t="s">
        <v>135</v>
      </c>
      <c r="H265" t="s">
        <v>135</v>
      </c>
      <c r="I265" t="s">
        <v>129</v>
      </c>
      <c r="J265">
        <v>12.47</v>
      </c>
      <c r="K265">
        <v>5.26</v>
      </c>
      <c r="L265">
        <f t="shared" si="18"/>
        <v>3.6050000000000004</v>
      </c>
      <c r="M265">
        <f t="shared" si="19"/>
        <v>0.28909382518043308</v>
      </c>
      <c r="N265">
        <v>0.64400000000000002</v>
      </c>
      <c r="O265">
        <v>2.1999999999999999E-2</v>
      </c>
      <c r="P265">
        <f t="shared" si="17"/>
        <v>0.622</v>
      </c>
      <c r="Q265">
        <v>0.25</v>
      </c>
      <c r="R265">
        <f t="shared" si="20"/>
        <v>0.40192926045016075</v>
      </c>
    </row>
    <row r="266" spans="1:18" x14ac:dyDescent="0.25">
      <c r="A266">
        <v>265</v>
      </c>
      <c r="B266" t="s">
        <v>595</v>
      </c>
      <c r="D266" t="s">
        <v>368</v>
      </c>
      <c r="E266">
        <v>2</v>
      </c>
      <c r="F266" t="s">
        <v>322</v>
      </c>
      <c r="G266" t="s">
        <v>135</v>
      </c>
      <c r="H266" t="s">
        <v>135</v>
      </c>
      <c r="I266" t="s">
        <v>129</v>
      </c>
      <c r="J266">
        <v>7.64</v>
      </c>
      <c r="K266">
        <v>6.37</v>
      </c>
      <c r="L266">
        <f t="shared" si="18"/>
        <v>0.63499999999999979</v>
      </c>
      <c r="M266">
        <f t="shared" si="19"/>
        <v>8.3115183246073268E-2</v>
      </c>
      <c r="N266">
        <v>0.93500000000000005</v>
      </c>
      <c r="O266">
        <v>2.1999999999999999E-2</v>
      </c>
      <c r="P266">
        <f t="shared" si="17"/>
        <v>0.91300000000000003</v>
      </c>
      <c r="Q266">
        <v>0.5</v>
      </c>
      <c r="R266">
        <f t="shared" si="20"/>
        <v>0.547645125958379</v>
      </c>
    </row>
    <row r="267" spans="1:18" x14ac:dyDescent="0.25">
      <c r="A267">
        <v>266</v>
      </c>
      <c r="B267" t="s">
        <v>596</v>
      </c>
      <c r="D267" t="s">
        <v>369</v>
      </c>
      <c r="E267">
        <v>5</v>
      </c>
      <c r="F267" t="s">
        <v>93</v>
      </c>
      <c r="G267" t="s">
        <v>135</v>
      </c>
      <c r="H267" t="s">
        <v>135</v>
      </c>
      <c r="I267" t="s">
        <v>129</v>
      </c>
      <c r="J267">
        <v>6.78</v>
      </c>
      <c r="K267">
        <v>5.97</v>
      </c>
      <c r="L267">
        <f t="shared" si="18"/>
        <v>0.40500000000000025</v>
      </c>
      <c r="M267">
        <f t="shared" si="19"/>
        <v>5.9734513274336321E-2</v>
      </c>
      <c r="N267">
        <v>0.42</v>
      </c>
      <c r="O267">
        <v>2.1999999999999999E-2</v>
      </c>
      <c r="P267">
        <f t="shared" si="17"/>
        <v>0.39799999999999996</v>
      </c>
      <c r="Q267">
        <v>0.246</v>
      </c>
      <c r="R267">
        <f t="shared" si="20"/>
        <v>0.61809045226130654</v>
      </c>
    </row>
    <row r="268" spans="1:18" x14ac:dyDescent="0.25">
      <c r="A268">
        <v>267</v>
      </c>
      <c r="B268" t="s">
        <v>592</v>
      </c>
      <c r="D268" t="s">
        <v>593</v>
      </c>
      <c r="E268">
        <v>1</v>
      </c>
      <c r="F268" t="s">
        <v>744</v>
      </c>
      <c r="G268" t="s">
        <v>135</v>
      </c>
      <c r="H268" t="s">
        <v>135</v>
      </c>
      <c r="I268" t="s">
        <v>129</v>
      </c>
      <c r="J268">
        <v>13.41</v>
      </c>
      <c r="K268">
        <v>8.2799999999999994</v>
      </c>
      <c r="L268">
        <f t="shared" si="18"/>
        <v>2.5650000000000004</v>
      </c>
      <c r="M268">
        <f t="shared" si="19"/>
        <v>0.19127516778523493</v>
      </c>
      <c r="N268">
        <v>1.1279999999999999</v>
      </c>
      <c r="O268">
        <v>2.1999999999999999E-2</v>
      </c>
      <c r="P268">
        <f t="shared" si="17"/>
        <v>1.1059999999999999</v>
      </c>
      <c r="Q268">
        <v>0.46899999999999997</v>
      </c>
      <c r="R268">
        <f t="shared" si="20"/>
        <v>0.42405063291139244</v>
      </c>
    </row>
    <row r="269" spans="1:18" x14ac:dyDescent="0.25">
      <c r="A269">
        <v>268</v>
      </c>
      <c r="B269" t="s">
        <v>594</v>
      </c>
      <c r="D269" t="s">
        <v>373</v>
      </c>
      <c r="E269">
        <v>3</v>
      </c>
      <c r="F269" t="s">
        <v>316</v>
      </c>
      <c r="G269" t="s">
        <v>135</v>
      </c>
      <c r="H269" t="s">
        <v>135</v>
      </c>
      <c r="I269" t="s">
        <v>129</v>
      </c>
      <c r="J269">
        <v>7.94</v>
      </c>
      <c r="K269">
        <v>6.64</v>
      </c>
      <c r="L269">
        <f t="shared" si="18"/>
        <v>0.65000000000000036</v>
      </c>
      <c r="M269">
        <f t="shared" si="19"/>
        <v>8.1863979848866536E-2</v>
      </c>
      <c r="N269">
        <v>0.50900000000000001</v>
      </c>
      <c r="O269">
        <v>2.1999999999999999E-2</v>
      </c>
      <c r="P269">
        <f t="shared" si="17"/>
        <v>0.48699999999999999</v>
      </c>
      <c r="Q269">
        <v>0.33200000000000002</v>
      </c>
      <c r="R269">
        <f t="shared" si="20"/>
        <v>0.68172484599589322</v>
      </c>
    </row>
    <row r="270" spans="1:18" x14ac:dyDescent="0.25">
      <c r="A270">
        <v>269</v>
      </c>
      <c r="B270" t="s">
        <v>741</v>
      </c>
      <c r="D270" t="s">
        <v>347</v>
      </c>
      <c r="E270">
        <v>5</v>
      </c>
      <c r="F270" t="s">
        <v>361</v>
      </c>
      <c r="G270" t="s">
        <v>135</v>
      </c>
      <c r="H270" t="s">
        <v>135</v>
      </c>
      <c r="I270" t="s">
        <v>129</v>
      </c>
      <c r="J270">
        <v>7.36</v>
      </c>
      <c r="K270">
        <v>4.5</v>
      </c>
      <c r="L270">
        <f t="shared" si="18"/>
        <v>1.4300000000000002</v>
      </c>
      <c r="M270">
        <f t="shared" si="19"/>
        <v>0.19429347826086957</v>
      </c>
      <c r="N270">
        <v>0.79300000000000004</v>
      </c>
      <c r="O270">
        <v>2.1999999999999999E-2</v>
      </c>
      <c r="P270">
        <f t="shared" si="17"/>
        <v>0.77100000000000002</v>
      </c>
      <c r="Q270">
        <v>0.48499999999999999</v>
      </c>
      <c r="R270">
        <f t="shared" si="20"/>
        <v>0.62905317769130997</v>
      </c>
    </row>
    <row r="271" spans="1:18" x14ac:dyDescent="0.25">
      <c r="A271">
        <v>270</v>
      </c>
      <c r="B271" t="s">
        <v>740</v>
      </c>
      <c r="D271" t="s">
        <v>593</v>
      </c>
      <c r="E271">
        <v>2</v>
      </c>
      <c r="F271" t="s">
        <v>744</v>
      </c>
      <c r="G271" t="s">
        <v>135</v>
      </c>
      <c r="H271" t="s">
        <v>135</v>
      </c>
      <c r="I271" t="s">
        <v>129</v>
      </c>
      <c r="J271">
        <v>10.46</v>
      </c>
      <c r="K271">
        <v>3.33</v>
      </c>
      <c r="L271">
        <f t="shared" si="18"/>
        <v>3.5650000000000004</v>
      </c>
      <c r="M271">
        <f t="shared" si="19"/>
        <v>0.3408221797323136</v>
      </c>
      <c r="N271">
        <v>0.42799999999999999</v>
      </c>
      <c r="O271">
        <v>2.1999999999999999E-2</v>
      </c>
      <c r="P271">
        <f t="shared" si="17"/>
        <v>0.40599999999999997</v>
      </c>
      <c r="Q271">
        <v>0.16600000000000001</v>
      </c>
      <c r="R271">
        <f t="shared" si="20"/>
        <v>0.40886699507389168</v>
      </c>
    </row>
    <row r="272" spans="1:18" x14ac:dyDescent="0.25">
      <c r="A272">
        <v>271</v>
      </c>
      <c r="B272" t="s">
        <v>739</v>
      </c>
      <c r="D272" t="s">
        <v>494</v>
      </c>
      <c r="E272">
        <v>5</v>
      </c>
      <c r="F272" t="s">
        <v>495</v>
      </c>
      <c r="G272" t="s">
        <v>135</v>
      </c>
      <c r="H272" t="s">
        <v>135</v>
      </c>
      <c r="I272" t="s">
        <v>129</v>
      </c>
      <c r="J272">
        <v>7.68</v>
      </c>
      <c r="K272">
        <v>4.2</v>
      </c>
      <c r="L272">
        <f t="shared" si="18"/>
        <v>1.7399999999999998</v>
      </c>
      <c r="M272">
        <f t="shared" si="19"/>
        <v>0.22656249999999997</v>
      </c>
      <c r="N272">
        <v>0.49399999999999999</v>
      </c>
      <c r="O272">
        <v>2.1999999999999999E-2</v>
      </c>
      <c r="P272">
        <f t="shared" si="17"/>
        <v>0.47199999999999998</v>
      </c>
      <c r="Q272">
        <v>0.33200000000000002</v>
      </c>
      <c r="R272">
        <f t="shared" si="20"/>
        <v>0.7033898305084747</v>
      </c>
    </row>
    <row r="273" spans="1:19" x14ac:dyDescent="0.25">
      <c r="A273">
        <v>272</v>
      </c>
      <c r="B273" t="s">
        <v>738</v>
      </c>
      <c r="D273" t="s">
        <v>530</v>
      </c>
      <c r="E273">
        <v>3</v>
      </c>
      <c r="F273" t="s">
        <v>531</v>
      </c>
      <c r="G273" t="s">
        <v>135</v>
      </c>
      <c r="H273" t="s">
        <v>135</v>
      </c>
      <c r="I273" t="s">
        <v>129</v>
      </c>
      <c r="J273">
        <v>6.55</v>
      </c>
      <c r="K273">
        <v>4.6399999999999997</v>
      </c>
      <c r="L273">
        <f t="shared" si="18"/>
        <v>0.95500000000000007</v>
      </c>
      <c r="M273">
        <f t="shared" si="19"/>
        <v>0.14580152671755728</v>
      </c>
      <c r="N273">
        <v>0.999</v>
      </c>
      <c r="O273">
        <v>2.1999999999999999E-2</v>
      </c>
      <c r="P273">
        <f t="shared" si="17"/>
        <v>0.97699999999999998</v>
      </c>
      <c r="Q273">
        <v>0.311</v>
      </c>
      <c r="R273">
        <f t="shared" si="20"/>
        <v>0.31832139201637666</v>
      </c>
    </row>
    <row r="274" spans="1:19" x14ac:dyDescent="0.25">
      <c r="A274">
        <v>273</v>
      </c>
      <c r="B274" t="s">
        <v>737</v>
      </c>
      <c r="D274" t="s">
        <v>341</v>
      </c>
      <c r="E274">
        <v>4</v>
      </c>
      <c r="F274" t="s">
        <v>321</v>
      </c>
      <c r="G274" t="s">
        <v>135</v>
      </c>
      <c r="H274" t="s">
        <v>135</v>
      </c>
      <c r="I274" t="s">
        <v>129</v>
      </c>
      <c r="J274">
        <v>7.98</v>
      </c>
      <c r="K274">
        <v>5.34</v>
      </c>
      <c r="L274">
        <f t="shared" si="18"/>
        <v>1.3200000000000003</v>
      </c>
      <c r="M274">
        <f t="shared" si="19"/>
        <v>0.16541353383458648</v>
      </c>
      <c r="N274">
        <v>0.36</v>
      </c>
      <c r="O274">
        <v>2.1999999999999999E-2</v>
      </c>
      <c r="P274">
        <f t="shared" si="17"/>
        <v>0.33799999999999997</v>
      </c>
      <c r="Q274">
        <v>0.2</v>
      </c>
      <c r="R274">
        <f t="shared" si="20"/>
        <v>0.59171597633136108</v>
      </c>
    </row>
    <row r="275" spans="1:19" x14ac:dyDescent="0.25">
      <c r="A275">
        <v>274</v>
      </c>
      <c r="B275" t="s">
        <v>736</v>
      </c>
      <c r="D275" t="s">
        <v>348</v>
      </c>
      <c r="E275">
        <v>4</v>
      </c>
      <c r="F275" t="s">
        <v>328</v>
      </c>
      <c r="G275" t="s">
        <v>135</v>
      </c>
      <c r="H275" t="s">
        <v>135</v>
      </c>
      <c r="I275" t="s">
        <v>129</v>
      </c>
      <c r="J275">
        <v>10.26</v>
      </c>
      <c r="K275">
        <v>8.44</v>
      </c>
      <c r="L275">
        <f t="shared" si="18"/>
        <v>0.91000000000000014</v>
      </c>
      <c r="M275">
        <f t="shared" si="19"/>
        <v>8.8693957115009756E-2</v>
      </c>
      <c r="N275">
        <v>1.284</v>
      </c>
      <c r="O275">
        <v>2.1999999999999999E-2</v>
      </c>
      <c r="P275">
        <f t="shared" ref="P275:P338" si="21">N275-O275</f>
        <v>1.262</v>
      </c>
      <c r="Q275">
        <v>0.67400000000000004</v>
      </c>
      <c r="R275">
        <f t="shared" si="20"/>
        <v>0.53407290015847864</v>
      </c>
    </row>
    <row r="276" spans="1:19" x14ac:dyDescent="0.25">
      <c r="A276">
        <v>275</v>
      </c>
      <c r="B276" t="s">
        <v>734</v>
      </c>
      <c r="D276" t="s">
        <v>735</v>
      </c>
      <c r="E276">
        <v>1</v>
      </c>
      <c r="F276" t="s">
        <v>745</v>
      </c>
      <c r="G276" t="s">
        <v>135</v>
      </c>
      <c r="H276" t="s">
        <v>135</v>
      </c>
      <c r="I276" t="s">
        <v>129</v>
      </c>
      <c r="J276">
        <v>8.1</v>
      </c>
      <c r="K276">
        <v>7.03</v>
      </c>
      <c r="L276">
        <f t="shared" si="18"/>
        <v>0.5349999999999997</v>
      </c>
      <c r="M276">
        <f t="shared" si="19"/>
        <v>6.6049382716049349E-2</v>
      </c>
      <c r="N276">
        <v>0.80700000000000005</v>
      </c>
      <c r="O276">
        <v>2.1999999999999999E-2</v>
      </c>
      <c r="P276">
        <f t="shared" si="21"/>
        <v>0.78500000000000003</v>
      </c>
      <c r="Q276">
        <v>0.43099999999999999</v>
      </c>
      <c r="R276">
        <f t="shared" si="20"/>
        <v>0.54904458598726114</v>
      </c>
    </row>
    <row r="277" spans="1:19" x14ac:dyDescent="0.25">
      <c r="A277">
        <v>276</v>
      </c>
      <c r="B277" t="s">
        <v>733</v>
      </c>
      <c r="D277" t="s">
        <v>359</v>
      </c>
      <c r="E277">
        <v>4</v>
      </c>
      <c r="F277" t="s">
        <v>370</v>
      </c>
      <c r="G277" t="s">
        <v>135</v>
      </c>
      <c r="H277" t="s">
        <v>135</v>
      </c>
      <c r="I277" t="s">
        <v>129</v>
      </c>
      <c r="J277">
        <v>7.89</v>
      </c>
      <c r="K277">
        <v>6.02</v>
      </c>
      <c r="L277">
        <f t="shared" si="18"/>
        <v>0.93500000000000005</v>
      </c>
      <c r="M277">
        <f t="shared" si="19"/>
        <v>0.11850443599493031</v>
      </c>
      <c r="N277">
        <v>0.35299999999999998</v>
      </c>
      <c r="O277">
        <v>2.1999999999999999E-2</v>
      </c>
      <c r="P277">
        <f t="shared" si="21"/>
        <v>0.33099999999999996</v>
      </c>
      <c r="Q277">
        <v>0.21199999999999999</v>
      </c>
      <c r="R277">
        <f t="shared" si="20"/>
        <v>0.64048338368580071</v>
      </c>
    </row>
    <row r="278" spans="1:19" x14ac:dyDescent="0.25">
      <c r="A278">
        <v>277</v>
      </c>
      <c r="B278" t="s">
        <v>1216</v>
      </c>
      <c r="C278" t="s">
        <v>732</v>
      </c>
      <c r="D278" t="s">
        <v>382</v>
      </c>
      <c r="E278">
        <v>5</v>
      </c>
      <c r="F278" t="s">
        <v>315</v>
      </c>
      <c r="G278" t="s">
        <v>135</v>
      </c>
      <c r="H278" t="s">
        <v>135</v>
      </c>
      <c r="I278" t="s">
        <v>129</v>
      </c>
      <c r="J278">
        <v>7.02</v>
      </c>
      <c r="K278">
        <v>5.39</v>
      </c>
      <c r="L278">
        <f t="shared" si="18"/>
        <v>0.81499999999999995</v>
      </c>
      <c r="M278">
        <f t="shared" si="19"/>
        <v>0.11609686609686609</v>
      </c>
      <c r="N278">
        <v>0.67200000000000004</v>
      </c>
      <c r="O278">
        <v>2.1999999999999999E-2</v>
      </c>
      <c r="P278">
        <f t="shared" si="21"/>
        <v>0.65</v>
      </c>
      <c r="Q278">
        <v>0.42699999999999999</v>
      </c>
      <c r="R278">
        <f t="shared" si="20"/>
        <v>0.65692307692307683</v>
      </c>
    </row>
    <row r="279" spans="1:19" x14ac:dyDescent="0.25">
      <c r="A279">
        <v>278</v>
      </c>
      <c r="B279" t="s">
        <v>729</v>
      </c>
      <c r="D279" t="s">
        <v>449</v>
      </c>
      <c r="E279">
        <v>3</v>
      </c>
      <c r="F279" t="s">
        <v>450</v>
      </c>
      <c r="G279" t="s">
        <v>135</v>
      </c>
      <c r="H279" t="s">
        <v>135</v>
      </c>
      <c r="I279" t="s">
        <v>129</v>
      </c>
      <c r="J279">
        <v>5.95</v>
      </c>
      <c r="K279">
        <v>3.12</v>
      </c>
      <c r="L279">
        <f t="shared" si="18"/>
        <v>1.415</v>
      </c>
      <c r="M279">
        <f t="shared" si="19"/>
        <v>0.23781512605042016</v>
      </c>
      <c r="N279">
        <v>0.27500000000000002</v>
      </c>
      <c r="O279">
        <v>2.1999999999999999E-2</v>
      </c>
      <c r="P279">
        <f t="shared" si="21"/>
        <v>0.253</v>
      </c>
      <c r="Q279">
        <v>0.16600000000000001</v>
      </c>
      <c r="R279">
        <f t="shared" si="20"/>
        <v>0.65612648221343872</v>
      </c>
      <c r="S279" t="s">
        <v>536</v>
      </c>
    </row>
    <row r="280" spans="1:19" x14ac:dyDescent="0.25">
      <c r="A280">
        <v>279</v>
      </c>
      <c r="B280" t="s">
        <v>727</v>
      </c>
      <c r="D280" t="s">
        <v>593</v>
      </c>
      <c r="E280">
        <v>3</v>
      </c>
      <c r="F280" t="s">
        <v>744</v>
      </c>
      <c r="G280" t="s">
        <v>135</v>
      </c>
      <c r="H280" t="s">
        <v>135</v>
      </c>
      <c r="I280" t="s">
        <v>129</v>
      </c>
      <c r="J280">
        <v>10.02</v>
      </c>
      <c r="K280">
        <v>4.68</v>
      </c>
      <c r="L280">
        <f t="shared" si="18"/>
        <v>2.67</v>
      </c>
      <c r="M280">
        <f t="shared" si="19"/>
        <v>0.26646706586826346</v>
      </c>
      <c r="N280">
        <f>0.358+0.482</f>
        <v>0.84</v>
      </c>
      <c r="O280">
        <v>2.1999999999999999E-2</v>
      </c>
      <c r="P280">
        <f t="shared" si="21"/>
        <v>0.81799999999999995</v>
      </c>
      <c r="Q280">
        <v>0.28100000000000003</v>
      </c>
      <c r="R280">
        <f t="shared" si="20"/>
        <v>0.34352078239608808</v>
      </c>
    </row>
    <row r="281" spans="1:19" x14ac:dyDescent="0.25">
      <c r="A281">
        <v>280</v>
      </c>
      <c r="B281" t="s">
        <v>726</v>
      </c>
      <c r="D281" t="s">
        <v>613</v>
      </c>
      <c r="E281">
        <v>3</v>
      </c>
      <c r="F281" t="s">
        <v>725</v>
      </c>
      <c r="G281" t="s">
        <v>135</v>
      </c>
      <c r="H281" t="s">
        <v>135</v>
      </c>
      <c r="I281" t="s">
        <v>129</v>
      </c>
      <c r="J281">
        <v>5.7</v>
      </c>
      <c r="K281">
        <v>4.45</v>
      </c>
      <c r="L281">
        <f t="shared" si="18"/>
        <v>0.625</v>
      </c>
      <c r="M281">
        <f t="shared" si="19"/>
        <v>0.10964912280701754</v>
      </c>
      <c r="N281">
        <v>0.69099999999999995</v>
      </c>
      <c r="O281">
        <v>2.1999999999999999E-2</v>
      </c>
      <c r="P281">
        <f t="shared" si="21"/>
        <v>0.66899999999999993</v>
      </c>
      <c r="Q281">
        <v>0.31900000000000001</v>
      </c>
      <c r="R281">
        <f t="shared" si="20"/>
        <v>0.47683109118086703</v>
      </c>
    </row>
    <row r="282" spans="1:19" x14ac:dyDescent="0.25">
      <c r="A282">
        <v>281</v>
      </c>
      <c r="B282" t="s">
        <v>804</v>
      </c>
      <c r="D282" t="s">
        <v>331</v>
      </c>
      <c r="E282">
        <v>5</v>
      </c>
      <c r="F282" t="s">
        <v>5</v>
      </c>
      <c r="G282" t="s">
        <v>135</v>
      </c>
      <c r="H282" t="s">
        <v>135</v>
      </c>
      <c r="I282" t="s">
        <v>129</v>
      </c>
      <c r="J282">
        <v>6.65</v>
      </c>
      <c r="K282">
        <v>5.27</v>
      </c>
      <c r="L282">
        <f t="shared" si="18"/>
        <v>0.69000000000000039</v>
      </c>
      <c r="M282">
        <f t="shared" si="19"/>
        <v>0.10375939849624065</v>
      </c>
      <c r="N282">
        <v>0.42299999999999999</v>
      </c>
      <c r="O282">
        <v>2.1999999999999999E-2</v>
      </c>
      <c r="P282">
        <f t="shared" si="21"/>
        <v>0.40099999999999997</v>
      </c>
      <c r="Q282">
        <v>0.19900000000000001</v>
      </c>
      <c r="R282">
        <f t="shared" si="20"/>
        <v>0.4962593516209477</v>
      </c>
    </row>
    <row r="283" spans="1:19" x14ac:dyDescent="0.25">
      <c r="A283">
        <v>282</v>
      </c>
      <c r="B283" t="s">
        <v>819</v>
      </c>
      <c r="D283" t="s">
        <v>599</v>
      </c>
      <c r="E283">
        <v>4</v>
      </c>
      <c r="F283" t="s">
        <v>600</v>
      </c>
      <c r="G283" t="s">
        <v>135</v>
      </c>
      <c r="H283" t="s">
        <v>135</v>
      </c>
      <c r="I283" t="s">
        <v>129</v>
      </c>
      <c r="J283">
        <v>8.4499999999999993</v>
      </c>
      <c r="K283">
        <v>6.7</v>
      </c>
      <c r="L283">
        <f t="shared" si="18"/>
        <v>0.87499999999999956</v>
      </c>
      <c r="M283">
        <f t="shared" si="19"/>
        <v>0.10355029585798813</v>
      </c>
      <c r="N283">
        <v>1.075</v>
      </c>
      <c r="O283">
        <v>2.1999999999999999E-2</v>
      </c>
      <c r="P283">
        <f t="shared" si="21"/>
        <v>1.0529999999999999</v>
      </c>
      <c r="Q283">
        <v>0.68</v>
      </c>
      <c r="R283">
        <f t="shared" si="20"/>
        <v>0.64577397910731249</v>
      </c>
    </row>
    <row r="284" spans="1:19" x14ac:dyDescent="0.25">
      <c r="A284">
        <v>283</v>
      </c>
      <c r="B284" t="s">
        <v>794</v>
      </c>
      <c r="D284" t="s">
        <v>514</v>
      </c>
      <c r="E284">
        <v>5</v>
      </c>
      <c r="F284" t="s">
        <v>751</v>
      </c>
      <c r="G284" t="s">
        <v>135</v>
      </c>
      <c r="H284" t="s">
        <v>135</v>
      </c>
      <c r="I284" t="s">
        <v>129</v>
      </c>
      <c r="J284">
        <v>8.76</v>
      </c>
      <c r="K284">
        <v>5.2</v>
      </c>
      <c r="L284">
        <f t="shared" si="18"/>
        <v>1.7799999999999998</v>
      </c>
      <c r="M284">
        <f t="shared" si="19"/>
        <v>0.20319634703196346</v>
      </c>
      <c r="N284">
        <v>0.38800000000000001</v>
      </c>
      <c r="O284">
        <v>2.1999999999999999E-2</v>
      </c>
      <c r="P284">
        <f t="shared" si="21"/>
        <v>0.36599999999999999</v>
      </c>
      <c r="Q284">
        <v>0.17100000000000001</v>
      </c>
      <c r="R284">
        <f t="shared" si="20"/>
        <v>0.46721311475409838</v>
      </c>
    </row>
    <row r="285" spans="1:19" x14ac:dyDescent="0.25">
      <c r="A285">
        <v>284</v>
      </c>
      <c r="B285" t="s">
        <v>795</v>
      </c>
      <c r="D285" t="s">
        <v>514</v>
      </c>
      <c r="E285">
        <v>4</v>
      </c>
      <c r="F285" t="s">
        <v>751</v>
      </c>
      <c r="G285" t="s">
        <v>135</v>
      </c>
      <c r="H285" t="s">
        <v>135</v>
      </c>
      <c r="I285" t="s">
        <v>129</v>
      </c>
      <c r="J285">
        <v>10.46</v>
      </c>
      <c r="K285">
        <v>5.47</v>
      </c>
      <c r="L285">
        <f t="shared" si="18"/>
        <v>2.4950000000000006</v>
      </c>
      <c r="M285">
        <f t="shared" si="19"/>
        <v>0.23852772466539202</v>
      </c>
      <c r="N285">
        <v>0.54900000000000004</v>
      </c>
      <c r="O285">
        <v>2.1999999999999999E-2</v>
      </c>
      <c r="P285">
        <f t="shared" si="21"/>
        <v>0.52700000000000002</v>
      </c>
      <c r="Q285">
        <v>0.26500000000000001</v>
      </c>
      <c r="R285">
        <f t="shared" si="20"/>
        <v>0.50284629981024664</v>
      </c>
    </row>
    <row r="286" spans="1:19" x14ac:dyDescent="0.25">
      <c r="A286">
        <v>285</v>
      </c>
      <c r="B286" t="s">
        <v>803</v>
      </c>
      <c r="D286" t="s">
        <v>382</v>
      </c>
      <c r="E286">
        <v>4</v>
      </c>
      <c r="F286" t="s">
        <v>315</v>
      </c>
      <c r="G286" t="s">
        <v>135</v>
      </c>
      <c r="H286" t="s">
        <v>135</v>
      </c>
      <c r="I286" t="s">
        <v>129</v>
      </c>
      <c r="J286">
        <v>7.43</v>
      </c>
      <c r="K286">
        <v>4.5599999999999996</v>
      </c>
      <c r="L286">
        <f t="shared" si="18"/>
        <v>1.4350000000000001</v>
      </c>
      <c r="M286">
        <f t="shared" si="19"/>
        <v>0.19313593539703905</v>
      </c>
      <c r="N286">
        <v>0.46200000000000002</v>
      </c>
      <c r="O286">
        <v>2.1999999999999999E-2</v>
      </c>
      <c r="P286">
        <f t="shared" si="21"/>
        <v>0.44</v>
      </c>
      <c r="Q286">
        <v>0.29599999999999999</v>
      </c>
      <c r="R286">
        <f t="shared" si="20"/>
        <v>0.67272727272727273</v>
      </c>
    </row>
    <row r="287" spans="1:19" x14ac:dyDescent="0.25">
      <c r="A287">
        <v>286</v>
      </c>
      <c r="B287" t="s">
        <v>802</v>
      </c>
      <c r="D287" t="s">
        <v>624</v>
      </c>
      <c r="E287">
        <v>5</v>
      </c>
      <c r="F287" t="s">
        <v>625</v>
      </c>
      <c r="G287" t="s">
        <v>135</v>
      </c>
      <c r="H287" t="s">
        <v>135</v>
      </c>
      <c r="I287" t="s">
        <v>129</v>
      </c>
      <c r="J287">
        <v>9.01</v>
      </c>
      <c r="K287">
        <v>7.26</v>
      </c>
      <c r="L287">
        <f t="shared" si="18"/>
        <v>0.875</v>
      </c>
      <c r="M287">
        <f t="shared" si="19"/>
        <v>9.7114317425083238E-2</v>
      </c>
      <c r="N287">
        <v>1.1040000000000001</v>
      </c>
      <c r="O287">
        <v>2.1999999999999999E-2</v>
      </c>
      <c r="P287">
        <f t="shared" si="21"/>
        <v>1.0820000000000001</v>
      </c>
      <c r="Q287">
        <v>0.53900000000000003</v>
      </c>
      <c r="R287">
        <f t="shared" si="20"/>
        <v>0.49815157116451014</v>
      </c>
    </row>
    <row r="288" spans="1:19" x14ac:dyDescent="0.25">
      <c r="A288">
        <v>287</v>
      </c>
      <c r="B288" t="s">
        <v>818</v>
      </c>
      <c r="D288" t="s">
        <v>387</v>
      </c>
      <c r="E288">
        <v>5</v>
      </c>
      <c r="F288" t="s">
        <v>281</v>
      </c>
      <c r="G288" t="s">
        <v>135</v>
      </c>
      <c r="H288" t="s">
        <v>135</v>
      </c>
      <c r="I288" t="s">
        <v>129</v>
      </c>
      <c r="J288">
        <v>9.36</v>
      </c>
      <c r="K288">
        <v>7.85</v>
      </c>
      <c r="L288">
        <f t="shared" si="18"/>
        <v>0.75499999999999989</v>
      </c>
      <c r="M288">
        <f t="shared" si="19"/>
        <v>8.0662393162393153E-2</v>
      </c>
      <c r="N288">
        <v>0.89900000000000002</v>
      </c>
      <c r="O288">
        <v>2.1999999999999999E-2</v>
      </c>
      <c r="P288">
        <f t="shared" si="21"/>
        <v>0.877</v>
      </c>
      <c r="Q288">
        <v>0.59899999999999998</v>
      </c>
      <c r="R288">
        <f t="shared" si="20"/>
        <v>0.68301026225769668</v>
      </c>
    </row>
    <row r="289" spans="1:19" x14ac:dyDescent="0.25">
      <c r="A289">
        <v>288</v>
      </c>
      <c r="B289" t="s">
        <v>799</v>
      </c>
      <c r="D289" t="s">
        <v>800</v>
      </c>
      <c r="E289">
        <v>1</v>
      </c>
      <c r="F289" t="s">
        <v>801</v>
      </c>
      <c r="G289" t="s">
        <v>135</v>
      </c>
      <c r="H289" t="s">
        <v>135</v>
      </c>
      <c r="I289" t="s">
        <v>129</v>
      </c>
      <c r="J289">
        <v>9.33</v>
      </c>
      <c r="K289">
        <v>6.28</v>
      </c>
      <c r="L289">
        <f t="shared" si="18"/>
        <v>1.5249999999999999</v>
      </c>
      <c r="M289">
        <f t="shared" si="19"/>
        <v>0.16345123258306538</v>
      </c>
      <c r="N289">
        <v>0.88</v>
      </c>
      <c r="O289">
        <v>2.1999999999999999E-2</v>
      </c>
      <c r="P289">
        <f t="shared" si="21"/>
        <v>0.85799999999999998</v>
      </c>
      <c r="Q289">
        <v>0.377</v>
      </c>
      <c r="R289">
        <f t="shared" si="20"/>
        <v>0.43939393939393939</v>
      </c>
      <c r="S289" t="s">
        <v>820</v>
      </c>
    </row>
    <row r="290" spans="1:19" x14ac:dyDescent="0.25">
      <c r="A290">
        <v>289</v>
      </c>
      <c r="B290" t="s">
        <v>816</v>
      </c>
      <c r="D290" t="s">
        <v>599</v>
      </c>
      <c r="E290">
        <v>3</v>
      </c>
      <c r="F290" t="s">
        <v>600</v>
      </c>
      <c r="G290" t="s">
        <v>135</v>
      </c>
      <c r="H290" t="s">
        <v>135</v>
      </c>
      <c r="I290" t="s">
        <v>129</v>
      </c>
      <c r="J290">
        <v>8.35</v>
      </c>
      <c r="K290">
        <v>6.49</v>
      </c>
      <c r="L290">
        <f t="shared" si="18"/>
        <v>0.92999999999999972</v>
      </c>
      <c r="M290">
        <f t="shared" si="19"/>
        <v>0.11137724550898201</v>
      </c>
      <c r="N290">
        <v>0.78600000000000003</v>
      </c>
      <c r="O290">
        <v>2.1999999999999999E-2</v>
      </c>
      <c r="P290">
        <f t="shared" si="21"/>
        <v>0.76400000000000001</v>
      </c>
      <c r="Q290">
        <v>0.50600000000000001</v>
      </c>
      <c r="R290">
        <f t="shared" si="20"/>
        <v>0.66230366492146597</v>
      </c>
    </row>
    <row r="291" spans="1:19" x14ac:dyDescent="0.25">
      <c r="A291">
        <v>290</v>
      </c>
      <c r="B291" t="s">
        <v>798</v>
      </c>
      <c r="D291" t="s">
        <v>763</v>
      </c>
      <c r="E291">
        <v>4</v>
      </c>
      <c r="F291" t="s">
        <v>764</v>
      </c>
      <c r="G291" t="s">
        <v>135</v>
      </c>
      <c r="H291" t="s">
        <v>135</v>
      </c>
      <c r="I291" t="s">
        <v>129</v>
      </c>
      <c r="J291">
        <v>6.83</v>
      </c>
      <c r="K291">
        <v>5.66</v>
      </c>
      <c r="L291">
        <f t="shared" si="18"/>
        <v>0.58499999999999996</v>
      </c>
      <c r="M291">
        <f t="shared" si="19"/>
        <v>8.5651537335285494E-2</v>
      </c>
      <c r="N291">
        <v>0.72599999999999998</v>
      </c>
      <c r="O291">
        <v>2.1999999999999999E-2</v>
      </c>
      <c r="P291">
        <f t="shared" si="21"/>
        <v>0.70399999999999996</v>
      </c>
      <c r="Q291">
        <v>0.442</v>
      </c>
      <c r="R291">
        <f t="shared" si="20"/>
        <v>0.62784090909090917</v>
      </c>
    </row>
    <row r="292" spans="1:19" x14ac:dyDescent="0.25">
      <c r="A292">
        <v>291</v>
      </c>
      <c r="B292" t="s">
        <v>797</v>
      </c>
      <c r="D292" t="s">
        <v>491</v>
      </c>
      <c r="E292">
        <v>3</v>
      </c>
      <c r="F292" t="s">
        <v>492</v>
      </c>
      <c r="G292" t="s">
        <v>135</v>
      </c>
      <c r="H292" t="s">
        <v>135</v>
      </c>
      <c r="I292" t="s">
        <v>129</v>
      </c>
      <c r="J292">
        <v>7.25</v>
      </c>
      <c r="K292">
        <v>6.32</v>
      </c>
      <c r="L292">
        <f t="shared" si="18"/>
        <v>0.46499999999999986</v>
      </c>
      <c r="M292">
        <f t="shared" si="19"/>
        <v>6.4137931034482745E-2</v>
      </c>
      <c r="N292">
        <v>0.60399999999999998</v>
      </c>
      <c r="O292">
        <v>2.1999999999999999E-2</v>
      </c>
      <c r="P292">
        <f t="shared" si="21"/>
        <v>0.58199999999999996</v>
      </c>
      <c r="Q292">
        <v>0.45</v>
      </c>
      <c r="R292">
        <f t="shared" si="20"/>
        <v>0.77319587628865982</v>
      </c>
    </row>
    <row r="293" spans="1:19" x14ac:dyDescent="0.25">
      <c r="A293">
        <v>292</v>
      </c>
      <c r="B293" t="s">
        <v>796</v>
      </c>
      <c r="D293" t="s">
        <v>599</v>
      </c>
      <c r="E293">
        <v>5</v>
      </c>
      <c r="F293" t="s">
        <v>600</v>
      </c>
      <c r="G293" t="s">
        <v>135</v>
      </c>
      <c r="H293" t="s">
        <v>135</v>
      </c>
      <c r="I293" t="s">
        <v>129</v>
      </c>
      <c r="J293">
        <v>6.71</v>
      </c>
      <c r="K293">
        <v>5.13</v>
      </c>
      <c r="L293">
        <f t="shared" si="18"/>
        <v>0.79</v>
      </c>
      <c r="M293">
        <f t="shared" si="19"/>
        <v>0.11773472429210134</v>
      </c>
      <c r="N293">
        <v>0.996</v>
      </c>
      <c r="O293">
        <v>2.1999999999999999E-2</v>
      </c>
      <c r="P293">
        <f t="shared" si="21"/>
        <v>0.97399999999999998</v>
      </c>
      <c r="Q293">
        <v>0.56200000000000006</v>
      </c>
      <c r="R293">
        <f t="shared" si="20"/>
        <v>0.57700205338809041</v>
      </c>
    </row>
    <row r="294" spans="1:19" x14ac:dyDescent="0.25">
      <c r="A294">
        <v>293</v>
      </c>
      <c r="B294" t="s">
        <v>817</v>
      </c>
      <c r="D294" t="s">
        <v>344</v>
      </c>
      <c r="E294">
        <v>5</v>
      </c>
      <c r="F294" t="s">
        <v>278</v>
      </c>
      <c r="G294" t="s">
        <v>135</v>
      </c>
      <c r="H294" t="s">
        <v>135</v>
      </c>
      <c r="I294" t="s">
        <v>129</v>
      </c>
      <c r="J294">
        <v>8.1</v>
      </c>
      <c r="K294">
        <v>6.36</v>
      </c>
      <c r="L294">
        <f t="shared" si="18"/>
        <v>0.86999999999999966</v>
      </c>
      <c r="M294">
        <f t="shared" si="19"/>
        <v>0.10740740740740737</v>
      </c>
      <c r="N294">
        <v>1.141</v>
      </c>
      <c r="O294">
        <v>2.1999999999999999E-2</v>
      </c>
      <c r="P294">
        <f t="shared" si="21"/>
        <v>1.119</v>
      </c>
      <c r="Q294">
        <v>0.57799999999999996</v>
      </c>
      <c r="R294">
        <f t="shared" si="20"/>
        <v>0.51653261840929399</v>
      </c>
    </row>
    <row r="295" spans="1:19" x14ac:dyDescent="0.25">
      <c r="A295">
        <v>294</v>
      </c>
      <c r="B295" t="s">
        <v>815</v>
      </c>
      <c r="D295" t="s">
        <v>383</v>
      </c>
      <c r="E295">
        <v>5</v>
      </c>
      <c r="F295" t="s">
        <v>249</v>
      </c>
      <c r="G295" t="s">
        <v>135</v>
      </c>
      <c r="H295" t="s">
        <v>135</v>
      </c>
      <c r="I295" t="s">
        <v>129</v>
      </c>
      <c r="J295">
        <v>8.4700000000000006</v>
      </c>
      <c r="K295">
        <v>6.28</v>
      </c>
      <c r="L295">
        <f t="shared" si="18"/>
        <v>1.0950000000000002</v>
      </c>
      <c r="M295">
        <f t="shared" si="19"/>
        <v>0.12927981109799294</v>
      </c>
      <c r="N295">
        <v>0.83299999999999996</v>
      </c>
      <c r="O295">
        <v>2.1999999999999999E-2</v>
      </c>
      <c r="P295">
        <f t="shared" si="21"/>
        <v>0.81099999999999994</v>
      </c>
      <c r="Q295">
        <v>0.52300000000000002</v>
      </c>
      <c r="R295">
        <f t="shared" si="20"/>
        <v>0.64488286066584466</v>
      </c>
    </row>
    <row r="296" spans="1:19" x14ac:dyDescent="0.25">
      <c r="A296">
        <v>295</v>
      </c>
      <c r="B296" t="s">
        <v>814</v>
      </c>
      <c r="D296" t="s">
        <v>763</v>
      </c>
      <c r="E296">
        <v>3</v>
      </c>
      <c r="F296" t="s">
        <v>764</v>
      </c>
      <c r="G296" t="s">
        <v>135</v>
      </c>
      <c r="H296" t="s">
        <v>135</v>
      </c>
      <c r="I296" t="s">
        <v>129</v>
      </c>
      <c r="J296">
        <v>6.63</v>
      </c>
      <c r="K296">
        <v>4.6399999999999997</v>
      </c>
      <c r="L296">
        <f t="shared" si="18"/>
        <v>0.99500000000000011</v>
      </c>
      <c r="M296">
        <f t="shared" si="19"/>
        <v>0.15007541478129716</v>
      </c>
      <c r="N296">
        <v>0.36799999999999999</v>
      </c>
      <c r="O296">
        <v>2.1999999999999999E-2</v>
      </c>
      <c r="P296">
        <f t="shared" si="21"/>
        <v>0.34599999999999997</v>
      </c>
      <c r="Q296">
        <v>0.27600000000000002</v>
      </c>
      <c r="R296">
        <f t="shared" si="20"/>
        <v>0.79768786127167646</v>
      </c>
    </row>
    <row r="297" spans="1:19" x14ac:dyDescent="0.25">
      <c r="A297">
        <v>296</v>
      </c>
      <c r="B297" t="s">
        <v>811</v>
      </c>
      <c r="D297" t="s">
        <v>812</v>
      </c>
      <c r="E297">
        <v>1</v>
      </c>
      <c r="F297" t="s">
        <v>813</v>
      </c>
      <c r="G297" t="s">
        <v>135</v>
      </c>
      <c r="H297" t="s">
        <v>135</v>
      </c>
      <c r="I297" t="s">
        <v>129</v>
      </c>
      <c r="J297">
        <v>10.56</v>
      </c>
      <c r="K297">
        <v>9.14</v>
      </c>
      <c r="L297">
        <f t="shared" si="18"/>
        <v>0.71</v>
      </c>
      <c r="M297">
        <f t="shared" si="19"/>
        <v>6.7234848484848481E-2</v>
      </c>
      <c r="N297">
        <v>0.93500000000000005</v>
      </c>
      <c r="O297">
        <v>2.1999999999999999E-2</v>
      </c>
      <c r="P297">
        <f t="shared" si="21"/>
        <v>0.91300000000000003</v>
      </c>
      <c r="Q297">
        <v>0.57299999999999995</v>
      </c>
      <c r="R297">
        <f t="shared" si="20"/>
        <v>0.62760131434830224</v>
      </c>
    </row>
    <row r="298" spans="1:19" x14ac:dyDescent="0.25">
      <c r="A298">
        <v>297</v>
      </c>
      <c r="B298" t="s">
        <v>808</v>
      </c>
      <c r="D298" t="s">
        <v>809</v>
      </c>
      <c r="E298">
        <v>1</v>
      </c>
      <c r="F298" t="s">
        <v>810</v>
      </c>
      <c r="G298" t="s">
        <v>135</v>
      </c>
      <c r="H298" t="s">
        <v>135</v>
      </c>
      <c r="I298" t="s">
        <v>129</v>
      </c>
      <c r="J298">
        <v>7.62</v>
      </c>
      <c r="K298">
        <v>6.18</v>
      </c>
      <c r="L298">
        <f t="shared" si="18"/>
        <v>0.7200000000000002</v>
      </c>
      <c r="M298">
        <f t="shared" si="19"/>
        <v>9.4488188976377979E-2</v>
      </c>
      <c r="N298">
        <v>0.69299999999999995</v>
      </c>
      <c r="O298">
        <v>2.1999999999999999E-2</v>
      </c>
      <c r="P298">
        <f t="shared" si="21"/>
        <v>0.67099999999999993</v>
      </c>
      <c r="Q298">
        <v>0.51300000000000001</v>
      </c>
      <c r="R298">
        <f t="shared" si="20"/>
        <v>0.7645305514157974</v>
      </c>
    </row>
    <row r="299" spans="1:19" x14ac:dyDescent="0.25">
      <c r="A299">
        <v>298</v>
      </c>
      <c r="B299" t="s">
        <v>807</v>
      </c>
      <c r="D299" t="s">
        <v>498</v>
      </c>
      <c r="E299">
        <v>5</v>
      </c>
      <c r="F299" t="s">
        <v>499</v>
      </c>
      <c r="G299" t="s">
        <v>135</v>
      </c>
      <c r="H299" t="s">
        <v>135</v>
      </c>
      <c r="I299" t="s">
        <v>129</v>
      </c>
      <c r="J299">
        <v>8.64</v>
      </c>
      <c r="K299">
        <v>6.77</v>
      </c>
      <c r="L299">
        <f t="shared" si="18"/>
        <v>0.9350000000000005</v>
      </c>
      <c r="M299">
        <f t="shared" si="19"/>
        <v>0.10821759259259264</v>
      </c>
      <c r="N299">
        <v>0.65500000000000003</v>
      </c>
      <c r="O299">
        <v>2.1999999999999999E-2</v>
      </c>
      <c r="P299">
        <f t="shared" si="21"/>
        <v>0.63300000000000001</v>
      </c>
      <c r="Q299">
        <v>0.40400000000000003</v>
      </c>
      <c r="R299">
        <f t="shared" si="20"/>
        <v>0.6382306477093207</v>
      </c>
    </row>
    <row r="300" spans="1:19" x14ac:dyDescent="0.25">
      <c r="A300">
        <v>299</v>
      </c>
      <c r="B300" t="s">
        <v>806</v>
      </c>
      <c r="D300" t="s">
        <v>502</v>
      </c>
      <c r="E300">
        <v>3</v>
      </c>
      <c r="F300" t="s">
        <v>534</v>
      </c>
      <c r="G300" t="s">
        <v>135</v>
      </c>
      <c r="H300" t="s">
        <v>135</v>
      </c>
      <c r="I300" t="s">
        <v>129</v>
      </c>
      <c r="J300">
        <v>6.76</v>
      </c>
      <c r="K300">
        <v>5.66</v>
      </c>
      <c r="L300">
        <f t="shared" si="18"/>
        <v>0.54999999999999982</v>
      </c>
      <c r="M300">
        <f t="shared" si="19"/>
        <v>8.1360946745562102E-2</v>
      </c>
      <c r="N300">
        <v>0.68100000000000005</v>
      </c>
      <c r="O300">
        <v>2.1999999999999999E-2</v>
      </c>
      <c r="P300">
        <f t="shared" si="21"/>
        <v>0.65900000000000003</v>
      </c>
      <c r="Q300">
        <v>0.42199999999999999</v>
      </c>
      <c r="R300">
        <f t="shared" si="20"/>
        <v>0.64036418816388463</v>
      </c>
    </row>
    <row r="301" spans="1:19" x14ac:dyDescent="0.25">
      <c r="A301">
        <v>300</v>
      </c>
      <c r="B301" t="s">
        <v>746</v>
      </c>
      <c r="D301" t="s">
        <v>613</v>
      </c>
      <c r="E301">
        <v>5</v>
      </c>
      <c r="F301" t="s">
        <v>725</v>
      </c>
      <c r="G301" t="s">
        <v>135</v>
      </c>
      <c r="H301" t="s">
        <v>135</v>
      </c>
      <c r="I301" t="s">
        <v>129</v>
      </c>
      <c r="J301">
        <v>6.74</v>
      </c>
      <c r="K301">
        <v>5.55</v>
      </c>
      <c r="L301">
        <f t="shared" si="18"/>
        <v>0.5950000000000002</v>
      </c>
      <c r="M301">
        <f t="shared" si="19"/>
        <v>8.8278931750741862E-2</v>
      </c>
      <c r="N301">
        <v>0.47299999999999998</v>
      </c>
      <c r="O301">
        <v>2.1999999999999999E-2</v>
      </c>
      <c r="P301">
        <f t="shared" si="21"/>
        <v>0.45099999999999996</v>
      </c>
      <c r="Q301">
        <v>0.22</v>
      </c>
      <c r="R301">
        <f t="shared" si="20"/>
        <v>0.48780487804878053</v>
      </c>
    </row>
    <row r="302" spans="1:19" x14ac:dyDescent="0.25">
      <c r="A302">
        <v>301</v>
      </c>
      <c r="B302" t="s">
        <v>748</v>
      </c>
      <c r="D302" t="s">
        <v>368</v>
      </c>
      <c r="E302">
        <v>5</v>
      </c>
      <c r="F302" t="s">
        <v>322</v>
      </c>
      <c r="G302" t="s">
        <v>135</v>
      </c>
      <c r="H302" t="s">
        <v>135</v>
      </c>
      <c r="I302" t="s">
        <v>129</v>
      </c>
      <c r="J302">
        <v>7.28</v>
      </c>
      <c r="K302">
        <v>5.38</v>
      </c>
      <c r="L302">
        <f t="shared" si="18"/>
        <v>0.95000000000000018</v>
      </c>
      <c r="M302">
        <f t="shared" si="19"/>
        <v>0.1304945054945055</v>
      </c>
      <c r="N302">
        <v>0.50900000000000001</v>
      </c>
      <c r="O302">
        <v>2.1999999999999999E-2</v>
      </c>
      <c r="P302">
        <f t="shared" si="21"/>
        <v>0.48699999999999999</v>
      </c>
      <c r="Q302">
        <v>0.218</v>
      </c>
      <c r="R302">
        <f t="shared" si="20"/>
        <v>0.44763860369609859</v>
      </c>
    </row>
    <row r="303" spans="1:19" x14ac:dyDescent="0.25">
      <c r="A303">
        <v>302</v>
      </c>
      <c r="B303" t="s">
        <v>750</v>
      </c>
      <c r="D303" t="s">
        <v>514</v>
      </c>
      <c r="E303">
        <v>3</v>
      </c>
      <c r="F303" t="s">
        <v>751</v>
      </c>
      <c r="G303" t="s">
        <v>135</v>
      </c>
      <c r="H303" t="s">
        <v>135</v>
      </c>
      <c r="I303" t="s">
        <v>129</v>
      </c>
      <c r="J303">
        <v>6.73</v>
      </c>
      <c r="K303">
        <v>4.24</v>
      </c>
      <c r="L303">
        <f t="shared" si="18"/>
        <v>1.2450000000000001</v>
      </c>
      <c r="M303">
        <f t="shared" si="19"/>
        <v>0.18499257057949481</v>
      </c>
      <c r="N303">
        <v>0.498</v>
      </c>
      <c r="O303">
        <v>2.1999999999999999E-2</v>
      </c>
      <c r="P303">
        <f t="shared" si="21"/>
        <v>0.47599999999999998</v>
      </c>
      <c r="Q303">
        <v>0.17399999999999999</v>
      </c>
      <c r="R303">
        <f t="shared" si="20"/>
        <v>0.36554621848739494</v>
      </c>
    </row>
    <row r="304" spans="1:19" x14ac:dyDescent="0.25">
      <c r="A304">
        <v>303</v>
      </c>
      <c r="B304" t="s">
        <v>752</v>
      </c>
      <c r="D304" t="s">
        <v>359</v>
      </c>
      <c r="E304">
        <v>5</v>
      </c>
      <c r="F304" t="s">
        <v>370</v>
      </c>
      <c r="G304" t="s">
        <v>135</v>
      </c>
      <c r="H304" t="s">
        <v>135</v>
      </c>
      <c r="I304" t="s">
        <v>129</v>
      </c>
      <c r="J304">
        <v>7.14</v>
      </c>
      <c r="K304">
        <v>4.91</v>
      </c>
      <c r="L304">
        <f t="shared" si="18"/>
        <v>1.1149999999999998</v>
      </c>
      <c r="M304">
        <f t="shared" si="19"/>
        <v>0.15616246498599437</v>
      </c>
      <c r="N304">
        <v>0.63</v>
      </c>
      <c r="O304">
        <v>2.1999999999999999E-2</v>
      </c>
      <c r="P304">
        <f t="shared" si="21"/>
        <v>0.60799999999999998</v>
      </c>
      <c r="Q304">
        <v>0.41899999999999998</v>
      </c>
      <c r="R304">
        <f t="shared" si="20"/>
        <v>0.6891447368421052</v>
      </c>
    </row>
    <row r="305" spans="1:20" x14ac:dyDescent="0.25">
      <c r="A305">
        <v>304</v>
      </c>
      <c r="B305" t="s">
        <v>754</v>
      </c>
      <c r="D305" t="s">
        <v>430</v>
      </c>
      <c r="E305">
        <v>5</v>
      </c>
      <c r="F305" t="s">
        <v>431</v>
      </c>
      <c r="G305" t="s">
        <v>135</v>
      </c>
      <c r="H305" t="s">
        <v>135</v>
      </c>
      <c r="I305" t="s">
        <v>129</v>
      </c>
      <c r="J305">
        <v>7.27</v>
      </c>
      <c r="K305">
        <v>4.6900000000000004</v>
      </c>
      <c r="L305">
        <f t="shared" si="18"/>
        <v>1.2899999999999996</v>
      </c>
      <c r="M305">
        <f t="shared" si="19"/>
        <v>0.17744154057771661</v>
      </c>
      <c r="N305">
        <v>0.375</v>
      </c>
      <c r="O305">
        <v>2.1999999999999999E-2</v>
      </c>
      <c r="P305">
        <f t="shared" si="21"/>
        <v>0.35299999999999998</v>
      </c>
      <c r="Q305">
        <v>0.20399999999999999</v>
      </c>
      <c r="R305">
        <f t="shared" si="20"/>
        <v>0.57790368271954673</v>
      </c>
    </row>
    <row r="306" spans="1:20" x14ac:dyDescent="0.25">
      <c r="A306">
        <v>305</v>
      </c>
      <c r="B306" t="s">
        <v>755</v>
      </c>
      <c r="D306" t="s">
        <v>383</v>
      </c>
      <c r="E306">
        <v>4</v>
      </c>
      <c r="F306" t="s">
        <v>249</v>
      </c>
      <c r="G306" t="s">
        <v>135</v>
      </c>
      <c r="H306" t="s">
        <v>135</v>
      </c>
      <c r="I306" t="s">
        <v>129</v>
      </c>
      <c r="J306">
        <v>7.22</v>
      </c>
      <c r="K306">
        <v>4.97</v>
      </c>
      <c r="L306">
        <f t="shared" si="18"/>
        <v>1.125</v>
      </c>
      <c r="M306">
        <f t="shared" si="19"/>
        <v>0.15581717451523547</v>
      </c>
      <c r="N306">
        <v>0.45</v>
      </c>
      <c r="O306">
        <v>2.1999999999999999E-2</v>
      </c>
      <c r="P306">
        <f t="shared" si="21"/>
        <v>0.42799999999999999</v>
      </c>
      <c r="Q306">
        <v>0.28399999999999997</v>
      </c>
      <c r="R306">
        <f t="shared" si="20"/>
        <v>0.66355140186915884</v>
      </c>
      <c r="T306" t="s">
        <v>1020</v>
      </c>
    </row>
    <row r="307" spans="1:20" x14ac:dyDescent="0.25">
      <c r="A307">
        <v>306</v>
      </c>
      <c r="B307" t="s">
        <v>765</v>
      </c>
      <c r="D307" t="s">
        <v>376</v>
      </c>
      <c r="E307">
        <v>5</v>
      </c>
      <c r="F307" t="s">
        <v>312</v>
      </c>
      <c r="G307" t="s">
        <v>135</v>
      </c>
      <c r="H307" t="s">
        <v>135</v>
      </c>
      <c r="I307" t="s">
        <v>129</v>
      </c>
      <c r="J307">
        <v>7.36</v>
      </c>
      <c r="K307">
        <v>6.2</v>
      </c>
      <c r="L307">
        <f t="shared" si="18"/>
        <v>0.58000000000000007</v>
      </c>
      <c r="M307">
        <f t="shared" si="19"/>
        <v>7.880434782608696E-2</v>
      </c>
      <c r="N307">
        <v>0.70399999999999996</v>
      </c>
      <c r="O307">
        <v>2.1999999999999999E-2</v>
      </c>
      <c r="P307">
        <f t="shared" si="21"/>
        <v>0.68199999999999994</v>
      </c>
      <c r="Q307">
        <v>0.38800000000000001</v>
      </c>
      <c r="R307">
        <f t="shared" si="20"/>
        <v>0.56891495601173026</v>
      </c>
    </row>
    <row r="308" spans="1:20" x14ac:dyDescent="0.25">
      <c r="A308">
        <v>307</v>
      </c>
      <c r="B308" t="s">
        <v>749</v>
      </c>
      <c r="D308" t="s">
        <v>593</v>
      </c>
      <c r="E308">
        <v>5</v>
      </c>
      <c r="F308" t="s">
        <v>744</v>
      </c>
      <c r="G308" t="s">
        <v>135</v>
      </c>
      <c r="H308" t="s">
        <v>135</v>
      </c>
      <c r="I308" t="s">
        <v>129</v>
      </c>
      <c r="J308">
        <v>7.48</v>
      </c>
      <c r="K308">
        <v>5.0599999999999996</v>
      </c>
      <c r="L308">
        <f t="shared" si="18"/>
        <v>1.2100000000000004</v>
      </c>
      <c r="M308">
        <f t="shared" si="19"/>
        <v>0.16176470588235298</v>
      </c>
      <c r="N308">
        <v>0.39500000000000002</v>
      </c>
      <c r="O308">
        <v>2.1999999999999999E-2</v>
      </c>
      <c r="P308">
        <f t="shared" si="21"/>
        <v>0.373</v>
      </c>
      <c r="Q308">
        <v>0.115</v>
      </c>
      <c r="R308">
        <f t="shared" si="20"/>
        <v>0.3083109919571046</v>
      </c>
    </row>
    <row r="309" spans="1:20" x14ac:dyDescent="0.25">
      <c r="A309">
        <v>308</v>
      </c>
      <c r="B309" t="s">
        <v>753</v>
      </c>
      <c r="D309" t="s">
        <v>613</v>
      </c>
      <c r="E309">
        <v>4</v>
      </c>
      <c r="F309" t="s">
        <v>725</v>
      </c>
      <c r="G309" t="s">
        <v>135</v>
      </c>
      <c r="H309" t="s">
        <v>135</v>
      </c>
      <c r="I309" t="s">
        <v>129</v>
      </c>
      <c r="J309">
        <v>6.96</v>
      </c>
      <c r="K309">
        <v>4.55</v>
      </c>
      <c r="L309">
        <f t="shared" si="18"/>
        <v>1.2050000000000001</v>
      </c>
      <c r="M309">
        <f t="shared" si="19"/>
        <v>0.17313218390804599</v>
      </c>
      <c r="N309">
        <v>0.64900000000000002</v>
      </c>
      <c r="O309">
        <v>2.1999999999999999E-2</v>
      </c>
      <c r="P309">
        <f t="shared" si="21"/>
        <v>0.627</v>
      </c>
      <c r="Q309">
        <v>0.32700000000000001</v>
      </c>
      <c r="R309">
        <f t="shared" si="20"/>
        <v>0.52153110047846896</v>
      </c>
    </row>
    <row r="310" spans="1:20" x14ac:dyDescent="0.25">
      <c r="A310">
        <v>309</v>
      </c>
      <c r="B310" t="s">
        <v>805</v>
      </c>
      <c r="D310" t="s">
        <v>502</v>
      </c>
      <c r="E310">
        <v>4</v>
      </c>
      <c r="F310" t="s">
        <v>821</v>
      </c>
      <c r="G310" t="s">
        <v>135</v>
      </c>
      <c r="H310" t="s">
        <v>135</v>
      </c>
      <c r="I310" t="s">
        <v>129</v>
      </c>
      <c r="J310">
        <v>6.43</v>
      </c>
      <c r="K310">
        <v>5.39</v>
      </c>
      <c r="L310">
        <f t="shared" si="18"/>
        <v>0.52</v>
      </c>
      <c r="M310">
        <f t="shared" si="19"/>
        <v>8.0870917573872478E-2</v>
      </c>
      <c r="N310">
        <v>0.53600000000000003</v>
      </c>
      <c r="O310">
        <v>2.1999999999999999E-2</v>
      </c>
      <c r="P310">
        <f t="shared" si="21"/>
        <v>0.51400000000000001</v>
      </c>
      <c r="Q310">
        <v>0.21199999999999999</v>
      </c>
      <c r="R310">
        <f t="shared" si="20"/>
        <v>0.41245136186770426</v>
      </c>
    </row>
    <row r="311" spans="1:20" x14ac:dyDescent="0.25">
      <c r="A311">
        <v>310</v>
      </c>
      <c r="B311" t="s">
        <v>756</v>
      </c>
      <c r="D311" t="s">
        <v>331</v>
      </c>
      <c r="E311">
        <v>4</v>
      </c>
      <c r="F311" t="s">
        <v>5</v>
      </c>
      <c r="G311" t="s">
        <v>135</v>
      </c>
      <c r="H311" t="s">
        <v>135</v>
      </c>
      <c r="I311" t="s">
        <v>129</v>
      </c>
      <c r="J311">
        <v>6.95</v>
      </c>
      <c r="K311">
        <v>5.95</v>
      </c>
      <c r="L311">
        <f t="shared" si="18"/>
        <v>0.5</v>
      </c>
      <c r="M311">
        <f t="shared" si="19"/>
        <v>7.1942446043165464E-2</v>
      </c>
      <c r="N311">
        <v>0.58099999999999996</v>
      </c>
      <c r="O311">
        <v>2.1999999999999999E-2</v>
      </c>
      <c r="P311">
        <f t="shared" si="21"/>
        <v>0.55899999999999994</v>
      </c>
      <c r="Q311">
        <v>0.309</v>
      </c>
      <c r="R311">
        <f t="shared" si="20"/>
        <v>0.55277280858676214</v>
      </c>
    </row>
    <row r="312" spans="1:20" x14ac:dyDescent="0.25">
      <c r="A312">
        <v>311</v>
      </c>
      <c r="B312" t="s">
        <v>757</v>
      </c>
      <c r="D312" t="s">
        <v>593</v>
      </c>
      <c r="E312">
        <v>4</v>
      </c>
      <c r="F312" t="s">
        <v>744</v>
      </c>
      <c r="G312" t="s">
        <v>135</v>
      </c>
      <c r="H312" t="s">
        <v>135</v>
      </c>
      <c r="I312" t="s">
        <v>129</v>
      </c>
      <c r="J312">
        <v>11.54</v>
      </c>
      <c r="K312">
        <v>4.92</v>
      </c>
      <c r="L312">
        <f t="shared" si="18"/>
        <v>3.3099999999999996</v>
      </c>
      <c r="M312">
        <f t="shared" si="19"/>
        <v>0.28682842287694971</v>
      </c>
      <c r="N312">
        <f>0.301+0.47</f>
        <v>0.77099999999999991</v>
      </c>
      <c r="O312">
        <v>2.1999999999999999E-2</v>
      </c>
      <c r="P312">
        <f t="shared" si="21"/>
        <v>0.74899999999999989</v>
      </c>
      <c r="Q312">
        <v>0.34</v>
      </c>
      <c r="R312">
        <f t="shared" si="20"/>
        <v>0.45393858477970639</v>
      </c>
    </row>
    <row r="313" spans="1:20" x14ac:dyDescent="0.25">
      <c r="A313">
        <v>312</v>
      </c>
      <c r="B313" t="s">
        <v>758</v>
      </c>
      <c r="D313" t="s">
        <v>387</v>
      </c>
      <c r="E313">
        <v>4</v>
      </c>
      <c r="F313" t="s">
        <v>281</v>
      </c>
      <c r="G313" t="s">
        <v>135</v>
      </c>
      <c r="H313" t="s">
        <v>135</v>
      </c>
      <c r="I313" t="s">
        <v>129</v>
      </c>
      <c r="J313">
        <v>5.01</v>
      </c>
      <c r="K313">
        <v>4.05</v>
      </c>
      <c r="L313">
        <f t="shared" si="18"/>
        <v>0.48</v>
      </c>
      <c r="M313">
        <f t="shared" si="19"/>
        <v>9.580838323353294E-2</v>
      </c>
      <c r="N313">
        <v>0.85499999999999998</v>
      </c>
      <c r="O313">
        <v>2.1999999999999999E-2</v>
      </c>
      <c r="P313">
        <f t="shared" si="21"/>
        <v>0.83299999999999996</v>
      </c>
      <c r="Q313">
        <v>0.6</v>
      </c>
      <c r="R313">
        <f t="shared" si="20"/>
        <v>0.72028811524609848</v>
      </c>
    </row>
    <row r="314" spans="1:20" x14ac:dyDescent="0.25">
      <c r="A314">
        <v>313</v>
      </c>
      <c r="B314" t="s">
        <v>747</v>
      </c>
      <c r="D314" t="s">
        <v>341</v>
      </c>
      <c r="E314">
        <v>5</v>
      </c>
      <c r="F314" t="s">
        <v>321</v>
      </c>
      <c r="G314" t="s">
        <v>135</v>
      </c>
      <c r="H314" t="s">
        <v>135</v>
      </c>
      <c r="I314" t="s">
        <v>129</v>
      </c>
      <c r="J314">
        <v>6.23</v>
      </c>
      <c r="K314">
        <v>4.25</v>
      </c>
      <c r="L314">
        <f t="shared" si="18"/>
        <v>0.99000000000000021</v>
      </c>
      <c r="M314">
        <f t="shared" si="19"/>
        <v>0.15890850722311398</v>
      </c>
      <c r="N314">
        <v>0.55800000000000005</v>
      </c>
      <c r="O314">
        <v>2.1999999999999999E-2</v>
      </c>
      <c r="P314">
        <f t="shared" si="21"/>
        <v>0.53600000000000003</v>
      </c>
      <c r="Q314">
        <v>0.34699999999999998</v>
      </c>
      <c r="R314">
        <f t="shared" si="20"/>
        <v>0.64738805970149249</v>
      </c>
    </row>
    <row r="315" spans="1:20" x14ac:dyDescent="0.25">
      <c r="A315">
        <v>314</v>
      </c>
      <c r="B315" t="s">
        <v>759</v>
      </c>
      <c r="D315" t="s">
        <v>348</v>
      </c>
      <c r="E315">
        <v>5</v>
      </c>
      <c r="F315" t="s">
        <v>328</v>
      </c>
      <c r="G315" t="s">
        <v>135</v>
      </c>
      <c r="H315" t="s">
        <v>135</v>
      </c>
      <c r="I315" t="s">
        <v>129</v>
      </c>
      <c r="J315">
        <v>8.07</v>
      </c>
      <c r="K315">
        <v>5.96</v>
      </c>
      <c r="L315">
        <f t="shared" si="18"/>
        <v>1.0550000000000002</v>
      </c>
      <c r="M315">
        <f t="shared" si="19"/>
        <v>0.13073110285006198</v>
      </c>
      <c r="N315">
        <v>0.89600000000000002</v>
      </c>
      <c r="O315">
        <v>2.1999999999999999E-2</v>
      </c>
      <c r="P315">
        <f t="shared" si="21"/>
        <v>0.874</v>
      </c>
      <c r="Q315">
        <v>0.45700000000000002</v>
      </c>
      <c r="R315">
        <f t="shared" si="20"/>
        <v>0.52288329519450805</v>
      </c>
    </row>
    <row r="316" spans="1:20" x14ac:dyDescent="0.25">
      <c r="A316">
        <v>315</v>
      </c>
      <c r="B316" t="s">
        <v>760</v>
      </c>
      <c r="D316" t="s">
        <v>333</v>
      </c>
      <c r="E316">
        <v>4</v>
      </c>
      <c r="F316" t="s">
        <v>364</v>
      </c>
      <c r="G316" t="s">
        <v>135</v>
      </c>
      <c r="H316" t="s">
        <v>135</v>
      </c>
      <c r="I316" t="s">
        <v>129</v>
      </c>
      <c r="J316">
        <v>7.71</v>
      </c>
      <c r="K316">
        <v>3.97</v>
      </c>
      <c r="L316">
        <f t="shared" si="18"/>
        <v>1.8699999999999999</v>
      </c>
      <c r="M316">
        <f t="shared" si="19"/>
        <v>0.24254215304798962</v>
      </c>
      <c r="N316">
        <v>0.52200000000000002</v>
      </c>
      <c r="O316">
        <v>2.1999999999999999E-2</v>
      </c>
      <c r="P316">
        <f t="shared" si="21"/>
        <v>0.5</v>
      </c>
      <c r="Q316">
        <v>0.3</v>
      </c>
      <c r="R316">
        <f t="shared" si="20"/>
        <v>0.6</v>
      </c>
    </row>
    <row r="317" spans="1:20" x14ac:dyDescent="0.25">
      <c r="A317">
        <v>316</v>
      </c>
      <c r="B317" t="s">
        <v>761</v>
      </c>
      <c r="D317" t="s">
        <v>335</v>
      </c>
      <c r="E317">
        <v>5</v>
      </c>
      <c r="F317" t="s">
        <v>473</v>
      </c>
      <c r="G317" t="s">
        <v>135</v>
      </c>
      <c r="H317" t="s">
        <v>135</v>
      </c>
      <c r="I317" t="s">
        <v>129</v>
      </c>
      <c r="J317">
        <v>7.27</v>
      </c>
      <c r="K317">
        <v>5.86</v>
      </c>
      <c r="L317">
        <f t="shared" si="18"/>
        <v>0.70499999999999963</v>
      </c>
      <c r="M317">
        <f t="shared" si="19"/>
        <v>9.6973865199449755E-2</v>
      </c>
      <c r="N317">
        <v>0.72399999999999998</v>
      </c>
      <c r="O317">
        <v>2.1999999999999999E-2</v>
      </c>
      <c r="P317">
        <f t="shared" si="21"/>
        <v>0.70199999999999996</v>
      </c>
      <c r="Q317">
        <v>0.51900000000000002</v>
      </c>
      <c r="R317">
        <f t="shared" si="20"/>
        <v>0.73931623931623935</v>
      </c>
    </row>
    <row r="318" spans="1:20" x14ac:dyDescent="0.25">
      <c r="A318">
        <v>317</v>
      </c>
      <c r="B318" t="s">
        <v>762</v>
      </c>
      <c r="D318" t="s">
        <v>763</v>
      </c>
      <c r="E318">
        <v>2</v>
      </c>
      <c r="F318" t="s">
        <v>764</v>
      </c>
      <c r="G318" t="s">
        <v>135</v>
      </c>
      <c r="H318" t="s">
        <v>135</v>
      </c>
      <c r="I318" t="s">
        <v>129</v>
      </c>
      <c r="J318">
        <v>7.97</v>
      </c>
      <c r="K318">
        <v>4.3600000000000003</v>
      </c>
      <c r="L318">
        <f t="shared" si="18"/>
        <v>1.8049999999999997</v>
      </c>
      <c r="M318">
        <f t="shared" si="19"/>
        <v>0.226474278544542</v>
      </c>
      <c r="N318">
        <v>0.72699999999999998</v>
      </c>
      <c r="O318">
        <v>2.1999999999999999E-2</v>
      </c>
      <c r="P318">
        <f t="shared" si="21"/>
        <v>0.70499999999999996</v>
      </c>
      <c r="Q318">
        <v>0.35899999999999999</v>
      </c>
      <c r="R318">
        <f t="shared" si="20"/>
        <v>0.50921985815602833</v>
      </c>
      <c r="T318" t="s">
        <v>903</v>
      </c>
    </row>
    <row r="319" spans="1:20" x14ac:dyDescent="0.25">
      <c r="A319">
        <v>318</v>
      </c>
      <c r="B319" t="s">
        <v>766</v>
      </c>
      <c r="D319" t="s">
        <v>624</v>
      </c>
      <c r="E319">
        <v>4</v>
      </c>
      <c r="F319" t="s">
        <v>625</v>
      </c>
      <c r="G319" t="s">
        <v>135</v>
      </c>
      <c r="H319" t="s">
        <v>135</v>
      </c>
      <c r="I319" t="s">
        <v>129</v>
      </c>
      <c r="J319">
        <v>8.99</v>
      </c>
      <c r="K319">
        <v>7.35</v>
      </c>
      <c r="L319">
        <f t="shared" si="18"/>
        <v>0.82000000000000028</v>
      </c>
      <c r="M319">
        <f t="shared" si="19"/>
        <v>9.121245828698557E-2</v>
      </c>
      <c r="N319">
        <v>0.85799999999999998</v>
      </c>
      <c r="O319">
        <v>2.1999999999999999E-2</v>
      </c>
      <c r="P319">
        <f t="shared" si="21"/>
        <v>0.83599999999999997</v>
      </c>
      <c r="Q319">
        <v>0.39900000000000002</v>
      </c>
      <c r="R319">
        <f t="shared" si="20"/>
        <v>0.47727272727272729</v>
      </c>
    </row>
    <row r="320" spans="1:20" x14ac:dyDescent="0.25">
      <c r="A320">
        <v>319</v>
      </c>
      <c r="B320" t="s">
        <v>767</v>
      </c>
      <c r="D320" t="s">
        <v>624</v>
      </c>
      <c r="E320">
        <v>3</v>
      </c>
      <c r="F320" t="s">
        <v>625</v>
      </c>
      <c r="G320" t="s">
        <v>135</v>
      </c>
      <c r="H320" t="s">
        <v>135</v>
      </c>
      <c r="I320" t="s">
        <v>129</v>
      </c>
      <c r="J320">
        <v>10.09</v>
      </c>
      <c r="K320">
        <v>9.02</v>
      </c>
      <c r="L320">
        <f t="shared" si="18"/>
        <v>0.53500000000000014</v>
      </c>
      <c r="M320">
        <f t="shared" si="19"/>
        <v>5.3022794846382573E-2</v>
      </c>
      <c r="N320">
        <v>1.1559999999999999</v>
      </c>
      <c r="O320">
        <v>2.1999999999999999E-2</v>
      </c>
      <c r="P320">
        <f t="shared" si="21"/>
        <v>1.1339999999999999</v>
      </c>
      <c r="Q320">
        <v>0.44400000000000001</v>
      </c>
      <c r="R320">
        <f t="shared" si="20"/>
        <v>0.39153439153439157</v>
      </c>
    </row>
    <row r="321" spans="1:18" x14ac:dyDescent="0.25">
      <c r="A321">
        <v>320</v>
      </c>
      <c r="B321" t="s">
        <v>856</v>
      </c>
      <c r="D321" t="s">
        <v>848</v>
      </c>
      <c r="E321">
        <v>4</v>
      </c>
      <c r="F321" t="s">
        <v>849</v>
      </c>
      <c r="G321" t="s">
        <v>135</v>
      </c>
      <c r="H321" t="s">
        <v>135</v>
      </c>
      <c r="I321" t="s">
        <v>129</v>
      </c>
      <c r="J321">
        <v>7.87</v>
      </c>
      <c r="K321">
        <v>6.92</v>
      </c>
      <c r="L321">
        <f t="shared" si="18"/>
        <v>0.47500000000000009</v>
      </c>
      <c r="M321">
        <f t="shared" si="19"/>
        <v>6.0355781448538766E-2</v>
      </c>
      <c r="N321">
        <v>0.63600000000000001</v>
      </c>
      <c r="O321">
        <v>2.1999999999999999E-2</v>
      </c>
      <c r="P321">
        <f t="shared" si="21"/>
        <v>0.61399999999999999</v>
      </c>
      <c r="Q321">
        <v>0.46200000000000002</v>
      </c>
      <c r="R321">
        <f t="shared" si="20"/>
        <v>0.75244299674267101</v>
      </c>
    </row>
    <row r="322" spans="1:18" x14ac:dyDescent="0.25">
      <c r="A322">
        <v>321</v>
      </c>
      <c r="B322" t="s">
        <v>876</v>
      </c>
      <c r="D322" t="s">
        <v>426</v>
      </c>
      <c r="E322">
        <v>2</v>
      </c>
      <c r="F322" t="s">
        <v>427</v>
      </c>
      <c r="G322" t="s">
        <v>135</v>
      </c>
      <c r="H322" t="s">
        <v>135</v>
      </c>
      <c r="I322" t="s">
        <v>129</v>
      </c>
      <c r="J322">
        <v>8.61</v>
      </c>
      <c r="K322">
        <v>6.62</v>
      </c>
      <c r="L322">
        <f t="shared" ref="L322:L385" si="22">(J322-K322)/2</f>
        <v>0.99499999999999966</v>
      </c>
      <c r="M322">
        <f t="shared" ref="M322:M385" si="23">L322/J322</f>
        <v>0.11556329849012772</v>
      </c>
      <c r="N322">
        <v>1.3009999999999999</v>
      </c>
      <c r="O322">
        <v>2.1999999999999999E-2</v>
      </c>
      <c r="P322">
        <f t="shared" si="21"/>
        <v>1.2789999999999999</v>
      </c>
      <c r="Q322">
        <v>0.59799999999999998</v>
      </c>
      <c r="R322">
        <f t="shared" ref="R322:R385" si="24">Q322/P322</f>
        <v>0.46755277560594216</v>
      </c>
    </row>
    <row r="323" spans="1:18" x14ac:dyDescent="0.25">
      <c r="A323">
        <v>322</v>
      </c>
      <c r="B323" t="s">
        <v>873</v>
      </c>
      <c r="D323" t="s">
        <v>874</v>
      </c>
      <c r="E323">
        <v>1</v>
      </c>
      <c r="F323" t="s">
        <v>898</v>
      </c>
      <c r="G323" t="s">
        <v>135</v>
      </c>
      <c r="H323" t="s">
        <v>135</v>
      </c>
      <c r="I323" t="s">
        <v>129</v>
      </c>
      <c r="J323">
        <v>7.19</v>
      </c>
      <c r="K323">
        <v>5.75</v>
      </c>
      <c r="L323">
        <f t="shared" si="22"/>
        <v>0.7200000000000002</v>
      </c>
      <c r="M323">
        <f t="shared" si="23"/>
        <v>0.10013908205841449</v>
      </c>
      <c r="N323">
        <v>0.85</v>
      </c>
      <c r="O323">
        <v>2.1999999999999999E-2</v>
      </c>
      <c r="P323">
        <f t="shared" si="21"/>
        <v>0.82799999999999996</v>
      </c>
      <c r="Q323">
        <v>0.61499999999999999</v>
      </c>
      <c r="R323">
        <f t="shared" si="24"/>
        <v>0.74275362318840588</v>
      </c>
    </row>
    <row r="324" spans="1:18" x14ac:dyDescent="0.25">
      <c r="A324">
        <v>323</v>
      </c>
      <c r="B324" t="s">
        <v>871</v>
      </c>
      <c r="D324" t="s">
        <v>581</v>
      </c>
      <c r="E324">
        <v>4</v>
      </c>
      <c r="F324" t="s">
        <v>582</v>
      </c>
      <c r="G324" t="s">
        <v>135</v>
      </c>
      <c r="H324" t="s">
        <v>135</v>
      </c>
      <c r="I324" t="s">
        <v>129</v>
      </c>
      <c r="J324">
        <v>6.13</v>
      </c>
      <c r="K324">
        <v>4.17</v>
      </c>
      <c r="L324">
        <f t="shared" si="22"/>
        <v>0.98</v>
      </c>
      <c r="M324">
        <f t="shared" si="23"/>
        <v>0.1598694942903752</v>
      </c>
      <c r="N324">
        <v>0.53800000000000003</v>
      </c>
      <c r="O324">
        <v>2.1999999999999999E-2</v>
      </c>
      <c r="P324">
        <f t="shared" si="21"/>
        <v>0.51600000000000001</v>
      </c>
      <c r="Q324">
        <v>0.214</v>
      </c>
      <c r="R324">
        <f t="shared" si="24"/>
        <v>0.4147286821705426</v>
      </c>
    </row>
    <row r="325" spans="1:18" x14ac:dyDescent="0.25">
      <c r="A325">
        <v>324</v>
      </c>
      <c r="B325" t="s">
        <v>870</v>
      </c>
      <c r="D325" t="s">
        <v>400</v>
      </c>
      <c r="E325">
        <v>2</v>
      </c>
      <c r="F325" t="s">
        <v>541</v>
      </c>
      <c r="G325" t="s">
        <v>135</v>
      </c>
      <c r="H325" t="s">
        <v>135</v>
      </c>
      <c r="I325" t="s">
        <v>129</v>
      </c>
      <c r="J325">
        <v>6.43</v>
      </c>
      <c r="K325">
        <v>5.75</v>
      </c>
      <c r="L325">
        <f t="shared" si="22"/>
        <v>0.33999999999999986</v>
      </c>
      <c r="M325">
        <f t="shared" si="23"/>
        <v>5.2877138413685826E-2</v>
      </c>
      <c r="N325">
        <v>0.88400000000000001</v>
      </c>
      <c r="O325">
        <v>2.1999999999999999E-2</v>
      </c>
      <c r="P325">
        <f t="shared" si="21"/>
        <v>0.86199999999999999</v>
      </c>
      <c r="Q325">
        <v>0.51300000000000001</v>
      </c>
      <c r="R325">
        <f t="shared" si="24"/>
        <v>0.59512761020881677</v>
      </c>
    </row>
    <row r="326" spans="1:18" x14ac:dyDescent="0.25">
      <c r="A326">
        <v>325</v>
      </c>
      <c r="B326" t="s">
        <v>872</v>
      </c>
      <c r="D326" t="s">
        <v>400</v>
      </c>
      <c r="E326">
        <v>5</v>
      </c>
      <c r="F326" t="s">
        <v>541</v>
      </c>
      <c r="G326" t="s">
        <v>135</v>
      </c>
      <c r="H326" t="s">
        <v>135</v>
      </c>
      <c r="I326" t="s">
        <v>129</v>
      </c>
      <c r="J326">
        <v>5.69</v>
      </c>
      <c r="K326">
        <v>5.1100000000000003</v>
      </c>
      <c r="L326">
        <f t="shared" si="22"/>
        <v>0.29000000000000004</v>
      </c>
      <c r="M326">
        <f t="shared" si="23"/>
        <v>5.0966608084358524E-2</v>
      </c>
      <c r="N326">
        <v>0.29599999999999999</v>
      </c>
      <c r="O326">
        <v>2.1999999999999999E-2</v>
      </c>
      <c r="P326">
        <f t="shared" si="21"/>
        <v>0.27399999999999997</v>
      </c>
      <c r="Q326">
        <v>0.114</v>
      </c>
      <c r="R326">
        <f t="shared" si="24"/>
        <v>0.41605839416058399</v>
      </c>
    </row>
    <row r="327" spans="1:18" x14ac:dyDescent="0.25">
      <c r="A327">
        <v>326</v>
      </c>
      <c r="B327" t="s">
        <v>869</v>
      </c>
      <c r="D327" t="s">
        <v>848</v>
      </c>
      <c r="E327">
        <v>2</v>
      </c>
      <c r="F327" t="s">
        <v>849</v>
      </c>
      <c r="G327" t="s">
        <v>135</v>
      </c>
      <c r="H327" t="s">
        <v>135</v>
      </c>
      <c r="I327" t="s">
        <v>129</v>
      </c>
      <c r="J327">
        <v>6.12</v>
      </c>
      <c r="K327">
        <v>4.78</v>
      </c>
      <c r="L327">
        <f t="shared" si="22"/>
        <v>0.66999999999999993</v>
      </c>
      <c r="M327">
        <f t="shared" si="23"/>
        <v>0.10947712418300652</v>
      </c>
      <c r="N327">
        <v>0.65</v>
      </c>
      <c r="O327">
        <v>2.1999999999999999E-2</v>
      </c>
      <c r="P327">
        <f t="shared" si="21"/>
        <v>0.628</v>
      </c>
      <c r="Q327">
        <v>0.5</v>
      </c>
      <c r="R327">
        <f t="shared" si="24"/>
        <v>0.79617834394904463</v>
      </c>
    </row>
    <row r="328" spans="1:18" x14ac:dyDescent="0.25">
      <c r="A328">
        <v>327</v>
      </c>
      <c r="B328" t="s">
        <v>868</v>
      </c>
      <c r="D328" t="s">
        <v>833</v>
      </c>
      <c r="E328">
        <v>5</v>
      </c>
      <c r="F328" t="s">
        <v>834</v>
      </c>
      <c r="G328" t="s">
        <v>135</v>
      </c>
      <c r="H328" t="s">
        <v>135</v>
      </c>
      <c r="I328" t="s">
        <v>129</v>
      </c>
      <c r="J328">
        <v>5.93</v>
      </c>
      <c r="K328">
        <v>4.3</v>
      </c>
      <c r="L328">
        <f t="shared" si="22"/>
        <v>0.81499999999999995</v>
      </c>
      <c r="M328">
        <f t="shared" si="23"/>
        <v>0.13743676222596965</v>
      </c>
      <c r="N328">
        <v>0.38600000000000001</v>
      </c>
      <c r="O328">
        <v>2.1999999999999999E-2</v>
      </c>
      <c r="P328">
        <f t="shared" si="21"/>
        <v>0.36399999999999999</v>
      </c>
      <c r="Q328">
        <v>0.192</v>
      </c>
      <c r="R328">
        <f t="shared" si="24"/>
        <v>0.52747252747252749</v>
      </c>
    </row>
    <row r="329" spans="1:18" x14ac:dyDescent="0.25">
      <c r="A329">
        <v>328</v>
      </c>
      <c r="B329" t="s">
        <v>867</v>
      </c>
      <c r="D329" t="s">
        <v>491</v>
      </c>
      <c r="E329">
        <v>4</v>
      </c>
      <c r="F329" t="s">
        <v>492</v>
      </c>
      <c r="G329" t="s">
        <v>135</v>
      </c>
      <c r="H329" t="s">
        <v>135</v>
      </c>
      <c r="I329" t="s">
        <v>129</v>
      </c>
      <c r="J329">
        <v>5.01</v>
      </c>
      <c r="K329">
        <v>4.4000000000000004</v>
      </c>
      <c r="L329">
        <f t="shared" si="22"/>
        <v>0.30499999999999972</v>
      </c>
      <c r="M329">
        <f t="shared" si="23"/>
        <v>6.0878243512973995E-2</v>
      </c>
      <c r="N329">
        <v>0.44</v>
      </c>
      <c r="O329">
        <v>2.1999999999999999E-2</v>
      </c>
      <c r="P329">
        <f t="shared" si="21"/>
        <v>0.41799999999999998</v>
      </c>
      <c r="Q329">
        <v>0.36099999999999999</v>
      </c>
      <c r="R329">
        <f t="shared" si="24"/>
        <v>0.86363636363636365</v>
      </c>
    </row>
    <row r="330" spans="1:18" x14ac:dyDescent="0.25">
      <c r="A330">
        <v>329</v>
      </c>
      <c r="B330" t="s">
        <v>864</v>
      </c>
      <c r="D330" t="s">
        <v>865</v>
      </c>
      <c r="E330">
        <v>1</v>
      </c>
      <c r="F330" t="s">
        <v>866</v>
      </c>
      <c r="G330" t="s">
        <v>135</v>
      </c>
      <c r="H330" t="s">
        <v>135</v>
      </c>
      <c r="I330" t="s">
        <v>129</v>
      </c>
      <c r="J330">
        <v>7.3</v>
      </c>
      <c r="K330">
        <v>5.57</v>
      </c>
      <c r="L330">
        <f t="shared" si="22"/>
        <v>0.86499999999999977</v>
      </c>
      <c r="M330">
        <f t="shared" si="23"/>
        <v>0.11849315068493148</v>
      </c>
      <c r="N330">
        <v>1.4410000000000001</v>
      </c>
      <c r="O330">
        <v>2.1999999999999999E-2</v>
      </c>
      <c r="P330">
        <f t="shared" si="21"/>
        <v>1.419</v>
      </c>
      <c r="Q330">
        <v>0.91500000000000004</v>
      </c>
      <c r="R330">
        <f t="shared" si="24"/>
        <v>0.64482029598308666</v>
      </c>
    </row>
    <row r="331" spans="1:18" x14ac:dyDescent="0.25">
      <c r="A331">
        <v>330</v>
      </c>
      <c r="B331" t="s">
        <v>863</v>
      </c>
      <c r="D331" t="s">
        <v>812</v>
      </c>
      <c r="E331">
        <v>2</v>
      </c>
      <c r="F331" t="s">
        <v>813</v>
      </c>
      <c r="G331" t="s">
        <v>135</v>
      </c>
      <c r="H331" t="s">
        <v>135</v>
      </c>
      <c r="I331" t="s">
        <v>129</v>
      </c>
      <c r="J331">
        <v>8.66</v>
      </c>
      <c r="K331">
        <v>8.17</v>
      </c>
      <c r="L331">
        <f t="shared" si="22"/>
        <v>0.24500000000000011</v>
      </c>
      <c r="M331">
        <f t="shared" si="23"/>
        <v>2.8290993071593544E-2</v>
      </c>
      <c r="N331">
        <v>0.27300000000000002</v>
      </c>
      <c r="O331">
        <v>2.1999999999999999E-2</v>
      </c>
      <c r="P331">
        <f t="shared" si="21"/>
        <v>0.251</v>
      </c>
      <c r="Q331">
        <v>0.20200000000000001</v>
      </c>
      <c r="R331">
        <f t="shared" si="24"/>
        <v>0.80478087649402397</v>
      </c>
    </row>
    <row r="332" spans="1:18" x14ac:dyDescent="0.25">
      <c r="A332">
        <v>331</v>
      </c>
      <c r="B332" t="s">
        <v>862</v>
      </c>
      <c r="D332" t="s">
        <v>333</v>
      </c>
      <c r="E332">
        <v>5</v>
      </c>
      <c r="F332" t="s">
        <v>364</v>
      </c>
      <c r="G332" t="s">
        <v>135</v>
      </c>
      <c r="H332" t="s">
        <v>135</v>
      </c>
      <c r="I332" t="s">
        <v>129</v>
      </c>
      <c r="J332">
        <v>5.28</v>
      </c>
      <c r="K332">
        <v>3.78</v>
      </c>
      <c r="L332">
        <f t="shared" si="22"/>
        <v>0.75000000000000022</v>
      </c>
      <c r="M332">
        <f t="shared" si="23"/>
        <v>0.14204545454545459</v>
      </c>
      <c r="N332">
        <v>0.33600000000000002</v>
      </c>
      <c r="O332">
        <v>2.1999999999999999E-2</v>
      </c>
      <c r="P332">
        <f t="shared" si="21"/>
        <v>0.314</v>
      </c>
      <c r="Q332">
        <v>0.222</v>
      </c>
      <c r="R332">
        <f t="shared" si="24"/>
        <v>0.70700636942675155</v>
      </c>
    </row>
    <row r="333" spans="1:18" x14ac:dyDescent="0.25">
      <c r="A333">
        <v>332</v>
      </c>
      <c r="B333" t="s">
        <v>824</v>
      </c>
      <c r="D333" t="s">
        <v>825</v>
      </c>
      <c r="E333">
        <v>2</v>
      </c>
      <c r="F333" t="s">
        <v>826</v>
      </c>
      <c r="G333" t="s">
        <v>135</v>
      </c>
      <c r="H333" t="s">
        <v>135</v>
      </c>
      <c r="I333" t="s">
        <v>129</v>
      </c>
      <c r="J333">
        <v>6.38</v>
      </c>
      <c r="K333">
        <v>4.8600000000000003</v>
      </c>
      <c r="L333">
        <f t="shared" si="22"/>
        <v>0.75999999999999979</v>
      </c>
      <c r="M333">
        <f t="shared" si="23"/>
        <v>0.11912225705329151</v>
      </c>
      <c r="N333">
        <v>0.56499999999999995</v>
      </c>
      <c r="O333">
        <v>2.1999999999999999E-2</v>
      </c>
      <c r="P333">
        <f t="shared" si="21"/>
        <v>0.54299999999999993</v>
      </c>
      <c r="Q333">
        <v>0.377</v>
      </c>
      <c r="R333">
        <f t="shared" si="24"/>
        <v>0.69429097605893197</v>
      </c>
    </row>
    <row r="334" spans="1:18" x14ac:dyDescent="0.25">
      <c r="A334">
        <v>333</v>
      </c>
      <c r="B334" t="s">
        <v>877</v>
      </c>
      <c r="C334" t="s">
        <v>899</v>
      </c>
      <c r="D334" t="s">
        <v>900</v>
      </c>
      <c r="E334">
        <v>1</v>
      </c>
      <c r="F334" t="s">
        <v>879</v>
      </c>
      <c r="G334" t="s">
        <v>135</v>
      </c>
      <c r="H334" t="s">
        <v>135</v>
      </c>
      <c r="I334" t="s">
        <v>129</v>
      </c>
      <c r="J334">
        <v>6.28</v>
      </c>
      <c r="K334">
        <v>5.14</v>
      </c>
      <c r="L334">
        <f t="shared" si="22"/>
        <v>0.57000000000000028</v>
      </c>
      <c r="M334">
        <f t="shared" si="23"/>
        <v>9.0764331210191118E-2</v>
      </c>
      <c r="N334">
        <v>0.35599999999999998</v>
      </c>
      <c r="O334">
        <v>2.1999999999999999E-2</v>
      </c>
      <c r="P334">
        <f t="shared" si="21"/>
        <v>0.33399999999999996</v>
      </c>
      <c r="Q334">
        <v>0.22900000000000001</v>
      </c>
      <c r="R334">
        <f t="shared" si="24"/>
        <v>0.68562874251497019</v>
      </c>
    </row>
    <row r="335" spans="1:18" x14ac:dyDescent="0.25">
      <c r="A335">
        <v>334</v>
      </c>
      <c r="B335" t="s">
        <v>845</v>
      </c>
      <c r="D335" t="s">
        <v>825</v>
      </c>
      <c r="E335">
        <v>3</v>
      </c>
      <c r="F335" t="s">
        <v>826</v>
      </c>
      <c r="G335" t="s">
        <v>135</v>
      </c>
      <c r="H335" t="s">
        <v>135</v>
      </c>
      <c r="I335" t="s">
        <v>129</v>
      </c>
      <c r="J335">
        <v>5.3</v>
      </c>
      <c r="K335">
        <v>4.3499999999999996</v>
      </c>
      <c r="L335">
        <f t="shared" si="22"/>
        <v>0.47500000000000009</v>
      </c>
      <c r="M335">
        <f t="shared" si="23"/>
        <v>8.9622641509433984E-2</v>
      </c>
      <c r="N335">
        <v>0.52600000000000002</v>
      </c>
      <c r="O335">
        <v>2.1999999999999999E-2</v>
      </c>
      <c r="P335">
        <f t="shared" si="21"/>
        <v>0.504</v>
      </c>
      <c r="Q335">
        <v>0.30099999999999999</v>
      </c>
      <c r="R335">
        <f t="shared" si="24"/>
        <v>0.59722222222222221</v>
      </c>
    </row>
    <row r="336" spans="1:18" x14ac:dyDescent="0.25">
      <c r="A336">
        <v>335</v>
      </c>
      <c r="B336" t="s">
        <v>850</v>
      </c>
      <c r="D336" t="s">
        <v>836</v>
      </c>
      <c r="E336">
        <v>2</v>
      </c>
      <c r="F336" t="s">
        <v>837</v>
      </c>
      <c r="G336" t="s">
        <v>135</v>
      </c>
      <c r="H336" t="s">
        <v>135</v>
      </c>
      <c r="I336" t="s">
        <v>129</v>
      </c>
      <c r="J336">
        <v>5</v>
      </c>
      <c r="K336">
        <v>3.65</v>
      </c>
      <c r="L336">
        <f t="shared" si="22"/>
        <v>0.67500000000000004</v>
      </c>
      <c r="M336">
        <f t="shared" si="23"/>
        <v>0.13500000000000001</v>
      </c>
      <c r="N336">
        <v>0.34699999999999998</v>
      </c>
      <c r="O336">
        <v>2.1999999999999999E-2</v>
      </c>
      <c r="P336">
        <f t="shared" si="21"/>
        <v>0.32499999999999996</v>
      </c>
      <c r="Q336">
        <v>0.222</v>
      </c>
      <c r="R336">
        <f t="shared" si="24"/>
        <v>0.68307692307692314</v>
      </c>
    </row>
    <row r="337" spans="1:20" x14ac:dyDescent="0.25">
      <c r="A337">
        <v>336</v>
      </c>
      <c r="B337" t="s">
        <v>857</v>
      </c>
      <c r="D337" t="s">
        <v>858</v>
      </c>
      <c r="E337">
        <v>1</v>
      </c>
      <c r="F337" t="s">
        <v>859</v>
      </c>
      <c r="G337" t="s">
        <v>135</v>
      </c>
      <c r="H337" t="s">
        <v>135</v>
      </c>
      <c r="I337" t="s">
        <v>129</v>
      </c>
      <c r="J337">
        <v>6.1</v>
      </c>
      <c r="K337">
        <v>4.13</v>
      </c>
      <c r="L337">
        <f t="shared" si="22"/>
        <v>0.98499999999999988</v>
      </c>
      <c r="M337">
        <f t="shared" si="23"/>
        <v>0.16147540983606556</v>
      </c>
      <c r="N337">
        <v>0.56299999999999994</v>
      </c>
      <c r="O337">
        <v>2.1999999999999999E-2</v>
      </c>
      <c r="P337">
        <f t="shared" si="21"/>
        <v>0.54099999999999993</v>
      </c>
      <c r="Q337">
        <v>0.41599999999999998</v>
      </c>
      <c r="R337">
        <f t="shared" si="24"/>
        <v>0.76894639556377087</v>
      </c>
    </row>
    <row r="338" spans="1:20" x14ac:dyDescent="0.25">
      <c r="A338">
        <v>337</v>
      </c>
      <c r="B338" t="s">
        <v>861</v>
      </c>
      <c r="D338" t="s">
        <v>502</v>
      </c>
      <c r="E338">
        <v>5</v>
      </c>
      <c r="F338" t="s">
        <v>821</v>
      </c>
      <c r="G338" t="s">
        <v>135</v>
      </c>
      <c r="H338" t="s">
        <v>135</v>
      </c>
      <c r="I338" t="s">
        <v>129</v>
      </c>
      <c r="J338">
        <v>7.89</v>
      </c>
      <c r="K338">
        <v>6.76</v>
      </c>
      <c r="L338">
        <f t="shared" si="22"/>
        <v>0.56499999999999995</v>
      </c>
      <c r="M338">
        <f t="shared" si="23"/>
        <v>7.1609632446134344E-2</v>
      </c>
      <c r="N338">
        <v>0.73599999999999999</v>
      </c>
      <c r="O338">
        <v>2.1999999999999999E-2</v>
      </c>
      <c r="P338">
        <f t="shared" si="21"/>
        <v>0.71399999999999997</v>
      </c>
      <c r="Q338">
        <v>0.40699999999999997</v>
      </c>
      <c r="R338">
        <f t="shared" si="24"/>
        <v>0.57002801120448177</v>
      </c>
    </row>
    <row r="339" spans="1:20" x14ac:dyDescent="0.25">
      <c r="A339">
        <v>338</v>
      </c>
      <c r="B339" t="s">
        <v>860</v>
      </c>
      <c r="D339" t="s">
        <v>581</v>
      </c>
      <c r="E339">
        <v>5</v>
      </c>
      <c r="F339" t="s">
        <v>582</v>
      </c>
      <c r="G339" t="s">
        <v>135</v>
      </c>
      <c r="H339" t="s">
        <v>135</v>
      </c>
      <c r="I339" t="s">
        <v>129</v>
      </c>
      <c r="J339">
        <v>6.21</v>
      </c>
      <c r="K339">
        <v>5.18</v>
      </c>
      <c r="L339">
        <f t="shared" si="22"/>
        <v>0.51500000000000012</v>
      </c>
      <c r="M339">
        <f t="shared" si="23"/>
        <v>8.2930756843800343E-2</v>
      </c>
      <c r="N339">
        <v>0.33400000000000002</v>
      </c>
      <c r="O339">
        <v>2.1999999999999999E-2</v>
      </c>
      <c r="P339">
        <f t="shared" ref="P339:P402" si="25">N339-O339</f>
        <v>0.312</v>
      </c>
      <c r="Q339">
        <v>0.191</v>
      </c>
      <c r="R339">
        <f t="shared" si="24"/>
        <v>0.61217948717948723</v>
      </c>
    </row>
    <row r="340" spans="1:20" x14ac:dyDescent="0.25">
      <c r="A340">
        <v>339</v>
      </c>
      <c r="B340" t="s">
        <v>853</v>
      </c>
      <c r="D340" t="s">
        <v>825</v>
      </c>
      <c r="E340">
        <v>1</v>
      </c>
      <c r="F340" t="s">
        <v>826</v>
      </c>
      <c r="G340" t="s">
        <v>135</v>
      </c>
      <c r="H340" t="s">
        <v>135</v>
      </c>
      <c r="I340" t="s">
        <v>129</v>
      </c>
      <c r="J340">
        <v>7.59</v>
      </c>
      <c r="K340">
        <v>5.7</v>
      </c>
      <c r="L340">
        <f t="shared" si="22"/>
        <v>0.94499999999999984</v>
      </c>
      <c r="M340">
        <f t="shared" si="23"/>
        <v>0.12450592885375492</v>
      </c>
      <c r="N340">
        <v>0.98199999999999998</v>
      </c>
      <c r="O340">
        <v>2.1999999999999999E-2</v>
      </c>
      <c r="P340">
        <f t="shared" si="25"/>
        <v>0.96</v>
      </c>
      <c r="Q340">
        <v>0.60099999999999998</v>
      </c>
      <c r="R340">
        <f t="shared" si="24"/>
        <v>0.62604166666666672</v>
      </c>
    </row>
    <row r="341" spans="1:20" x14ac:dyDescent="0.25">
      <c r="A341">
        <v>340</v>
      </c>
      <c r="B341" t="s">
        <v>827</v>
      </c>
      <c r="D341" t="s">
        <v>400</v>
      </c>
      <c r="E341">
        <v>4</v>
      </c>
      <c r="F341" t="s">
        <v>541</v>
      </c>
      <c r="G341" t="s">
        <v>135</v>
      </c>
      <c r="H341" t="s">
        <v>135</v>
      </c>
      <c r="I341" t="s">
        <v>129</v>
      </c>
      <c r="J341">
        <v>6.34</v>
      </c>
      <c r="K341">
        <v>5.18</v>
      </c>
      <c r="L341">
        <f t="shared" si="22"/>
        <v>0.58000000000000007</v>
      </c>
      <c r="M341">
        <f t="shared" si="23"/>
        <v>9.1482649842271307E-2</v>
      </c>
      <c r="N341">
        <v>0.442</v>
      </c>
      <c r="O341">
        <v>2.1999999999999999E-2</v>
      </c>
      <c r="P341">
        <f t="shared" si="25"/>
        <v>0.42</v>
      </c>
      <c r="Q341">
        <v>0.30299999999999999</v>
      </c>
      <c r="R341">
        <f t="shared" si="24"/>
        <v>0.72142857142857142</v>
      </c>
    </row>
    <row r="342" spans="1:20" x14ac:dyDescent="0.25">
      <c r="A342">
        <v>341</v>
      </c>
      <c r="B342" t="s">
        <v>905</v>
      </c>
      <c r="D342" t="s">
        <v>833</v>
      </c>
      <c r="E342">
        <v>6</v>
      </c>
      <c r="F342" t="s">
        <v>834</v>
      </c>
      <c r="G342" t="s">
        <v>135</v>
      </c>
      <c r="H342" t="s">
        <v>135</v>
      </c>
      <c r="I342" t="s">
        <v>129</v>
      </c>
      <c r="J342">
        <v>5.9</v>
      </c>
      <c r="K342">
        <v>4.0999999999999996</v>
      </c>
      <c r="L342">
        <f t="shared" si="22"/>
        <v>0.90000000000000036</v>
      </c>
      <c r="M342">
        <f t="shared" si="23"/>
        <v>0.15254237288135597</v>
      </c>
      <c r="N342">
        <v>0.41499999999999998</v>
      </c>
      <c r="O342">
        <v>2.1999999999999999E-2</v>
      </c>
      <c r="P342">
        <f t="shared" si="25"/>
        <v>0.39299999999999996</v>
      </c>
      <c r="Q342">
        <v>0.219</v>
      </c>
      <c r="R342">
        <f t="shared" si="24"/>
        <v>0.5572519083969466</v>
      </c>
      <c r="T342" t="s">
        <v>901</v>
      </c>
    </row>
    <row r="343" spans="1:20" x14ac:dyDescent="0.25">
      <c r="A343">
        <v>342</v>
      </c>
      <c r="B343" t="s">
        <v>829</v>
      </c>
      <c r="D343" t="s">
        <v>359</v>
      </c>
      <c r="E343">
        <v>6</v>
      </c>
      <c r="F343" t="s">
        <v>370</v>
      </c>
      <c r="G343" t="s">
        <v>135</v>
      </c>
      <c r="H343" t="s">
        <v>135</v>
      </c>
      <c r="I343" t="s">
        <v>129</v>
      </c>
      <c r="J343">
        <v>6.57</v>
      </c>
      <c r="K343">
        <v>5.0999999999999996</v>
      </c>
      <c r="L343">
        <f t="shared" si="22"/>
        <v>0.73500000000000032</v>
      </c>
      <c r="M343">
        <f t="shared" si="23"/>
        <v>0.11187214611872151</v>
      </c>
      <c r="N343">
        <v>0.78700000000000003</v>
      </c>
      <c r="O343">
        <v>2.1999999999999999E-2</v>
      </c>
      <c r="P343">
        <f t="shared" si="25"/>
        <v>0.76500000000000001</v>
      </c>
      <c r="Q343">
        <v>0.46300000000000002</v>
      </c>
      <c r="R343">
        <f t="shared" si="24"/>
        <v>0.60522875816993471</v>
      </c>
    </row>
    <row r="344" spans="1:20" x14ac:dyDescent="0.25">
      <c r="A344">
        <v>343</v>
      </c>
      <c r="B344" t="s">
        <v>855</v>
      </c>
      <c r="D344" t="s">
        <v>833</v>
      </c>
      <c r="E344">
        <v>2</v>
      </c>
      <c r="F344" t="s">
        <v>834</v>
      </c>
      <c r="G344" t="s">
        <v>135</v>
      </c>
      <c r="H344" t="s">
        <v>135</v>
      </c>
      <c r="I344" t="s">
        <v>129</v>
      </c>
      <c r="J344">
        <v>6.7</v>
      </c>
      <c r="K344">
        <v>4.62</v>
      </c>
      <c r="L344">
        <f t="shared" si="22"/>
        <v>1.04</v>
      </c>
      <c r="M344">
        <f t="shared" si="23"/>
        <v>0.15522388059701492</v>
      </c>
      <c r="N344">
        <v>0.39800000000000002</v>
      </c>
      <c r="O344">
        <v>2.1999999999999999E-2</v>
      </c>
      <c r="P344">
        <f t="shared" si="25"/>
        <v>0.376</v>
      </c>
      <c r="Q344">
        <v>0.19500000000000001</v>
      </c>
      <c r="R344">
        <f t="shared" si="24"/>
        <v>0.51861702127659581</v>
      </c>
    </row>
    <row r="345" spans="1:20" x14ac:dyDescent="0.25">
      <c r="A345">
        <v>344</v>
      </c>
      <c r="B345" t="s">
        <v>847</v>
      </c>
      <c r="D345" t="s">
        <v>848</v>
      </c>
      <c r="E345">
        <v>1</v>
      </c>
      <c r="F345" t="s">
        <v>849</v>
      </c>
      <c r="G345" t="s">
        <v>135</v>
      </c>
      <c r="H345" t="s">
        <v>135</v>
      </c>
      <c r="I345" t="s">
        <v>129</v>
      </c>
      <c r="J345">
        <v>5.93</v>
      </c>
      <c r="K345">
        <v>5.03</v>
      </c>
      <c r="L345">
        <f t="shared" si="22"/>
        <v>0.44999999999999973</v>
      </c>
      <c r="M345">
        <f t="shared" si="23"/>
        <v>7.5885328836424917E-2</v>
      </c>
      <c r="N345">
        <v>0.499</v>
      </c>
      <c r="O345">
        <v>2.1999999999999999E-2</v>
      </c>
      <c r="P345">
        <f t="shared" si="25"/>
        <v>0.47699999999999998</v>
      </c>
      <c r="Q345">
        <v>0.32700000000000001</v>
      </c>
      <c r="R345">
        <f t="shared" si="24"/>
        <v>0.68553459119496862</v>
      </c>
    </row>
    <row r="346" spans="1:20" x14ac:dyDescent="0.25">
      <c r="A346">
        <v>345</v>
      </c>
      <c r="B346" t="s">
        <v>904</v>
      </c>
      <c r="D346" t="s">
        <v>836</v>
      </c>
      <c r="E346">
        <v>6</v>
      </c>
      <c r="F346" t="s">
        <v>837</v>
      </c>
      <c r="G346" t="s">
        <v>135</v>
      </c>
      <c r="H346" t="s">
        <v>135</v>
      </c>
      <c r="I346" t="s">
        <v>129</v>
      </c>
      <c r="J346">
        <v>7.24</v>
      </c>
      <c r="K346">
        <v>5.42</v>
      </c>
      <c r="L346">
        <f t="shared" si="22"/>
        <v>0.91000000000000014</v>
      </c>
      <c r="M346">
        <f t="shared" si="23"/>
        <v>0.12569060773480664</v>
      </c>
      <c r="N346">
        <v>0.42299999999999999</v>
      </c>
      <c r="O346">
        <v>2.1999999999999999E-2</v>
      </c>
      <c r="P346">
        <f t="shared" si="25"/>
        <v>0.40099999999999997</v>
      </c>
      <c r="Q346">
        <v>0.22600000000000001</v>
      </c>
      <c r="R346">
        <f t="shared" si="24"/>
        <v>0.56359102244389037</v>
      </c>
      <c r="T346" t="s">
        <v>902</v>
      </c>
    </row>
    <row r="347" spans="1:20" x14ac:dyDescent="0.25">
      <c r="A347">
        <v>346</v>
      </c>
      <c r="B347" t="s">
        <v>843</v>
      </c>
      <c r="D347" t="s">
        <v>825</v>
      </c>
      <c r="E347">
        <v>4</v>
      </c>
      <c r="F347" t="s">
        <v>826</v>
      </c>
      <c r="G347" t="s">
        <v>135</v>
      </c>
      <c r="H347" t="s">
        <v>135</v>
      </c>
      <c r="I347" t="s">
        <v>129</v>
      </c>
      <c r="J347">
        <v>6.71</v>
      </c>
      <c r="K347">
        <v>5.51</v>
      </c>
      <c r="L347">
        <f t="shared" si="22"/>
        <v>0.60000000000000009</v>
      </c>
      <c r="M347">
        <f t="shared" si="23"/>
        <v>8.9418777943368125E-2</v>
      </c>
      <c r="N347">
        <v>0.32</v>
      </c>
      <c r="O347">
        <v>2.1999999999999999E-2</v>
      </c>
      <c r="P347">
        <f t="shared" si="25"/>
        <v>0.29799999999999999</v>
      </c>
      <c r="Q347">
        <v>0.249</v>
      </c>
      <c r="R347">
        <f t="shared" si="24"/>
        <v>0.83557046979865779</v>
      </c>
    </row>
    <row r="348" spans="1:20" x14ac:dyDescent="0.25">
      <c r="A348">
        <v>347</v>
      </c>
      <c r="B348" t="s">
        <v>835</v>
      </c>
      <c r="D348" t="s">
        <v>836</v>
      </c>
      <c r="E348">
        <v>3</v>
      </c>
      <c r="F348" t="s">
        <v>837</v>
      </c>
      <c r="G348" t="s">
        <v>135</v>
      </c>
      <c r="H348" t="s">
        <v>135</v>
      </c>
      <c r="I348" t="s">
        <v>129</v>
      </c>
      <c r="J348">
        <v>7.82</v>
      </c>
      <c r="K348">
        <v>5.32</v>
      </c>
      <c r="L348">
        <f t="shared" si="22"/>
        <v>1.25</v>
      </c>
      <c r="M348">
        <f t="shared" si="23"/>
        <v>0.15984654731457801</v>
      </c>
      <c r="N348">
        <v>0.57899999999999996</v>
      </c>
      <c r="O348">
        <v>2.1999999999999999E-2</v>
      </c>
      <c r="P348">
        <f t="shared" si="25"/>
        <v>0.55699999999999994</v>
      </c>
      <c r="Q348">
        <v>0.26500000000000001</v>
      </c>
      <c r="R348">
        <f t="shared" si="24"/>
        <v>0.47576301615798933</v>
      </c>
    </row>
    <row r="349" spans="1:20" x14ac:dyDescent="0.25">
      <c r="A349">
        <v>348</v>
      </c>
      <c r="B349" t="s">
        <v>838</v>
      </c>
      <c r="D349" t="s">
        <v>839</v>
      </c>
      <c r="E349">
        <v>1</v>
      </c>
      <c r="F349" t="s">
        <v>840</v>
      </c>
      <c r="G349" t="s">
        <v>135</v>
      </c>
      <c r="H349" t="s">
        <v>135</v>
      </c>
      <c r="I349" t="s">
        <v>129</v>
      </c>
      <c r="J349">
        <v>8.52</v>
      </c>
      <c r="K349">
        <v>6.04</v>
      </c>
      <c r="L349">
        <f t="shared" si="22"/>
        <v>1.2399999999999998</v>
      </c>
      <c r="M349">
        <f t="shared" si="23"/>
        <v>0.14553990610328638</v>
      </c>
      <c r="N349">
        <v>0.78400000000000003</v>
      </c>
      <c r="O349">
        <v>2.1999999999999999E-2</v>
      </c>
      <c r="P349">
        <f t="shared" si="25"/>
        <v>0.76200000000000001</v>
      </c>
      <c r="Q349">
        <v>0.20200000000000001</v>
      </c>
      <c r="R349">
        <f t="shared" si="24"/>
        <v>0.26509186351706038</v>
      </c>
    </row>
    <row r="350" spans="1:20" x14ac:dyDescent="0.25">
      <c r="A350">
        <v>349</v>
      </c>
      <c r="B350" t="s">
        <v>830</v>
      </c>
      <c r="D350" t="s">
        <v>389</v>
      </c>
      <c r="E350">
        <v>6</v>
      </c>
      <c r="F350" t="s">
        <v>317</v>
      </c>
      <c r="G350" t="s">
        <v>135</v>
      </c>
      <c r="H350" t="s">
        <v>135</v>
      </c>
      <c r="I350" t="s">
        <v>129</v>
      </c>
      <c r="J350">
        <v>6.51</v>
      </c>
      <c r="K350">
        <v>5.38</v>
      </c>
      <c r="L350">
        <f t="shared" si="22"/>
        <v>0.56499999999999995</v>
      </c>
      <c r="M350">
        <f t="shared" si="23"/>
        <v>8.678955453149001E-2</v>
      </c>
      <c r="N350">
        <v>0.65</v>
      </c>
      <c r="O350">
        <v>2.1999999999999999E-2</v>
      </c>
      <c r="P350">
        <f t="shared" si="25"/>
        <v>0.628</v>
      </c>
      <c r="Q350">
        <v>0.32100000000000001</v>
      </c>
      <c r="R350">
        <f t="shared" si="24"/>
        <v>0.51114649681528668</v>
      </c>
    </row>
    <row r="351" spans="1:20" x14ac:dyDescent="0.25">
      <c r="A351">
        <v>350</v>
      </c>
      <c r="B351" t="s">
        <v>828</v>
      </c>
      <c r="D351" t="s">
        <v>825</v>
      </c>
      <c r="E351">
        <v>5</v>
      </c>
      <c r="F351" t="s">
        <v>826</v>
      </c>
      <c r="G351" t="s">
        <v>135</v>
      </c>
      <c r="H351" t="s">
        <v>135</v>
      </c>
      <c r="I351" t="s">
        <v>129</v>
      </c>
      <c r="J351">
        <v>7.92</v>
      </c>
      <c r="K351">
        <v>6.42</v>
      </c>
      <c r="L351">
        <f t="shared" si="22"/>
        <v>0.75</v>
      </c>
      <c r="M351">
        <f t="shared" si="23"/>
        <v>9.4696969696969696E-2</v>
      </c>
      <c r="N351">
        <v>0.752</v>
      </c>
      <c r="O351">
        <v>2.1999999999999999E-2</v>
      </c>
      <c r="P351">
        <f t="shared" si="25"/>
        <v>0.73</v>
      </c>
      <c r="Q351">
        <v>0.51200000000000001</v>
      </c>
      <c r="R351">
        <f t="shared" si="24"/>
        <v>0.70136986301369864</v>
      </c>
    </row>
    <row r="352" spans="1:20" x14ac:dyDescent="0.25">
      <c r="A352">
        <v>351</v>
      </c>
      <c r="B352" t="s">
        <v>832</v>
      </c>
      <c r="D352" t="s">
        <v>833</v>
      </c>
      <c r="E352">
        <v>4</v>
      </c>
      <c r="F352" t="s">
        <v>834</v>
      </c>
      <c r="G352" t="s">
        <v>135</v>
      </c>
      <c r="H352" t="s">
        <v>135</v>
      </c>
      <c r="I352" t="s">
        <v>129</v>
      </c>
      <c r="J352">
        <v>6.08</v>
      </c>
      <c r="K352">
        <v>4.9000000000000004</v>
      </c>
      <c r="L352">
        <f t="shared" si="22"/>
        <v>0.58999999999999986</v>
      </c>
      <c r="M352">
        <f t="shared" si="23"/>
        <v>9.7039473684210495E-2</v>
      </c>
      <c r="N352">
        <v>0.313</v>
      </c>
      <c r="O352">
        <v>2.1999999999999999E-2</v>
      </c>
      <c r="P352">
        <f t="shared" si="25"/>
        <v>0.29099999999999998</v>
      </c>
      <c r="Q352">
        <v>0.20100000000000001</v>
      </c>
      <c r="R352">
        <f t="shared" si="24"/>
        <v>0.69072164948453618</v>
      </c>
    </row>
    <row r="353" spans="1:20" x14ac:dyDescent="0.25">
      <c r="A353">
        <v>352</v>
      </c>
      <c r="B353" t="s">
        <v>831</v>
      </c>
      <c r="D353" t="s">
        <v>400</v>
      </c>
      <c r="E353">
        <v>3</v>
      </c>
      <c r="F353" t="s">
        <v>541</v>
      </c>
      <c r="G353" t="s">
        <v>135</v>
      </c>
      <c r="H353" t="s">
        <v>135</v>
      </c>
      <c r="I353" t="s">
        <v>129</v>
      </c>
      <c r="J353">
        <v>6.29</v>
      </c>
      <c r="K353">
        <v>5.43</v>
      </c>
      <c r="L353">
        <f t="shared" si="22"/>
        <v>0.43000000000000016</v>
      </c>
      <c r="M353">
        <f t="shared" si="23"/>
        <v>6.8362480127186029E-2</v>
      </c>
      <c r="N353">
        <v>0.59399999999999997</v>
      </c>
      <c r="O353">
        <v>2.1999999999999999E-2</v>
      </c>
      <c r="P353">
        <f t="shared" si="25"/>
        <v>0.57199999999999995</v>
      </c>
      <c r="Q353">
        <v>0.33900000000000002</v>
      </c>
      <c r="R353">
        <f t="shared" si="24"/>
        <v>0.59265734265734271</v>
      </c>
    </row>
    <row r="354" spans="1:20" x14ac:dyDescent="0.25">
      <c r="A354">
        <v>353</v>
      </c>
      <c r="B354" t="s">
        <v>844</v>
      </c>
      <c r="D354" t="s">
        <v>836</v>
      </c>
      <c r="E354">
        <v>4</v>
      </c>
      <c r="F354" t="s">
        <v>837</v>
      </c>
      <c r="G354" t="s">
        <v>135</v>
      </c>
      <c r="H354" t="s">
        <v>135</v>
      </c>
      <c r="I354" t="s">
        <v>129</v>
      </c>
      <c r="J354">
        <v>9.26</v>
      </c>
      <c r="K354">
        <v>7.61</v>
      </c>
      <c r="L354">
        <f t="shared" si="22"/>
        <v>0.82499999999999973</v>
      </c>
      <c r="M354">
        <f t="shared" si="23"/>
        <v>8.9092872570194354E-2</v>
      </c>
      <c r="N354">
        <v>0.85599999999999998</v>
      </c>
      <c r="O354">
        <v>2.1999999999999999E-2</v>
      </c>
      <c r="P354">
        <f t="shared" si="25"/>
        <v>0.83399999999999996</v>
      </c>
      <c r="Q354">
        <v>0.36399999999999999</v>
      </c>
      <c r="R354">
        <f t="shared" si="24"/>
        <v>0.43645083932853718</v>
      </c>
    </row>
    <row r="355" spans="1:20" x14ac:dyDescent="0.25">
      <c r="A355">
        <v>354</v>
      </c>
      <c r="B355" t="s">
        <v>841</v>
      </c>
      <c r="D355" t="s">
        <v>836</v>
      </c>
      <c r="E355">
        <v>5</v>
      </c>
      <c r="F355" t="s">
        <v>837</v>
      </c>
      <c r="G355" t="s">
        <v>135</v>
      </c>
      <c r="H355" t="s">
        <v>135</v>
      </c>
      <c r="I355" t="s">
        <v>129</v>
      </c>
      <c r="J355">
        <v>8.2899999999999991</v>
      </c>
      <c r="K355">
        <v>6.77</v>
      </c>
      <c r="L355">
        <f t="shared" si="22"/>
        <v>0.75999999999999979</v>
      </c>
      <c r="M355">
        <f t="shared" si="23"/>
        <v>9.1676718938480076E-2</v>
      </c>
      <c r="N355">
        <v>0.66600000000000004</v>
      </c>
      <c r="O355">
        <v>2.1999999999999999E-2</v>
      </c>
      <c r="P355">
        <f t="shared" si="25"/>
        <v>0.64400000000000002</v>
      </c>
      <c r="Q355">
        <v>0.25600000000000001</v>
      </c>
      <c r="R355">
        <f t="shared" si="24"/>
        <v>0.39751552795031053</v>
      </c>
    </row>
    <row r="356" spans="1:20" x14ac:dyDescent="0.25">
      <c r="A356">
        <v>355</v>
      </c>
      <c r="B356" t="s">
        <v>887</v>
      </c>
      <c r="D356" t="s">
        <v>385</v>
      </c>
      <c r="E356">
        <v>4</v>
      </c>
      <c r="F356" t="s">
        <v>255</v>
      </c>
      <c r="G356" t="s">
        <v>135</v>
      </c>
      <c r="H356" t="s">
        <v>135</v>
      </c>
      <c r="I356" t="s">
        <v>129</v>
      </c>
      <c r="J356">
        <v>7.9</v>
      </c>
      <c r="K356">
        <v>5.69</v>
      </c>
      <c r="L356">
        <f t="shared" si="22"/>
        <v>1.105</v>
      </c>
      <c r="M356">
        <f t="shared" si="23"/>
        <v>0.13987341772151898</v>
      </c>
      <c r="N356">
        <v>0.88200000000000001</v>
      </c>
      <c r="O356">
        <v>2.1999999999999999E-2</v>
      </c>
      <c r="P356">
        <f t="shared" si="25"/>
        <v>0.86</v>
      </c>
      <c r="Q356">
        <v>0.35299999999999998</v>
      </c>
      <c r="R356">
        <f t="shared" si="24"/>
        <v>0.41046511627906973</v>
      </c>
    </row>
    <row r="357" spans="1:20" x14ac:dyDescent="0.25">
      <c r="A357">
        <v>356</v>
      </c>
      <c r="B357" t="s">
        <v>851</v>
      </c>
      <c r="D357" t="s">
        <v>836</v>
      </c>
      <c r="E357">
        <v>1</v>
      </c>
      <c r="F357" t="s">
        <v>837</v>
      </c>
      <c r="G357" t="s">
        <v>135</v>
      </c>
      <c r="H357" t="s">
        <v>135</v>
      </c>
      <c r="I357" t="s">
        <v>129</v>
      </c>
      <c r="J357">
        <v>7.89</v>
      </c>
      <c r="K357">
        <v>5.81</v>
      </c>
      <c r="L357">
        <f t="shared" si="22"/>
        <v>1.04</v>
      </c>
      <c r="M357">
        <f t="shared" si="23"/>
        <v>0.13181242078580482</v>
      </c>
      <c r="N357">
        <v>0.65800000000000003</v>
      </c>
      <c r="O357">
        <v>2.1999999999999999E-2</v>
      </c>
      <c r="P357">
        <f t="shared" si="25"/>
        <v>0.63600000000000001</v>
      </c>
      <c r="Q357">
        <v>0.23899999999999999</v>
      </c>
      <c r="R357">
        <f t="shared" si="24"/>
        <v>0.37578616352201255</v>
      </c>
    </row>
    <row r="358" spans="1:20" x14ac:dyDescent="0.25">
      <c r="A358">
        <v>357</v>
      </c>
      <c r="B358" t="s">
        <v>890</v>
      </c>
      <c r="D358" t="s">
        <v>367</v>
      </c>
      <c r="E358">
        <v>3</v>
      </c>
      <c r="F358" t="s">
        <v>371</v>
      </c>
      <c r="G358" t="s">
        <v>135</v>
      </c>
      <c r="H358" t="s">
        <v>135</v>
      </c>
      <c r="I358" t="s">
        <v>129</v>
      </c>
      <c r="J358">
        <v>6.43</v>
      </c>
      <c r="K358">
        <v>5.36</v>
      </c>
      <c r="L358">
        <f t="shared" si="22"/>
        <v>0.5349999999999997</v>
      </c>
      <c r="M358">
        <f t="shared" si="23"/>
        <v>8.3203732503887975E-2</v>
      </c>
      <c r="N358">
        <v>1.1759999999999999</v>
      </c>
      <c r="O358">
        <v>2.1999999999999999E-2</v>
      </c>
      <c r="P358">
        <f t="shared" si="25"/>
        <v>1.1539999999999999</v>
      </c>
      <c r="Q358">
        <v>0.54100000000000004</v>
      </c>
      <c r="R358">
        <f t="shared" si="24"/>
        <v>0.46880415944540732</v>
      </c>
    </row>
    <row r="359" spans="1:20" x14ac:dyDescent="0.25">
      <c r="A359">
        <v>358</v>
      </c>
      <c r="B359" t="s">
        <v>846</v>
      </c>
      <c r="D359" t="s">
        <v>833</v>
      </c>
      <c r="E359">
        <v>1</v>
      </c>
      <c r="F359" t="s">
        <v>834</v>
      </c>
      <c r="G359" t="s">
        <v>135</v>
      </c>
      <c r="H359" t="s">
        <v>135</v>
      </c>
      <c r="I359" t="s">
        <v>129</v>
      </c>
      <c r="J359">
        <v>6.03</v>
      </c>
      <c r="K359">
        <v>4.8499999999999996</v>
      </c>
      <c r="L359">
        <f t="shared" si="22"/>
        <v>0.5900000000000003</v>
      </c>
      <c r="M359">
        <f t="shared" si="23"/>
        <v>9.7844112769485944E-2</v>
      </c>
      <c r="N359">
        <v>0.40300000000000002</v>
      </c>
      <c r="O359">
        <v>2.1999999999999999E-2</v>
      </c>
      <c r="P359">
        <f t="shared" si="25"/>
        <v>0.38100000000000001</v>
      </c>
      <c r="Q359">
        <v>0.23899999999999999</v>
      </c>
      <c r="R359">
        <f t="shared" si="24"/>
        <v>0.62729658792650911</v>
      </c>
      <c r="T359" t="s">
        <v>1018</v>
      </c>
    </row>
    <row r="360" spans="1:20" x14ac:dyDescent="0.25">
      <c r="A360">
        <v>359</v>
      </c>
      <c r="B360" t="s">
        <v>895</v>
      </c>
      <c r="D360" t="s">
        <v>340</v>
      </c>
      <c r="E360">
        <v>5</v>
      </c>
      <c r="F360" t="s">
        <v>60</v>
      </c>
      <c r="G360" t="s">
        <v>135</v>
      </c>
      <c r="H360" t="s">
        <v>135</v>
      </c>
      <c r="I360" t="s">
        <v>129</v>
      </c>
      <c r="J360">
        <v>13.3</v>
      </c>
      <c r="K360">
        <v>9.7200000000000006</v>
      </c>
      <c r="L360">
        <f t="shared" si="22"/>
        <v>1.79</v>
      </c>
      <c r="M360">
        <f t="shared" si="23"/>
        <v>0.13458646616541353</v>
      </c>
      <c r="N360">
        <v>0.20599999999999999</v>
      </c>
      <c r="O360">
        <v>2.1999999999999999E-2</v>
      </c>
      <c r="P360">
        <f t="shared" si="25"/>
        <v>0.184</v>
      </c>
      <c r="Q360">
        <v>9.9000000000000005E-2</v>
      </c>
      <c r="R360">
        <f t="shared" si="24"/>
        <v>0.53804347826086962</v>
      </c>
      <c r="T360" t="s">
        <v>1019</v>
      </c>
    </row>
    <row r="361" spans="1:20" x14ac:dyDescent="0.25">
      <c r="A361">
        <v>360</v>
      </c>
      <c r="B361" t="s">
        <v>842</v>
      </c>
      <c r="D361" t="s">
        <v>833</v>
      </c>
      <c r="E361">
        <v>3</v>
      </c>
      <c r="F361" t="s">
        <v>834</v>
      </c>
      <c r="G361" t="s">
        <v>135</v>
      </c>
      <c r="H361" t="s">
        <v>135</v>
      </c>
      <c r="I361" t="s">
        <v>129</v>
      </c>
      <c r="J361">
        <v>7.69</v>
      </c>
      <c r="K361">
        <v>6.24</v>
      </c>
      <c r="L361">
        <f t="shared" si="22"/>
        <v>0.72500000000000009</v>
      </c>
      <c r="M361">
        <f t="shared" si="23"/>
        <v>9.4278283485045522E-2</v>
      </c>
      <c r="N361">
        <v>0.50800000000000001</v>
      </c>
      <c r="O361">
        <v>2.1999999999999999E-2</v>
      </c>
      <c r="P361">
        <f t="shared" si="25"/>
        <v>0.48599999999999999</v>
      </c>
      <c r="Q361">
        <v>0.33100000000000002</v>
      </c>
      <c r="R361">
        <f t="shared" si="24"/>
        <v>0.68106995884773669</v>
      </c>
    </row>
    <row r="362" spans="1:20" x14ac:dyDescent="0.25">
      <c r="A362">
        <v>361</v>
      </c>
      <c r="B362" t="s">
        <v>893</v>
      </c>
      <c r="D362" t="s">
        <v>367</v>
      </c>
      <c r="E362">
        <v>2</v>
      </c>
      <c r="F362" t="s">
        <v>371</v>
      </c>
      <c r="G362" t="s">
        <v>135</v>
      </c>
      <c r="H362" t="s">
        <v>135</v>
      </c>
      <c r="I362" t="s">
        <v>129</v>
      </c>
      <c r="J362">
        <v>8.02</v>
      </c>
      <c r="K362">
        <v>7.05</v>
      </c>
      <c r="L362">
        <f t="shared" si="22"/>
        <v>0.48499999999999988</v>
      </c>
      <c r="M362">
        <f t="shared" si="23"/>
        <v>6.0473815461346621E-2</v>
      </c>
      <c r="N362">
        <v>1.026</v>
      </c>
      <c r="O362">
        <v>2.1999999999999999E-2</v>
      </c>
      <c r="P362">
        <f t="shared" si="25"/>
        <v>1.004</v>
      </c>
      <c r="Q362">
        <v>0.48299999999999998</v>
      </c>
      <c r="R362">
        <f t="shared" si="24"/>
        <v>0.48107569721115534</v>
      </c>
    </row>
    <row r="363" spans="1:20" x14ac:dyDescent="0.25">
      <c r="A363">
        <v>362</v>
      </c>
      <c r="B363" t="s">
        <v>891</v>
      </c>
      <c r="D363" t="s">
        <v>800</v>
      </c>
      <c r="E363">
        <v>3</v>
      </c>
      <c r="F363" t="s">
        <v>801</v>
      </c>
      <c r="G363" t="s">
        <v>135</v>
      </c>
      <c r="H363" t="s">
        <v>135</v>
      </c>
      <c r="I363" t="s">
        <v>129</v>
      </c>
      <c r="J363">
        <v>6.07</v>
      </c>
      <c r="K363">
        <v>4.3499999999999996</v>
      </c>
      <c r="L363">
        <f t="shared" si="22"/>
        <v>0.86000000000000032</v>
      </c>
      <c r="M363">
        <f t="shared" si="23"/>
        <v>0.14168039538714997</v>
      </c>
      <c r="N363">
        <v>0.79200000000000004</v>
      </c>
      <c r="O363">
        <v>2.1999999999999999E-2</v>
      </c>
      <c r="P363">
        <f t="shared" si="25"/>
        <v>0.77</v>
      </c>
      <c r="Q363">
        <v>0.40200000000000002</v>
      </c>
      <c r="R363">
        <f t="shared" si="24"/>
        <v>0.52207792207792214</v>
      </c>
    </row>
    <row r="364" spans="1:20" x14ac:dyDescent="0.25">
      <c r="A364">
        <v>363</v>
      </c>
      <c r="B364" t="s">
        <v>894</v>
      </c>
      <c r="D364" t="s">
        <v>367</v>
      </c>
      <c r="E364">
        <v>5</v>
      </c>
      <c r="F364" t="s">
        <v>371</v>
      </c>
      <c r="G364" t="s">
        <v>135</v>
      </c>
      <c r="H364" t="s">
        <v>135</v>
      </c>
      <c r="I364" t="s">
        <v>129</v>
      </c>
      <c r="J364">
        <v>5.81</v>
      </c>
      <c r="K364">
        <v>4.96</v>
      </c>
      <c r="L364">
        <f t="shared" si="22"/>
        <v>0.42499999999999982</v>
      </c>
      <c r="M364">
        <f t="shared" si="23"/>
        <v>7.3149741824440589E-2</v>
      </c>
      <c r="N364">
        <v>0.53900000000000003</v>
      </c>
      <c r="O364">
        <v>2.1999999999999999E-2</v>
      </c>
      <c r="P364">
        <f t="shared" si="25"/>
        <v>0.51700000000000002</v>
      </c>
      <c r="Q364">
        <v>0.26800000000000002</v>
      </c>
      <c r="R364">
        <f t="shared" si="24"/>
        <v>0.51837524177949712</v>
      </c>
    </row>
    <row r="365" spans="1:20" x14ac:dyDescent="0.25">
      <c r="A365">
        <v>364</v>
      </c>
      <c r="B365" t="s">
        <v>896</v>
      </c>
      <c r="D365" t="s">
        <v>340</v>
      </c>
      <c r="E365">
        <v>4</v>
      </c>
      <c r="F365" t="s">
        <v>60</v>
      </c>
      <c r="G365" t="s">
        <v>135</v>
      </c>
      <c r="H365" t="s">
        <v>135</v>
      </c>
      <c r="I365" t="s">
        <v>129</v>
      </c>
      <c r="J365">
        <v>9.9499999999999993</v>
      </c>
      <c r="K365">
        <v>6.57</v>
      </c>
      <c r="L365">
        <f t="shared" si="22"/>
        <v>1.6899999999999995</v>
      </c>
      <c r="M365">
        <f t="shared" si="23"/>
        <v>0.16984924623115574</v>
      </c>
      <c r="N365">
        <v>0.59199999999999997</v>
      </c>
      <c r="O365">
        <v>2.1999999999999999E-2</v>
      </c>
      <c r="P365">
        <f t="shared" si="25"/>
        <v>0.56999999999999995</v>
      </c>
      <c r="Q365">
        <v>0.223</v>
      </c>
      <c r="R365">
        <f t="shared" si="24"/>
        <v>0.39122807017543865</v>
      </c>
    </row>
    <row r="366" spans="1:20" x14ac:dyDescent="0.25">
      <c r="A366">
        <v>365</v>
      </c>
      <c r="B366" t="s">
        <v>889</v>
      </c>
      <c r="D366" t="s">
        <v>800</v>
      </c>
      <c r="E366">
        <v>2</v>
      </c>
      <c r="F366" t="s">
        <v>801</v>
      </c>
      <c r="G366" t="s">
        <v>135</v>
      </c>
      <c r="H366" t="s">
        <v>135</v>
      </c>
      <c r="I366" t="s">
        <v>129</v>
      </c>
      <c r="J366">
        <v>7.38</v>
      </c>
      <c r="K366">
        <v>4.8899999999999997</v>
      </c>
      <c r="L366">
        <f t="shared" si="22"/>
        <v>1.2450000000000001</v>
      </c>
      <c r="M366">
        <f t="shared" si="23"/>
        <v>0.16869918699186995</v>
      </c>
      <c r="N366">
        <v>1.268</v>
      </c>
      <c r="O366">
        <v>2.1999999999999999E-2</v>
      </c>
      <c r="P366">
        <f t="shared" si="25"/>
        <v>1.246</v>
      </c>
      <c r="Q366">
        <v>0.44700000000000001</v>
      </c>
      <c r="R366">
        <f t="shared" si="24"/>
        <v>0.35874799357945425</v>
      </c>
    </row>
    <row r="367" spans="1:20" x14ac:dyDescent="0.25">
      <c r="A367">
        <v>366</v>
      </c>
      <c r="B367" t="s">
        <v>892</v>
      </c>
      <c r="D367" t="s">
        <v>510</v>
      </c>
      <c r="E367">
        <v>4</v>
      </c>
      <c r="F367" t="s">
        <v>511</v>
      </c>
      <c r="G367" t="s">
        <v>135</v>
      </c>
      <c r="H367" t="s">
        <v>135</v>
      </c>
      <c r="I367" t="s">
        <v>129</v>
      </c>
      <c r="J367">
        <v>10.02</v>
      </c>
      <c r="K367">
        <v>7.34</v>
      </c>
      <c r="L367">
        <f t="shared" si="22"/>
        <v>1.3399999999999999</v>
      </c>
      <c r="M367">
        <f t="shared" si="23"/>
        <v>0.1337325349301397</v>
      </c>
      <c r="N367">
        <v>0.65100000000000002</v>
      </c>
      <c r="O367">
        <v>2.1999999999999999E-2</v>
      </c>
      <c r="P367">
        <f t="shared" si="25"/>
        <v>0.629</v>
      </c>
      <c r="Q367">
        <v>0.22700000000000001</v>
      </c>
      <c r="R367">
        <f t="shared" si="24"/>
        <v>0.36089030206677264</v>
      </c>
    </row>
    <row r="368" spans="1:20" x14ac:dyDescent="0.25">
      <c r="A368">
        <v>367</v>
      </c>
      <c r="B368" t="s">
        <v>884</v>
      </c>
      <c r="D368" t="s">
        <v>812</v>
      </c>
      <c r="E368">
        <v>3</v>
      </c>
      <c r="F368" t="s">
        <v>813</v>
      </c>
      <c r="G368" t="s">
        <v>135</v>
      </c>
      <c r="H368" t="s">
        <v>135</v>
      </c>
      <c r="I368" t="s">
        <v>129</v>
      </c>
      <c r="J368">
        <v>8.98</v>
      </c>
      <c r="K368">
        <v>7.75</v>
      </c>
      <c r="L368">
        <f t="shared" si="22"/>
        <v>0.61500000000000021</v>
      </c>
      <c r="M368">
        <f t="shared" si="23"/>
        <v>6.8485523385300687E-2</v>
      </c>
      <c r="N368">
        <v>0.58299999999999996</v>
      </c>
      <c r="O368">
        <v>2.1999999999999999E-2</v>
      </c>
      <c r="P368">
        <f t="shared" si="25"/>
        <v>0.56099999999999994</v>
      </c>
      <c r="Q368">
        <v>0.379</v>
      </c>
      <c r="R368">
        <f t="shared" si="24"/>
        <v>0.67557932263814624</v>
      </c>
    </row>
    <row r="369" spans="1:18" x14ac:dyDescent="0.25">
      <c r="A369">
        <v>368</v>
      </c>
      <c r="B369" t="s">
        <v>883</v>
      </c>
      <c r="D369" t="s">
        <v>343</v>
      </c>
      <c r="E369">
        <v>2</v>
      </c>
      <c r="F369" t="s">
        <v>323</v>
      </c>
      <c r="G369" t="s">
        <v>135</v>
      </c>
      <c r="H369" t="s">
        <v>135</v>
      </c>
      <c r="I369" t="s">
        <v>129</v>
      </c>
      <c r="J369">
        <v>7.79</v>
      </c>
      <c r="K369">
        <v>5.98</v>
      </c>
      <c r="L369">
        <f t="shared" si="22"/>
        <v>0.9049999999999998</v>
      </c>
      <c r="M369">
        <f t="shared" si="23"/>
        <v>0.11617458279845953</v>
      </c>
      <c r="N369">
        <v>0.48799999999999999</v>
      </c>
      <c r="O369">
        <v>2.1999999999999999E-2</v>
      </c>
      <c r="P369">
        <f t="shared" si="25"/>
        <v>0.46599999999999997</v>
      </c>
      <c r="Q369">
        <v>0.33700000000000002</v>
      </c>
      <c r="R369">
        <f t="shared" si="24"/>
        <v>0.72317596566523612</v>
      </c>
    </row>
    <row r="370" spans="1:18" x14ac:dyDescent="0.25">
      <c r="A370">
        <v>369</v>
      </c>
      <c r="B370" t="s">
        <v>885</v>
      </c>
      <c r="D370" t="s">
        <v>812</v>
      </c>
      <c r="E370">
        <v>4</v>
      </c>
      <c r="F370" t="s">
        <v>813</v>
      </c>
      <c r="G370" t="s">
        <v>135</v>
      </c>
      <c r="H370" t="s">
        <v>135</v>
      </c>
      <c r="I370" t="s">
        <v>129</v>
      </c>
      <c r="J370">
        <v>7.9</v>
      </c>
      <c r="K370">
        <v>6.47</v>
      </c>
      <c r="L370">
        <f t="shared" si="22"/>
        <v>0.7150000000000003</v>
      </c>
      <c r="M370">
        <f t="shared" si="23"/>
        <v>9.0506329113924089E-2</v>
      </c>
      <c r="N370">
        <v>0.29399999999999998</v>
      </c>
      <c r="O370">
        <v>2.1999999999999999E-2</v>
      </c>
      <c r="P370">
        <f t="shared" si="25"/>
        <v>0.27199999999999996</v>
      </c>
      <c r="Q370">
        <v>0.154</v>
      </c>
      <c r="R370">
        <f t="shared" si="24"/>
        <v>0.56617647058823539</v>
      </c>
    </row>
    <row r="371" spans="1:18" x14ac:dyDescent="0.25">
      <c r="A371">
        <v>370</v>
      </c>
      <c r="B371" t="s">
        <v>888</v>
      </c>
      <c r="D371" t="s">
        <v>367</v>
      </c>
      <c r="E371">
        <v>4</v>
      </c>
      <c r="F371" t="s">
        <v>371</v>
      </c>
      <c r="G371" t="s">
        <v>135</v>
      </c>
      <c r="H371" t="s">
        <v>135</v>
      </c>
      <c r="I371" t="s">
        <v>129</v>
      </c>
      <c r="J371">
        <v>4.4400000000000004</v>
      </c>
      <c r="K371">
        <v>3.6</v>
      </c>
      <c r="L371">
        <f t="shared" si="22"/>
        <v>0.42000000000000015</v>
      </c>
      <c r="M371">
        <f t="shared" si="23"/>
        <v>9.4594594594594614E-2</v>
      </c>
      <c r="N371">
        <v>0.56599999999999995</v>
      </c>
      <c r="O371">
        <v>2.1999999999999999E-2</v>
      </c>
      <c r="P371">
        <f t="shared" si="25"/>
        <v>0.54399999999999993</v>
      </c>
      <c r="Q371">
        <v>0.33600000000000002</v>
      </c>
      <c r="R371">
        <f t="shared" si="24"/>
        <v>0.61764705882352955</v>
      </c>
    </row>
    <row r="372" spans="1:18" x14ac:dyDescent="0.25">
      <c r="A372">
        <v>371</v>
      </c>
      <c r="B372" t="s">
        <v>975</v>
      </c>
      <c r="D372" t="s">
        <v>874</v>
      </c>
      <c r="E372">
        <v>3</v>
      </c>
      <c r="F372" t="s">
        <v>875</v>
      </c>
      <c r="G372" t="s">
        <v>135</v>
      </c>
      <c r="H372" t="s">
        <v>135</v>
      </c>
      <c r="I372" t="s">
        <v>129</v>
      </c>
      <c r="J372">
        <v>5.14</v>
      </c>
      <c r="K372">
        <v>4.21</v>
      </c>
      <c r="L372">
        <f t="shared" si="22"/>
        <v>0.46499999999999986</v>
      </c>
      <c r="M372">
        <f t="shared" si="23"/>
        <v>9.0466926070038894E-2</v>
      </c>
      <c r="N372">
        <v>0.308</v>
      </c>
      <c r="O372">
        <v>2.1999999999999999E-2</v>
      </c>
      <c r="P372">
        <f t="shared" si="25"/>
        <v>0.28599999999999998</v>
      </c>
      <c r="Q372">
        <v>0.214</v>
      </c>
      <c r="R372">
        <f t="shared" si="24"/>
        <v>0.74825174825174834</v>
      </c>
    </row>
    <row r="373" spans="1:18" x14ac:dyDescent="0.25">
      <c r="A373">
        <v>372</v>
      </c>
      <c r="B373" t="s">
        <v>961</v>
      </c>
      <c r="D373" t="s">
        <v>900</v>
      </c>
      <c r="E373">
        <v>3</v>
      </c>
      <c r="F373" t="s">
        <v>938</v>
      </c>
      <c r="G373" t="s">
        <v>135</v>
      </c>
      <c r="H373" t="s">
        <v>135</v>
      </c>
      <c r="I373" t="s">
        <v>129</v>
      </c>
      <c r="J373">
        <v>5.52</v>
      </c>
      <c r="K373">
        <v>4.5199999999999996</v>
      </c>
      <c r="L373">
        <f t="shared" si="22"/>
        <v>0.5</v>
      </c>
      <c r="M373">
        <f t="shared" si="23"/>
        <v>9.057971014492755E-2</v>
      </c>
      <c r="N373">
        <v>0.49</v>
      </c>
      <c r="O373">
        <v>2.1999999999999999E-2</v>
      </c>
      <c r="P373">
        <f t="shared" si="25"/>
        <v>0.46799999999999997</v>
      </c>
      <c r="Q373">
        <v>0.24399999999999999</v>
      </c>
      <c r="R373">
        <f t="shared" si="24"/>
        <v>0.5213675213675214</v>
      </c>
    </row>
    <row r="374" spans="1:18" x14ac:dyDescent="0.25">
      <c r="A374">
        <v>373</v>
      </c>
      <c r="B374" t="s">
        <v>958</v>
      </c>
      <c r="D374" t="s">
        <v>338</v>
      </c>
      <c r="E374">
        <v>6</v>
      </c>
      <c r="F374" t="s">
        <v>19</v>
      </c>
      <c r="G374" t="s">
        <v>135</v>
      </c>
      <c r="H374" t="s">
        <v>135</v>
      </c>
      <c r="I374" t="s">
        <v>129</v>
      </c>
      <c r="J374">
        <v>6.94</v>
      </c>
      <c r="K374">
        <v>5.46</v>
      </c>
      <c r="L374">
        <f t="shared" si="22"/>
        <v>0.74000000000000021</v>
      </c>
      <c r="M374">
        <f t="shared" si="23"/>
        <v>0.10662824207492798</v>
      </c>
      <c r="N374">
        <v>0.51500000000000001</v>
      </c>
      <c r="O374">
        <v>2.1999999999999999E-2</v>
      </c>
      <c r="P374">
        <f t="shared" si="25"/>
        <v>0.49299999999999999</v>
      </c>
      <c r="Q374">
        <v>0.23</v>
      </c>
      <c r="R374">
        <f t="shared" si="24"/>
        <v>0.46653144016227183</v>
      </c>
    </row>
    <row r="375" spans="1:18" x14ac:dyDescent="0.25">
      <c r="A375">
        <v>374</v>
      </c>
      <c r="B375" t="s">
        <v>959</v>
      </c>
      <c r="D375" t="s">
        <v>921</v>
      </c>
      <c r="E375">
        <v>4</v>
      </c>
      <c r="F375" t="s">
        <v>922</v>
      </c>
      <c r="G375" t="s">
        <v>135</v>
      </c>
      <c r="H375" t="s">
        <v>135</v>
      </c>
      <c r="I375" t="s">
        <v>129</v>
      </c>
      <c r="J375">
        <v>8.57</v>
      </c>
      <c r="K375">
        <v>7.05</v>
      </c>
      <c r="L375">
        <f t="shared" si="22"/>
        <v>0.76000000000000023</v>
      </c>
      <c r="M375">
        <f t="shared" si="23"/>
        <v>8.8681446907817998E-2</v>
      </c>
      <c r="N375">
        <v>1.2150000000000001</v>
      </c>
      <c r="O375">
        <v>2.1999999999999999E-2</v>
      </c>
      <c r="P375">
        <f t="shared" si="25"/>
        <v>1.1930000000000001</v>
      </c>
      <c r="Q375">
        <v>0.42799999999999999</v>
      </c>
      <c r="R375">
        <f t="shared" si="24"/>
        <v>0.35875943000838223</v>
      </c>
    </row>
    <row r="376" spans="1:18" x14ac:dyDescent="0.25">
      <c r="A376">
        <v>375</v>
      </c>
      <c r="B376" t="s">
        <v>953</v>
      </c>
      <c r="D376" t="s">
        <v>921</v>
      </c>
      <c r="E376">
        <v>5</v>
      </c>
      <c r="F376" t="s">
        <v>922</v>
      </c>
      <c r="G376" t="s">
        <v>135</v>
      </c>
      <c r="H376" t="s">
        <v>135</v>
      </c>
      <c r="I376" t="s">
        <v>129</v>
      </c>
      <c r="J376">
        <v>10.07</v>
      </c>
      <c r="K376">
        <v>7.1</v>
      </c>
      <c r="L376">
        <f t="shared" si="22"/>
        <v>1.4850000000000003</v>
      </c>
      <c r="M376">
        <f t="shared" si="23"/>
        <v>0.14746772591857005</v>
      </c>
      <c r="N376">
        <v>0.59799999999999998</v>
      </c>
      <c r="O376">
        <v>2.1999999999999999E-2</v>
      </c>
      <c r="P376">
        <f t="shared" si="25"/>
        <v>0.57599999999999996</v>
      </c>
      <c r="Q376">
        <v>0.27300000000000002</v>
      </c>
      <c r="R376">
        <f t="shared" si="24"/>
        <v>0.47395833333333343</v>
      </c>
    </row>
    <row r="377" spans="1:18" x14ac:dyDescent="0.25">
      <c r="A377">
        <v>376</v>
      </c>
      <c r="B377" t="s">
        <v>960</v>
      </c>
      <c r="D377" t="s">
        <v>449</v>
      </c>
      <c r="E377">
        <v>6</v>
      </c>
      <c r="F377" t="s">
        <v>450</v>
      </c>
      <c r="G377" t="s">
        <v>135</v>
      </c>
      <c r="H377" t="s">
        <v>135</v>
      </c>
      <c r="I377" t="s">
        <v>129</v>
      </c>
      <c r="J377">
        <v>10.67</v>
      </c>
      <c r="K377">
        <v>6.87</v>
      </c>
      <c r="L377">
        <f t="shared" si="22"/>
        <v>1.9</v>
      </c>
      <c r="M377">
        <f t="shared" si="23"/>
        <v>0.17806935332708529</v>
      </c>
      <c r="N377">
        <v>0.73399999999999999</v>
      </c>
      <c r="O377">
        <v>2.1999999999999999E-2</v>
      </c>
      <c r="P377">
        <f t="shared" si="25"/>
        <v>0.71199999999999997</v>
      </c>
      <c r="Q377">
        <v>0.31</v>
      </c>
      <c r="R377">
        <f t="shared" si="24"/>
        <v>0.4353932584269663</v>
      </c>
    </row>
    <row r="378" spans="1:18" x14ac:dyDescent="0.25">
      <c r="A378">
        <v>377</v>
      </c>
      <c r="B378" t="s">
        <v>954</v>
      </c>
      <c r="D378" t="s">
        <v>900</v>
      </c>
      <c r="E378">
        <v>5</v>
      </c>
      <c r="F378" t="s">
        <v>938</v>
      </c>
      <c r="G378" t="s">
        <v>135</v>
      </c>
      <c r="H378" t="s">
        <v>135</v>
      </c>
      <c r="I378" t="s">
        <v>129</v>
      </c>
      <c r="J378">
        <v>8.5</v>
      </c>
      <c r="K378">
        <v>7.26</v>
      </c>
      <c r="L378">
        <f t="shared" si="22"/>
        <v>0.62000000000000011</v>
      </c>
      <c r="M378">
        <f t="shared" si="23"/>
        <v>7.2941176470588245E-2</v>
      </c>
      <c r="N378">
        <v>0.63</v>
      </c>
      <c r="O378">
        <v>2.1999999999999999E-2</v>
      </c>
      <c r="P378">
        <f t="shared" si="25"/>
        <v>0.60799999999999998</v>
      </c>
      <c r="Q378">
        <v>0.34200000000000003</v>
      </c>
      <c r="R378">
        <f t="shared" si="24"/>
        <v>0.56250000000000011</v>
      </c>
    </row>
    <row r="379" spans="1:18" x14ac:dyDescent="0.25">
      <c r="A379">
        <v>378</v>
      </c>
      <c r="B379" t="s">
        <v>957</v>
      </c>
      <c r="D379" t="s">
        <v>941</v>
      </c>
      <c r="E379">
        <v>5</v>
      </c>
      <c r="F379" t="s">
        <v>942</v>
      </c>
      <c r="G379" t="s">
        <v>135</v>
      </c>
      <c r="H379" t="s">
        <v>135</v>
      </c>
      <c r="I379" t="s">
        <v>129</v>
      </c>
      <c r="J379">
        <v>5.51</v>
      </c>
      <c r="K379">
        <v>4.3</v>
      </c>
      <c r="L379">
        <f t="shared" si="22"/>
        <v>0.60499999999999998</v>
      </c>
      <c r="M379">
        <f t="shared" si="23"/>
        <v>0.10980036297640654</v>
      </c>
      <c r="N379">
        <v>0.45300000000000001</v>
      </c>
      <c r="O379">
        <v>2.1999999999999999E-2</v>
      </c>
      <c r="P379">
        <f t="shared" si="25"/>
        <v>0.43099999999999999</v>
      </c>
      <c r="Q379">
        <v>0.34</v>
      </c>
      <c r="R379">
        <f t="shared" si="24"/>
        <v>0.78886310904872392</v>
      </c>
    </row>
    <row r="380" spans="1:18" x14ac:dyDescent="0.25">
      <c r="A380">
        <v>379</v>
      </c>
      <c r="B380" t="s">
        <v>955</v>
      </c>
      <c r="D380" t="s">
        <v>941</v>
      </c>
      <c r="E380">
        <v>2</v>
      </c>
      <c r="F380" t="s">
        <v>942</v>
      </c>
      <c r="G380" t="s">
        <v>135</v>
      </c>
      <c r="H380" t="s">
        <v>135</v>
      </c>
      <c r="I380" t="s">
        <v>129</v>
      </c>
      <c r="J380">
        <v>5.92</v>
      </c>
      <c r="K380">
        <v>4.67</v>
      </c>
      <c r="L380">
        <f t="shared" si="22"/>
        <v>0.625</v>
      </c>
      <c r="M380">
        <f t="shared" si="23"/>
        <v>0.10557432432432433</v>
      </c>
      <c r="N380">
        <v>0.47699999999999998</v>
      </c>
      <c r="O380">
        <v>2.1999999999999999E-2</v>
      </c>
      <c r="P380">
        <f t="shared" si="25"/>
        <v>0.45499999999999996</v>
      </c>
      <c r="Q380">
        <v>0.39900000000000002</v>
      </c>
      <c r="R380">
        <f t="shared" si="24"/>
        <v>0.87692307692307703</v>
      </c>
    </row>
    <row r="381" spans="1:18" x14ac:dyDescent="0.25">
      <c r="A381">
        <v>380</v>
      </c>
      <c r="B381" t="s">
        <v>967</v>
      </c>
      <c r="D381" t="s">
        <v>968</v>
      </c>
      <c r="E381">
        <v>1</v>
      </c>
      <c r="F381" t="s">
        <v>969</v>
      </c>
      <c r="G381" t="s">
        <v>135</v>
      </c>
      <c r="H381" t="s">
        <v>135</v>
      </c>
      <c r="I381" t="s">
        <v>129</v>
      </c>
      <c r="J381">
        <v>3.96</v>
      </c>
      <c r="K381">
        <v>3.33</v>
      </c>
      <c r="L381">
        <f t="shared" si="22"/>
        <v>0.31499999999999995</v>
      </c>
      <c r="M381">
        <f t="shared" si="23"/>
        <v>7.954545454545453E-2</v>
      </c>
      <c r="N381">
        <v>0.254</v>
      </c>
      <c r="O381">
        <v>2.1999999999999999E-2</v>
      </c>
      <c r="P381">
        <f t="shared" si="25"/>
        <v>0.23200000000000001</v>
      </c>
      <c r="Q381">
        <v>0.157</v>
      </c>
      <c r="R381">
        <f t="shared" si="24"/>
        <v>0.67672413793103448</v>
      </c>
    </row>
    <row r="382" spans="1:18" x14ac:dyDescent="0.25">
      <c r="A382">
        <v>381</v>
      </c>
      <c r="B382" t="s">
        <v>973</v>
      </c>
      <c r="D382" t="s">
        <v>968</v>
      </c>
      <c r="E382">
        <v>2</v>
      </c>
      <c r="F382" t="s">
        <v>969</v>
      </c>
      <c r="G382" t="s">
        <v>135</v>
      </c>
      <c r="H382" t="s">
        <v>135</v>
      </c>
      <c r="I382" t="s">
        <v>129</v>
      </c>
      <c r="J382">
        <v>6.32</v>
      </c>
      <c r="K382">
        <v>5.14</v>
      </c>
      <c r="L382">
        <f t="shared" si="22"/>
        <v>0.5900000000000003</v>
      </c>
      <c r="M382">
        <f t="shared" si="23"/>
        <v>9.3354430379746875E-2</v>
      </c>
      <c r="N382">
        <v>0.48599999999999999</v>
      </c>
      <c r="O382">
        <v>2.1999999999999999E-2</v>
      </c>
      <c r="P382">
        <f t="shared" si="25"/>
        <v>0.46399999999999997</v>
      </c>
      <c r="Q382">
        <v>0.32800000000000001</v>
      </c>
      <c r="R382">
        <f t="shared" si="24"/>
        <v>0.70689655172413801</v>
      </c>
    </row>
    <row r="383" spans="1:18" x14ac:dyDescent="0.25">
      <c r="A383">
        <v>382</v>
      </c>
      <c r="B383" t="s">
        <v>964</v>
      </c>
      <c r="D383" t="s">
        <v>921</v>
      </c>
      <c r="E383">
        <v>3</v>
      </c>
      <c r="F383" t="s">
        <v>922</v>
      </c>
      <c r="G383" t="s">
        <v>135</v>
      </c>
      <c r="H383" t="s">
        <v>135</v>
      </c>
      <c r="I383" t="s">
        <v>129</v>
      </c>
      <c r="J383">
        <v>6.06</v>
      </c>
      <c r="K383">
        <v>4.78</v>
      </c>
      <c r="L383">
        <f t="shared" si="22"/>
        <v>0.63999999999999968</v>
      </c>
      <c r="M383">
        <f t="shared" si="23"/>
        <v>0.10561056105610557</v>
      </c>
      <c r="N383">
        <v>0.38200000000000001</v>
      </c>
      <c r="O383">
        <v>2.1999999999999999E-2</v>
      </c>
      <c r="P383">
        <f t="shared" si="25"/>
        <v>0.36</v>
      </c>
      <c r="Q383">
        <v>0.19600000000000001</v>
      </c>
      <c r="R383">
        <f t="shared" si="24"/>
        <v>0.54444444444444451</v>
      </c>
    </row>
    <row r="384" spans="1:18" x14ac:dyDescent="0.25">
      <c r="A384">
        <v>383</v>
      </c>
      <c r="B384" t="s">
        <v>963</v>
      </c>
      <c r="D384" t="s">
        <v>941</v>
      </c>
      <c r="E384">
        <v>3</v>
      </c>
      <c r="F384" t="s">
        <v>942</v>
      </c>
      <c r="G384" t="s">
        <v>135</v>
      </c>
      <c r="H384" t="s">
        <v>135</v>
      </c>
      <c r="I384" t="s">
        <v>129</v>
      </c>
      <c r="J384">
        <v>7.61</v>
      </c>
      <c r="K384">
        <v>6.01</v>
      </c>
      <c r="L384">
        <f t="shared" si="22"/>
        <v>0.80000000000000027</v>
      </c>
      <c r="M384">
        <f t="shared" si="23"/>
        <v>0.10512483574244419</v>
      </c>
      <c r="N384">
        <v>0.41699999999999998</v>
      </c>
      <c r="O384">
        <v>2.1999999999999999E-2</v>
      </c>
      <c r="P384">
        <f t="shared" si="25"/>
        <v>0.39499999999999996</v>
      </c>
      <c r="Q384">
        <v>0.32500000000000001</v>
      </c>
      <c r="R384">
        <f t="shared" si="24"/>
        <v>0.82278481012658233</v>
      </c>
    </row>
    <row r="385" spans="1:20" x14ac:dyDescent="0.25">
      <c r="A385">
        <v>384</v>
      </c>
      <c r="B385" t="s">
        <v>962</v>
      </c>
      <c r="D385" t="s">
        <v>426</v>
      </c>
      <c r="E385">
        <v>3</v>
      </c>
      <c r="F385" t="s">
        <v>427</v>
      </c>
      <c r="G385" t="s">
        <v>135</v>
      </c>
      <c r="H385" t="s">
        <v>135</v>
      </c>
      <c r="I385" t="s">
        <v>129</v>
      </c>
      <c r="J385">
        <v>7.32</v>
      </c>
      <c r="K385">
        <v>5.71</v>
      </c>
      <c r="L385">
        <f t="shared" si="22"/>
        <v>0.80500000000000016</v>
      </c>
      <c r="M385">
        <f t="shared" si="23"/>
        <v>0.10997267759562843</v>
      </c>
      <c r="N385">
        <v>0.56100000000000005</v>
      </c>
      <c r="O385">
        <v>2.1999999999999999E-2</v>
      </c>
      <c r="P385">
        <f t="shared" si="25"/>
        <v>0.53900000000000003</v>
      </c>
      <c r="Q385">
        <v>0.252</v>
      </c>
      <c r="R385">
        <f t="shared" si="24"/>
        <v>0.46753246753246752</v>
      </c>
    </row>
    <row r="386" spans="1:20" x14ac:dyDescent="0.25">
      <c r="A386">
        <v>385</v>
      </c>
      <c r="B386" t="s">
        <v>965</v>
      </c>
      <c r="D386" t="s">
        <v>900</v>
      </c>
      <c r="E386">
        <v>2</v>
      </c>
      <c r="F386" t="s">
        <v>938</v>
      </c>
      <c r="G386" t="s">
        <v>135</v>
      </c>
      <c r="H386" t="s">
        <v>135</v>
      </c>
      <c r="I386" t="s">
        <v>129</v>
      </c>
      <c r="J386">
        <v>6.67</v>
      </c>
      <c r="K386">
        <v>5.38</v>
      </c>
      <c r="L386">
        <f t="shared" ref="L386:L449" si="26">(J386-K386)/2</f>
        <v>0.64500000000000002</v>
      </c>
      <c r="M386">
        <f t="shared" ref="M386:M449" si="27">L386/J386</f>
        <v>9.6701649175412296E-2</v>
      </c>
      <c r="N386">
        <v>0.56699999999999995</v>
      </c>
      <c r="O386">
        <v>2.1999999999999999E-2</v>
      </c>
      <c r="P386">
        <f t="shared" si="25"/>
        <v>0.54499999999999993</v>
      </c>
      <c r="Q386">
        <v>0.33400000000000002</v>
      </c>
      <c r="R386">
        <f t="shared" ref="R386:R449" si="28">Q386/P386</f>
        <v>0.61284403669724785</v>
      </c>
    </row>
    <row r="387" spans="1:20" x14ac:dyDescent="0.25">
      <c r="A387">
        <v>386</v>
      </c>
      <c r="B387" t="s">
        <v>974</v>
      </c>
      <c r="D387" t="s">
        <v>874</v>
      </c>
      <c r="E387">
        <v>2</v>
      </c>
      <c r="F387" t="s">
        <v>875</v>
      </c>
      <c r="G387" t="s">
        <v>135</v>
      </c>
      <c r="H387" t="s">
        <v>135</v>
      </c>
      <c r="I387" t="s">
        <v>129</v>
      </c>
      <c r="J387">
        <v>6.88</v>
      </c>
      <c r="K387">
        <v>6.05</v>
      </c>
      <c r="L387">
        <f t="shared" si="26"/>
        <v>0.41500000000000004</v>
      </c>
      <c r="M387">
        <f t="shared" si="27"/>
        <v>6.0319767441860468E-2</v>
      </c>
      <c r="N387">
        <v>0.72299999999999998</v>
      </c>
      <c r="O387">
        <v>2.1999999999999999E-2</v>
      </c>
      <c r="P387">
        <f t="shared" si="25"/>
        <v>0.70099999999999996</v>
      </c>
      <c r="Q387">
        <v>0.5</v>
      </c>
      <c r="R387">
        <f t="shared" si="28"/>
        <v>0.71326676176890158</v>
      </c>
    </row>
    <row r="388" spans="1:20" x14ac:dyDescent="0.25">
      <c r="A388">
        <v>387</v>
      </c>
      <c r="B388" t="s">
        <v>920</v>
      </c>
      <c r="D388" t="s">
        <v>921</v>
      </c>
      <c r="E388">
        <v>1</v>
      </c>
      <c r="F388" t="s">
        <v>922</v>
      </c>
      <c r="G388" t="s">
        <v>135</v>
      </c>
      <c r="H388" t="s">
        <v>135</v>
      </c>
      <c r="I388" t="s">
        <v>129</v>
      </c>
      <c r="J388">
        <v>8.61</v>
      </c>
      <c r="K388">
        <v>6.46</v>
      </c>
      <c r="L388">
        <f t="shared" si="26"/>
        <v>1.0749999999999997</v>
      </c>
      <c r="M388">
        <f t="shared" si="27"/>
        <v>0.12485481997677117</v>
      </c>
      <c r="N388">
        <v>0.71299999999999997</v>
      </c>
      <c r="O388">
        <v>2.1999999999999999E-2</v>
      </c>
      <c r="P388">
        <f t="shared" si="25"/>
        <v>0.69099999999999995</v>
      </c>
      <c r="Q388">
        <v>0.46400000000000002</v>
      </c>
      <c r="R388">
        <f t="shared" si="28"/>
        <v>0.67149059334298122</v>
      </c>
    </row>
    <row r="389" spans="1:20" x14ac:dyDescent="0.25">
      <c r="A389">
        <v>388</v>
      </c>
      <c r="B389" t="s">
        <v>947</v>
      </c>
      <c r="D389" t="s">
        <v>449</v>
      </c>
      <c r="E389">
        <v>5</v>
      </c>
      <c r="F389" t="s">
        <v>450</v>
      </c>
      <c r="G389" t="s">
        <v>135</v>
      </c>
      <c r="H389" t="s">
        <v>135</v>
      </c>
      <c r="I389" t="s">
        <v>129</v>
      </c>
      <c r="J389">
        <v>10.28</v>
      </c>
      <c r="K389">
        <v>6.17</v>
      </c>
      <c r="L389">
        <f t="shared" si="26"/>
        <v>2.0549999999999997</v>
      </c>
      <c r="M389">
        <f t="shared" si="27"/>
        <v>0.19990272373540854</v>
      </c>
      <c r="N389">
        <v>0.377</v>
      </c>
      <c r="O389">
        <v>2.1999999999999999E-2</v>
      </c>
      <c r="P389">
        <f t="shared" si="25"/>
        <v>0.35499999999999998</v>
      </c>
      <c r="Q389">
        <v>0.16</v>
      </c>
      <c r="R389">
        <f t="shared" si="28"/>
        <v>0.45070422535211269</v>
      </c>
    </row>
    <row r="390" spans="1:20" x14ac:dyDescent="0.25">
      <c r="A390">
        <v>389</v>
      </c>
      <c r="B390" t="s">
        <v>924</v>
      </c>
      <c r="D390" t="s">
        <v>925</v>
      </c>
      <c r="E390">
        <v>1</v>
      </c>
      <c r="F390" t="s">
        <v>926</v>
      </c>
      <c r="G390" t="s">
        <v>135</v>
      </c>
      <c r="H390" t="s">
        <v>135</v>
      </c>
      <c r="I390" t="s">
        <v>129</v>
      </c>
      <c r="J390">
        <v>6.55</v>
      </c>
      <c r="K390">
        <v>4.38</v>
      </c>
      <c r="L390">
        <f t="shared" si="26"/>
        <v>1.085</v>
      </c>
      <c r="M390">
        <f t="shared" si="27"/>
        <v>0.16564885496183207</v>
      </c>
      <c r="N390">
        <v>0.56000000000000005</v>
      </c>
      <c r="O390">
        <v>2.1999999999999999E-2</v>
      </c>
      <c r="P390">
        <f t="shared" si="25"/>
        <v>0.53800000000000003</v>
      </c>
      <c r="Q390">
        <v>0.20699999999999999</v>
      </c>
      <c r="R390">
        <f t="shared" si="28"/>
        <v>0.38475836431226762</v>
      </c>
    </row>
    <row r="391" spans="1:20" x14ac:dyDescent="0.25">
      <c r="A391">
        <v>390</v>
      </c>
      <c r="B391" t="s">
        <v>956</v>
      </c>
      <c r="D391" t="s">
        <v>900</v>
      </c>
      <c r="E391">
        <v>4</v>
      </c>
      <c r="F391" t="s">
        <v>938</v>
      </c>
      <c r="G391" t="s">
        <v>135</v>
      </c>
      <c r="H391" t="s">
        <v>135</v>
      </c>
      <c r="I391" t="s">
        <v>129</v>
      </c>
      <c r="J391">
        <v>7.42</v>
      </c>
      <c r="K391">
        <v>5.93</v>
      </c>
      <c r="L391">
        <f t="shared" si="26"/>
        <v>0.74500000000000011</v>
      </c>
      <c r="M391">
        <f t="shared" si="27"/>
        <v>0.10040431266846363</v>
      </c>
      <c r="N391">
        <v>0.86099999999999999</v>
      </c>
      <c r="O391">
        <v>2.1999999999999999E-2</v>
      </c>
      <c r="P391">
        <f t="shared" si="25"/>
        <v>0.83899999999999997</v>
      </c>
      <c r="Q391">
        <v>0.436</v>
      </c>
      <c r="R391">
        <f t="shared" si="28"/>
        <v>0.51966626936829563</v>
      </c>
    </row>
    <row r="392" spans="1:20" x14ac:dyDescent="0.25">
      <c r="A392">
        <v>391</v>
      </c>
      <c r="B392" t="s">
        <v>927</v>
      </c>
      <c r="D392" t="s">
        <v>446</v>
      </c>
      <c r="E392">
        <v>3</v>
      </c>
      <c r="F392" t="s">
        <v>447</v>
      </c>
      <c r="G392" t="s">
        <v>135</v>
      </c>
      <c r="H392" t="s">
        <v>135</v>
      </c>
      <c r="I392" t="s">
        <v>129</v>
      </c>
      <c r="J392">
        <v>6.05</v>
      </c>
      <c r="K392">
        <v>5.21</v>
      </c>
      <c r="L392">
        <f t="shared" si="26"/>
        <v>0.41999999999999993</v>
      </c>
      <c r="M392">
        <f t="shared" si="27"/>
        <v>6.942148760330577E-2</v>
      </c>
      <c r="N392">
        <v>0.38700000000000001</v>
      </c>
      <c r="O392">
        <v>2.1999999999999999E-2</v>
      </c>
      <c r="P392">
        <f t="shared" si="25"/>
        <v>0.36499999999999999</v>
      </c>
      <c r="Q392">
        <v>0.22600000000000001</v>
      </c>
      <c r="R392">
        <f t="shared" si="28"/>
        <v>0.61917808219178083</v>
      </c>
    </row>
    <row r="393" spans="1:20" x14ac:dyDescent="0.25">
      <c r="A393">
        <v>392</v>
      </c>
      <c r="B393" t="s">
        <v>929</v>
      </c>
      <c r="D393" t="s">
        <v>521</v>
      </c>
      <c r="E393">
        <v>3</v>
      </c>
      <c r="F393" t="s">
        <v>769</v>
      </c>
      <c r="G393" t="s">
        <v>135</v>
      </c>
      <c r="H393" t="s">
        <v>135</v>
      </c>
      <c r="I393" t="s">
        <v>129</v>
      </c>
      <c r="J393">
        <v>7.28</v>
      </c>
      <c r="K393">
        <v>4.9800000000000004</v>
      </c>
      <c r="L393">
        <f t="shared" si="26"/>
        <v>1.1499999999999999</v>
      </c>
      <c r="M393">
        <f t="shared" si="27"/>
        <v>0.15796703296703296</v>
      </c>
      <c r="N393">
        <v>0.60899999999999999</v>
      </c>
      <c r="O393">
        <v>2.1999999999999999E-2</v>
      </c>
      <c r="P393">
        <f t="shared" si="25"/>
        <v>0.58699999999999997</v>
      </c>
      <c r="Q393">
        <v>0.26</v>
      </c>
      <c r="R393">
        <f t="shared" si="28"/>
        <v>0.44293015332197622</v>
      </c>
    </row>
    <row r="394" spans="1:20" x14ac:dyDescent="0.25">
      <c r="A394">
        <v>393</v>
      </c>
      <c r="B394" t="s">
        <v>970</v>
      </c>
      <c r="D394" t="s">
        <v>941</v>
      </c>
      <c r="E394">
        <v>4</v>
      </c>
      <c r="F394" t="s">
        <v>942</v>
      </c>
      <c r="G394" t="s">
        <v>135</v>
      </c>
      <c r="H394" t="s">
        <v>135</v>
      </c>
      <c r="I394" t="s">
        <v>129</v>
      </c>
      <c r="J394">
        <v>7.33</v>
      </c>
      <c r="K394">
        <v>5.48</v>
      </c>
      <c r="L394">
        <f t="shared" si="26"/>
        <v>0.92499999999999982</v>
      </c>
      <c r="M394">
        <f t="shared" si="27"/>
        <v>0.12619372442019097</v>
      </c>
      <c r="N394">
        <v>0.64</v>
      </c>
      <c r="O394">
        <v>2.1999999999999999E-2</v>
      </c>
      <c r="P394">
        <f t="shared" si="25"/>
        <v>0.61799999999999999</v>
      </c>
      <c r="Q394">
        <v>0.46100000000000002</v>
      </c>
      <c r="R394">
        <f t="shared" si="28"/>
        <v>0.74595469255663438</v>
      </c>
    </row>
    <row r="395" spans="1:20" x14ac:dyDescent="0.25">
      <c r="A395">
        <v>394</v>
      </c>
      <c r="B395" t="s">
        <v>914</v>
      </c>
      <c r="D395" t="s">
        <v>909</v>
      </c>
      <c r="E395">
        <v>3</v>
      </c>
      <c r="F395" t="s">
        <v>910</v>
      </c>
      <c r="G395" t="s">
        <v>135</v>
      </c>
      <c r="H395" t="s">
        <v>135</v>
      </c>
      <c r="I395" t="s">
        <v>129</v>
      </c>
      <c r="J395">
        <v>8.0299999999999994</v>
      </c>
      <c r="K395">
        <v>6.16</v>
      </c>
      <c r="L395">
        <f t="shared" si="26"/>
        <v>0.93499999999999961</v>
      </c>
      <c r="M395">
        <f t="shared" si="27"/>
        <v>0.11643835616438353</v>
      </c>
      <c r="N395">
        <v>0.438</v>
      </c>
      <c r="O395">
        <v>2.1999999999999999E-2</v>
      </c>
      <c r="P395">
        <f t="shared" si="25"/>
        <v>0.41599999999999998</v>
      </c>
      <c r="Q395">
        <v>0.25</v>
      </c>
      <c r="R395">
        <f t="shared" si="28"/>
        <v>0.60096153846153844</v>
      </c>
    </row>
    <row r="396" spans="1:20" x14ac:dyDescent="0.25">
      <c r="A396">
        <v>395</v>
      </c>
      <c r="B396" t="s">
        <v>916</v>
      </c>
      <c r="D396" t="s">
        <v>909</v>
      </c>
      <c r="E396">
        <v>4</v>
      </c>
      <c r="F396" t="s">
        <v>910</v>
      </c>
      <c r="G396" t="s">
        <v>135</v>
      </c>
      <c r="H396" t="s">
        <v>135</v>
      </c>
      <c r="I396" t="s">
        <v>129</v>
      </c>
      <c r="J396">
        <v>6.67</v>
      </c>
      <c r="K396">
        <v>4.18</v>
      </c>
      <c r="L396">
        <f t="shared" si="26"/>
        <v>1.2450000000000001</v>
      </c>
      <c r="M396">
        <f t="shared" si="27"/>
        <v>0.18665667166416794</v>
      </c>
      <c r="N396">
        <v>0.47</v>
      </c>
      <c r="O396">
        <v>2.1999999999999999E-2</v>
      </c>
      <c r="P396">
        <f t="shared" si="25"/>
        <v>0.44799999999999995</v>
      </c>
      <c r="Q396">
        <v>0.28499999999999998</v>
      </c>
      <c r="R396">
        <f t="shared" si="28"/>
        <v>0.6361607142857143</v>
      </c>
    </row>
    <row r="397" spans="1:20" x14ac:dyDescent="0.25">
      <c r="A397">
        <v>396</v>
      </c>
      <c r="B397" t="s">
        <v>918</v>
      </c>
      <c r="D397" t="s">
        <v>909</v>
      </c>
      <c r="E397">
        <v>5</v>
      </c>
      <c r="F397" t="s">
        <v>910</v>
      </c>
      <c r="G397" t="s">
        <v>135</v>
      </c>
      <c r="H397" t="s">
        <v>135</v>
      </c>
      <c r="I397" t="s">
        <v>129</v>
      </c>
      <c r="J397">
        <v>10.78</v>
      </c>
      <c r="K397">
        <v>7.5</v>
      </c>
      <c r="L397">
        <f t="shared" si="26"/>
        <v>1.6399999999999997</v>
      </c>
      <c r="M397">
        <f t="shared" si="27"/>
        <v>0.15213358070500926</v>
      </c>
      <c r="N397">
        <v>1.4379999999999999</v>
      </c>
      <c r="O397">
        <v>2.1999999999999999E-2</v>
      </c>
      <c r="P397">
        <f t="shared" si="25"/>
        <v>1.4159999999999999</v>
      </c>
      <c r="Q397">
        <v>0.89</v>
      </c>
      <c r="R397">
        <f t="shared" si="28"/>
        <v>0.62853107344632775</v>
      </c>
    </row>
    <row r="398" spans="1:20" x14ac:dyDescent="0.25">
      <c r="A398">
        <v>397</v>
      </c>
      <c r="B398" t="s">
        <v>936</v>
      </c>
      <c r="D398" t="s">
        <v>416</v>
      </c>
      <c r="E398">
        <v>6</v>
      </c>
      <c r="F398" t="s">
        <v>417</v>
      </c>
      <c r="G398" t="s">
        <v>135</v>
      </c>
      <c r="H398" t="s">
        <v>135</v>
      </c>
      <c r="I398" t="s">
        <v>129</v>
      </c>
      <c r="J398">
        <v>4.7300000000000004</v>
      </c>
      <c r="K398">
        <v>3.52</v>
      </c>
      <c r="L398">
        <f t="shared" si="26"/>
        <v>0.6050000000000002</v>
      </c>
      <c r="M398">
        <f t="shared" si="27"/>
        <v>0.12790697674418608</v>
      </c>
      <c r="N398">
        <v>0.27400000000000002</v>
      </c>
      <c r="O398">
        <v>2.1999999999999999E-2</v>
      </c>
      <c r="P398">
        <f t="shared" si="25"/>
        <v>0.252</v>
      </c>
      <c r="Q398">
        <v>0.187</v>
      </c>
      <c r="R398">
        <f t="shared" si="28"/>
        <v>0.74206349206349209</v>
      </c>
    </row>
    <row r="399" spans="1:20" x14ac:dyDescent="0.25">
      <c r="A399">
        <v>398</v>
      </c>
      <c r="B399" t="s">
        <v>990</v>
      </c>
      <c r="D399" t="s">
        <v>400</v>
      </c>
      <c r="E399">
        <v>6</v>
      </c>
      <c r="F399" t="s">
        <v>541</v>
      </c>
      <c r="G399" t="s">
        <v>135</v>
      </c>
      <c r="H399" t="s">
        <v>135</v>
      </c>
      <c r="I399" t="s">
        <v>129</v>
      </c>
      <c r="J399">
        <v>7.21</v>
      </c>
      <c r="K399">
        <v>5.76</v>
      </c>
      <c r="L399">
        <f t="shared" si="26"/>
        <v>0.72500000000000009</v>
      </c>
      <c r="M399">
        <f t="shared" si="27"/>
        <v>0.10055478502080445</v>
      </c>
      <c r="N399">
        <v>0.39300000000000002</v>
      </c>
      <c r="O399">
        <v>2.1999999999999999E-2</v>
      </c>
      <c r="P399">
        <f t="shared" si="25"/>
        <v>0.371</v>
      </c>
      <c r="Q399">
        <v>0.249</v>
      </c>
      <c r="R399">
        <f t="shared" si="28"/>
        <v>0.67115902964959573</v>
      </c>
      <c r="T399" t="s">
        <v>989</v>
      </c>
    </row>
    <row r="400" spans="1:20" x14ac:dyDescent="0.25">
      <c r="A400">
        <v>399</v>
      </c>
      <c r="B400" t="s">
        <v>899</v>
      </c>
      <c r="D400" t="s">
        <v>900</v>
      </c>
      <c r="E400">
        <v>1</v>
      </c>
      <c r="F400" t="s">
        <v>938</v>
      </c>
      <c r="G400" t="s">
        <v>135</v>
      </c>
      <c r="H400" t="s">
        <v>135</v>
      </c>
      <c r="I400" t="s">
        <v>129</v>
      </c>
      <c r="J400">
        <v>6.93</v>
      </c>
      <c r="K400">
        <v>5.53</v>
      </c>
      <c r="L400">
        <f t="shared" si="26"/>
        <v>0.69999999999999973</v>
      </c>
      <c r="M400">
        <f t="shared" si="27"/>
        <v>0.10101010101010098</v>
      </c>
      <c r="N400">
        <v>0.52600000000000002</v>
      </c>
      <c r="O400">
        <v>2.1999999999999999E-2</v>
      </c>
      <c r="P400">
        <f t="shared" si="25"/>
        <v>0.504</v>
      </c>
      <c r="Q400">
        <v>0.28299999999999997</v>
      </c>
      <c r="R400">
        <f t="shared" si="28"/>
        <v>0.5615079365079364</v>
      </c>
    </row>
    <row r="401" spans="1:18" x14ac:dyDescent="0.25">
      <c r="A401">
        <v>400</v>
      </c>
      <c r="B401" t="s">
        <v>939</v>
      </c>
      <c r="D401" t="s">
        <v>925</v>
      </c>
      <c r="E401">
        <v>4</v>
      </c>
      <c r="F401" t="s">
        <v>926</v>
      </c>
      <c r="G401" t="s">
        <v>135</v>
      </c>
      <c r="H401" t="s">
        <v>135</v>
      </c>
      <c r="I401" t="s">
        <v>129</v>
      </c>
      <c r="J401">
        <v>7</v>
      </c>
      <c r="K401">
        <v>4.91</v>
      </c>
      <c r="L401">
        <f t="shared" si="26"/>
        <v>1.0449999999999999</v>
      </c>
      <c r="M401">
        <f t="shared" si="27"/>
        <v>0.14928571428571427</v>
      </c>
      <c r="N401">
        <v>0.35299999999999998</v>
      </c>
      <c r="O401">
        <v>2.1999999999999999E-2</v>
      </c>
      <c r="P401">
        <f t="shared" si="25"/>
        <v>0.33099999999999996</v>
      </c>
      <c r="Q401">
        <v>0.113</v>
      </c>
      <c r="R401">
        <f t="shared" si="28"/>
        <v>0.34138972809667678</v>
      </c>
    </row>
    <row r="402" spans="1:18" x14ac:dyDescent="0.25">
      <c r="A402">
        <v>401</v>
      </c>
      <c r="B402" t="s">
        <v>943</v>
      </c>
      <c r="D402" t="s">
        <v>416</v>
      </c>
      <c r="E402">
        <v>5</v>
      </c>
      <c r="F402" t="s">
        <v>417</v>
      </c>
      <c r="G402" t="s">
        <v>135</v>
      </c>
      <c r="H402" t="s">
        <v>135</v>
      </c>
      <c r="I402" t="s">
        <v>129</v>
      </c>
      <c r="J402">
        <v>4.6100000000000003</v>
      </c>
      <c r="K402">
        <v>3.62</v>
      </c>
      <c r="L402">
        <f t="shared" si="26"/>
        <v>0.49500000000000011</v>
      </c>
      <c r="M402">
        <f t="shared" si="27"/>
        <v>0.10737527114967464</v>
      </c>
      <c r="N402">
        <v>0.21</v>
      </c>
      <c r="O402">
        <v>2.1999999999999999E-2</v>
      </c>
      <c r="P402">
        <f t="shared" si="25"/>
        <v>0.188</v>
      </c>
      <c r="Q402">
        <v>0.14099999999999999</v>
      </c>
      <c r="R402">
        <f t="shared" si="28"/>
        <v>0.74999999999999989</v>
      </c>
    </row>
    <row r="403" spans="1:18" x14ac:dyDescent="0.25">
      <c r="A403">
        <v>402</v>
      </c>
      <c r="B403" t="s">
        <v>940</v>
      </c>
      <c r="D403" t="s">
        <v>941</v>
      </c>
      <c r="E403">
        <v>1</v>
      </c>
      <c r="F403" t="s">
        <v>942</v>
      </c>
      <c r="G403" t="s">
        <v>135</v>
      </c>
      <c r="H403" t="s">
        <v>135</v>
      </c>
      <c r="I403" t="s">
        <v>129</v>
      </c>
      <c r="J403">
        <v>4.93</v>
      </c>
      <c r="K403">
        <v>3.95</v>
      </c>
      <c r="L403">
        <f t="shared" si="26"/>
        <v>0.48999999999999977</v>
      </c>
      <c r="M403">
        <f t="shared" si="27"/>
        <v>9.9391480730223081E-2</v>
      </c>
      <c r="N403">
        <v>0.443</v>
      </c>
      <c r="O403">
        <v>2.1999999999999999E-2</v>
      </c>
      <c r="P403">
        <f t="shared" ref="P403:P466" si="29">N403-O403</f>
        <v>0.42099999999999999</v>
      </c>
      <c r="Q403">
        <v>0.30099999999999999</v>
      </c>
      <c r="R403">
        <f t="shared" si="28"/>
        <v>0.71496437054631834</v>
      </c>
    </row>
    <row r="404" spans="1:18" x14ac:dyDescent="0.25">
      <c r="A404">
        <v>403</v>
      </c>
      <c r="B404" t="s">
        <v>945</v>
      </c>
      <c r="D404" t="s">
        <v>921</v>
      </c>
      <c r="E404">
        <v>2</v>
      </c>
      <c r="F404" t="s">
        <v>922</v>
      </c>
      <c r="G404" t="s">
        <v>135</v>
      </c>
      <c r="H404" t="s">
        <v>135</v>
      </c>
      <c r="I404" t="s">
        <v>129</v>
      </c>
      <c r="J404">
        <v>5.79</v>
      </c>
      <c r="K404">
        <v>4.8099999999999996</v>
      </c>
      <c r="L404">
        <f t="shared" si="26"/>
        <v>0.49000000000000021</v>
      </c>
      <c r="M404">
        <f t="shared" si="27"/>
        <v>8.4628670120898142E-2</v>
      </c>
      <c r="N404">
        <v>0.59799999999999998</v>
      </c>
      <c r="O404">
        <v>2.1999999999999999E-2</v>
      </c>
      <c r="P404">
        <f t="shared" si="29"/>
        <v>0.57599999999999996</v>
      </c>
      <c r="Q404">
        <v>0.31900000000000001</v>
      </c>
      <c r="R404">
        <f t="shared" si="28"/>
        <v>0.55381944444444453</v>
      </c>
    </row>
    <row r="405" spans="1:18" x14ac:dyDescent="0.25">
      <c r="A405">
        <v>404</v>
      </c>
      <c r="B405" t="s">
        <v>946</v>
      </c>
      <c r="D405" t="s">
        <v>446</v>
      </c>
      <c r="E405">
        <v>5</v>
      </c>
      <c r="F405" t="s">
        <v>447</v>
      </c>
      <c r="G405" t="s">
        <v>135</v>
      </c>
      <c r="H405" t="s">
        <v>135</v>
      </c>
      <c r="I405" t="s">
        <v>129</v>
      </c>
      <c r="J405">
        <v>6.78</v>
      </c>
      <c r="K405">
        <v>5.4</v>
      </c>
      <c r="L405">
        <f t="shared" si="26"/>
        <v>0.69</v>
      </c>
      <c r="M405">
        <f t="shared" si="27"/>
        <v>0.10176991150442477</v>
      </c>
      <c r="N405">
        <v>0.745</v>
      </c>
      <c r="O405">
        <v>2.1999999999999999E-2</v>
      </c>
      <c r="P405">
        <f t="shared" si="29"/>
        <v>0.72299999999999998</v>
      </c>
      <c r="Q405">
        <v>0.36699999999999999</v>
      </c>
      <c r="R405">
        <f t="shared" si="28"/>
        <v>0.50760719225449513</v>
      </c>
    </row>
    <row r="406" spans="1:18" x14ac:dyDescent="0.25">
      <c r="A406">
        <v>405</v>
      </c>
      <c r="B406" t="s">
        <v>933</v>
      </c>
      <c r="D406" t="s">
        <v>449</v>
      </c>
      <c r="E406">
        <v>4</v>
      </c>
      <c r="F406" t="s">
        <v>450</v>
      </c>
      <c r="G406" t="s">
        <v>135</v>
      </c>
      <c r="H406" t="s">
        <v>135</v>
      </c>
      <c r="I406" t="s">
        <v>129</v>
      </c>
      <c r="J406">
        <v>8.74</v>
      </c>
      <c r="K406">
        <v>4.96</v>
      </c>
      <c r="L406">
        <f t="shared" si="26"/>
        <v>1.8900000000000001</v>
      </c>
      <c r="M406">
        <f t="shared" si="27"/>
        <v>0.21624713958810068</v>
      </c>
      <c r="N406">
        <v>0.51800000000000002</v>
      </c>
      <c r="O406">
        <v>2.1999999999999999E-2</v>
      </c>
      <c r="P406">
        <f t="shared" si="29"/>
        <v>0.496</v>
      </c>
      <c r="Q406">
        <v>0.27200000000000002</v>
      </c>
      <c r="R406">
        <f t="shared" si="28"/>
        <v>0.54838709677419362</v>
      </c>
    </row>
    <row r="407" spans="1:18" x14ac:dyDescent="0.25">
      <c r="A407">
        <v>406</v>
      </c>
      <c r="B407" t="s">
        <v>932</v>
      </c>
      <c r="D407" t="s">
        <v>925</v>
      </c>
      <c r="E407">
        <v>3</v>
      </c>
      <c r="F407" t="s">
        <v>926</v>
      </c>
      <c r="G407" t="s">
        <v>135</v>
      </c>
      <c r="H407" t="s">
        <v>135</v>
      </c>
      <c r="I407" t="s">
        <v>129</v>
      </c>
      <c r="J407">
        <v>5.43</v>
      </c>
      <c r="K407">
        <v>3.7</v>
      </c>
      <c r="L407">
        <f t="shared" si="26"/>
        <v>0.86499999999999977</v>
      </c>
      <c r="M407">
        <f t="shared" si="27"/>
        <v>0.15930018416206257</v>
      </c>
      <c r="N407">
        <v>0.64300000000000002</v>
      </c>
      <c r="O407">
        <v>2.1999999999999999E-2</v>
      </c>
      <c r="P407">
        <f t="shared" si="29"/>
        <v>0.621</v>
      </c>
      <c r="Q407">
        <v>0.30299999999999999</v>
      </c>
      <c r="R407">
        <f t="shared" si="28"/>
        <v>0.48792270531400966</v>
      </c>
    </row>
    <row r="408" spans="1:18" x14ac:dyDescent="0.25">
      <c r="A408">
        <v>407</v>
      </c>
      <c r="B408" t="s">
        <v>944</v>
      </c>
      <c r="D408" t="s">
        <v>521</v>
      </c>
      <c r="E408">
        <v>5</v>
      </c>
      <c r="F408" t="s">
        <v>769</v>
      </c>
      <c r="G408" t="s">
        <v>135</v>
      </c>
      <c r="H408" t="s">
        <v>135</v>
      </c>
      <c r="I408" t="s">
        <v>129</v>
      </c>
      <c r="J408">
        <v>7.67</v>
      </c>
      <c r="K408">
        <v>5.55</v>
      </c>
      <c r="L408">
        <f t="shared" si="26"/>
        <v>1.06</v>
      </c>
      <c r="M408">
        <f t="shared" si="27"/>
        <v>0.13820078226857888</v>
      </c>
      <c r="N408">
        <v>0.56799999999999995</v>
      </c>
      <c r="O408">
        <v>2.1999999999999999E-2</v>
      </c>
      <c r="P408">
        <f t="shared" si="29"/>
        <v>0.54599999999999993</v>
      </c>
      <c r="Q408">
        <v>0.29699999999999999</v>
      </c>
      <c r="R408">
        <f t="shared" si="28"/>
        <v>0.54395604395604402</v>
      </c>
    </row>
    <row r="409" spans="1:18" x14ac:dyDescent="0.25">
      <c r="A409">
        <v>408</v>
      </c>
      <c r="B409" t="s">
        <v>937</v>
      </c>
      <c r="D409" t="s">
        <v>521</v>
      </c>
      <c r="E409">
        <v>4</v>
      </c>
      <c r="F409" t="s">
        <v>769</v>
      </c>
      <c r="G409" t="s">
        <v>135</v>
      </c>
      <c r="H409" t="s">
        <v>135</v>
      </c>
      <c r="I409" t="s">
        <v>129</v>
      </c>
      <c r="J409">
        <v>7.33</v>
      </c>
      <c r="K409">
        <v>5.17</v>
      </c>
      <c r="L409">
        <f t="shared" si="26"/>
        <v>1.08</v>
      </c>
      <c r="M409">
        <f t="shared" si="27"/>
        <v>0.14733969986357437</v>
      </c>
      <c r="N409">
        <v>0.74199999999999999</v>
      </c>
      <c r="O409">
        <v>2.1999999999999999E-2</v>
      </c>
      <c r="P409">
        <f t="shared" si="29"/>
        <v>0.72</v>
      </c>
      <c r="Q409">
        <v>0.30599999999999999</v>
      </c>
      <c r="R409">
        <f t="shared" si="28"/>
        <v>0.42499999999999999</v>
      </c>
    </row>
    <row r="410" spans="1:18" x14ac:dyDescent="0.25">
      <c r="A410">
        <v>409</v>
      </c>
      <c r="B410" t="s">
        <v>908</v>
      </c>
      <c r="D410" t="s">
        <v>909</v>
      </c>
      <c r="E410">
        <v>1</v>
      </c>
      <c r="F410" t="s">
        <v>910</v>
      </c>
      <c r="G410" t="s">
        <v>135</v>
      </c>
      <c r="H410" t="s">
        <v>135</v>
      </c>
      <c r="I410" t="s">
        <v>129</v>
      </c>
      <c r="J410">
        <v>8.26</v>
      </c>
      <c r="K410">
        <v>5.57</v>
      </c>
      <c r="L410">
        <f t="shared" si="26"/>
        <v>1.3449999999999998</v>
      </c>
      <c r="M410">
        <f t="shared" si="27"/>
        <v>0.1628329297820823</v>
      </c>
      <c r="N410">
        <v>0.40600000000000003</v>
      </c>
      <c r="O410">
        <v>2.1999999999999999E-2</v>
      </c>
      <c r="P410">
        <f t="shared" si="29"/>
        <v>0.38400000000000001</v>
      </c>
      <c r="Q410">
        <v>0.28899999999999998</v>
      </c>
      <c r="R410">
        <f t="shared" si="28"/>
        <v>0.75260416666666663</v>
      </c>
    </row>
    <row r="411" spans="1:18" x14ac:dyDescent="0.25">
      <c r="A411">
        <v>410</v>
      </c>
      <c r="B411" t="s">
        <v>971</v>
      </c>
      <c r="D411" t="s">
        <v>874</v>
      </c>
      <c r="E411">
        <v>4</v>
      </c>
      <c r="F411" t="s">
        <v>875</v>
      </c>
      <c r="G411" t="s">
        <v>135</v>
      </c>
      <c r="H411" t="s">
        <v>135</v>
      </c>
      <c r="I411" t="s">
        <v>129</v>
      </c>
      <c r="J411">
        <v>5.75</v>
      </c>
      <c r="K411">
        <v>5.1100000000000003</v>
      </c>
      <c r="L411">
        <f t="shared" si="26"/>
        <v>0.31999999999999984</v>
      </c>
      <c r="M411">
        <f t="shared" si="27"/>
        <v>5.5652173913043453E-2</v>
      </c>
      <c r="N411">
        <v>0.59799999999999998</v>
      </c>
      <c r="O411">
        <v>2.1999999999999999E-2</v>
      </c>
      <c r="P411">
        <f t="shared" si="29"/>
        <v>0.57599999999999996</v>
      </c>
      <c r="Q411">
        <v>0.42199999999999999</v>
      </c>
      <c r="R411">
        <f t="shared" si="28"/>
        <v>0.73263888888888895</v>
      </c>
    </row>
    <row r="412" spans="1:18" x14ac:dyDescent="0.25">
      <c r="A412">
        <v>411</v>
      </c>
      <c r="B412" t="s">
        <v>912</v>
      </c>
      <c r="D412" t="s">
        <v>909</v>
      </c>
      <c r="E412">
        <v>2</v>
      </c>
      <c r="F412" t="s">
        <v>910</v>
      </c>
      <c r="G412" t="s">
        <v>135</v>
      </c>
      <c r="H412" t="s">
        <v>135</v>
      </c>
      <c r="I412" t="s">
        <v>129</v>
      </c>
      <c r="J412">
        <v>7.73</v>
      </c>
      <c r="K412">
        <v>5.51</v>
      </c>
      <c r="L412">
        <f t="shared" si="26"/>
        <v>1.1100000000000003</v>
      </c>
      <c r="M412">
        <f t="shared" si="27"/>
        <v>0.14359637774902978</v>
      </c>
      <c r="N412">
        <v>0.58299999999999996</v>
      </c>
      <c r="O412">
        <v>2.1999999999999999E-2</v>
      </c>
      <c r="P412">
        <f t="shared" si="29"/>
        <v>0.56099999999999994</v>
      </c>
      <c r="Q412">
        <v>0.32300000000000001</v>
      </c>
      <c r="R412">
        <f t="shared" si="28"/>
        <v>0.5757575757575758</v>
      </c>
    </row>
    <row r="413" spans="1:18" x14ac:dyDescent="0.25">
      <c r="A413">
        <v>412</v>
      </c>
      <c r="B413" t="s">
        <v>931</v>
      </c>
      <c r="D413" t="s">
        <v>446</v>
      </c>
      <c r="E413">
        <v>4</v>
      </c>
      <c r="F413" t="s">
        <v>447</v>
      </c>
      <c r="G413" t="s">
        <v>135</v>
      </c>
      <c r="H413" t="s">
        <v>135</v>
      </c>
      <c r="I413" t="s">
        <v>129</v>
      </c>
      <c r="J413">
        <v>7.77</v>
      </c>
      <c r="K413">
        <v>5.78</v>
      </c>
      <c r="L413">
        <f t="shared" si="26"/>
        <v>0.99499999999999966</v>
      </c>
      <c r="M413">
        <f t="shared" si="27"/>
        <v>0.12805662805662801</v>
      </c>
      <c r="N413">
        <v>0.89400000000000002</v>
      </c>
      <c r="O413">
        <v>2.1999999999999999E-2</v>
      </c>
      <c r="P413">
        <f t="shared" si="29"/>
        <v>0.872</v>
      </c>
      <c r="Q413">
        <v>0.52400000000000002</v>
      </c>
      <c r="R413">
        <f t="shared" si="28"/>
        <v>0.60091743119266061</v>
      </c>
    </row>
    <row r="414" spans="1:18" x14ac:dyDescent="0.25">
      <c r="A414">
        <v>413</v>
      </c>
      <c r="B414" t="s">
        <v>966</v>
      </c>
      <c r="D414" t="s">
        <v>925</v>
      </c>
      <c r="E414">
        <v>5</v>
      </c>
      <c r="F414" t="s">
        <v>926</v>
      </c>
      <c r="G414" t="s">
        <v>135</v>
      </c>
      <c r="H414" t="s">
        <v>135</v>
      </c>
      <c r="I414" t="s">
        <v>129</v>
      </c>
      <c r="J414">
        <v>6.03</v>
      </c>
      <c r="K414">
        <v>4.25</v>
      </c>
      <c r="L414">
        <f t="shared" si="26"/>
        <v>0.89000000000000012</v>
      </c>
      <c r="M414">
        <f t="shared" si="27"/>
        <v>0.14759535655058045</v>
      </c>
      <c r="N414">
        <v>0.48399999999999999</v>
      </c>
      <c r="O414">
        <v>2.1999999999999999E-2</v>
      </c>
      <c r="P414">
        <f t="shared" si="29"/>
        <v>0.46199999999999997</v>
      </c>
      <c r="Q414">
        <v>0.22600000000000001</v>
      </c>
      <c r="R414">
        <f t="shared" si="28"/>
        <v>0.48917748917748921</v>
      </c>
    </row>
    <row r="415" spans="1:18" x14ac:dyDescent="0.25">
      <c r="A415">
        <v>414</v>
      </c>
      <c r="B415" t="s">
        <v>928</v>
      </c>
      <c r="D415" t="s">
        <v>521</v>
      </c>
      <c r="E415">
        <v>2</v>
      </c>
      <c r="F415" t="s">
        <v>769</v>
      </c>
      <c r="G415" t="s">
        <v>135</v>
      </c>
      <c r="H415" t="s">
        <v>135</v>
      </c>
      <c r="I415" t="s">
        <v>129</v>
      </c>
      <c r="J415">
        <v>7.46</v>
      </c>
      <c r="K415">
        <v>5.43</v>
      </c>
      <c r="L415">
        <f t="shared" si="26"/>
        <v>1.0150000000000001</v>
      </c>
      <c r="M415">
        <f t="shared" si="27"/>
        <v>0.13605898123324398</v>
      </c>
      <c r="N415">
        <v>0.45500000000000002</v>
      </c>
      <c r="O415">
        <v>2.1999999999999999E-2</v>
      </c>
      <c r="P415">
        <f t="shared" si="29"/>
        <v>0.433</v>
      </c>
      <c r="Q415">
        <v>0.14299999999999999</v>
      </c>
      <c r="R415">
        <f t="shared" si="28"/>
        <v>0.33025404157043875</v>
      </c>
    </row>
    <row r="416" spans="1:18" x14ac:dyDescent="0.25">
      <c r="A416">
        <v>415</v>
      </c>
      <c r="B416" t="s">
        <v>934</v>
      </c>
      <c r="D416" t="s">
        <v>763</v>
      </c>
      <c r="E416">
        <v>5</v>
      </c>
      <c r="F416" t="s">
        <v>764</v>
      </c>
      <c r="G416" t="s">
        <v>135</v>
      </c>
      <c r="H416" t="s">
        <v>135</v>
      </c>
      <c r="I416" t="s">
        <v>129</v>
      </c>
      <c r="J416">
        <v>5.34</v>
      </c>
      <c r="K416">
        <v>3.39</v>
      </c>
      <c r="L416">
        <f t="shared" si="26"/>
        <v>0.97499999999999987</v>
      </c>
      <c r="M416">
        <f t="shared" si="27"/>
        <v>0.18258426966292132</v>
      </c>
      <c r="N416">
        <v>0.33900000000000002</v>
      </c>
      <c r="O416">
        <v>2.1999999999999999E-2</v>
      </c>
      <c r="P416">
        <f t="shared" si="29"/>
        <v>0.317</v>
      </c>
      <c r="Q416">
        <v>0.192</v>
      </c>
      <c r="R416">
        <f t="shared" si="28"/>
        <v>0.60567823343848581</v>
      </c>
    </row>
    <row r="417" spans="1:18" x14ac:dyDescent="0.25">
      <c r="A417">
        <v>416</v>
      </c>
      <c r="B417" t="s">
        <v>972</v>
      </c>
      <c r="D417" t="s">
        <v>343</v>
      </c>
      <c r="E417">
        <v>4</v>
      </c>
      <c r="F417" t="s">
        <v>323</v>
      </c>
      <c r="G417" t="s">
        <v>135</v>
      </c>
      <c r="H417" t="s">
        <v>135</v>
      </c>
      <c r="I417" t="s">
        <v>129</v>
      </c>
      <c r="J417">
        <v>7.13</v>
      </c>
      <c r="K417">
        <v>5.52</v>
      </c>
      <c r="L417">
        <f t="shared" si="26"/>
        <v>0.80500000000000016</v>
      </c>
      <c r="M417">
        <f t="shared" si="27"/>
        <v>0.11290322580645164</v>
      </c>
      <c r="N417">
        <v>0.495</v>
      </c>
      <c r="O417">
        <v>2.1999999999999999E-2</v>
      </c>
      <c r="P417">
        <f t="shared" si="29"/>
        <v>0.47299999999999998</v>
      </c>
      <c r="Q417">
        <v>0.30499999999999999</v>
      </c>
      <c r="R417">
        <f t="shared" si="28"/>
        <v>0.64482029598308666</v>
      </c>
    </row>
    <row r="418" spans="1:18" x14ac:dyDescent="0.25">
      <c r="A418">
        <v>417</v>
      </c>
      <c r="B418" t="s">
        <v>930</v>
      </c>
      <c r="D418" t="s">
        <v>925</v>
      </c>
      <c r="E418">
        <v>2</v>
      </c>
      <c r="F418" t="s">
        <v>926</v>
      </c>
      <c r="G418" t="s">
        <v>135</v>
      </c>
      <c r="H418" t="s">
        <v>135</v>
      </c>
      <c r="I418" t="s">
        <v>129</v>
      </c>
      <c r="J418">
        <v>9.9499999999999993</v>
      </c>
      <c r="K418">
        <v>7.54</v>
      </c>
      <c r="L418">
        <f t="shared" si="26"/>
        <v>1.2049999999999996</v>
      </c>
      <c r="M418">
        <f t="shared" si="27"/>
        <v>0.12110552763819092</v>
      </c>
      <c r="N418">
        <v>1.323</v>
      </c>
      <c r="O418">
        <v>2.1999999999999999E-2</v>
      </c>
      <c r="P418">
        <f t="shared" si="29"/>
        <v>1.3009999999999999</v>
      </c>
      <c r="Q418">
        <v>0.38700000000000001</v>
      </c>
      <c r="R418">
        <f t="shared" si="28"/>
        <v>0.29746348962336666</v>
      </c>
    </row>
    <row r="419" spans="1:18" x14ac:dyDescent="0.25">
      <c r="A419">
        <v>418</v>
      </c>
      <c r="B419" t="s">
        <v>1009</v>
      </c>
      <c r="D419" t="s">
        <v>812</v>
      </c>
      <c r="E419">
        <v>5</v>
      </c>
      <c r="F419" t="s">
        <v>813</v>
      </c>
      <c r="G419" t="s">
        <v>135</v>
      </c>
      <c r="H419" t="s">
        <v>135</v>
      </c>
      <c r="I419" t="s">
        <v>129</v>
      </c>
      <c r="J419">
        <v>9.0399999999999991</v>
      </c>
      <c r="K419">
        <v>8.2899999999999991</v>
      </c>
      <c r="L419">
        <f t="shared" si="26"/>
        <v>0.375</v>
      </c>
      <c r="M419">
        <f t="shared" si="27"/>
        <v>4.1482300884955754E-2</v>
      </c>
      <c r="N419">
        <v>1.2809999999999999</v>
      </c>
      <c r="O419">
        <v>2.7E-2</v>
      </c>
      <c r="P419">
        <f t="shared" si="29"/>
        <v>1.254</v>
      </c>
      <c r="Q419">
        <v>0.81699999999999995</v>
      </c>
      <c r="R419">
        <f t="shared" si="28"/>
        <v>0.65151515151515149</v>
      </c>
    </row>
    <row r="420" spans="1:18" x14ac:dyDescent="0.25">
      <c r="A420">
        <v>419</v>
      </c>
      <c r="B420" t="s">
        <v>1004</v>
      </c>
      <c r="D420" t="s">
        <v>1005</v>
      </c>
      <c r="E420">
        <v>2</v>
      </c>
      <c r="F420" t="s">
        <v>1006</v>
      </c>
      <c r="G420" t="s">
        <v>135</v>
      </c>
      <c r="H420" t="s">
        <v>135</v>
      </c>
      <c r="I420" t="s">
        <v>129</v>
      </c>
      <c r="J420">
        <v>3.62</v>
      </c>
      <c r="K420">
        <v>3.21</v>
      </c>
      <c r="L420">
        <f t="shared" si="26"/>
        <v>0.20500000000000007</v>
      </c>
      <c r="M420">
        <f t="shared" si="27"/>
        <v>5.6629834254143661E-2</v>
      </c>
      <c r="N420">
        <v>0.42399999999999999</v>
      </c>
      <c r="O420">
        <v>2.7E-2</v>
      </c>
      <c r="P420">
        <f t="shared" si="29"/>
        <v>0.39699999999999996</v>
      </c>
      <c r="Q420">
        <v>0.309</v>
      </c>
      <c r="R420">
        <f t="shared" si="28"/>
        <v>0.77833753148614615</v>
      </c>
    </row>
    <row r="421" spans="1:18" x14ac:dyDescent="0.25">
      <c r="A421">
        <v>420</v>
      </c>
      <c r="B421" t="s">
        <v>1013</v>
      </c>
      <c r="D421" t="s">
        <v>1005</v>
      </c>
      <c r="E421">
        <v>1</v>
      </c>
      <c r="F421" t="s">
        <v>1006</v>
      </c>
      <c r="G421" t="s">
        <v>135</v>
      </c>
      <c r="H421" t="s">
        <v>135</v>
      </c>
      <c r="I421" t="s">
        <v>129</v>
      </c>
      <c r="J421">
        <v>4.5199999999999996</v>
      </c>
      <c r="K421">
        <v>3.85</v>
      </c>
      <c r="L421">
        <f t="shared" si="26"/>
        <v>0.33499999999999974</v>
      </c>
      <c r="M421">
        <f t="shared" si="27"/>
        <v>7.4115044247787559E-2</v>
      </c>
      <c r="N421">
        <v>0.67900000000000005</v>
      </c>
      <c r="O421">
        <v>2.7E-2</v>
      </c>
      <c r="P421">
        <f t="shared" si="29"/>
        <v>0.65200000000000002</v>
      </c>
      <c r="Q421">
        <v>0.44900000000000001</v>
      </c>
      <c r="R421">
        <f t="shared" si="28"/>
        <v>0.68865030674846628</v>
      </c>
    </row>
    <row r="422" spans="1:18" x14ac:dyDescent="0.25">
      <c r="A422">
        <v>421</v>
      </c>
      <c r="B422" t="s">
        <v>1007</v>
      </c>
      <c r="D422" t="s">
        <v>848</v>
      </c>
      <c r="E422">
        <v>5</v>
      </c>
      <c r="F422" t="s">
        <v>849</v>
      </c>
      <c r="G422" t="s">
        <v>135</v>
      </c>
      <c r="H422" t="s">
        <v>135</v>
      </c>
      <c r="I422" t="s">
        <v>129</v>
      </c>
      <c r="J422">
        <v>5.23</v>
      </c>
      <c r="K422">
        <v>4.47</v>
      </c>
      <c r="L422">
        <f t="shared" si="26"/>
        <v>0.38000000000000034</v>
      </c>
      <c r="M422">
        <f t="shared" si="27"/>
        <v>7.2657743785850923E-2</v>
      </c>
      <c r="N422">
        <v>0.84199999999999997</v>
      </c>
      <c r="O422">
        <v>2.7E-2</v>
      </c>
      <c r="P422">
        <f t="shared" si="29"/>
        <v>0.81499999999999995</v>
      </c>
      <c r="Q422">
        <v>0.52900000000000003</v>
      </c>
      <c r="R422">
        <f t="shared" si="28"/>
        <v>0.64907975460122702</v>
      </c>
    </row>
    <row r="423" spans="1:18" x14ac:dyDescent="0.25">
      <c r="A423">
        <v>422</v>
      </c>
      <c r="B423" t="s">
        <v>994</v>
      </c>
      <c r="D423" t="s">
        <v>865</v>
      </c>
      <c r="E423">
        <v>4</v>
      </c>
      <c r="F423" t="s">
        <v>866</v>
      </c>
      <c r="G423" t="s">
        <v>135</v>
      </c>
      <c r="H423" t="s">
        <v>135</v>
      </c>
      <c r="I423" t="s">
        <v>129</v>
      </c>
      <c r="J423">
        <v>7.56</v>
      </c>
      <c r="K423">
        <v>5.67</v>
      </c>
      <c r="L423">
        <f t="shared" si="26"/>
        <v>0.94499999999999984</v>
      </c>
      <c r="M423">
        <f t="shared" si="27"/>
        <v>0.12499999999999999</v>
      </c>
      <c r="N423">
        <v>0.76</v>
      </c>
      <c r="O423">
        <v>2.7E-2</v>
      </c>
      <c r="P423">
        <f t="shared" si="29"/>
        <v>0.73299999999999998</v>
      </c>
      <c r="Q423">
        <v>0.48499999999999999</v>
      </c>
      <c r="R423">
        <f t="shared" si="28"/>
        <v>0.66166439290586632</v>
      </c>
    </row>
    <row r="424" spans="1:18" x14ac:dyDescent="0.25">
      <c r="A424">
        <v>423</v>
      </c>
      <c r="B424" t="s">
        <v>995</v>
      </c>
      <c r="D424" t="s">
        <v>339</v>
      </c>
      <c r="E424">
        <v>5</v>
      </c>
      <c r="F424" t="s">
        <v>362</v>
      </c>
      <c r="G424" t="s">
        <v>135</v>
      </c>
      <c r="H424" t="s">
        <v>135</v>
      </c>
      <c r="I424" t="s">
        <v>129</v>
      </c>
      <c r="J424">
        <v>10.47</v>
      </c>
      <c r="K424">
        <v>8.39</v>
      </c>
      <c r="L424">
        <f t="shared" si="26"/>
        <v>1.04</v>
      </c>
      <c r="M424">
        <f t="shared" si="27"/>
        <v>9.9331423113658071E-2</v>
      </c>
      <c r="N424">
        <v>0.91200000000000003</v>
      </c>
      <c r="O424">
        <v>2.7E-2</v>
      </c>
      <c r="P424">
        <f t="shared" si="29"/>
        <v>0.88500000000000001</v>
      </c>
      <c r="Q424">
        <v>0.76100000000000001</v>
      </c>
      <c r="R424">
        <f t="shared" si="28"/>
        <v>0.85988700564971754</v>
      </c>
    </row>
    <row r="425" spans="1:18" x14ac:dyDescent="0.25">
      <c r="A425">
        <v>424</v>
      </c>
      <c r="B425" t="s">
        <v>996</v>
      </c>
      <c r="D425" t="s">
        <v>809</v>
      </c>
      <c r="E425">
        <v>2</v>
      </c>
      <c r="F425" t="s">
        <v>810</v>
      </c>
      <c r="G425" t="s">
        <v>135</v>
      </c>
      <c r="H425" t="s">
        <v>135</v>
      </c>
      <c r="I425" t="s">
        <v>129</v>
      </c>
      <c r="J425">
        <v>4.3899999999999997</v>
      </c>
      <c r="K425">
        <v>3.8</v>
      </c>
      <c r="L425">
        <f t="shared" si="26"/>
        <v>0.29499999999999993</v>
      </c>
      <c r="M425">
        <f t="shared" si="27"/>
        <v>6.7198177676537574E-2</v>
      </c>
      <c r="N425">
        <v>0.66</v>
      </c>
      <c r="O425">
        <v>2.7E-2</v>
      </c>
      <c r="P425">
        <f t="shared" si="29"/>
        <v>0.63300000000000001</v>
      </c>
      <c r="Q425">
        <v>0.315</v>
      </c>
      <c r="R425">
        <f t="shared" si="28"/>
        <v>0.49763033175355448</v>
      </c>
    </row>
    <row r="426" spans="1:18" x14ac:dyDescent="0.25">
      <c r="A426">
        <v>425</v>
      </c>
      <c r="B426" t="s">
        <v>998</v>
      </c>
      <c r="D426" t="s">
        <v>809</v>
      </c>
      <c r="E426">
        <v>3</v>
      </c>
      <c r="F426" t="s">
        <v>810</v>
      </c>
      <c r="G426" t="s">
        <v>135</v>
      </c>
      <c r="H426" t="s">
        <v>135</v>
      </c>
      <c r="I426" t="s">
        <v>129</v>
      </c>
      <c r="J426">
        <v>6.85</v>
      </c>
      <c r="K426">
        <v>5.22</v>
      </c>
      <c r="L426">
        <f t="shared" si="26"/>
        <v>0.81499999999999995</v>
      </c>
      <c r="M426">
        <f t="shared" si="27"/>
        <v>0.11897810218978103</v>
      </c>
      <c r="N426">
        <v>0.502</v>
      </c>
      <c r="O426">
        <v>2.7E-2</v>
      </c>
      <c r="P426">
        <f t="shared" si="29"/>
        <v>0.47499999999999998</v>
      </c>
      <c r="Q426">
        <v>0.35399999999999998</v>
      </c>
      <c r="R426">
        <f t="shared" si="28"/>
        <v>0.74526315789473685</v>
      </c>
    </row>
    <row r="427" spans="1:18" x14ac:dyDescent="0.25">
      <c r="A427">
        <v>426</v>
      </c>
      <c r="B427" t="s">
        <v>1010</v>
      </c>
      <c r="D427" t="s">
        <v>865</v>
      </c>
      <c r="E427">
        <v>3</v>
      </c>
      <c r="F427" t="s">
        <v>866</v>
      </c>
      <c r="G427" t="s">
        <v>135</v>
      </c>
      <c r="H427" t="s">
        <v>135</v>
      </c>
      <c r="I427" t="s">
        <v>129</v>
      </c>
      <c r="J427">
        <v>6.79</v>
      </c>
      <c r="K427">
        <v>4.7300000000000004</v>
      </c>
      <c r="L427">
        <f t="shared" si="26"/>
        <v>1.0299999999999998</v>
      </c>
      <c r="M427">
        <f t="shared" si="27"/>
        <v>0.15169366715758464</v>
      </c>
      <c r="N427">
        <v>0.34899999999999998</v>
      </c>
      <c r="O427">
        <v>2.7E-2</v>
      </c>
      <c r="P427">
        <f t="shared" si="29"/>
        <v>0.32199999999999995</v>
      </c>
      <c r="Q427">
        <v>0.16900000000000001</v>
      </c>
      <c r="R427">
        <f t="shared" si="28"/>
        <v>0.52484472049689457</v>
      </c>
    </row>
    <row r="428" spans="1:18" x14ac:dyDescent="0.25">
      <c r="A428">
        <v>427</v>
      </c>
      <c r="B428" t="s">
        <v>1008</v>
      </c>
      <c r="D428" t="s">
        <v>848</v>
      </c>
      <c r="E428">
        <v>3</v>
      </c>
      <c r="F428" t="s">
        <v>849</v>
      </c>
      <c r="G428" t="s">
        <v>135</v>
      </c>
      <c r="H428" t="s">
        <v>135</v>
      </c>
      <c r="I428" t="s">
        <v>129</v>
      </c>
      <c r="J428">
        <v>4.41</v>
      </c>
      <c r="K428">
        <v>4.03</v>
      </c>
      <c r="L428">
        <f t="shared" si="26"/>
        <v>0.18999999999999995</v>
      </c>
      <c r="M428">
        <f t="shared" si="27"/>
        <v>4.3083900226757357E-2</v>
      </c>
      <c r="N428">
        <v>0.60199999999999998</v>
      </c>
      <c r="O428">
        <v>2.7E-2</v>
      </c>
      <c r="P428">
        <f t="shared" si="29"/>
        <v>0.57499999999999996</v>
      </c>
      <c r="Q428">
        <v>0.39300000000000002</v>
      </c>
      <c r="R428">
        <f t="shared" si="28"/>
        <v>0.68347826086956531</v>
      </c>
    </row>
    <row r="429" spans="1:18" x14ac:dyDescent="0.25">
      <c r="A429">
        <v>428</v>
      </c>
      <c r="B429" t="s">
        <v>1011</v>
      </c>
      <c r="D429" t="s">
        <v>865</v>
      </c>
      <c r="E429">
        <v>2</v>
      </c>
      <c r="F429" t="s">
        <v>866</v>
      </c>
      <c r="G429" t="s">
        <v>135</v>
      </c>
      <c r="H429" t="s">
        <v>135</v>
      </c>
      <c r="I429" t="s">
        <v>129</v>
      </c>
      <c r="J429">
        <v>6.24</v>
      </c>
      <c r="K429">
        <v>5.08</v>
      </c>
      <c r="L429">
        <f t="shared" si="26"/>
        <v>0.58000000000000007</v>
      </c>
      <c r="M429">
        <f t="shared" si="27"/>
        <v>9.2948717948717952E-2</v>
      </c>
      <c r="N429">
        <v>0.76500000000000001</v>
      </c>
      <c r="O429">
        <v>2.7E-2</v>
      </c>
      <c r="P429">
        <f t="shared" si="29"/>
        <v>0.73799999999999999</v>
      </c>
      <c r="Q429">
        <v>0.312</v>
      </c>
      <c r="R429">
        <f t="shared" si="28"/>
        <v>0.42276422764227645</v>
      </c>
    </row>
    <row r="430" spans="1:18" x14ac:dyDescent="0.25">
      <c r="A430">
        <v>429</v>
      </c>
      <c r="B430" t="s">
        <v>1012</v>
      </c>
      <c r="D430" t="s">
        <v>491</v>
      </c>
      <c r="E430">
        <v>5</v>
      </c>
      <c r="F430" t="s">
        <v>492</v>
      </c>
      <c r="G430" t="s">
        <v>135</v>
      </c>
      <c r="H430" t="s">
        <v>135</v>
      </c>
      <c r="I430" t="s">
        <v>129</v>
      </c>
      <c r="J430">
        <v>5.86</v>
      </c>
      <c r="K430">
        <v>5.3</v>
      </c>
      <c r="L430">
        <f t="shared" si="26"/>
        <v>0.28000000000000025</v>
      </c>
      <c r="M430">
        <f t="shared" si="27"/>
        <v>4.7781569965870345E-2</v>
      </c>
      <c r="N430">
        <v>0.98299999999999998</v>
      </c>
      <c r="O430">
        <v>2.7E-2</v>
      </c>
      <c r="P430">
        <f t="shared" si="29"/>
        <v>0.95599999999999996</v>
      </c>
      <c r="Q430">
        <v>0.51300000000000001</v>
      </c>
      <c r="R430">
        <f t="shared" si="28"/>
        <v>0.53661087866108792</v>
      </c>
    </row>
    <row r="431" spans="1:18" x14ac:dyDescent="0.25">
      <c r="A431">
        <v>430</v>
      </c>
      <c r="B431" t="s">
        <v>992</v>
      </c>
      <c r="D431" t="s">
        <v>339</v>
      </c>
      <c r="E431">
        <v>4</v>
      </c>
      <c r="F431" t="s">
        <v>362</v>
      </c>
      <c r="G431" t="s">
        <v>135</v>
      </c>
      <c r="H431" t="s">
        <v>135</v>
      </c>
      <c r="I431" t="s">
        <v>129</v>
      </c>
      <c r="J431">
        <v>6.43</v>
      </c>
      <c r="K431">
        <v>5.27</v>
      </c>
      <c r="L431">
        <f t="shared" si="26"/>
        <v>0.58000000000000007</v>
      </c>
      <c r="M431">
        <f t="shared" si="27"/>
        <v>9.0202177293934691E-2</v>
      </c>
      <c r="N431">
        <v>0.7</v>
      </c>
      <c r="O431">
        <v>2.7E-2</v>
      </c>
      <c r="P431">
        <f t="shared" si="29"/>
        <v>0.67299999999999993</v>
      </c>
      <c r="Q431">
        <v>0.45500000000000002</v>
      </c>
      <c r="R431">
        <f t="shared" si="28"/>
        <v>0.67607726597325413</v>
      </c>
    </row>
    <row r="432" spans="1:18" x14ac:dyDescent="0.25">
      <c r="A432">
        <v>431</v>
      </c>
      <c r="B432" t="s">
        <v>1014</v>
      </c>
      <c r="D432" t="s">
        <v>839</v>
      </c>
      <c r="E432">
        <v>2</v>
      </c>
      <c r="F432" t="s">
        <v>840</v>
      </c>
      <c r="G432" t="s">
        <v>135</v>
      </c>
      <c r="H432" t="s">
        <v>135</v>
      </c>
      <c r="I432" t="s">
        <v>129</v>
      </c>
      <c r="J432">
        <v>5.96</v>
      </c>
      <c r="K432">
        <v>4.2</v>
      </c>
      <c r="L432">
        <f t="shared" si="26"/>
        <v>0.87999999999999989</v>
      </c>
      <c r="M432">
        <f t="shared" si="27"/>
        <v>0.14765100671140938</v>
      </c>
      <c r="N432">
        <v>0.67300000000000004</v>
      </c>
      <c r="O432">
        <v>2.7E-2</v>
      </c>
      <c r="P432">
        <f t="shared" si="29"/>
        <v>0.64600000000000002</v>
      </c>
      <c r="Q432">
        <v>0.17299999999999999</v>
      </c>
      <c r="R432">
        <f t="shared" si="28"/>
        <v>0.2678018575851393</v>
      </c>
    </row>
    <row r="433" spans="1:20" x14ac:dyDescent="0.25">
      <c r="A433">
        <v>432</v>
      </c>
      <c r="B433" t="s">
        <v>1001</v>
      </c>
      <c r="D433" t="s">
        <v>345</v>
      </c>
      <c r="E433">
        <v>5</v>
      </c>
      <c r="F433" t="s">
        <v>350</v>
      </c>
      <c r="G433" t="s">
        <v>135</v>
      </c>
      <c r="H433" t="s">
        <v>135</v>
      </c>
      <c r="I433" t="s">
        <v>129</v>
      </c>
      <c r="J433">
        <v>11.82</v>
      </c>
      <c r="K433">
        <v>5.89</v>
      </c>
      <c r="L433">
        <f t="shared" si="26"/>
        <v>2.9650000000000003</v>
      </c>
      <c r="M433">
        <f t="shared" si="27"/>
        <v>0.25084602368866332</v>
      </c>
      <c r="N433">
        <v>0.45500000000000002</v>
      </c>
      <c r="O433">
        <v>2.7E-2</v>
      </c>
      <c r="P433">
        <f t="shared" si="29"/>
        <v>0.42799999999999999</v>
      </c>
      <c r="Q433">
        <v>0.19600000000000001</v>
      </c>
      <c r="R433">
        <f t="shared" si="28"/>
        <v>0.45794392523364491</v>
      </c>
    </row>
    <row r="434" spans="1:20" x14ac:dyDescent="0.25">
      <c r="A434">
        <v>433</v>
      </c>
      <c r="B434" t="s">
        <v>997</v>
      </c>
      <c r="D434" t="s">
        <v>530</v>
      </c>
      <c r="E434">
        <v>4</v>
      </c>
      <c r="F434" t="s">
        <v>531</v>
      </c>
      <c r="G434" t="s">
        <v>135</v>
      </c>
      <c r="H434" t="s">
        <v>135</v>
      </c>
      <c r="I434" t="s">
        <v>129</v>
      </c>
      <c r="J434">
        <v>8.06</v>
      </c>
      <c r="K434">
        <v>5.64</v>
      </c>
      <c r="L434">
        <f t="shared" si="26"/>
        <v>1.2100000000000004</v>
      </c>
      <c r="M434">
        <f t="shared" si="27"/>
        <v>0.15012406947890822</v>
      </c>
      <c r="N434">
        <v>1.39</v>
      </c>
      <c r="O434">
        <v>2.7E-2</v>
      </c>
      <c r="P434">
        <f t="shared" si="29"/>
        <v>1.363</v>
      </c>
      <c r="Q434">
        <v>0.41199999999999998</v>
      </c>
      <c r="R434">
        <f t="shared" si="28"/>
        <v>0.30227439471753481</v>
      </c>
    </row>
    <row r="435" spans="1:20" x14ac:dyDescent="0.25">
      <c r="A435">
        <v>434</v>
      </c>
      <c r="B435" t="s">
        <v>999</v>
      </c>
      <c r="D435" t="s">
        <v>488</v>
      </c>
      <c r="E435">
        <v>5</v>
      </c>
      <c r="F435" t="s">
        <v>489</v>
      </c>
      <c r="G435" t="s">
        <v>135</v>
      </c>
      <c r="H435" t="s">
        <v>135</v>
      </c>
      <c r="I435" t="s">
        <v>129</v>
      </c>
      <c r="J435">
        <v>8.86</v>
      </c>
      <c r="K435">
        <v>6.29</v>
      </c>
      <c r="L435">
        <f t="shared" si="26"/>
        <v>1.2849999999999997</v>
      </c>
      <c r="M435">
        <f t="shared" si="27"/>
        <v>0.14503386004514671</v>
      </c>
      <c r="N435">
        <v>0.70399999999999996</v>
      </c>
      <c r="O435">
        <v>2.7E-2</v>
      </c>
      <c r="P435">
        <f t="shared" si="29"/>
        <v>0.67699999999999994</v>
      </c>
      <c r="Q435">
        <v>0.498</v>
      </c>
      <c r="R435">
        <f t="shared" si="28"/>
        <v>0.73559822747415071</v>
      </c>
      <c r="T435" t="s">
        <v>1100</v>
      </c>
    </row>
    <row r="436" spans="1:20" x14ac:dyDescent="0.25">
      <c r="A436">
        <v>435</v>
      </c>
      <c r="B436" t="s">
        <v>1000</v>
      </c>
      <c r="D436" t="s">
        <v>339</v>
      </c>
      <c r="E436">
        <v>3</v>
      </c>
      <c r="F436" t="s">
        <v>362</v>
      </c>
      <c r="G436" t="s">
        <v>135</v>
      </c>
      <c r="H436" t="s">
        <v>135</v>
      </c>
      <c r="I436" t="s">
        <v>129</v>
      </c>
      <c r="J436">
        <v>7.84</v>
      </c>
      <c r="K436">
        <v>6.67</v>
      </c>
      <c r="L436">
        <f t="shared" si="26"/>
        <v>0.58499999999999996</v>
      </c>
      <c r="M436">
        <f t="shared" si="27"/>
        <v>7.4617346938775503E-2</v>
      </c>
      <c r="N436">
        <v>1.9390000000000001</v>
      </c>
      <c r="O436">
        <v>2.7E-2</v>
      </c>
      <c r="P436">
        <f t="shared" si="29"/>
        <v>1.9120000000000001</v>
      </c>
      <c r="Q436">
        <v>1.2889999999999999</v>
      </c>
      <c r="R436">
        <f t="shared" si="28"/>
        <v>0.67416317991631791</v>
      </c>
    </row>
    <row r="437" spans="1:20" x14ac:dyDescent="0.25">
      <c r="A437">
        <v>436</v>
      </c>
      <c r="B437" t="s">
        <v>993</v>
      </c>
      <c r="D437" t="s">
        <v>367</v>
      </c>
      <c r="E437">
        <v>6</v>
      </c>
      <c r="F437" t="s">
        <v>371</v>
      </c>
      <c r="G437" t="s">
        <v>135</v>
      </c>
      <c r="H437" t="s">
        <v>135</v>
      </c>
      <c r="I437" t="s">
        <v>129</v>
      </c>
      <c r="J437">
        <v>7.11</v>
      </c>
      <c r="K437">
        <v>5.89</v>
      </c>
      <c r="L437">
        <f t="shared" si="26"/>
        <v>0.61000000000000032</v>
      </c>
      <c r="M437">
        <f t="shared" si="27"/>
        <v>8.5794655414908619E-2</v>
      </c>
      <c r="N437">
        <v>1.573</v>
      </c>
      <c r="O437">
        <v>2.7E-2</v>
      </c>
      <c r="P437">
        <f t="shared" si="29"/>
        <v>1.546</v>
      </c>
      <c r="Q437">
        <v>0.85699999999999998</v>
      </c>
      <c r="R437">
        <f t="shared" si="28"/>
        <v>0.55433376455368688</v>
      </c>
    </row>
    <row r="438" spans="1:20" x14ac:dyDescent="0.25">
      <c r="A438">
        <v>437</v>
      </c>
      <c r="B438" t="s">
        <v>1258</v>
      </c>
      <c r="C438" t="s">
        <v>1002</v>
      </c>
      <c r="D438" t="s">
        <v>333</v>
      </c>
      <c r="E438">
        <v>3</v>
      </c>
      <c r="F438" t="s">
        <v>364</v>
      </c>
      <c r="G438" t="s">
        <v>135</v>
      </c>
      <c r="H438" t="s">
        <v>135</v>
      </c>
      <c r="I438" t="s">
        <v>129</v>
      </c>
      <c r="J438">
        <v>6.95</v>
      </c>
      <c r="K438">
        <v>4.5</v>
      </c>
      <c r="L438">
        <f t="shared" si="26"/>
        <v>1.2250000000000001</v>
      </c>
      <c r="M438">
        <f t="shared" si="27"/>
        <v>0.17625899280575541</v>
      </c>
      <c r="N438">
        <v>0.55200000000000005</v>
      </c>
      <c r="O438">
        <v>2.7E-2</v>
      </c>
      <c r="P438">
        <f t="shared" si="29"/>
        <v>0.52500000000000002</v>
      </c>
      <c r="Q438">
        <v>0.27</v>
      </c>
      <c r="R438">
        <f t="shared" si="28"/>
        <v>0.51428571428571435</v>
      </c>
    </row>
    <row r="439" spans="1:20" x14ac:dyDescent="0.25">
      <c r="A439">
        <v>438</v>
      </c>
      <c r="B439" t="s">
        <v>1067</v>
      </c>
      <c r="D439" t="s">
        <v>385</v>
      </c>
      <c r="E439">
        <v>5</v>
      </c>
      <c r="F439" t="s">
        <v>255</v>
      </c>
      <c r="G439" t="s">
        <v>135</v>
      </c>
      <c r="H439" t="s">
        <v>135</v>
      </c>
      <c r="I439" t="s">
        <v>129</v>
      </c>
      <c r="J439">
        <v>9.11</v>
      </c>
      <c r="K439">
        <v>5.69</v>
      </c>
      <c r="L439">
        <f t="shared" si="26"/>
        <v>1.7099999999999995</v>
      </c>
      <c r="M439">
        <f t="shared" si="27"/>
        <v>0.18770581778265638</v>
      </c>
      <c r="N439">
        <v>1.008</v>
      </c>
      <c r="O439">
        <v>2.7E-2</v>
      </c>
      <c r="P439">
        <f t="shared" si="29"/>
        <v>0.98099999999999998</v>
      </c>
      <c r="Q439">
        <v>0.56899999999999995</v>
      </c>
      <c r="R439">
        <f t="shared" si="28"/>
        <v>0.58002038735983685</v>
      </c>
    </row>
    <row r="440" spans="1:20" x14ac:dyDescent="0.25">
      <c r="A440">
        <v>439</v>
      </c>
      <c r="B440" t="s">
        <v>984</v>
      </c>
      <c r="D440" t="s">
        <v>763</v>
      </c>
      <c r="E440">
        <v>1</v>
      </c>
      <c r="F440" t="s">
        <v>764</v>
      </c>
      <c r="I440" t="s">
        <v>129</v>
      </c>
      <c r="J440">
        <v>4.7</v>
      </c>
      <c r="K440">
        <v>3.3</v>
      </c>
      <c r="L440">
        <f t="shared" si="26"/>
        <v>0.70000000000000018</v>
      </c>
      <c r="M440">
        <f t="shared" si="27"/>
        <v>0.14893617021276598</v>
      </c>
      <c r="N440">
        <v>0.38400000000000001</v>
      </c>
      <c r="O440">
        <v>2.7E-2</v>
      </c>
      <c r="P440">
        <f t="shared" si="29"/>
        <v>0.35699999999999998</v>
      </c>
      <c r="Q440">
        <v>0.32400000000000001</v>
      </c>
      <c r="R440">
        <f t="shared" si="28"/>
        <v>0.90756302521008414</v>
      </c>
    </row>
    <row r="441" spans="1:20" x14ac:dyDescent="0.25">
      <c r="A441">
        <v>440</v>
      </c>
      <c r="B441" t="s">
        <v>1066</v>
      </c>
      <c r="D441" t="s">
        <v>858</v>
      </c>
      <c r="E441">
        <v>2</v>
      </c>
      <c r="F441" t="s">
        <v>859</v>
      </c>
      <c r="I441" t="s">
        <v>129</v>
      </c>
      <c r="J441">
        <v>7.54</v>
      </c>
      <c r="K441">
        <v>5.64</v>
      </c>
      <c r="L441">
        <f t="shared" si="26"/>
        <v>0.95000000000000018</v>
      </c>
      <c r="M441">
        <f t="shared" si="27"/>
        <v>0.12599469496021223</v>
      </c>
      <c r="N441">
        <v>0.58499999999999996</v>
      </c>
      <c r="O441">
        <v>2.7E-2</v>
      </c>
      <c r="P441">
        <f t="shared" si="29"/>
        <v>0.55799999999999994</v>
      </c>
      <c r="Q441">
        <v>0.44</v>
      </c>
      <c r="R441">
        <f t="shared" si="28"/>
        <v>0.7885304659498209</v>
      </c>
    </row>
    <row r="442" spans="1:20" x14ac:dyDescent="0.25">
      <c r="A442">
        <v>441</v>
      </c>
      <c r="B442" t="s">
        <v>1060</v>
      </c>
      <c r="D442" t="s">
        <v>874</v>
      </c>
      <c r="E442">
        <v>5</v>
      </c>
      <c r="F442" t="s">
        <v>875</v>
      </c>
      <c r="I442" t="s">
        <v>129</v>
      </c>
      <c r="J442">
        <v>7.36</v>
      </c>
      <c r="K442">
        <v>6.2</v>
      </c>
      <c r="L442">
        <f t="shared" si="26"/>
        <v>0.58000000000000007</v>
      </c>
      <c r="M442">
        <f t="shared" si="27"/>
        <v>7.880434782608696E-2</v>
      </c>
      <c r="N442">
        <v>0.77100000000000002</v>
      </c>
      <c r="O442">
        <v>2.7E-2</v>
      </c>
      <c r="P442">
        <f t="shared" si="29"/>
        <v>0.74399999999999999</v>
      </c>
      <c r="Q442">
        <v>0.55800000000000005</v>
      </c>
      <c r="R442">
        <f t="shared" si="28"/>
        <v>0.75000000000000011</v>
      </c>
    </row>
    <row r="443" spans="1:20" x14ac:dyDescent="0.25">
      <c r="A443">
        <v>442</v>
      </c>
      <c r="B443" t="s">
        <v>1056</v>
      </c>
      <c r="D443" t="s">
        <v>357</v>
      </c>
      <c r="E443">
        <v>6</v>
      </c>
      <c r="F443" t="s">
        <v>272</v>
      </c>
      <c r="I443" t="s">
        <v>129</v>
      </c>
      <c r="J443">
        <v>7</v>
      </c>
      <c r="K443">
        <v>4.75</v>
      </c>
      <c r="L443">
        <f t="shared" si="26"/>
        <v>1.125</v>
      </c>
      <c r="M443">
        <f t="shared" si="27"/>
        <v>0.16071428571428573</v>
      </c>
      <c r="N443">
        <v>0.308</v>
      </c>
      <c r="O443">
        <v>2.7E-2</v>
      </c>
      <c r="P443">
        <f t="shared" si="29"/>
        <v>0.28099999999999997</v>
      </c>
      <c r="Q443">
        <v>0.127</v>
      </c>
      <c r="R443">
        <f t="shared" si="28"/>
        <v>0.45195729537366552</v>
      </c>
    </row>
    <row r="444" spans="1:20" x14ac:dyDescent="0.25">
      <c r="A444">
        <v>443</v>
      </c>
      <c r="B444" t="s">
        <v>1063</v>
      </c>
      <c r="D444" t="s">
        <v>735</v>
      </c>
      <c r="E444">
        <v>3</v>
      </c>
      <c r="F444" t="s">
        <v>745</v>
      </c>
      <c r="I444" t="s">
        <v>129</v>
      </c>
      <c r="J444">
        <v>4.9800000000000004</v>
      </c>
      <c r="K444">
        <v>3.55</v>
      </c>
      <c r="L444">
        <f t="shared" si="26"/>
        <v>0.7150000000000003</v>
      </c>
      <c r="M444">
        <f t="shared" si="27"/>
        <v>0.14357429718875506</v>
      </c>
      <c r="N444">
        <v>0.41299999999999998</v>
      </c>
      <c r="O444">
        <v>2.7E-2</v>
      </c>
      <c r="P444">
        <f t="shared" si="29"/>
        <v>0.38599999999999995</v>
      </c>
      <c r="Q444">
        <v>0.23400000000000001</v>
      </c>
      <c r="R444">
        <f t="shared" si="28"/>
        <v>0.60621761658031104</v>
      </c>
    </row>
    <row r="445" spans="1:20" x14ac:dyDescent="0.25">
      <c r="A445">
        <v>444</v>
      </c>
      <c r="B445" t="s">
        <v>1062</v>
      </c>
      <c r="D445" t="s">
        <v>809</v>
      </c>
      <c r="E445">
        <v>5</v>
      </c>
      <c r="F445" t="s">
        <v>810</v>
      </c>
      <c r="I445" t="s">
        <v>129</v>
      </c>
      <c r="J445">
        <v>9.4600000000000009</v>
      </c>
      <c r="K445">
        <v>7.16</v>
      </c>
      <c r="L445">
        <f t="shared" si="26"/>
        <v>1.1500000000000004</v>
      </c>
      <c r="M445">
        <f t="shared" si="27"/>
        <v>0.12156448202959834</v>
      </c>
      <c r="N445">
        <v>0.82899999999999996</v>
      </c>
      <c r="O445">
        <v>2.7E-2</v>
      </c>
      <c r="P445">
        <f t="shared" si="29"/>
        <v>0.80199999999999994</v>
      </c>
      <c r="Q445">
        <v>0.65400000000000003</v>
      </c>
      <c r="R445">
        <f t="shared" si="28"/>
        <v>0.81546134663341652</v>
      </c>
    </row>
    <row r="446" spans="1:20" x14ac:dyDescent="0.25">
      <c r="A446">
        <v>445</v>
      </c>
      <c r="B446" t="s">
        <v>1059</v>
      </c>
      <c r="D446" t="s">
        <v>809</v>
      </c>
      <c r="E446">
        <v>4</v>
      </c>
      <c r="F446" t="s">
        <v>810</v>
      </c>
      <c r="I446" t="s">
        <v>129</v>
      </c>
      <c r="J446">
        <v>7.79</v>
      </c>
      <c r="K446">
        <v>5.7</v>
      </c>
      <c r="L446">
        <f t="shared" si="26"/>
        <v>1.0449999999999999</v>
      </c>
      <c r="M446">
        <f t="shared" si="27"/>
        <v>0.13414634146341461</v>
      </c>
      <c r="N446">
        <v>0.64900000000000002</v>
      </c>
      <c r="O446">
        <v>2.7E-2</v>
      </c>
      <c r="P446">
        <f t="shared" si="29"/>
        <v>0.622</v>
      </c>
      <c r="Q446">
        <v>0.41199999999999998</v>
      </c>
      <c r="R446">
        <f t="shared" si="28"/>
        <v>0.66237942122186488</v>
      </c>
    </row>
    <row r="447" spans="1:20" x14ac:dyDescent="0.25">
      <c r="A447">
        <v>446</v>
      </c>
      <c r="B447" t="s">
        <v>1069</v>
      </c>
      <c r="D447" t="s">
        <v>800</v>
      </c>
      <c r="E447">
        <v>5</v>
      </c>
      <c r="F447" t="s">
        <v>801</v>
      </c>
      <c r="I447" t="s">
        <v>129</v>
      </c>
      <c r="J447">
        <v>9.23</v>
      </c>
      <c r="K447">
        <v>6.51</v>
      </c>
      <c r="L447">
        <f t="shared" si="26"/>
        <v>1.3600000000000003</v>
      </c>
      <c r="M447">
        <f t="shared" si="27"/>
        <v>0.14734561213434455</v>
      </c>
      <c r="N447">
        <v>0.69099999999999995</v>
      </c>
      <c r="O447">
        <v>2.7E-2</v>
      </c>
      <c r="P447">
        <f t="shared" si="29"/>
        <v>0.66399999999999992</v>
      </c>
      <c r="Q447">
        <v>0.16300000000000001</v>
      </c>
      <c r="R447">
        <f t="shared" si="28"/>
        <v>0.2454819277108434</v>
      </c>
    </row>
    <row r="448" spans="1:20" x14ac:dyDescent="0.25">
      <c r="A448">
        <v>447</v>
      </c>
      <c r="B448" t="s">
        <v>1058</v>
      </c>
      <c r="D448" t="s">
        <v>356</v>
      </c>
      <c r="E448">
        <v>4</v>
      </c>
      <c r="F448" t="s">
        <v>479</v>
      </c>
      <c r="I448" t="s">
        <v>129</v>
      </c>
      <c r="J448">
        <v>7.96</v>
      </c>
      <c r="K448">
        <v>6.14</v>
      </c>
      <c r="L448">
        <f t="shared" si="26"/>
        <v>0.91000000000000014</v>
      </c>
      <c r="M448">
        <f t="shared" si="27"/>
        <v>0.11432160804020103</v>
      </c>
      <c r="N448">
        <v>0.93100000000000005</v>
      </c>
      <c r="O448">
        <v>2.7E-2</v>
      </c>
      <c r="P448">
        <f t="shared" si="29"/>
        <v>0.90400000000000003</v>
      </c>
      <c r="Q448">
        <v>0.52600000000000002</v>
      </c>
      <c r="R448">
        <f t="shared" si="28"/>
        <v>0.58185840707964598</v>
      </c>
    </row>
    <row r="449" spans="1:20" x14ac:dyDescent="0.25">
      <c r="A449">
        <v>448</v>
      </c>
      <c r="B449" t="s">
        <v>1061</v>
      </c>
      <c r="D449" t="s">
        <v>510</v>
      </c>
      <c r="E449">
        <v>5</v>
      </c>
      <c r="F449" t="s">
        <v>511</v>
      </c>
      <c r="I449" t="s">
        <v>129</v>
      </c>
      <c r="J449">
        <v>8.25</v>
      </c>
      <c r="K449">
        <v>5.14</v>
      </c>
      <c r="L449">
        <f t="shared" si="26"/>
        <v>1.5550000000000002</v>
      </c>
      <c r="M449">
        <f t="shared" si="27"/>
        <v>0.18848484848484851</v>
      </c>
      <c r="N449">
        <v>0.214</v>
      </c>
      <c r="O449">
        <v>2.7E-2</v>
      </c>
      <c r="P449">
        <f t="shared" si="29"/>
        <v>0.187</v>
      </c>
      <c r="Q449">
        <v>9.1999999999999998E-2</v>
      </c>
      <c r="R449">
        <f t="shared" si="28"/>
        <v>0.49197860962566842</v>
      </c>
    </row>
    <row r="450" spans="1:20" x14ac:dyDescent="0.25">
      <c r="A450">
        <v>449</v>
      </c>
      <c r="B450" t="s">
        <v>1057</v>
      </c>
      <c r="D450" t="s">
        <v>800</v>
      </c>
      <c r="E450">
        <v>4</v>
      </c>
      <c r="F450" t="s">
        <v>801</v>
      </c>
      <c r="I450" t="s">
        <v>129</v>
      </c>
      <c r="J450">
        <v>7.52</v>
      </c>
      <c r="K450">
        <v>5.37</v>
      </c>
      <c r="L450">
        <f t="shared" ref="L450:L474" si="30">(J450-K450)/2</f>
        <v>1.0749999999999997</v>
      </c>
      <c r="M450">
        <f t="shared" ref="M450:M474" si="31">L450/J450</f>
        <v>0.14295212765957444</v>
      </c>
      <c r="N450">
        <v>0.69499999999999995</v>
      </c>
      <c r="O450">
        <v>2.7E-2</v>
      </c>
      <c r="P450">
        <f t="shared" si="29"/>
        <v>0.66799999999999993</v>
      </c>
      <c r="Q450">
        <v>0.20300000000000001</v>
      </c>
      <c r="R450">
        <f t="shared" ref="R450:R475" si="32">Q450/P450</f>
        <v>0.30389221556886231</v>
      </c>
    </row>
    <row r="451" spans="1:20" x14ac:dyDescent="0.25">
      <c r="A451">
        <v>450</v>
      </c>
      <c r="B451" t="s">
        <v>1065</v>
      </c>
      <c r="D451" t="s">
        <v>356</v>
      </c>
      <c r="E451">
        <v>5</v>
      </c>
      <c r="F451" t="s">
        <v>479</v>
      </c>
      <c r="I451" t="s">
        <v>129</v>
      </c>
      <c r="J451">
        <v>7.68</v>
      </c>
      <c r="K451">
        <v>6.24</v>
      </c>
      <c r="L451">
        <f t="shared" si="30"/>
        <v>0.71999999999999975</v>
      </c>
      <c r="M451">
        <f t="shared" si="31"/>
        <v>9.3749999999999972E-2</v>
      </c>
      <c r="N451">
        <v>0.88</v>
      </c>
      <c r="O451">
        <v>2.7E-2</v>
      </c>
      <c r="P451">
        <f t="shared" si="29"/>
        <v>0.85299999999999998</v>
      </c>
      <c r="Q451">
        <v>0.443</v>
      </c>
      <c r="R451">
        <f t="shared" si="32"/>
        <v>0.5193434935521688</v>
      </c>
    </row>
    <row r="452" spans="1:20" x14ac:dyDescent="0.25">
      <c r="A452">
        <v>451</v>
      </c>
      <c r="B452" t="s">
        <v>1068</v>
      </c>
      <c r="D452" t="s">
        <v>735</v>
      </c>
      <c r="E452">
        <v>2</v>
      </c>
      <c r="F452" t="s">
        <v>745</v>
      </c>
      <c r="I452" t="s">
        <v>129</v>
      </c>
      <c r="J452">
        <v>5.6</v>
      </c>
      <c r="K452">
        <v>4.1500000000000004</v>
      </c>
      <c r="L452">
        <f t="shared" si="30"/>
        <v>0.72499999999999964</v>
      </c>
      <c r="M452">
        <f t="shared" si="31"/>
        <v>0.12946428571428567</v>
      </c>
      <c r="N452">
        <v>0.44800000000000001</v>
      </c>
      <c r="O452">
        <v>2.7E-2</v>
      </c>
      <c r="P452">
        <f t="shared" si="29"/>
        <v>0.42099999999999999</v>
      </c>
      <c r="Q452">
        <v>0.26200000000000001</v>
      </c>
      <c r="R452">
        <f t="shared" si="32"/>
        <v>0.62232779097387181</v>
      </c>
    </row>
    <row r="453" spans="1:20" x14ac:dyDescent="0.25">
      <c r="A453">
        <v>452</v>
      </c>
      <c r="B453" t="s">
        <v>1082</v>
      </c>
      <c r="D453" t="s">
        <v>1083</v>
      </c>
      <c r="E453">
        <v>1</v>
      </c>
      <c r="F453" t="s">
        <v>1084</v>
      </c>
      <c r="I453" t="s">
        <v>129</v>
      </c>
      <c r="J453">
        <v>6.03</v>
      </c>
      <c r="K453">
        <v>4.54</v>
      </c>
      <c r="L453">
        <f t="shared" si="30"/>
        <v>0.74500000000000011</v>
      </c>
      <c r="M453">
        <f t="shared" si="31"/>
        <v>0.12354892205638475</v>
      </c>
      <c r="N453">
        <v>0.46100000000000002</v>
      </c>
      <c r="O453">
        <v>2.7E-2</v>
      </c>
      <c r="P453">
        <f t="shared" si="29"/>
        <v>0.434</v>
      </c>
      <c r="Q453">
        <v>0.24</v>
      </c>
      <c r="R453">
        <f t="shared" si="32"/>
        <v>0.55299539170506906</v>
      </c>
    </row>
    <row r="454" spans="1:20" x14ac:dyDescent="0.25">
      <c r="A454">
        <v>453</v>
      </c>
      <c r="B454" t="s">
        <v>102</v>
      </c>
      <c r="D454" t="s">
        <v>357</v>
      </c>
      <c r="E454">
        <v>2</v>
      </c>
      <c r="F454" t="s">
        <v>272</v>
      </c>
      <c r="I454" t="s">
        <v>129</v>
      </c>
      <c r="J454">
        <v>6.81</v>
      </c>
      <c r="K454">
        <v>4.9400000000000004</v>
      </c>
      <c r="L454">
        <f t="shared" si="30"/>
        <v>0.93499999999999961</v>
      </c>
      <c r="M454">
        <f t="shared" si="31"/>
        <v>0.13729809104258439</v>
      </c>
      <c r="N454">
        <v>0.66</v>
      </c>
      <c r="O454">
        <v>2.7E-2</v>
      </c>
      <c r="P454">
        <f t="shared" si="29"/>
        <v>0.63300000000000001</v>
      </c>
      <c r="Q454">
        <v>0.23799999999999999</v>
      </c>
      <c r="R454">
        <f t="shared" si="32"/>
        <v>0.37598736176935227</v>
      </c>
    </row>
    <row r="455" spans="1:20" x14ac:dyDescent="0.25">
      <c r="A455">
        <v>454</v>
      </c>
      <c r="B455" t="s">
        <v>1085</v>
      </c>
      <c r="D455" t="s">
        <v>1083</v>
      </c>
      <c r="E455">
        <v>1</v>
      </c>
      <c r="F455" t="s">
        <v>1084</v>
      </c>
      <c r="I455" t="s">
        <v>129</v>
      </c>
      <c r="J455">
        <v>6.27</v>
      </c>
      <c r="K455">
        <v>4.57</v>
      </c>
      <c r="L455">
        <f t="shared" si="30"/>
        <v>0.84999999999999964</v>
      </c>
      <c r="M455">
        <f t="shared" si="31"/>
        <v>0.13556618819776708</v>
      </c>
      <c r="N455">
        <v>0.51800000000000002</v>
      </c>
      <c r="O455">
        <v>2.7E-2</v>
      </c>
      <c r="P455">
        <f t="shared" si="29"/>
        <v>0.49099999999999999</v>
      </c>
      <c r="Q455">
        <v>0.28899999999999998</v>
      </c>
      <c r="R455">
        <f t="shared" si="32"/>
        <v>0.58859470468431774</v>
      </c>
    </row>
    <row r="456" spans="1:20" x14ac:dyDescent="0.25">
      <c r="A456">
        <v>455</v>
      </c>
      <c r="B456" t="s">
        <v>1086</v>
      </c>
      <c r="D456" t="s">
        <v>1083</v>
      </c>
      <c r="E456">
        <v>3</v>
      </c>
      <c r="F456" t="s">
        <v>1084</v>
      </c>
      <c r="I456" t="s">
        <v>129</v>
      </c>
      <c r="J456">
        <v>6.83</v>
      </c>
      <c r="K456">
        <v>5.39</v>
      </c>
      <c r="L456">
        <f t="shared" si="30"/>
        <v>0.7200000000000002</v>
      </c>
      <c r="M456">
        <f t="shared" si="31"/>
        <v>0.10541727672035142</v>
      </c>
      <c r="N456">
        <v>0.72</v>
      </c>
      <c r="O456">
        <v>2.7E-2</v>
      </c>
      <c r="P456">
        <f t="shared" si="29"/>
        <v>0.69299999999999995</v>
      </c>
      <c r="Q456">
        <v>0.39400000000000002</v>
      </c>
      <c r="R456">
        <f t="shared" si="32"/>
        <v>0.56854256854256857</v>
      </c>
    </row>
    <row r="457" spans="1:20" x14ac:dyDescent="0.25">
      <c r="A457">
        <v>456</v>
      </c>
      <c r="B457" t="s">
        <v>1209</v>
      </c>
      <c r="D457" t="s">
        <v>353</v>
      </c>
      <c r="E457">
        <v>2</v>
      </c>
      <c r="F457" t="s">
        <v>354</v>
      </c>
      <c r="I457" t="s">
        <v>129</v>
      </c>
      <c r="J457">
        <v>5.97</v>
      </c>
      <c r="K457">
        <v>4.24</v>
      </c>
      <c r="L457">
        <f t="shared" si="30"/>
        <v>0.86499999999999977</v>
      </c>
      <c r="M457">
        <f t="shared" si="31"/>
        <v>0.14489112227805692</v>
      </c>
      <c r="N457">
        <v>0.55100000000000005</v>
      </c>
      <c r="O457">
        <v>2.7E-2</v>
      </c>
      <c r="P457">
        <f t="shared" si="29"/>
        <v>0.52400000000000002</v>
      </c>
      <c r="Q457">
        <v>0.308</v>
      </c>
      <c r="R457">
        <f t="shared" si="32"/>
        <v>0.58778625954198471</v>
      </c>
      <c r="T457" t="s">
        <v>1257</v>
      </c>
    </row>
    <row r="458" spans="1:20" x14ac:dyDescent="0.25">
      <c r="A458">
        <v>457</v>
      </c>
      <c r="B458" t="s">
        <v>1087</v>
      </c>
      <c r="D458" t="s">
        <v>1083</v>
      </c>
      <c r="E458">
        <v>4</v>
      </c>
      <c r="F458" t="s">
        <v>1084</v>
      </c>
      <c r="I458" t="s">
        <v>129</v>
      </c>
      <c r="J458">
        <v>6.59</v>
      </c>
      <c r="K458">
        <v>4.99</v>
      </c>
      <c r="L458">
        <f t="shared" si="30"/>
        <v>0.79999999999999982</v>
      </c>
      <c r="M458">
        <f t="shared" si="31"/>
        <v>0.12139605462822456</v>
      </c>
      <c r="N458">
        <v>0.61199999999999999</v>
      </c>
      <c r="O458">
        <v>2.7E-2</v>
      </c>
      <c r="P458">
        <f t="shared" si="29"/>
        <v>0.58499999999999996</v>
      </c>
      <c r="Q458">
        <v>0.29899999999999999</v>
      </c>
      <c r="R458">
        <f t="shared" si="32"/>
        <v>0.51111111111111107</v>
      </c>
    </row>
    <row r="459" spans="1:20" x14ac:dyDescent="0.25">
      <c r="A459">
        <v>458</v>
      </c>
      <c r="B459" t="s">
        <v>1088</v>
      </c>
      <c r="D459" t="s">
        <v>1083</v>
      </c>
      <c r="E459">
        <v>5</v>
      </c>
      <c r="F459" t="s">
        <v>1084</v>
      </c>
      <c r="I459" t="s">
        <v>129</v>
      </c>
      <c r="J459">
        <v>10.58</v>
      </c>
      <c r="K459">
        <v>8.24</v>
      </c>
      <c r="L459">
        <f t="shared" si="30"/>
        <v>1.17</v>
      </c>
      <c r="M459">
        <f t="shared" si="31"/>
        <v>0.110586011342155</v>
      </c>
      <c r="N459">
        <v>0.93300000000000005</v>
      </c>
      <c r="O459">
        <v>2.7E-2</v>
      </c>
      <c r="P459">
        <f t="shared" si="29"/>
        <v>0.90600000000000003</v>
      </c>
      <c r="Q459">
        <v>0.57799999999999996</v>
      </c>
      <c r="R459">
        <f t="shared" si="32"/>
        <v>0.63796909492273723</v>
      </c>
    </row>
    <row r="460" spans="1:20" x14ac:dyDescent="0.25">
      <c r="A460">
        <v>459</v>
      </c>
      <c r="B460" t="s">
        <v>1089</v>
      </c>
      <c r="D460" t="s">
        <v>575</v>
      </c>
      <c r="E460">
        <v>5</v>
      </c>
      <c r="F460" t="s">
        <v>576</v>
      </c>
      <c r="I460" t="s">
        <v>129</v>
      </c>
      <c r="J460">
        <v>5.05</v>
      </c>
      <c r="K460">
        <v>4.34</v>
      </c>
      <c r="L460">
        <f t="shared" si="30"/>
        <v>0.35499999999999998</v>
      </c>
      <c r="M460">
        <f t="shared" si="31"/>
        <v>7.029702970297029E-2</v>
      </c>
      <c r="N460">
        <v>0.41799999999999998</v>
      </c>
      <c r="O460">
        <v>2.7E-2</v>
      </c>
      <c r="P460">
        <f t="shared" si="29"/>
        <v>0.39099999999999996</v>
      </c>
      <c r="Q460">
        <v>0.26900000000000002</v>
      </c>
      <c r="R460">
        <f t="shared" si="32"/>
        <v>0.6879795396419438</v>
      </c>
    </row>
    <row r="461" spans="1:20" x14ac:dyDescent="0.25">
      <c r="A461">
        <v>460</v>
      </c>
      <c r="B461" t="s">
        <v>1090</v>
      </c>
      <c r="D461" t="s">
        <v>575</v>
      </c>
      <c r="E461">
        <v>4</v>
      </c>
      <c r="F461" t="s">
        <v>576</v>
      </c>
      <c r="I461" t="s">
        <v>129</v>
      </c>
      <c r="J461">
        <v>4.29</v>
      </c>
      <c r="K461">
        <v>3.49</v>
      </c>
      <c r="L461">
        <f t="shared" si="30"/>
        <v>0.39999999999999991</v>
      </c>
      <c r="M461">
        <f t="shared" si="31"/>
        <v>9.3240093240093219E-2</v>
      </c>
      <c r="N461">
        <v>0.31900000000000001</v>
      </c>
      <c r="O461">
        <v>2.7E-2</v>
      </c>
      <c r="P461">
        <f t="shared" si="29"/>
        <v>0.29199999999999998</v>
      </c>
      <c r="Q461">
        <v>0.20799999999999999</v>
      </c>
      <c r="R461">
        <f t="shared" si="32"/>
        <v>0.71232876712328763</v>
      </c>
    </row>
    <row r="462" spans="1:20" x14ac:dyDescent="0.25">
      <c r="A462">
        <v>461</v>
      </c>
      <c r="B462" t="s">
        <v>1080</v>
      </c>
      <c r="D462" t="s">
        <v>1005</v>
      </c>
      <c r="E462">
        <v>4</v>
      </c>
      <c r="F462" t="s">
        <v>1006</v>
      </c>
      <c r="I462" t="s">
        <v>129</v>
      </c>
      <c r="J462">
        <v>6.87</v>
      </c>
      <c r="K462">
        <v>6.16</v>
      </c>
      <c r="L462">
        <f t="shared" si="30"/>
        <v>0.35499999999999998</v>
      </c>
      <c r="M462">
        <f t="shared" si="31"/>
        <v>5.1673944687045122E-2</v>
      </c>
      <c r="N462">
        <v>0.69399999999999995</v>
      </c>
      <c r="O462">
        <v>2.7E-2</v>
      </c>
      <c r="P462">
        <f t="shared" si="29"/>
        <v>0.66699999999999993</v>
      </c>
      <c r="Q462">
        <v>0.35499999999999998</v>
      </c>
      <c r="R462">
        <f t="shared" si="32"/>
        <v>0.53223388305847075</v>
      </c>
    </row>
    <row r="463" spans="1:20" x14ac:dyDescent="0.25">
      <c r="A463">
        <v>462</v>
      </c>
      <c r="B463" t="s">
        <v>1079</v>
      </c>
      <c r="D463" t="s">
        <v>858</v>
      </c>
      <c r="E463">
        <v>5</v>
      </c>
      <c r="F463" t="s">
        <v>859</v>
      </c>
      <c r="I463" t="s">
        <v>129</v>
      </c>
      <c r="J463">
        <v>8.01</v>
      </c>
      <c r="K463">
        <v>6.06</v>
      </c>
      <c r="L463">
        <f t="shared" si="30"/>
        <v>0.97500000000000009</v>
      </c>
      <c r="M463">
        <f t="shared" si="31"/>
        <v>0.12172284644194759</v>
      </c>
      <c r="N463">
        <v>1.2150000000000001</v>
      </c>
      <c r="O463">
        <v>2.7E-2</v>
      </c>
      <c r="P463">
        <f t="shared" si="29"/>
        <v>1.1880000000000002</v>
      </c>
      <c r="Q463">
        <v>0.90400000000000003</v>
      </c>
      <c r="R463">
        <f t="shared" si="32"/>
        <v>0.76094276094276081</v>
      </c>
    </row>
    <row r="464" spans="1:20" x14ac:dyDescent="0.25">
      <c r="A464">
        <v>463</v>
      </c>
      <c r="B464" t="s">
        <v>1077</v>
      </c>
      <c r="D464" t="s">
        <v>530</v>
      </c>
      <c r="E464">
        <v>5</v>
      </c>
      <c r="F464" t="s">
        <v>531</v>
      </c>
      <c r="I464" t="s">
        <v>129</v>
      </c>
      <c r="J464">
        <v>6.22</v>
      </c>
      <c r="K464">
        <v>4.18</v>
      </c>
      <c r="L464">
        <f t="shared" si="30"/>
        <v>1.02</v>
      </c>
      <c r="M464">
        <f t="shared" si="31"/>
        <v>0.16398713826366559</v>
      </c>
      <c r="N464">
        <v>0.59</v>
      </c>
      <c r="O464">
        <v>2.7E-2</v>
      </c>
      <c r="P464">
        <f t="shared" si="29"/>
        <v>0.56299999999999994</v>
      </c>
      <c r="Q464">
        <v>0.19700000000000001</v>
      </c>
      <c r="R464">
        <f t="shared" si="32"/>
        <v>0.34991119005328603</v>
      </c>
    </row>
    <row r="465" spans="1:18" x14ac:dyDescent="0.25">
      <c r="A465">
        <v>464</v>
      </c>
      <c r="B465" t="s">
        <v>1081</v>
      </c>
      <c r="D465" t="s">
        <v>1005</v>
      </c>
      <c r="E465">
        <v>5</v>
      </c>
      <c r="F465" t="s">
        <v>1006</v>
      </c>
      <c r="I465" t="s">
        <v>129</v>
      </c>
      <c r="J465">
        <v>6.73</v>
      </c>
      <c r="K465">
        <v>5.66</v>
      </c>
      <c r="L465">
        <f t="shared" si="30"/>
        <v>0.53500000000000014</v>
      </c>
      <c r="M465">
        <f t="shared" si="31"/>
        <v>7.9494799405646382E-2</v>
      </c>
      <c r="N465">
        <v>0.71099999999999997</v>
      </c>
      <c r="O465">
        <v>2.7E-2</v>
      </c>
      <c r="P465">
        <f t="shared" si="29"/>
        <v>0.68399999999999994</v>
      </c>
      <c r="Q465">
        <v>0.503</v>
      </c>
      <c r="R465">
        <f t="shared" si="32"/>
        <v>0.73538011695906436</v>
      </c>
    </row>
    <row r="466" spans="1:18" x14ac:dyDescent="0.25">
      <c r="A466">
        <v>465</v>
      </c>
      <c r="B466" t="s">
        <v>1076</v>
      </c>
      <c r="D466" t="s">
        <v>735</v>
      </c>
      <c r="E466">
        <v>5</v>
      </c>
      <c r="F466" t="s">
        <v>1064</v>
      </c>
      <c r="I466" t="s">
        <v>129</v>
      </c>
      <c r="J466">
        <v>7.63</v>
      </c>
      <c r="K466">
        <v>6.35</v>
      </c>
      <c r="L466">
        <f t="shared" si="30"/>
        <v>0.64000000000000012</v>
      </c>
      <c r="M466">
        <f t="shared" si="31"/>
        <v>8.3879423328964628E-2</v>
      </c>
      <c r="N466">
        <v>0.745</v>
      </c>
      <c r="O466">
        <v>2.7E-2</v>
      </c>
      <c r="P466">
        <f t="shared" si="29"/>
        <v>0.71799999999999997</v>
      </c>
      <c r="Q466">
        <v>0.52800000000000002</v>
      </c>
      <c r="R466">
        <f t="shared" si="32"/>
        <v>0.73537604456824524</v>
      </c>
    </row>
    <row r="467" spans="1:18" x14ac:dyDescent="0.25">
      <c r="A467">
        <v>466</v>
      </c>
      <c r="B467" t="s">
        <v>1075</v>
      </c>
      <c r="D467" t="s">
        <v>735</v>
      </c>
      <c r="E467">
        <v>4</v>
      </c>
      <c r="F467" t="s">
        <v>1064</v>
      </c>
      <c r="I467" t="s">
        <v>129</v>
      </c>
      <c r="J467">
        <v>7.52</v>
      </c>
      <c r="K467">
        <v>5.68</v>
      </c>
      <c r="L467">
        <f t="shared" si="30"/>
        <v>0.91999999999999993</v>
      </c>
      <c r="M467">
        <f t="shared" si="31"/>
        <v>0.12234042553191489</v>
      </c>
      <c r="N467">
        <v>0.61099999999999999</v>
      </c>
      <c r="O467">
        <v>2.7E-2</v>
      </c>
      <c r="P467">
        <f t="shared" ref="P467:P473" si="33">N467-O467</f>
        <v>0.58399999999999996</v>
      </c>
      <c r="Q467">
        <v>0.38900000000000001</v>
      </c>
      <c r="R467">
        <f t="shared" si="32"/>
        <v>0.66609589041095896</v>
      </c>
    </row>
    <row r="468" spans="1:18" x14ac:dyDescent="0.25">
      <c r="A468">
        <v>467</v>
      </c>
      <c r="B468" t="s">
        <v>1074</v>
      </c>
      <c r="D468" t="s">
        <v>858</v>
      </c>
      <c r="E468">
        <v>4</v>
      </c>
      <c r="F468" t="s">
        <v>859</v>
      </c>
      <c r="I468" t="s">
        <v>129</v>
      </c>
      <c r="J468">
        <v>7.87</v>
      </c>
      <c r="K468">
        <v>6.04</v>
      </c>
      <c r="L468">
        <f t="shared" si="30"/>
        <v>0.91500000000000004</v>
      </c>
      <c r="M468">
        <f t="shared" si="31"/>
        <v>0.11626429479034307</v>
      </c>
      <c r="N468">
        <v>0.68</v>
      </c>
      <c r="O468">
        <v>2.7E-2</v>
      </c>
      <c r="P468">
        <f t="shared" si="33"/>
        <v>0.65300000000000002</v>
      </c>
      <c r="Q468">
        <v>0.495</v>
      </c>
      <c r="R468">
        <f t="shared" si="32"/>
        <v>0.75803981623277183</v>
      </c>
    </row>
    <row r="469" spans="1:18" x14ac:dyDescent="0.25">
      <c r="A469">
        <v>468</v>
      </c>
      <c r="B469" t="s">
        <v>1072</v>
      </c>
      <c r="D469" t="s">
        <v>1005</v>
      </c>
      <c r="E469">
        <v>3</v>
      </c>
      <c r="F469" t="s">
        <v>1006</v>
      </c>
      <c r="I469" t="s">
        <v>129</v>
      </c>
      <c r="J469">
        <v>6.82</v>
      </c>
      <c r="K469">
        <v>6.29</v>
      </c>
      <c r="L469">
        <f t="shared" si="30"/>
        <v>0.26500000000000012</v>
      </c>
      <c r="M469">
        <f t="shared" si="31"/>
        <v>3.8856304985337257E-2</v>
      </c>
      <c r="N469">
        <v>0.98599999999999999</v>
      </c>
      <c r="O469">
        <v>2.7E-2</v>
      </c>
      <c r="P469">
        <f t="shared" si="33"/>
        <v>0.95899999999999996</v>
      </c>
      <c r="Q469">
        <v>0.66400000000000003</v>
      </c>
      <c r="R469">
        <f t="shared" si="32"/>
        <v>0.69238790406673623</v>
      </c>
    </row>
    <row r="470" spans="1:18" x14ac:dyDescent="0.25">
      <c r="A470">
        <v>469</v>
      </c>
      <c r="B470" t="s">
        <v>1071</v>
      </c>
      <c r="D470" t="s">
        <v>858</v>
      </c>
      <c r="E470">
        <v>3</v>
      </c>
      <c r="F470" t="s">
        <v>859</v>
      </c>
      <c r="I470" t="s">
        <v>129</v>
      </c>
      <c r="J470">
        <v>8.4499999999999993</v>
      </c>
      <c r="K470">
        <v>6.49</v>
      </c>
      <c r="L470">
        <f t="shared" si="30"/>
        <v>0.97999999999999954</v>
      </c>
      <c r="M470">
        <f t="shared" si="31"/>
        <v>0.11597633136094671</v>
      </c>
      <c r="N470">
        <v>0.85899999999999999</v>
      </c>
      <c r="O470">
        <v>2.7E-2</v>
      </c>
      <c r="P470">
        <f t="shared" si="33"/>
        <v>0.83199999999999996</v>
      </c>
      <c r="Q470">
        <v>0.60499999999999998</v>
      </c>
      <c r="R470">
        <f t="shared" si="32"/>
        <v>0.72716346153846156</v>
      </c>
    </row>
    <row r="471" spans="1:18" x14ac:dyDescent="0.25">
      <c r="A471">
        <v>470</v>
      </c>
      <c r="B471" t="s">
        <v>1070</v>
      </c>
      <c r="D471" t="s">
        <v>343</v>
      </c>
      <c r="E471">
        <v>5</v>
      </c>
      <c r="F471" t="s">
        <v>323</v>
      </c>
      <c r="I471" t="s">
        <v>129</v>
      </c>
      <c r="J471">
        <v>6.62</v>
      </c>
      <c r="K471">
        <v>4.8600000000000003</v>
      </c>
      <c r="L471">
        <f t="shared" si="30"/>
        <v>0.87999999999999989</v>
      </c>
      <c r="M471">
        <f t="shared" si="31"/>
        <v>0.13293051359516614</v>
      </c>
      <c r="N471">
        <v>0.75800000000000001</v>
      </c>
      <c r="O471">
        <v>2.7E-2</v>
      </c>
      <c r="P471">
        <f t="shared" si="33"/>
        <v>0.73099999999999998</v>
      </c>
      <c r="Q471">
        <v>0.57999999999999996</v>
      </c>
      <c r="R471">
        <f t="shared" si="32"/>
        <v>0.79343365253077969</v>
      </c>
    </row>
    <row r="472" spans="1:18" x14ac:dyDescent="0.25">
      <c r="A472">
        <v>471</v>
      </c>
      <c r="B472" t="s">
        <v>1078</v>
      </c>
      <c r="D472" t="s">
        <v>865</v>
      </c>
      <c r="E472">
        <v>5</v>
      </c>
      <c r="F472" t="s">
        <v>866</v>
      </c>
      <c r="I472" t="s">
        <v>129</v>
      </c>
      <c r="J472">
        <v>8.07</v>
      </c>
      <c r="K472">
        <v>6.25</v>
      </c>
      <c r="L472">
        <f t="shared" si="30"/>
        <v>0.91000000000000014</v>
      </c>
      <c r="M472">
        <f t="shared" si="31"/>
        <v>0.11276332094175961</v>
      </c>
      <c r="N472">
        <v>0.75900000000000001</v>
      </c>
      <c r="O472">
        <v>2.7E-2</v>
      </c>
      <c r="P472">
        <f t="shared" si="33"/>
        <v>0.73199999999999998</v>
      </c>
      <c r="Q472">
        <v>0.32900000000000001</v>
      </c>
      <c r="R472">
        <f t="shared" si="32"/>
        <v>0.44945355191256836</v>
      </c>
    </row>
    <row r="473" spans="1:18" x14ac:dyDescent="0.25">
      <c r="A473">
        <v>472</v>
      </c>
      <c r="B473" t="s">
        <v>1108</v>
      </c>
      <c r="D473" t="s">
        <v>426</v>
      </c>
      <c r="E473">
        <v>4</v>
      </c>
      <c r="F473" t="s">
        <v>427</v>
      </c>
      <c r="I473" t="s">
        <v>129</v>
      </c>
      <c r="J473">
        <v>5.76</v>
      </c>
      <c r="K473">
        <v>3.89</v>
      </c>
      <c r="L473">
        <f t="shared" si="30"/>
        <v>0.93499999999999983</v>
      </c>
      <c r="M473">
        <f t="shared" si="31"/>
        <v>0.16232638888888887</v>
      </c>
      <c r="N473">
        <v>0.54200000000000004</v>
      </c>
      <c r="O473">
        <v>2.7E-2</v>
      </c>
      <c r="P473">
        <f t="shared" si="33"/>
        <v>0.51500000000000001</v>
      </c>
      <c r="Q473">
        <v>0.314</v>
      </c>
      <c r="R473">
        <f t="shared" si="32"/>
        <v>0.60970873786407764</v>
      </c>
    </row>
    <row r="474" spans="1:18" x14ac:dyDescent="0.25">
      <c r="A474">
        <v>473</v>
      </c>
      <c r="B474" t="s">
        <v>1109</v>
      </c>
      <c r="D474" t="s">
        <v>426</v>
      </c>
      <c r="E474">
        <v>5</v>
      </c>
      <c r="F474" t="s">
        <v>427</v>
      </c>
      <c r="I474" t="s">
        <v>129</v>
      </c>
      <c r="J474">
        <v>7.6</v>
      </c>
      <c r="K474">
        <v>5.66</v>
      </c>
      <c r="L474">
        <f t="shared" si="30"/>
        <v>0.96999999999999975</v>
      </c>
      <c r="M474">
        <f t="shared" si="31"/>
        <v>0.1276315789473684</v>
      </c>
      <c r="N474">
        <v>1.135</v>
      </c>
      <c r="O474">
        <v>2.7E-2</v>
      </c>
      <c r="P474">
        <f t="shared" ref="P474:P537" si="34">N474-O474</f>
        <v>1.1080000000000001</v>
      </c>
      <c r="Q474">
        <v>0.60899999999999999</v>
      </c>
      <c r="R474">
        <f t="shared" si="32"/>
        <v>0.54963898916967502</v>
      </c>
    </row>
    <row r="475" spans="1:18" x14ac:dyDescent="0.25">
      <c r="A475">
        <v>474</v>
      </c>
      <c r="B475" t="s">
        <v>1262</v>
      </c>
      <c r="C475" t="s">
        <v>1263</v>
      </c>
      <c r="D475" t="s">
        <v>508</v>
      </c>
      <c r="E475">
        <v>2</v>
      </c>
      <c r="F475" t="s">
        <v>770</v>
      </c>
      <c r="G475" t="s">
        <v>135</v>
      </c>
      <c r="H475" t="s">
        <v>135</v>
      </c>
      <c r="I475" t="s">
        <v>129</v>
      </c>
      <c r="J475">
        <v>7.64</v>
      </c>
      <c r="K475">
        <v>5.76</v>
      </c>
      <c r="L475">
        <v>0.94</v>
      </c>
      <c r="M475">
        <v>0.123036649</v>
      </c>
      <c r="N475">
        <v>0.435</v>
      </c>
      <c r="O475">
        <v>2.7E-2</v>
      </c>
      <c r="P475">
        <f t="shared" si="34"/>
        <v>0.40799999999999997</v>
      </c>
      <c r="Q475">
        <v>0.2</v>
      </c>
      <c r="R475">
        <f t="shared" si="32"/>
        <v>0.49019607843137258</v>
      </c>
    </row>
    <row r="476" spans="1:18" x14ac:dyDescent="0.25">
      <c r="A476">
        <v>475</v>
      </c>
      <c r="B476" t="s">
        <v>1264</v>
      </c>
      <c r="C476" t="s">
        <v>1265</v>
      </c>
      <c r="D476" t="s">
        <v>508</v>
      </c>
      <c r="E476">
        <v>3</v>
      </c>
      <c r="F476" t="s">
        <v>770</v>
      </c>
      <c r="G476" t="s">
        <v>135</v>
      </c>
      <c r="H476" t="s">
        <v>135</v>
      </c>
      <c r="I476" t="s">
        <v>129</v>
      </c>
      <c r="J476">
        <v>15.02</v>
      </c>
      <c r="K476">
        <v>8.57</v>
      </c>
      <c r="L476">
        <v>3.2250000000000001</v>
      </c>
      <c r="M476">
        <v>0.214713715</v>
      </c>
      <c r="N476">
        <v>0.36899999999999999</v>
      </c>
      <c r="O476">
        <v>2.7E-2</v>
      </c>
      <c r="P476">
        <f t="shared" si="34"/>
        <v>0.34199999999999997</v>
      </c>
      <c r="Q476">
        <v>0.223</v>
      </c>
      <c r="R476">
        <f t="shared" ref="R476:R539" si="35">Q476/P476</f>
        <v>0.6520467836257311</v>
      </c>
    </row>
    <row r="477" spans="1:18" x14ac:dyDescent="0.25">
      <c r="A477">
        <v>476</v>
      </c>
      <c r="B477" t="s">
        <v>1266</v>
      </c>
      <c r="C477" t="s">
        <v>1267</v>
      </c>
      <c r="D477" t="s">
        <v>508</v>
      </c>
      <c r="E477">
        <v>4</v>
      </c>
      <c r="F477" t="s">
        <v>770</v>
      </c>
      <c r="G477" t="s">
        <v>135</v>
      </c>
      <c r="H477" t="s">
        <v>135</v>
      </c>
      <c r="I477" t="s">
        <v>129</v>
      </c>
      <c r="J477">
        <v>8.61</v>
      </c>
      <c r="K477">
        <v>6.11</v>
      </c>
      <c r="L477">
        <v>1.25</v>
      </c>
      <c r="M477">
        <v>0.14518002299999999</v>
      </c>
      <c r="N477">
        <v>0.154</v>
      </c>
      <c r="O477">
        <v>2.7E-2</v>
      </c>
      <c r="P477">
        <f t="shared" si="34"/>
        <v>0.127</v>
      </c>
      <c r="Q477">
        <v>8.7999999999999995E-2</v>
      </c>
      <c r="R477">
        <f t="shared" si="35"/>
        <v>0.69291338582677164</v>
      </c>
    </row>
    <row r="478" spans="1:18" x14ac:dyDescent="0.25">
      <c r="A478">
        <v>477</v>
      </c>
      <c r="B478" t="s">
        <v>1268</v>
      </c>
      <c r="D478" t="s">
        <v>1269</v>
      </c>
      <c r="E478">
        <v>1</v>
      </c>
      <c r="F478" t="s">
        <v>1270</v>
      </c>
      <c r="G478" t="s">
        <v>135</v>
      </c>
      <c r="H478" t="s">
        <v>135</v>
      </c>
      <c r="I478" t="s">
        <v>129</v>
      </c>
      <c r="J478">
        <v>13.46</v>
      </c>
      <c r="K478">
        <v>6.93</v>
      </c>
      <c r="L478">
        <v>3.2650000000000001</v>
      </c>
      <c r="M478">
        <v>0.24257057900000001</v>
      </c>
      <c r="N478">
        <v>0.28199999999999997</v>
      </c>
      <c r="O478">
        <v>2.7E-2</v>
      </c>
      <c r="P478">
        <f t="shared" si="34"/>
        <v>0.25499999999999995</v>
      </c>
      <c r="Q478">
        <v>0.13400000000000001</v>
      </c>
      <c r="R478">
        <f t="shared" si="35"/>
        <v>0.5254901960784315</v>
      </c>
    </row>
    <row r="479" spans="1:18" x14ac:dyDescent="0.25">
      <c r="A479">
        <v>478</v>
      </c>
      <c r="B479" t="s">
        <v>1271</v>
      </c>
      <c r="D479" t="s">
        <v>1272</v>
      </c>
      <c r="E479">
        <v>1</v>
      </c>
      <c r="F479" t="s">
        <v>1273</v>
      </c>
      <c r="G479" t="s">
        <v>135</v>
      </c>
      <c r="H479" t="s">
        <v>135</v>
      </c>
      <c r="I479" t="s">
        <v>129</v>
      </c>
      <c r="J479">
        <v>18.07</v>
      </c>
      <c r="K479">
        <v>6.29</v>
      </c>
      <c r="L479">
        <v>5.89</v>
      </c>
      <c r="M479">
        <v>0.325954621</v>
      </c>
      <c r="N479">
        <v>0.52800000000000002</v>
      </c>
      <c r="O479">
        <v>2.7E-2</v>
      </c>
      <c r="P479">
        <f t="shared" si="34"/>
        <v>0.501</v>
      </c>
      <c r="Q479">
        <v>0.33800000000000002</v>
      </c>
      <c r="R479">
        <f t="shared" si="35"/>
        <v>0.67465069860279447</v>
      </c>
    </row>
    <row r="480" spans="1:18" x14ac:dyDescent="0.25">
      <c r="A480">
        <v>479</v>
      </c>
      <c r="B480" t="s">
        <v>1274</v>
      </c>
      <c r="D480" t="s">
        <v>1275</v>
      </c>
      <c r="E480">
        <v>1</v>
      </c>
      <c r="F480" t="s">
        <v>1276</v>
      </c>
      <c r="G480" t="s">
        <v>135</v>
      </c>
      <c r="H480" t="s">
        <v>135</v>
      </c>
      <c r="I480" t="s">
        <v>129</v>
      </c>
      <c r="J480">
        <v>10.26</v>
      </c>
      <c r="K480">
        <v>5.69</v>
      </c>
      <c r="L480">
        <v>2.2850000000000001</v>
      </c>
      <c r="M480">
        <v>0.22270955200000001</v>
      </c>
      <c r="N480">
        <v>0.2</v>
      </c>
      <c r="O480">
        <v>2.7E-2</v>
      </c>
      <c r="P480">
        <f t="shared" si="34"/>
        <v>0.17300000000000001</v>
      </c>
      <c r="Q480">
        <v>0.129</v>
      </c>
      <c r="R480">
        <f t="shared" si="35"/>
        <v>0.74566473988439297</v>
      </c>
    </row>
    <row r="481" spans="1:18" x14ac:dyDescent="0.25">
      <c r="A481">
        <v>480</v>
      </c>
      <c r="B481" t="s">
        <v>1277</v>
      </c>
      <c r="D481" t="s">
        <v>1269</v>
      </c>
      <c r="E481">
        <v>2</v>
      </c>
      <c r="F481" t="s">
        <v>1270</v>
      </c>
      <c r="G481" t="s">
        <v>135</v>
      </c>
      <c r="H481" t="s">
        <v>135</v>
      </c>
      <c r="I481" t="s">
        <v>129</v>
      </c>
      <c r="J481">
        <v>15.88</v>
      </c>
      <c r="K481">
        <v>7.5</v>
      </c>
      <c r="L481">
        <v>4.1900000000000004</v>
      </c>
      <c r="M481">
        <v>0.26385390399999997</v>
      </c>
      <c r="N481">
        <v>0.124</v>
      </c>
      <c r="O481">
        <v>2.7E-2</v>
      </c>
      <c r="P481">
        <f t="shared" si="34"/>
        <v>9.7000000000000003E-2</v>
      </c>
      <c r="Q481">
        <v>5.3999999999999999E-2</v>
      </c>
      <c r="R481">
        <f t="shared" si="35"/>
        <v>0.55670103092783507</v>
      </c>
    </row>
    <row r="482" spans="1:18" x14ac:dyDescent="0.25">
      <c r="A482">
        <v>481</v>
      </c>
      <c r="B482" t="s">
        <v>1278</v>
      </c>
      <c r="D482" t="s">
        <v>1279</v>
      </c>
      <c r="E482">
        <v>1</v>
      </c>
      <c r="F482" t="s">
        <v>1280</v>
      </c>
      <c r="G482" t="s">
        <v>135</v>
      </c>
      <c r="H482" t="s">
        <v>135</v>
      </c>
      <c r="I482" t="s">
        <v>129</v>
      </c>
      <c r="J482">
        <v>14.71</v>
      </c>
      <c r="K482">
        <v>8.43</v>
      </c>
      <c r="L482">
        <v>3.14</v>
      </c>
      <c r="M482">
        <v>0.213460231</v>
      </c>
      <c r="N482">
        <v>0.47299999999999998</v>
      </c>
      <c r="O482">
        <v>2.7E-2</v>
      </c>
      <c r="P482">
        <f t="shared" si="34"/>
        <v>0.44599999999999995</v>
      </c>
      <c r="Q482">
        <v>0.27600000000000002</v>
      </c>
      <c r="R482">
        <f t="shared" si="35"/>
        <v>0.61883408071748891</v>
      </c>
    </row>
    <row r="483" spans="1:18" x14ac:dyDescent="0.25">
      <c r="A483">
        <v>482</v>
      </c>
      <c r="B483" t="s">
        <v>1281</v>
      </c>
      <c r="D483" t="s">
        <v>1279</v>
      </c>
      <c r="E483">
        <v>2</v>
      </c>
      <c r="F483" t="s">
        <v>1280</v>
      </c>
      <c r="G483" t="s">
        <v>135</v>
      </c>
      <c r="H483" t="s">
        <v>135</v>
      </c>
      <c r="I483" t="s">
        <v>129</v>
      </c>
      <c r="J483">
        <v>10.98</v>
      </c>
      <c r="K483">
        <v>5.58</v>
      </c>
      <c r="L483">
        <v>2.7</v>
      </c>
      <c r="M483">
        <v>0.24590163900000001</v>
      </c>
      <c r="N483">
        <v>0.19600000000000001</v>
      </c>
      <c r="O483">
        <v>2.7E-2</v>
      </c>
      <c r="P483">
        <f t="shared" si="34"/>
        <v>0.16900000000000001</v>
      </c>
      <c r="Q483">
        <v>0.112</v>
      </c>
      <c r="R483">
        <f t="shared" si="35"/>
        <v>0.6627218934911242</v>
      </c>
    </row>
    <row r="484" spans="1:18" x14ac:dyDescent="0.25">
      <c r="A484">
        <v>483</v>
      </c>
      <c r="B484" t="s">
        <v>1282</v>
      </c>
      <c r="D484" t="s">
        <v>1279</v>
      </c>
      <c r="E484">
        <v>3</v>
      </c>
      <c r="F484" t="s">
        <v>1280</v>
      </c>
      <c r="G484" t="s">
        <v>135</v>
      </c>
      <c r="H484" t="s">
        <v>135</v>
      </c>
      <c r="I484" t="s">
        <v>129</v>
      </c>
      <c r="J484">
        <v>12.63</v>
      </c>
      <c r="K484">
        <v>6.79</v>
      </c>
      <c r="L484">
        <v>2.92</v>
      </c>
      <c r="M484">
        <v>0.23119556599999999</v>
      </c>
      <c r="N484">
        <v>0.161</v>
      </c>
      <c r="O484">
        <v>2.7E-2</v>
      </c>
      <c r="P484">
        <f t="shared" si="34"/>
        <v>0.13400000000000001</v>
      </c>
      <c r="Q484">
        <v>0.1</v>
      </c>
      <c r="R484">
        <f t="shared" si="35"/>
        <v>0.74626865671641796</v>
      </c>
    </row>
    <row r="485" spans="1:18" x14ac:dyDescent="0.25">
      <c r="A485">
        <v>484</v>
      </c>
      <c r="B485" t="s">
        <v>1283</v>
      </c>
      <c r="D485" t="s">
        <v>1284</v>
      </c>
      <c r="E485">
        <v>2</v>
      </c>
      <c r="F485" t="s">
        <v>1285</v>
      </c>
      <c r="G485" t="s">
        <v>135</v>
      </c>
      <c r="H485" t="s">
        <v>135</v>
      </c>
      <c r="I485" t="s">
        <v>129</v>
      </c>
      <c r="J485">
        <v>5.97</v>
      </c>
      <c r="K485">
        <v>3.9</v>
      </c>
      <c r="L485">
        <v>1.0349999999999999</v>
      </c>
      <c r="M485">
        <v>0.173366834</v>
      </c>
      <c r="N485">
        <v>0.31</v>
      </c>
      <c r="O485">
        <v>2.7E-2</v>
      </c>
      <c r="P485">
        <f t="shared" si="34"/>
        <v>0.28299999999999997</v>
      </c>
      <c r="Q485">
        <v>0.22700000000000001</v>
      </c>
      <c r="R485">
        <f t="shared" si="35"/>
        <v>0.80212014134275633</v>
      </c>
    </row>
    <row r="486" spans="1:18" x14ac:dyDescent="0.25">
      <c r="A486">
        <v>485</v>
      </c>
      <c r="B486" t="s">
        <v>1286</v>
      </c>
      <c r="D486" t="s">
        <v>1284</v>
      </c>
      <c r="E486">
        <v>1</v>
      </c>
      <c r="F486" t="s">
        <v>1285</v>
      </c>
      <c r="G486" t="s">
        <v>135</v>
      </c>
      <c r="H486" t="s">
        <v>135</v>
      </c>
      <c r="I486" t="s">
        <v>129</v>
      </c>
      <c r="J486">
        <v>5.99</v>
      </c>
      <c r="K486">
        <v>4.28</v>
      </c>
      <c r="L486">
        <v>0.85499999999999998</v>
      </c>
      <c r="M486">
        <v>0.142737896</v>
      </c>
      <c r="N486">
        <v>0.248</v>
      </c>
      <c r="O486">
        <v>2.7E-2</v>
      </c>
      <c r="P486">
        <f t="shared" si="34"/>
        <v>0.221</v>
      </c>
      <c r="Q486">
        <v>0.17299999999999999</v>
      </c>
      <c r="R486">
        <f t="shared" si="35"/>
        <v>0.78280542986425328</v>
      </c>
    </row>
    <row r="487" spans="1:18" x14ac:dyDescent="0.25">
      <c r="A487">
        <v>486</v>
      </c>
      <c r="B487" t="s">
        <v>1287</v>
      </c>
      <c r="D487" t="s">
        <v>1284</v>
      </c>
      <c r="E487">
        <v>3</v>
      </c>
      <c r="F487" t="s">
        <v>1285</v>
      </c>
      <c r="G487" t="s">
        <v>135</v>
      </c>
      <c r="H487" t="s">
        <v>135</v>
      </c>
      <c r="I487" t="s">
        <v>129</v>
      </c>
      <c r="J487">
        <v>6.25</v>
      </c>
      <c r="K487">
        <v>4.7300000000000004</v>
      </c>
      <c r="L487">
        <v>0.76</v>
      </c>
      <c r="M487">
        <v>0.1216</v>
      </c>
      <c r="N487">
        <v>0.318</v>
      </c>
      <c r="O487">
        <v>0</v>
      </c>
      <c r="P487">
        <f t="shared" si="34"/>
        <v>0.318</v>
      </c>
      <c r="Q487">
        <v>0.219</v>
      </c>
      <c r="R487">
        <f t="shared" si="35"/>
        <v>0.68867924528301883</v>
      </c>
    </row>
    <row r="488" spans="1:18" x14ac:dyDescent="0.25">
      <c r="A488">
        <v>487</v>
      </c>
      <c r="B488" t="s">
        <v>1288</v>
      </c>
      <c r="D488" t="s">
        <v>1269</v>
      </c>
      <c r="E488">
        <v>3</v>
      </c>
      <c r="F488" t="s">
        <v>1270</v>
      </c>
      <c r="G488" t="s">
        <v>135</v>
      </c>
      <c r="H488" t="s">
        <v>135</v>
      </c>
      <c r="I488" t="s">
        <v>129</v>
      </c>
      <c r="J488">
        <v>24.46</v>
      </c>
      <c r="K488">
        <v>8.91</v>
      </c>
      <c r="L488">
        <v>7.7750000000000004</v>
      </c>
      <c r="M488">
        <v>0.31786590399999998</v>
      </c>
      <c r="N488">
        <v>0.44</v>
      </c>
      <c r="O488">
        <v>0.01</v>
      </c>
      <c r="P488">
        <f t="shared" si="34"/>
        <v>0.43</v>
      </c>
      <c r="Q488">
        <v>0.187</v>
      </c>
      <c r="R488">
        <f t="shared" si="35"/>
        <v>0.43488372093023259</v>
      </c>
    </row>
    <row r="489" spans="1:18" x14ac:dyDescent="0.25">
      <c r="A489">
        <v>488</v>
      </c>
      <c r="B489" t="s">
        <v>1289</v>
      </c>
      <c r="D489" t="s">
        <v>1275</v>
      </c>
      <c r="E489">
        <v>2</v>
      </c>
      <c r="F489" t="s">
        <v>1276</v>
      </c>
      <c r="G489" t="s">
        <v>135</v>
      </c>
      <c r="H489" t="s">
        <v>135</v>
      </c>
      <c r="I489" t="s">
        <v>129</v>
      </c>
      <c r="J489">
        <v>9.6</v>
      </c>
      <c r="K489">
        <v>5.47</v>
      </c>
      <c r="L489">
        <v>2.0649999999999999</v>
      </c>
      <c r="M489">
        <v>0.21510416700000001</v>
      </c>
      <c r="N489">
        <v>0.48099999999999998</v>
      </c>
      <c r="O489">
        <v>0.01</v>
      </c>
      <c r="P489">
        <f t="shared" si="34"/>
        <v>0.47099999999999997</v>
      </c>
      <c r="Q489">
        <v>0.24099999999999999</v>
      </c>
      <c r="R489">
        <f t="shared" si="35"/>
        <v>0.51167728237791932</v>
      </c>
    </row>
    <row r="490" spans="1:18" x14ac:dyDescent="0.25">
      <c r="A490">
        <v>489</v>
      </c>
      <c r="B490" t="s">
        <v>1290</v>
      </c>
      <c r="D490" t="s">
        <v>1275</v>
      </c>
      <c r="E490">
        <v>3</v>
      </c>
      <c r="F490" t="s">
        <v>1276</v>
      </c>
      <c r="G490" t="s">
        <v>135</v>
      </c>
      <c r="H490" t="s">
        <v>135</v>
      </c>
      <c r="I490" t="s">
        <v>129</v>
      </c>
      <c r="J490">
        <v>10.49</v>
      </c>
      <c r="K490">
        <v>5.66</v>
      </c>
      <c r="L490">
        <v>2.415</v>
      </c>
      <c r="M490">
        <v>0.23021925600000001</v>
      </c>
      <c r="N490">
        <v>0.39500000000000002</v>
      </c>
      <c r="O490">
        <v>0.01</v>
      </c>
      <c r="P490">
        <f t="shared" si="34"/>
        <v>0.38500000000000001</v>
      </c>
      <c r="Q490">
        <v>0.22</v>
      </c>
      <c r="R490">
        <f t="shared" si="35"/>
        <v>0.5714285714285714</v>
      </c>
    </row>
    <row r="491" spans="1:18" x14ac:dyDescent="0.25">
      <c r="A491">
        <v>490</v>
      </c>
      <c r="B491" t="s">
        <v>1291</v>
      </c>
      <c r="D491" t="s">
        <v>1292</v>
      </c>
      <c r="E491">
        <v>1</v>
      </c>
      <c r="F491" t="s">
        <v>1293</v>
      </c>
      <c r="G491" t="s">
        <v>135</v>
      </c>
      <c r="H491" t="s">
        <v>135</v>
      </c>
      <c r="I491" t="s">
        <v>129</v>
      </c>
      <c r="J491">
        <v>5.66</v>
      </c>
      <c r="K491">
        <v>4.57</v>
      </c>
      <c r="L491">
        <v>0.54500000000000004</v>
      </c>
      <c r="M491">
        <v>9.6289753000000006E-2</v>
      </c>
      <c r="N491">
        <v>0.35699999999999998</v>
      </c>
      <c r="O491">
        <v>0.01</v>
      </c>
      <c r="P491">
        <f t="shared" si="34"/>
        <v>0.34699999999999998</v>
      </c>
      <c r="Q491">
        <v>0.21099999999999999</v>
      </c>
      <c r="R491">
        <f t="shared" si="35"/>
        <v>0.60806916426512969</v>
      </c>
    </row>
    <row r="492" spans="1:18" x14ac:dyDescent="0.25">
      <c r="A492">
        <v>491</v>
      </c>
      <c r="B492" t="s">
        <v>1294</v>
      </c>
      <c r="D492" t="s">
        <v>1295</v>
      </c>
      <c r="E492">
        <v>1</v>
      </c>
      <c r="F492" t="s">
        <v>1296</v>
      </c>
      <c r="G492" t="s">
        <v>135</v>
      </c>
      <c r="H492" t="s">
        <v>135</v>
      </c>
      <c r="I492" t="s">
        <v>129</v>
      </c>
      <c r="J492">
        <v>6.15</v>
      </c>
      <c r="K492">
        <v>4.83</v>
      </c>
      <c r="L492">
        <f>(J492-K492)/2</f>
        <v>0.66000000000000014</v>
      </c>
      <c r="M492">
        <f>L492/J492</f>
        <v>0.10731707317073172</v>
      </c>
      <c r="N492">
        <v>0.23699999999999999</v>
      </c>
      <c r="O492">
        <v>0.01</v>
      </c>
      <c r="P492">
        <f t="shared" si="34"/>
        <v>0.22699999999999998</v>
      </c>
      <c r="Q492">
        <v>8.8999999999999996E-2</v>
      </c>
      <c r="R492">
        <f t="shared" si="35"/>
        <v>0.39207048458149779</v>
      </c>
    </row>
    <row r="493" spans="1:18" x14ac:dyDescent="0.25">
      <c r="A493">
        <v>492</v>
      </c>
      <c r="B493" t="s">
        <v>1297</v>
      </c>
      <c r="D493" t="s">
        <v>1272</v>
      </c>
      <c r="E493">
        <v>3</v>
      </c>
      <c r="F493" t="s">
        <v>1298</v>
      </c>
      <c r="G493" t="s">
        <v>135</v>
      </c>
      <c r="H493" t="s">
        <v>135</v>
      </c>
      <c r="I493" t="s">
        <v>129</v>
      </c>
      <c r="J493">
        <v>7.09</v>
      </c>
      <c r="K493">
        <v>3.81</v>
      </c>
      <c r="L493">
        <f t="shared" ref="L493:L526" si="36">(J493-K493)/2</f>
        <v>1.64</v>
      </c>
      <c r="M493">
        <f t="shared" ref="M493:M526" si="37">L493/J493</f>
        <v>0.23131170662905501</v>
      </c>
      <c r="N493">
        <v>7.0000000000000007E-2</v>
      </c>
      <c r="O493">
        <v>0.01</v>
      </c>
      <c r="P493">
        <f t="shared" si="34"/>
        <v>6.0000000000000005E-2</v>
      </c>
      <c r="Q493">
        <v>0.04</v>
      </c>
      <c r="R493">
        <f t="shared" si="35"/>
        <v>0.66666666666666663</v>
      </c>
    </row>
    <row r="494" spans="1:18" x14ac:dyDescent="0.25">
      <c r="A494">
        <v>493</v>
      </c>
      <c r="B494" t="s">
        <v>1299</v>
      </c>
      <c r="D494" t="s">
        <v>1272</v>
      </c>
      <c r="E494">
        <v>4</v>
      </c>
      <c r="F494" t="s">
        <v>1298</v>
      </c>
      <c r="G494" t="s">
        <v>135</v>
      </c>
      <c r="H494" t="s">
        <v>135</v>
      </c>
      <c r="I494" t="s">
        <v>129</v>
      </c>
      <c r="J494">
        <v>12.25</v>
      </c>
      <c r="K494">
        <v>4.01</v>
      </c>
      <c r="L494">
        <f t="shared" si="36"/>
        <v>4.12</v>
      </c>
      <c r="M494">
        <f t="shared" si="37"/>
        <v>0.33632653061224493</v>
      </c>
      <c r="N494">
        <v>0.14899999999999999</v>
      </c>
      <c r="O494">
        <v>0.01</v>
      </c>
      <c r="P494">
        <f t="shared" si="34"/>
        <v>0.13899999999999998</v>
      </c>
      <c r="Q494">
        <v>8.6999999999999994E-2</v>
      </c>
      <c r="R494">
        <f t="shared" si="35"/>
        <v>0.62589928057553956</v>
      </c>
    </row>
    <row r="495" spans="1:18" x14ac:dyDescent="0.25">
      <c r="A495">
        <v>494</v>
      </c>
      <c r="B495" t="s">
        <v>1300</v>
      </c>
      <c r="D495" t="s">
        <v>1295</v>
      </c>
      <c r="E495">
        <v>2</v>
      </c>
      <c r="F495" t="s">
        <v>1296</v>
      </c>
      <c r="G495" t="s">
        <v>135</v>
      </c>
      <c r="H495" t="s">
        <v>135</v>
      </c>
      <c r="I495" t="s">
        <v>129</v>
      </c>
      <c r="J495">
        <v>10.37</v>
      </c>
      <c r="K495">
        <v>8.73</v>
      </c>
      <c r="L495">
        <f t="shared" si="36"/>
        <v>0.8199999999999994</v>
      </c>
      <c r="M495">
        <f t="shared" si="37"/>
        <v>7.9074252651880367E-2</v>
      </c>
      <c r="N495">
        <v>0.43</v>
      </c>
      <c r="O495">
        <v>0.01</v>
      </c>
      <c r="P495">
        <f t="shared" si="34"/>
        <v>0.42</v>
      </c>
      <c r="Q495">
        <v>0.183</v>
      </c>
      <c r="R495">
        <f t="shared" si="35"/>
        <v>0.43571428571428572</v>
      </c>
    </row>
    <row r="496" spans="1:18" x14ac:dyDescent="0.25">
      <c r="A496">
        <v>495</v>
      </c>
      <c r="B496" t="s">
        <v>1301</v>
      </c>
      <c r="D496" t="s">
        <v>1295</v>
      </c>
      <c r="E496">
        <v>3</v>
      </c>
      <c r="F496" t="s">
        <v>1296</v>
      </c>
      <c r="G496" t="s">
        <v>135</v>
      </c>
      <c r="H496" t="s">
        <v>135</v>
      </c>
      <c r="I496" t="s">
        <v>129</v>
      </c>
      <c r="J496">
        <v>9.91</v>
      </c>
      <c r="K496">
        <v>8.27</v>
      </c>
      <c r="L496">
        <f t="shared" si="36"/>
        <v>0.82000000000000028</v>
      </c>
      <c r="M496">
        <f t="shared" si="37"/>
        <v>8.2744702320888014E-2</v>
      </c>
      <c r="N496">
        <v>0.32</v>
      </c>
      <c r="O496">
        <v>0.01</v>
      </c>
      <c r="P496">
        <f t="shared" si="34"/>
        <v>0.31</v>
      </c>
      <c r="Q496">
        <v>0.13200000000000001</v>
      </c>
      <c r="R496">
        <f t="shared" si="35"/>
        <v>0.42580645161290326</v>
      </c>
    </row>
    <row r="497" spans="1:18" x14ac:dyDescent="0.25">
      <c r="A497">
        <v>496</v>
      </c>
      <c r="B497" t="s">
        <v>1698</v>
      </c>
      <c r="D497" t="s">
        <v>1295</v>
      </c>
      <c r="E497">
        <v>4</v>
      </c>
      <c r="F497" t="s">
        <v>1296</v>
      </c>
      <c r="I497" t="s">
        <v>135</v>
      </c>
      <c r="J497" t="s">
        <v>135</v>
      </c>
      <c r="K497" t="s">
        <v>135</v>
      </c>
      <c r="L497" t="s">
        <v>135</v>
      </c>
      <c r="M497" t="s">
        <v>135</v>
      </c>
      <c r="N497" t="s">
        <v>135</v>
      </c>
      <c r="O497" t="s">
        <v>135</v>
      </c>
      <c r="P497" t="s">
        <v>135</v>
      </c>
      <c r="Q497" t="s">
        <v>135</v>
      </c>
      <c r="R497" t="s">
        <v>135</v>
      </c>
    </row>
    <row r="498" spans="1:18" x14ac:dyDescent="0.25">
      <c r="A498">
        <v>497</v>
      </c>
      <c r="B498" t="s">
        <v>1701</v>
      </c>
      <c r="D498" t="s">
        <v>1713</v>
      </c>
      <c r="E498">
        <v>1</v>
      </c>
      <c r="F498" t="s">
        <v>1715</v>
      </c>
      <c r="I498" t="s">
        <v>129</v>
      </c>
      <c r="J498">
        <v>5.3</v>
      </c>
      <c r="K498">
        <v>4.53</v>
      </c>
      <c r="L498">
        <f t="shared" si="36"/>
        <v>0.38499999999999979</v>
      </c>
      <c r="M498">
        <f t="shared" si="37"/>
        <v>7.264150943396222E-2</v>
      </c>
      <c r="N498">
        <v>0.32100000000000001</v>
      </c>
      <c r="O498">
        <v>0.01</v>
      </c>
      <c r="P498">
        <f t="shared" si="34"/>
        <v>0.311</v>
      </c>
      <c r="Q498">
        <v>0.159</v>
      </c>
      <c r="R498">
        <f t="shared" si="35"/>
        <v>0.5112540192926045</v>
      </c>
    </row>
    <row r="499" spans="1:18" x14ac:dyDescent="0.25">
      <c r="A499">
        <v>498</v>
      </c>
      <c r="B499" t="s">
        <v>1702</v>
      </c>
      <c r="D499" t="s">
        <v>1713</v>
      </c>
      <c r="E499">
        <v>2</v>
      </c>
      <c r="F499" t="s">
        <v>1715</v>
      </c>
      <c r="I499" t="s">
        <v>129</v>
      </c>
      <c r="J499">
        <v>6.83</v>
      </c>
      <c r="K499">
        <v>5.7</v>
      </c>
      <c r="L499">
        <f t="shared" si="36"/>
        <v>0.56499999999999995</v>
      </c>
      <c r="M499">
        <f t="shared" si="37"/>
        <v>8.2723279648609066E-2</v>
      </c>
      <c r="N499">
        <v>0.42099999999999999</v>
      </c>
      <c r="O499">
        <v>0.01</v>
      </c>
      <c r="P499">
        <f t="shared" si="34"/>
        <v>0.41099999999999998</v>
      </c>
      <c r="Q499">
        <v>0.22900000000000001</v>
      </c>
      <c r="R499">
        <f t="shared" si="35"/>
        <v>0.55717761557177625</v>
      </c>
    </row>
    <row r="500" spans="1:18" x14ac:dyDescent="0.25">
      <c r="A500">
        <v>499</v>
      </c>
      <c r="B500" t="s">
        <v>1703</v>
      </c>
      <c r="D500" t="s">
        <v>1713</v>
      </c>
      <c r="E500">
        <v>3</v>
      </c>
      <c r="F500" t="s">
        <v>1715</v>
      </c>
      <c r="I500" t="s">
        <v>129</v>
      </c>
      <c r="J500">
        <v>4.37</v>
      </c>
      <c r="K500">
        <v>3.57</v>
      </c>
      <c r="L500">
        <f t="shared" si="36"/>
        <v>0.40000000000000013</v>
      </c>
      <c r="M500">
        <f t="shared" si="37"/>
        <v>9.1533180778032061E-2</v>
      </c>
      <c r="N500">
        <v>0.19700000000000001</v>
      </c>
      <c r="O500">
        <v>0.01</v>
      </c>
      <c r="P500">
        <f t="shared" si="34"/>
        <v>0.187</v>
      </c>
      <c r="Q500">
        <v>0.10299999999999999</v>
      </c>
      <c r="R500">
        <f t="shared" si="35"/>
        <v>0.55080213903743314</v>
      </c>
    </row>
    <row r="501" spans="1:18" x14ac:dyDescent="0.25">
      <c r="A501">
        <v>500</v>
      </c>
      <c r="B501" t="s">
        <v>1704</v>
      </c>
      <c r="D501" t="s">
        <v>1713</v>
      </c>
      <c r="E501">
        <v>4</v>
      </c>
      <c r="F501" t="s">
        <v>1715</v>
      </c>
      <c r="I501" t="s">
        <v>129</v>
      </c>
      <c r="J501">
        <v>5.77</v>
      </c>
      <c r="K501">
        <v>5.09</v>
      </c>
      <c r="L501">
        <f t="shared" si="36"/>
        <v>0.33999999999999986</v>
      </c>
      <c r="M501">
        <f t="shared" si="37"/>
        <v>5.8925476603119566E-2</v>
      </c>
      <c r="N501">
        <v>0.25900000000000001</v>
      </c>
      <c r="O501">
        <v>0.01</v>
      </c>
      <c r="P501">
        <f t="shared" si="34"/>
        <v>0.249</v>
      </c>
      <c r="Q501">
        <v>0.14899999999999999</v>
      </c>
      <c r="R501">
        <f t="shared" si="35"/>
        <v>0.59839357429718876</v>
      </c>
    </row>
    <row r="502" spans="1:18" x14ac:dyDescent="0.25">
      <c r="A502">
        <v>501</v>
      </c>
      <c r="B502" t="s">
        <v>1705</v>
      </c>
      <c r="D502" t="s">
        <v>1713</v>
      </c>
      <c r="E502">
        <v>5</v>
      </c>
      <c r="F502" t="s">
        <v>1715</v>
      </c>
      <c r="I502" t="s">
        <v>129</v>
      </c>
      <c r="J502">
        <v>3.14</v>
      </c>
      <c r="K502">
        <v>2.9</v>
      </c>
      <c r="L502">
        <f t="shared" si="36"/>
        <v>0.12000000000000011</v>
      </c>
      <c r="M502">
        <f t="shared" si="37"/>
        <v>3.8216560509554173E-2</v>
      </c>
      <c r="N502">
        <v>0.1</v>
      </c>
      <c r="O502">
        <v>0.01</v>
      </c>
      <c r="P502">
        <f t="shared" si="34"/>
        <v>9.0000000000000011E-2</v>
      </c>
      <c r="Q502">
        <v>6.6000000000000003E-2</v>
      </c>
      <c r="R502">
        <f t="shared" si="35"/>
        <v>0.73333333333333328</v>
      </c>
    </row>
    <row r="503" spans="1:18" x14ac:dyDescent="0.25">
      <c r="A503">
        <v>502</v>
      </c>
      <c r="B503" t="s">
        <v>1706</v>
      </c>
      <c r="D503" t="s">
        <v>1714</v>
      </c>
      <c r="E503">
        <v>1</v>
      </c>
      <c r="F503" t="s">
        <v>1716</v>
      </c>
      <c r="I503" t="s">
        <v>129</v>
      </c>
      <c r="J503">
        <v>6.71</v>
      </c>
      <c r="K503">
        <v>6.15</v>
      </c>
      <c r="L503">
        <f t="shared" si="36"/>
        <v>0.2799999999999998</v>
      </c>
      <c r="M503">
        <f t="shared" si="37"/>
        <v>4.1728763040238419E-2</v>
      </c>
      <c r="N503">
        <v>0.21299999999999999</v>
      </c>
      <c r="O503">
        <v>0.01</v>
      </c>
      <c r="P503">
        <f t="shared" si="34"/>
        <v>0.20299999999999999</v>
      </c>
      <c r="Q503">
        <v>0.10100000000000001</v>
      </c>
      <c r="R503">
        <f t="shared" si="35"/>
        <v>0.49753694581280794</v>
      </c>
    </row>
    <row r="504" spans="1:18" x14ac:dyDescent="0.25">
      <c r="A504">
        <v>503</v>
      </c>
      <c r="B504" t="s">
        <v>1707</v>
      </c>
      <c r="D504" t="s">
        <v>491</v>
      </c>
      <c r="E504">
        <v>6</v>
      </c>
      <c r="F504" t="s">
        <v>492</v>
      </c>
      <c r="I504" t="s">
        <v>129</v>
      </c>
      <c r="J504">
        <v>5.91</v>
      </c>
      <c r="K504">
        <v>4.53</v>
      </c>
      <c r="L504">
        <f t="shared" si="36"/>
        <v>0.69</v>
      </c>
      <c r="M504">
        <f t="shared" si="37"/>
        <v>0.11675126903553298</v>
      </c>
      <c r="N504">
        <v>0.14799999999999999</v>
      </c>
      <c r="O504">
        <v>0.01</v>
      </c>
      <c r="P504">
        <f t="shared" si="34"/>
        <v>0.13799999999999998</v>
      </c>
      <c r="Q504">
        <v>0.13200000000000001</v>
      </c>
      <c r="R504">
        <f t="shared" si="35"/>
        <v>0.95652173913043492</v>
      </c>
    </row>
    <row r="505" spans="1:18" x14ac:dyDescent="0.25">
      <c r="A505">
        <v>504</v>
      </c>
      <c r="B505" t="s">
        <v>1708</v>
      </c>
      <c r="D505" t="s">
        <v>1269</v>
      </c>
      <c r="E505">
        <v>4</v>
      </c>
      <c r="F505" t="s">
        <v>1270</v>
      </c>
      <c r="I505" t="s">
        <v>129</v>
      </c>
      <c r="J505">
        <v>15.88</v>
      </c>
      <c r="K505">
        <v>8.93</v>
      </c>
      <c r="L505">
        <f t="shared" si="36"/>
        <v>3.4750000000000005</v>
      </c>
      <c r="M505">
        <f t="shared" si="37"/>
        <v>0.21882871536523932</v>
      </c>
      <c r="N505">
        <v>0.16200000000000001</v>
      </c>
      <c r="O505">
        <v>0.01</v>
      </c>
      <c r="P505">
        <f t="shared" si="34"/>
        <v>0.152</v>
      </c>
      <c r="Q505">
        <v>8.5000000000000006E-2</v>
      </c>
      <c r="R505">
        <f t="shared" si="35"/>
        <v>0.55921052631578949</v>
      </c>
    </row>
    <row r="506" spans="1:18" x14ac:dyDescent="0.25">
      <c r="A506">
        <v>505</v>
      </c>
      <c r="B506" t="s">
        <v>1709</v>
      </c>
      <c r="D506" t="s">
        <v>1275</v>
      </c>
      <c r="E506">
        <v>4</v>
      </c>
      <c r="F506" t="s">
        <v>1276</v>
      </c>
      <c r="I506" t="s">
        <v>129</v>
      </c>
      <c r="J506">
        <v>14.6</v>
      </c>
      <c r="K506">
        <v>7.86</v>
      </c>
      <c r="L506">
        <f t="shared" si="36"/>
        <v>3.3699999999999997</v>
      </c>
      <c r="M506">
        <f t="shared" si="37"/>
        <v>0.23082191780821917</v>
      </c>
      <c r="N506">
        <v>0.78900000000000003</v>
      </c>
      <c r="O506">
        <v>0.01</v>
      </c>
      <c r="P506">
        <f t="shared" si="34"/>
        <v>0.77900000000000003</v>
      </c>
      <c r="Q506">
        <v>0.47899999999999998</v>
      </c>
      <c r="R506">
        <f t="shared" si="35"/>
        <v>0.61489088575096273</v>
      </c>
    </row>
    <row r="507" spans="1:18" x14ac:dyDescent="0.25">
      <c r="A507">
        <v>506</v>
      </c>
      <c r="B507" t="s">
        <v>1710</v>
      </c>
      <c r="D507" t="s">
        <v>1275</v>
      </c>
      <c r="E507">
        <v>5</v>
      </c>
      <c r="F507" t="s">
        <v>1276</v>
      </c>
      <c r="I507" t="s">
        <v>129</v>
      </c>
      <c r="J507">
        <v>11.15</v>
      </c>
      <c r="K507">
        <v>5.78</v>
      </c>
      <c r="L507">
        <f t="shared" si="36"/>
        <v>2.6850000000000001</v>
      </c>
      <c r="M507">
        <f t="shared" si="37"/>
        <v>0.24080717488789238</v>
      </c>
      <c r="N507">
        <v>0.313</v>
      </c>
      <c r="O507">
        <v>0.01</v>
      </c>
      <c r="P507">
        <f t="shared" si="34"/>
        <v>0.30299999999999999</v>
      </c>
      <c r="Q507">
        <v>0.182</v>
      </c>
      <c r="R507">
        <f t="shared" si="35"/>
        <v>0.60066006600660071</v>
      </c>
    </row>
    <row r="508" spans="1:18" x14ac:dyDescent="0.25">
      <c r="A508">
        <v>507</v>
      </c>
      <c r="B508" t="s">
        <v>1711</v>
      </c>
      <c r="D508" t="s">
        <v>1279</v>
      </c>
      <c r="E508">
        <v>4</v>
      </c>
      <c r="F508" t="s">
        <v>1280</v>
      </c>
      <c r="I508" t="s">
        <v>129</v>
      </c>
      <c r="J508">
        <v>13.48</v>
      </c>
      <c r="K508">
        <v>7.56</v>
      </c>
      <c r="L508">
        <f t="shared" si="36"/>
        <v>2.9600000000000004</v>
      </c>
      <c r="M508">
        <f t="shared" si="37"/>
        <v>0.21958456973293772</v>
      </c>
      <c r="N508">
        <v>0.38300000000000001</v>
      </c>
      <c r="O508">
        <v>0.01</v>
      </c>
      <c r="P508">
        <f t="shared" si="34"/>
        <v>0.373</v>
      </c>
      <c r="Q508">
        <v>0.19400000000000001</v>
      </c>
      <c r="R508">
        <f t="shared" si="35"/>
        <v>0.52010723860589814</v>
      </c>
    </row>
    <row r="509" spans="1:18" x14ac:dyDescent="0.25">
      <c r="A509">
        <v>508</v>
      </c>
      <c r="B509" t="s">
        <v>1712</v>
      </c>
      <c r="D509" t="s">
        <v>1279</v>
      </c>
      <c r="E509">
        <v>5</v>
      </c>
      <c r="F509" t="s">
        <v>1280</v>
      </c>
      <c r="I509" t="s">
        <v>129</v>
      </c>
      <c r="J509">
        <v>7.21</v>
      </c>
      <c r="K509">
        <v>5.63</v>
      </c>
      <c r="L509">
        <f t="shared" si="36"/>
        <v>0.79</v>
      </c>
      <c r="M509">
        <f t="shared" si="37"/>
        <v>0.10957004160887657</v>
      </c>
      <c r="N509">
        <v>0.41499999999999998</v>
      </c>
      <c r="O509">
        <v>0.01</v>
      </c>
      <c r="P509">
        <f t="shared" si="34"/>
        <v>0.40499999999999997</v>
      </c>
      <c r="Q509">
        <v>0.156</v>
      </c>
      <c r="R509">
        <f t="shared" si="35"/>
        <v>0.38518518518518519</v>
      </c>
    </row>
    <row r="510" spans="1:18" x14ac:dyDescent="0.25">
      <c r="A510">
        <v>509</v>
      </c>
      <c r="B510" t="s">
        <v>1717</v>
      </c>
      <c r="D510" t="s">
        <v>1714</v>
      </c>
      <c r="E510">
        <v>2</v>
      </c>
      <c r="F510" t="s">
        <v>1716</v>
      </c>
      <c r="I510" t="s">
        <v>129</v>
      </c>
      <c r="J510">
        <v>7.95</v>
      </c>
      <c r="K510">
        <v>6.72</v>
      </c>
      <c r="L510">
        <f t="shared" si="36"/>
        <v>0.61500000000000021</v>
      </c>
      <c r="M510">
        <f t="shared" si="37"/>
        <v>7.735849056603776E-2</v>
      </c>
      <c r="N510">
        <v>0.46200000000000002</v>
      </c>
      <c r="O510">
        <v>0.01</v>
      </c>
      <c r="P510">
        <f t="shared" si="34"/>
        <v>0.45200000000000001</v>
      </c>
      <c r="Q510">
        <v>0.26400000000000001</v>
      </c>
      <c r="R510">
        <f t="shared" si="35"/>
        <v>0.58407079646017701</v>
      </c>
    </row>
    <row r="511" spans="1:18" x14ac:dyDescent="0.25">
      <c r="A511">
        <v>510</v>
      </c>
      <c r="B511" t="s">
        <v>1718</v>
      </c>
      <c r="D511" t="s">
        <v>1714</v>
      </c>
      <c r="E511">
        <v>3</v>
      </c>
      <c r="F511" t="s">
        <v>1716</v>
      </c>
      <c r="I511" t="s">
        <v>129</v>
      </c>
      <c r="J511">
        <v>7.99</v>
      </c>
      <c r="K511">
        <v>7.03</v>
      </c>
      <c r="L511">
        <f t="shared" si="36"/>
        <v>0.48</v>
      </c>
      <c r="M511">
        <f t="shared" si="37"/>
        <v>6.0075093867334166E-2</v>
      </c>
      <c r="N511">
        <v>0.37</v>
      </c>
      <c r="O511">
        <v>0.01</v>
      </c>
      <c r="P511">
        <f t="shared" si="34"/>
        <v>0.36</v>
      </c>
      <c r="Q511">
        <v>0.19600000000000001</v>
      </c>
      <c r="R511">
        <f t="shared" si="35"/>
        <v>0.54444444444444451</v>
      </c>
    </row>
    <row r="512" spans="1:18" x14ac:dyDescent="0.25">
      <c r="A512">
        <v>511</v>
      </c>
      <c r="B512" t="s">
        <v>1719</v>
      </c>
      <c r="C512" t="s">
        <v>845</v>
      </c>
      <c r="D512" t="s">
        <v>825</v>
      </c>
      <c r="E512">
        <v>6</v>
      </c>
      <c r="F512" t="s">
        <v>826</v>
      </c>
      <c r="I512" t="s">
        <v>129</v>
      </c>
      <c r="J512">
        <v>7.11</v>
      </c>
      <c r="K512">
        <v>6.03</v>
      </c>
      <c r="L512">
        <f t="shared" si="36"/>
        <v>0.54</v>
      </c>
      <c r="M512">
        <f t="shared" si="37"/>
        <v>7.5949367088607597E-2</v>
      </c>
      <c r="N512">
        <v>0.41099999999999998</v>
      </c>
      <c r="O512">
        <v>0.01</v>
      </c>
      <c r="P512">
        <f t="shared" si="34"/>
        <v>0.40099999999999997</v>
      </c>
      <c r="Q512">
        <v>0.29299999999999998</v>
      </c>
      <c r="R512">
        <f t="shared" si="35"/>
        <v>0.73067331670822944</v>
      </c>
    </row>
    <row r="513" spans="1:18" x14ac:dyDescent="0.25">
      <c r="A513">
        <v>512</v>
      </c>
      <c r="B513" t="s">
        <v>1720</v>
      </c>
      <c r="C513" t="s">
        <v>843</v>
      </c>
      <c r="D513" t="s">
        <v>825</v>
      </c>
      <c r="E513">
        <v>7</v>
      </c>
      <c r="F513" t="s">
        <v>826</v>
      </c>
      <c r="I513" t="s">
        <v>129</v>
      </c>
      <c r="J513">
        <v>6.35</v>
      </c>
      <c r="K513">
        <v>4.96</v>
      </c>
      <c r="L513">
        <f t="shared" si="36"/>
        <v>0.69499999999999984</v>
      </c>
      <c r="M513">
        <f t="shared" si="37"/>
        <v>0.10944881889763777</v>
      </c>
      <c r="N513">
        <v>0.221</v>
      </c>
      <c r="O513">
        <v>0.01</v>
      </c>
      <c r="P513">
        <f t="shared" si="34"/>
        <v>0.21099999999999999</v>
      </c>
      <c r="Q513">
        <v>0.16900000000000001</v>
      </c>
      <c r="R513">
        <f t="shared" si="35"/>
        <v>0.80094786729857825</v>
      </c>
    </row>
    <row r="514" spans="1:18" x14ac:dyDescent="0.25">
      <c r="A514">
        <v>513</v>
      </c>
      <c r="B514" t="s">
        <v>1722</v>
      </c>
      <c r="D514" t="s">
        <v>1723</v>
      </c>
      <c r="E514">
        <v>1</v>
      </c>
      <c r="F514" t="s">
        <v>1737</v>
      </c>
      <c r="G514" s="3">
        <v>43650</v>
      </c>
      <c r="I514" t="s">
        <v>129</v>
      </c>
      <c r="J514">
        <v>8.01</v>
      </c>
      <c r="K514">
        <v>7.28</v>
      </c>
      <c r="L514">
        <f t="shared" si="36"/>
        <v>0.36499999999999977</v>
      </c>
      <c r="M514">
        <f t="shared" si="37"/>
        <v>4.5568039950062394E-2</v>
      </c>
      <c r="N514">
        <v>0.60199999999999998</v>
      </c>
      <c r="O514">
        <v>0.01</v>
      </c>
      <c r="P514">
        <f t="shared" si="34"/>
        <v>0.59199999999999997</v>
      </c>
      <c r="Q514">
        <v>0.36099999999999999</v>
      </c>
      <c r="R514">
        <f t="shared" si="35"/>
        <v>0.60979729729729726</v>
      </c>
    </row>
    <row r="515" spans="1:18" x14ac:dyDescent="0.25">
      <c r="A515">
        <v>514</v>
      </c>
      <c r="B515" t="s">
        <v>1724</v>
      </c>
      <c r="D515" t="s">
        <v>1725</v>
      </c>
      <c r="E515">
        <v>1</v>
      </c>
      <c r="F515" t="s">
        <v>1738</v>
      </c>
      <c r="G515" s="3">
        <v>43650</v>
      </c>
      <c r="I515" t="s">
        <v>129</v>
      </c>
      <c r="J515">
        <v>11.08</v>
      </c>
      <c r="K515">
        <v>7.62</v>
      </c>
      <c r="L515">
        <f t="shared" si="36"/>
        <v>1.73</v>
      </c>
      <c r="M515">
        <f t="shared" si="37"/>
        <v>0.15613718411552346</v>
      </c>
      <c r="N515">
        <v>0.35199999999999998</v>
      </c>
      <c r="O515">
        <v>0.01</v>
      </c>
      <c r="P515">
        <f t="shared" si="34"/>
        <v>0.34199999999999997</v>
      </c>
      <c r="Q515">
        <v>0.125</v>
      </c>
      <c r="R515">
        <f t="shared" si="35"/>
        <v>0.36549707602339182</v>
      </c>
    </row>
    <row r="516" spans="1:18" x14ac:dyDescent="0.25">
      <c r="A516">
        <v>515</v>
      </c>
      <c r="B516" t="s">
        <v>1726</v>
      </c>
      <c r="D516" t="s">
        <v>1723</v>
      </c>
      <c r="E516">
        <v>2</v>
      </c>
      <c r="F516" t="s">
        <v>1737</v>
      </c>
      <c r="G516" s="3">
        <v>43650</v>
      </c>
      <c r="I516" t="s">
        <v>129</v>
      </c>
      <c r="J516">
        <v>8.3000000000000007</v>
      </c>
      <c r="K516">
        <v>7</v>
      </c>
      <c r="L516">
        <f t="shared" si="36"/>
        <v>0.65000000000000036</v>
      </c>
      <c r="M516">
        <f t="shared" si="37"/>
        <v>7.8313253012048223E-2</v>
      </c>
      <c r="N516">
        <v>0.68500000000000005</v>
      </c>
      <c r="O516">
        <v>0.01</v>
      </c>
      <c r="P516">
        <f t="shared" si="34"/>
        <v>0.67500000000000004</v>
      </c>
      <c r="Q516">
        <v>0.36799999999999999</v>
      </c>
      <c r="R516">
        <f t="shared" si="35"/>
        <v>0.54518518518518511</v>
      </c>
    </row>
    <row r="517" spans="1:18" x14ac:dyDescent="0.25">
      <c r="A517">
        <v>516</v>
      </c>
      <c r="B517" t="s">
        <v>1727</v>
      </c>
      <c r="C517" t="s">
        <v>1740</v>
      </c>
      <c r="D517" t="s">
        <v>1272</v>
      </c>
      <c r="E517">
        <v>5</v>
      </c>
      <c r="F517" t="s">
        <v>1695</v>
      </c>
      <c r="G517" s="3">
        <v>43650</v>
      </c>
      <c r="I517" t="s">
        <v>129</v>
      </c>
      <c r="J517">
        <v>10.58</v>
      </c>
      <c r="K517">
        <v>4.6399999999999997</v>
      </c>
      <c r="L517">
        <f t="shared" si="36"/>
        <v>2.97</v>
      </c>
      <c r="M517">
        <f t="shared" si="37"/>
        <v>0.28071833648393196</v>
      </c>
      <c r="N517">
        <v>0.17899999999999999</v>
      </c>
      <c r="O517">
        <v>0.01</v>
      </c>
      <c r="P517">
        <f t="shared" si="34"/>
        <v>0.16899999999999998</v>
      </c>
      <c r="Q517">
        <v>0.10199999999999999</v>
      </c>
      <c r="R517">
        <f t="shared" si="35"/>
        <v>0.60355029585798814</v>
      </c>
    </row>
    <row r="518" spans="1:18" x14ac:dyDescent="0.25">
      <c r="A518">
        <v>517</v>
      </c>
      <c r="B518" t="s">
        <v>1728</v>
      </c>
      <c r="D518" t="s">
        <v>1295</v>
      </c>
      <c r="E518">
        <v>5</v>
      </c>
      <c r="F518" t="s">
        <v>1296</v>
      </c>
      <c r="G518" s="3">
        <v>43650</v>
      </c>
      <c r="I518" t="s">
        <v>129</v>
      </c>
      <c r="J518">
        <v>8.4700000000000006</v>
      </c>
      <c r="K518">
        <v>7.27</v>
      </c>
      <c r="L518">
        <f t="shared" si="36"/>
        <v>0.60000000000000053</v>
      </c>
      <c r="M518">
        <f t="shared" si="37"/>
        <v>7.0838252656434536E-2</v>
      </c>
      <c r="N518">
        <v>0.45500000000000002</v>
      </c>
      <c r="O518">
        <v>0.01</v>
      </c>
      <c r="P518">
        <f t="shared" si="34"/>
        <v>0.44500000000000001</v>
      </c>
      <c r="Q518">
        <v>0.184</v>
      </c>
      <c r="R518">
        <f t="shared" si="35"/>
        <v>0.41348314606741571</v>
      </c>
    </row>
    <row r="519" spans="1:18" x14ac:dyDescent="0.25">
      <c r="A519">
        <v>518</v>
      </c>
      <c r="B519" t="s">
        <v>1729</v>
      </c>
      <c r="D519" t="s">
        <v>1723</v>
      </c>
      <c r="E519">
        <v>3</v>
      </c>
      <c r="F519" t="s">
        <v>1737</v>
      </c>
      <c r="G519" s="3">
        <v>43650</v>
      </c>
      <c r="I519" t="s">
        <v>129</v>
      </c>
      <c r="J519">
        <v>6.57</v>
      </c>
      <c r="K519">
        <v>5.44</v>
      </c>
      <c r="L519">
        <f t="shared" si="36"/>
        <v>0.56499999999999995</v>
      </c>
      <c r="M519">
        <f t="shared" si="37"/>
        <v>8.599695585996954E-2</v>
      </c>
      <c r="N519">
        <v>0.53400000000000003</v>
      </c>
      <c r="O519">
        <v>0.01</v>
      </c>
      <c r="P519">
        <f t="shared" si="34"/>
        <v>0.52400000000000002</v>
      </c>
      <c r="Q519">
        <v>0.312</v>
      </c>
      <c r="R519">
        <f t="shared" si="35"/>
        <v>0.59541984732824427</v>
      </c>
    </row>
    <row r="520" spans="1:18" x14ac:dyDescent="0.25">
      <c r="A520">
        <v>519</v>
      </c>
      <c r="B520" t="s">
        <v>1730</v>
      </c>
      <c r="D520" t="s">
        <v>1725</v>
      </c>
      <c r="E520">
        <v>2</v>
      </c>
      <c r="F520" t="s">
        <v>1738</v>
      </c>
      <c r="G520" s="3">
        <v>43650</v>
      </c>
      <c r="I520" t="s">
        <v>129</v>
      </c>
      <c r="J520">
        <v>6.65</v>
      </c>
      <c r="K520">
        <v>5.41</v>
      </c>
      <c r="L520">
        <f t="shared" si="36"/>
        <v>0.62000000000000011</v>
      </c>
      <c r="M520">
        <f t="shared" si="37"/>
        <v>9.3233082706766932E-2</v>
      </c>
      <c r="N520">
        <v>0.193</v>
      </c>
      <c r="O520">
        <v>0.01</v>
      </c>
      <c r="P520">
        <f t="shared" si="34"/>
        <v>0.183</v>
      </c>
      <c r="Q520">
        <v>0.11799999999999999</v>
      </c>
      <c r="R520">
        <f t="shared" si="35"/>
        <v>0.64480874316939885</v>
      </c>
    </row>
    <row r="521" spans="1:18" x14ac:dyDescent="0.25">
      <c r="A521">
        <v>520</v>
      </c>
      <c r="B521" t="s">
        <v>1731</v>
      </c>
      <c r="D521" t="s">
        <v>1736</v>
      </c>
      <c r="E521">
        <v>1</v>
      </c>
      <c r="F521" t="s">
        <v>1739</v>
      </c>
      <c r="G521" s="3">
        <v>43650</v>
      </c>
      <c r="I521" t="s">
        <v>129</v>
      </c>
      <c r="J521">
        <v>7.18</v>
      </c>
      <c r="K521">
        <v>5.62</v>
      </c>
      <c r="L521">
        <f t="shared" si="36"/>
        <v>0.7799999999999998</v>
      </c>
      <c r="M521">
        <f t="shared" si="37"/>
        <v>0.1086350974930362</v>
      </c>
      <c r="N521">
        <v>0.36</v>
      </c>
      <c r="O521">
        <v>0.01</v>
      </c>
      <c r="P521">
        <f t="shared" si="34"/>
        <v>0.35</v>
      </c>
      <c r="Q521">
        <v>0.219</v>
      </c>
      <c r="R521">
        <f t="shared" si="35"/>
        <v>0.62571428571428578</v>
      </c>
    </row>
    <row r="522" spans="1:18" x14ac:dyDescent="0.25">
      <c r="A522">
        <v>521</v>
      </c>
      <c r="B522" t="s">
        <v>1732</v>
      </c>
      <c r="D522" t="s">
        <v>1736</v>
      </c>
      <c r="E522">
        <v>2</v>
      </c>
      <c r="F522" t="s">
        <v>1739</v>
      </c>
      <c r="G522" s="3">
        <v>43650</v>
      </c>
      <c r="I522" t="s">
        <v>129</v>
      </c>
      <c r="J522">
        <v>5.24</v>
      </c>
      <c r="K522">
        <v>3.93</v>
      </c>
      <c r="L522">
        <f t="shared" si="36"/>
        <v>0.65500000000000003</v>
      </c>
      <c r="M522">
        <f t="shared" si="37"/>
        <v>0.125</v>
      </c>
      <c r="N522">
        <v>0.222</v>
      </c>
      <c r="O522">
        <v>0.01</v>
      </c>
      <c r="P522">
        <f t="shared" si="34"/>
        <v>0.21199999999999999</v>
      </c>
      <c r="Q522">
        <v>0.151</v>
      </c>
      <c r="R522">
        <f t="shared" si="35"/>
        <v>0.71226415094339623</v>
      </c>
    </row>
    <row r="523" spans="1:18" x14ac:dyDescent="0.25">
      <c r="A523">
        <v>522</v>
      </c>
      <c r="B523" t="s">
        <v>1733</v>
      </c>
      <c r="D523" t="s">
        <v>1725</v>
      </c>
      <c r="E523">
        <v>3</v>
      </c>
      <c r="F523" t="s">
        <v>1738</v>
      </c>
      <c r="G523" s="3">
        <v>43662</v>
      </c>
      <c r="I523" t="s">
        <v>129</v>
      </c>
      <c r="J523">
        <v>10.88</v>
      </c>
      <c r="K523">
        <v>8.86</v>
      </c>
      <c r="L523">
        <f t="shared" si="36"/>
        <v>1.0100000000000007</v>
      </c>
      <c r="M523">
        <f t="shared" si="37"/>
        <v>9.2830882352941235E-2</v>
      </c>
      <c r="N523">
        <v>0.91</v>
      </c>
      <c r="O523">
        <v>0.01</v>
      </c>
      <c r="P523">
        <f t="shared" si="34"/>
        <v>0.9</v>
      </c>
      <c r="Q523">
        <v>0.61599999999999999</v>
      </c>
      <c r="R523">
        <f t="shared" si="35"/>
        <v>0.68444444444444441</v>
      </c>
    </row>
    <row r="524" spans="1:18" x14ac:dyDescent="0.25">
      <c r="A524">
        <v>523</v>
      </c>
      <c r="B524" t="s">
        <v>1734</v>
      </c>
      <c r="D524" t="s">
        <v>1736</v>
      </c>
      <c r="E524">
        <v>3</v>
      </c>
      <c r="F524" t="s">
        <v>1739</v>
      </c>
      <c r="G524" s="3">
        <v>43662</v>
      </c>
      <c r="I524" t="s">
        <v>129</v>
      </c>
      <c r="J524">
        <v>9.14</v>
      </c>
      <c r="K524">
        <v>7.78</v>
      </c>
      <c r="L524">
        <f t="shared" si="36"/>
        <v>0.68000000000000016</v>
      </c>
      <c r="M524">
        <f t="shared" si="37"/>
        <v>7.4398249452954063E-2</v>
      </c>
      <c r="N524">
        <v>0.71499999999999997</v>
      </c>
      <c r="O524">
        <v>0.01</v>
      </c>
      <c r="P524">
        <f t="shared" si="34"/>
        <v>0.70499999999999996</v>
      </c>
      <c r="Q524">
        <v>0.45</v>
      </c>
      <c r="R524">
        <f t="shared" si="35"/>
        <v>0.63829787234042556</v>
      </c>
    </row>
    <row r="525" spans="1:18" x14ac:dyDescent="0.25">
      <c r="A525">
        <v>524</v>
      </c>
      <c r="B525" t="s">
        <v>1735</v>
      </c>
      <c r="D525" t="s">
        <v>508</v>
      </c>
      <c r="E525">
        <v>5</v>
      </c>
      <c r="F525" t="s">
        <v>770</v>
      </c>
      <c r="G525" s="3">
        <v>43662</v>
      </c>
      <c r="I525" t="s">
        <v>129</v>
      </c>
      <c r="J525">
        <v>12.98</v>
      </c>
      <c r="K525">
        <v>7.65</v>
      </c>
      <c r="L525">
        <f t="shared" si="36"/>
        <v>2.665</v>
      </c>
      <c r="M525">
        <f t="shared" si="37"/>
        <v>0.20531587057010786</v>
      </c>
      <c r="N525">
        <v>0.56499999999999995</v>
      </c>
      <c r="O525">
        <v>0.01</v>
      </c>
      <c r="P525">
        <f t="shared" si="34"/>
        <v>0.55499999999999994</v>
      </c>
      <c r="Q525">
        <v>0.34699999999999998</v>
      </c>
      <c r="R525">
        <f t="shared" si="35"/>
        <v>0.62522522522522528</v>
      </c>
    </row>
    <row r="526" spans="1:18" x14ac:dyDescent="0.25">
      <c r="A526">
        <v>525</v>
      </c>
      <c r="B526" t="s">
        <v>540</v>
      </c>
      <c r="D526" t="s">
        <v>1759</v>
      </c>
      <c r="E526">
        <v>1</v>
      </c>
      <c r="F526" t="s">
        <v>539</v>
      </c>
      <c r="I526" t="s">
        <v>129</v>
      </c>
      <c r="J526">
        <v>8.26</v>
      </c>
      <c r="K526">
        <v>6.97</v>
      </c>
      <c r="L526">
        <f t="shared" si="36"/>
        <v>0.64500000000000002</v>
      </c>
      <c r="M526">
        <f t="shared" si="37"/>
        <v>7.8087167070217928E-2</v>
      </c>
      <c r="N526">
        <v>0.39600000000000002</v>
      </c>
      <c r="O526">
        <v>0.01</v>
      </c>
      <c r="P526">
        <f t="shared" si="34"/>
        <v>0.38600000000000001</v>
      </c>
      <c r="Q526">
        <v>0.27</v>
      </c>
      <c r="R526">
        <f t="shared" si="35"/>
        <v>0.69948186528497414</v>
      </c>
    </row>
    <row r="527" spans="1:18" x14ac:dyDescent="0.25">
      <c r="A527">
        <v>526</v>
      </c>
      <c r="B527" t="s">
        <v>1741</v>
      </c>
      <c r="D527" t="s">
        <v>839</v>
      </c>
      <c r="E527">
        <v>3</v>
      </c>
      <c r="F527" t="s">
        <v>1765</v>
      </c>
      <c r="I527" t="s">
        <v>129</v>
      </c>
      <c r="L527" t="s">
        <v>135</v>
      </c>
      <c r="M527" t="s">
        <v>135</v>
      </c>
      <c r="N527" t="s">
        <v>135</v>
      </c>
      <c r="O527" t="s">
        <v>135</v>
      </c>
      <c r="P527" t="s">
        <v>135</v>
      </c>
      <c r="Q527" t="s">
        <v>135</v>
      </c>
      <c r="R527" t="s">
        <v>135</v>
      </c>
    </row>
    <row r="528" spans="1:18" x14ac:dyDescent="0.25">
      <c r="A528">
        <v>527</v>
      </c>
      <c r="B528" t="s">
        <v>538</v>
      </c>
      <c r="D528" t="s">
        <v>1759</v>
      </c>
      <c r="E528">
        <v>2</v>
      </c>
      <c r="F528" t="s">
        <v>539</v>
      </c>
      <c r="I528" t="s">
        <v>129</v>
      </c>
      <c r="J528">
        <v>8.6999999999999993</v>
      </c>
      <c r="K528">
        <v>6.77</v>
      </c>
      <c r="L528">
        <f t="shared" ref="L527:L565" si="38">(J528-K528)/2</f>
        <v>0.96499999999999986</v>
      </c>
      <c r="M528">
        <f t="shared" ref="M527:M565" si="39">L528/J528</f>
        <v>0.11091954022988505</v>
      </c>
      <c r="N528">
        <v>0.66</v>
      </c>
      <c r="O528">
        <v>0.01</v>
      </c>
      <c r="P528">
        <f t="shared" si="34"/>
        <v>0.65</v>
      </c>
      <c r="Q528">
        <v>0.48299999999999998</v>
      </c>
      <c r="R528">
        <f t="shared" si="35"/>
        <v>0.74307692307692308</v>
      </c>
    </row>
    <row r="529" spans="1:18" x14ac:dyDescent="0.25">
      <c r="A529">
        <v>528</v>
      </c>
      <c r="B529" t="s">
        <v>1742</v>
      </c>
      <c r="D529" t="s">
        <v>1760</v>
      </c>
      <c r="E529">
        <v>1</v>
      </c>
      <c r="F529" t="s">
        <v>1766</v>
      </c>
      <c r="I529" t="s">
        <v>129</v>
      </c>
      <c r="J529">
        <v>10.31</v>
      </c>
      <c r="K529">
        <v>7.57</v>
      </c>
      <c r="L529">
        <f t="shared" si="38"/>
        <v>1.37</v>
      </c>
      <c r="M529">
        <f t="shared" si="39"/>
        <v>0.13288069835111543</v>
      </c>
      <c r="N529">
        <v>0.51200000000000001</v>
      </c>
      <c r="O529">
        <v>0.01</v>
      </c>
      <c r="P529">
        <f t="shared" si="34"/>
        <v>0.502</v>
      </c>
      <c r="Q529">
        <v>0.35499999999999998</v>
      </c>
      <c r="R529">
        <f t="shared" si="35"/>
        <v>0.70717131474103578</v>
      </c>
    </row>
    <row r="530" spans="1:18" x14ac:dyDescent="0.25">
      <c r="A530">
        <v>529</v>
      </c>
      <c r="B530" t="s">
        <v>838</v>
      </c>
      <c r="D530" t="s">
        <v>839</v>
      </c>
      <c r="E530">
        <v>1</v>
      </c>
      <c r="F530" t="s">
        <v>1765</v>
      </c>
      <c r="I530" t="s">
        <v>129</v>
      </c>
      <c r="L530" t="s">
        <v>135</v>
      </c>
      <c r="M530" t="s">
        <v>135</v>
      </c>
      <c r="N530" t="s">
        <v>135</v>
      </c>
      <c r="O530" t="s">
        <v>135</v>
      </c>
      <c r="P530" t="s">
        <v>135</v>
      </c>
      <c r="Q530" t="s">
        <v>135</v>
      </c>
      <c r="R530" t="s">
        <v>135</v>
      </c>
    </row>
    <row r="531" spans="1:18" x14ac:dyDescent="0.25">
      <c r="A531">
        <v>530</v>
      </c>
      <c r="B531" t="s">
        <v>1743</v>
      </c>
      <c r="D531" t="s">
        <v>1761</v>
      </c>
      <c r="E531">
        <v>1</v>
      </c>
      <c r="F531" t="s">
        <v>1767</v>
      </c>
      <c r="I531" t="s">
        <v>129</v>
      </c>
      <c r="J531">
        <v>8</v>
      </c>
      <c r="K531">
        <v>5.86</v>
      </c>
      <c r="L531">
        <f t="shared" si="38"/>
        <v>1.0699999999999998</v>
      </c>
      <c r="M531">
        <f t="shared" si="39"/>
        <v>0.13374999999999998</v>
      </c>
      <c r="N531">
        <v>0.40500000000000003</v>
      </c>
      <c r="O531">
        <v>0.01</v>
      </c>
      <c r="P531">
        <f t="shared" si="34"/>
        <v>0.39500000000000002</v>
      </c>
      <c r="Q531">
        <v>0.187</v>
      </c>
      <c r="R531">
        <f t="shared" si="35"/>
        <v>0.47341772151898731</v>
      </c>
    </row>
    <row r="532" spans="1:18" x14ac:dyDescent="0.25">
      <c r="A532">
        <v>531</v>
      </c>
      <c r="B532" t="s">
        <v>1744</v>
      </c>
      <c r="D532" t="s">
        <v>1037</v>
      </c>
      <c r="E532">
        <v>3</v>
      </c>
      <c r="F532" t="s">
        <v>1250</v>
      </c>
      <c r="I532" t="s">
        <v>129</v>
      </c>
      <c r="L532" t="s">
        <v>135</v>
      </c>
      <c r="M532" t="s">
        <v>135</v>
      </c>
      <c r="N532" t="s">
        <v>135</v>
      </c>
      <c r="O532" t="s">
        <v>135</v>
      </c>
      <c r="P532" t="s">
        <v>135</v>
      </c>
      <c r="Q532" t="s">
        <v>135</v>
      </c>
      <c r="R532" t="s">
        <v>135</v>
      </c>
    </row>
    <row r="533" spans="1:18" x14ac:dyDescent="0.25">
      <c r="A533">
        <v>532</v>
      </c>
      <c r="B533" t="s">
        <v>1745</v>
      </c>
      <c r="D533" t="s">
        <v>1763</v>
      </c>
      <c r="E533">
        <v>1</v>
      </c>
      <c r="F533" t="s">
        <v>1768</v>
      </c>
      <c r="I533" t="s">
        <v>129</v>
      </c>
      <c r="J533">
        <v>9.8800000000000008</v>
      </c>
      <c r="K533">
        <v>7.18</v>
      </c>
      <c r="L533">
        <f t="shared" si="38"/>
        <v>1.3500000000000005</v>
      </c>
      <c r="M533">
        <f t="shared" si="39"/>
        <v>0.13663967611336036</v>
      </c>
      <c r="N533">
        <v>0.65</v>
      </c>
      <c r="O533">
        <v>0.01</v>
      </c>
      <c r="P533">
        <f t="shared" si="34"/>
        <v>0.64</v>
      </c>
      <c r="Q533">
        <v>0.378</v>
      </c>
      <c r="R533">
        <f t="shared" si="35"/>
        <v>0.59062499999999996</v>
      </c>
    </row>
    <row r="534" spans="1:18" x14ac:dyDescent="0.25">
      <c r="A534">
        <v>533</v>
      </c>
      <c r="B534" t="s">
        <v>1746</v>
      </c>
      <c r="D534" t="s">
        <v>1763</v>
      </c>
      <c r="E534">
        <v>2</v>
      </c>
      <c r="F534" t="s">
        <v>1768</v>
      </c>
      <c r="I534" t="s">
        <v>129</v>
      </c>
      <c r="J534">
        <v>6.63</v>
      </c>
      <c r="K534">
        <v>5.29</v>
      </c>
      <c r="L534">
        <f t="shared" si="38"/>
        <v>0.66999999999999993</v>
      </c>
      <c r="M534">
        <f t="shared" si="39"/>
        <v>0.10105580693815987</v>
      </c>
      <c r="N534">
        <v>0.33100000000000002</v>
      </c>
      <c r="O534">
        <v>0.01</v>
      </c>
      <c r="P534">
        <f t="shared" si="34"/>
        <v>0.32100000000000001</v>
      </c>
      <c r="Q534">
        <v>0.192</v>
      </c>
      <c r="R534">
        <f t="shared" si="35"/>
        <v>0.59813084112149528</v>
      </c>
    </row>
    <row r="535" spans="1:18" x14ac:dyDescent="0.25">
      <c r="A535">
        <v>534</v>
      </c>
      <c r="B535" t="s">
        <v>1747</v>
      </c>
      <c r="D535" t="s">
        <v>1055</v>
      </c>
      <c r="E535">
        <v>3</v>
      </c>
      <c r="F535" t="s">
        <v>188</v>
      </c>
      <c r="I535" t="s">
        <v>129</v>
      </c>
      <c r="J535">
        <v>6.7</v>
      </c>
      <c r="K535">
        <v>5.0199999999999996</v>
      </c>
      <c r="L535">
        <f t="shared" si="38"/>
        <v>0.8400000000000003</v>
      </c>
      <c r="M535">
        <f t="shared" si="39"/>
        <v>0.12537313432835825</v>
      </c>
      <c r="N535">
        <v>0.36</v>
      </c>
      <c r="O535">
        <v>0.01</v>
      </c>
      <c r="P535">
        <f t="shared" si="34"/>
        <v>0.35</v>
      </c>
      <c r="Q535">
        <v>0.215</v>
      </c>
      <c r="R535">
        <f t="shared" si="35"/>
        <v>0.61428571428571432</v>
      </c>
    </row>
    <row r="536" spans="1:18" x14ac:dyDescent="0.25">
      <c r="A536">
        <v>535</v>
      </c>
      <c r="B536" t="s">
        <v>1748</v>
      </c>
      <c r="D536" t="s">
        <v>1760</v>
      </c>
      <c r="E536">
        <v>3</v>
      </c>
      <c r="F536" t="s">
        <v>1766</v>
      </c>
      <c r="I536" t="s">
        <v>129</v>
      </c>
      <c r="J536">
        <v>10.5</v>
      </c>
      <c r="K536">
        <v>8.18</v>
      </c>
      <c r="L536">
        <f t="shared" si="38"/>
        <v>1.1600000000000001</v>
      </c>
      <c r="M536">
        <f t="shared" si="39"/>
        <v>0.11047619047619049</v>
      </c>
      <c r="N536">
        <v>0.74199999999999999</v>
      </c>
      <c r="O536">
        <v>0.01</v>
      </c>
      <c r="P536">
        <f t="shared" si="34"/>
        <v>0.73199999999999998</v>
      </c>
      <c r="Q536">
        <v>0.52500000000000002</v>
      </c>
      <c r="R536">
        <f t="shared" si="35"/>
        <v>0.71721311475409844</v>
      </c>
    </row>
    <row r="537" spans="1:18" x14ac:dyDescent="0.25">
      <c r="A537">
        <v>536</v>
      </c>
      <c r="B537" t="s">
        <v>1749</v>
      </c>
      <c r="D537" t="s">
        <v>1764</v>
      </c>
      <c r="E537">
        <v>3</v>
      </c>
      <c r="F537" t="s">
        <v>1769</v>
      </c>
      <c r="I537" t="s">
        <v>129</v>
      </c>
      <c r="J537">
        <v>11.01</v>
      </c>
      <c r="K537">
        <v>8.7200000000000006</v>
      </c>
      <c r="L537">
        <f t="shared" si="38"/>
        <v>1.1449999999999996</v>
      </c>
      <c r="M537">
        <f t="shared" si="39"/>
        <v>0.1039963669391462</v>
      </c>
      <c r="N537">
        <v>0.72</v>
      </c>
      <c r="O537">
        <v>0.01</v>
      </c>
      <c r="P537">
        <f t="shared" si="34"/>
        <v>0.71</v>
      </c>
      <c r="Q537">
        <v>0.376</v>
      </c>
      <c r="R537">
        <f t="shared" si="35"/>
        <v>0.52957746478873247</v>
      </c>
    </row>
    <row r="538" spans="1:18" x14ac:dyDescent="0.25">
      <c r="A538">
        <v>537</v>
      </c>
      <c r="B538" t="s">
        <v>1750</v>
      </c>
      <c r="D538" t="s">
        <v>1037</v>
      </c>
      <c r="E538">
        <v>2</v>
      </c>
      <c r="F538" t="s">
        <v>1250</v>
      </c>
      <c r="I538" t="s">
        <v>129</v>
      </c>
      <c r="J538">
        <v>9.25</v>
      </c>
      <c r="K538">
        <v>6.97</v>
      </c>
      <c r="L538">
        <f t="shared" si="38"/>
        <v>1.1400000000000001</v>
      </c>
      <c r="M538">
        <f t="shared" si="39"/>
        <v>0.12324324324324326</v>
      </c>
      <c r="N538">
        <v>0.41099999999999998</v>
      </c>
      <c r="O538">
        <v>0.01</v>
      </c>
      <c r="P538">
        <f t="shared" ref="P538:P565" si="40">N538-O538</f>
        <v>0.40099999999999997</v>
      </c>
      <c r="Q538">
        <v>0.26</v>
      </c>
      <c r="R538">
        <f t="shared" si="35"/>
        <v>0.64837905236907734</v>
      </c>
    </row>
    <row r="539" spans="1:18" x14ac:dyDescent="0.25">
      <c r="A539">
        <v>538</v>
      </c>
      <c r="B539" t="s">
        <v>1751</v>
      </c>
      <c r="D539" t="s">
        <v>1763</v>
      </c>
      <c r="E539">
        <v>3</v>
      </c>
      <c r="F539" t="s">
        <v>1768</v>
      </c>
      <c r="I539" t="s">
        <v>129</v>
      </c>
      <c r="J539">
        <v>6.39</v>
      </c>
      <c r="K539">
        <v>4.6900000000000004</v>
      </c>
      <c r="L539">
        <f t="shared" si="38"/>
        <v>0.84999999999999964</v>
      </c>
      <c r="M539">
        <f t="shared" si="39"/>
        <v>0.13302034428794987</v>
      </c>
      <c r="N539">
        <v>0.255</v>
      </c>
      <c r="O539">
        <v>0.01</v>
      </c>
      <c r="P539">
        <f t="shared" si="40"/>
        <v>0.245</v>
      </c>
      <c r="Q539">
        <v>0.13100000000000001</v>
      </c>
      <c r="R539">
        <f t="shared" si="35"/>
        <v>0.53469387755102049</v>
      </c>
    </row>
    <row r="540" spans="1:18" x14ac:dyDescent="0.25">
      <c r="A540">
        <v>539</v>
      </c>
      <c r="B540" t="s">
        <v>1752</v>
      </c>
      <c r="D540" t="s">
        <v>1764</v>
      </c>
      <c r="E540">
        <v>1</v>
      </c>
      <c r="F540" t="s">
        <v>1769</v>
      </c>
      <c r="I540" t="s">
        <v>129</v>
      </c>
      <c r="J540">
        <v>10.88</v>
      </c>
      <c r="K540">
        <v>7.84</v>
      </c>
      <c r="L540">
        <f t="shared" si="38"/>
        <v>1.5200000000000005</v>
      </c>
      <c r="M540">
        <f t="shared" si="39"/>
        <v>0.13970588235294121</v>
      </c>
      <c r="N540">
        <v>0.44600000000000001</v>
      </c>
      <c r="O540">
        <v>0.01</v>
      </c>
      <c r="P540">
        <f t="shared" si="40"/>
        <v>0.436</v>
      </c>
      <c r="Q540">
        <v>0.186</v>
      </c>
      <c r="R540">
        <f t="shared" ref="R540:R565" si="41">Q540/P540</f>
        <v>0.42660550458715596</v>
      </c>
    </row>
    <row r="541" spans="1:18" x14ac:dyDescent="0.25">
      <c r="A541">
        <v>540</v>
      </c>
      <c r="B541" t="s">
        <v>1753</v>
      </c>
      <c r="D541" t="s">
        <v>1761</v>
      </c>
      <c r="E541">
        <v>2</v>
      </c>
      <c r="F541" t="s">
        <v>1767</v>
      </c>
      <c r="I541" t="s">
        <v>129</v>
      </c>
      <c r="J541">
        <v>10.73</v>
      </c>
      <c r="K541">
        <v>7.99</v>
      </c>
      <c r="L541">
        <f t="shared" si="38"/>
        <v>1.37</v>
      </c>
      <c r="M541">
        <f t="shared" si="39"/>
        <v>0.1276794035414725</v>
      </c>
      <c r="N541">
        <v>0.95699999999999996</v>
      </c>
      <c r="O541">
        <v>0.01</v>
      </c>
      <c r="P541">
        <f t="shared" si="40"/>
        <v>0.94699999999999995</v>
      </c>
      <c r="Q541">
        <v>0.27200000000000002</v>
      </c>
      <c r="R541">
        <f t="shared" si="41"/>
        <v>0.2872228088701162</v>
      </c>
    </row>
    <row r="542" spans="1:18" x14ac:dyDescent="0.25">
      <c r="A542">
        <v>541</v>
      </c>
      <c r="B542" t="s">
        <v>1754</v>
      </c>
      <c r="D542" t="s">
        <v>1764</v>
      </c>
      <c r="E542">
        <v>2</v>
      </c>
      <c r="F542" t="s">
        <v>1769</v>
      </c>
      <c r="I542" t="s">
        <v>129</v>
      </c>
      <c r="J542">
        <v>12.17</v>
      </c>
      <c r="K542">
        <v>9.69</v>
      </c>
      <c r="L542">
        <f t="shared" si="38"/>
        <v>1.2400000000000002</v>
      </c>
      <c r="M542">
        <f t="shared" si="39"/>
        <v>0.10188989317995072</v>
      </c>
      <c r="N542">
        <v>0.84399999999999997</v>
      </c>
      <c r="O542">
        <v>0.01</v>
      </c>
      <c r="P542">
        <f t="shared" si="40"/>
        <v>0.83399999999999996</v>
      </c>
      <c r="Q542">
        <v>0.433</v>
      </c>
      <c r="R542">
        <f t="shared" si="41"/>
        <v>0.51918465227817745</v>
      </c>
    </row>
    <row r="543" spans="1:18" x14ac:dyDescent="0.25">
      <c r="A543">
        <v>542</v>
      </c>
      <c r="B543" t="s">
        <v>1755</v>
      </c>
      <c r="D543" t="s">
        <v>1759</v>
      </c>
      <c r="E543">
        <v>3</v>
      </c>
      <c r="F543" t="s">
        <v>539</v>
      </c>
      <c r="I543" t="s">
        <v>129</v>
      </c>
      <c r="J543">
        <v>9.27</v>
      </c>
      <c r="K543">
        <v>7.32</v>
      </c>
      <c r="L543">
        <f t="shared" si="38"/>
        <v>0.97499999999999964</v>
      </c>
      <c r="M543">
        <f t="shared" si="39"/>
        <v>0.10517799352750806</v>
      </c>
      <c r="N543">
        <v>0.28999999999999998</v>
      </c>
      <c r="O543">
        <v>0.01</v>
      </c>
      <c r="P543">
        <f t="shared" si="40"/>
        <v>0.27999999999999997</v>
      </c>
      <c r="Q543">
        <v>0.17399999999999999</v>
      </c>
      <c r="R543">
        <f t="shared" si="41"/>
        <v>0.62142857142857144</v>
      </c>
    </row>
    <row r="544" spans="1:18" x14ac:dyDescent="0.25">
      <c r="A544">
        <v>543</v>
      </c>
      <c r="B544" t="s">
        <v>1219</v>
      </c>
      <c r="D544" t="s">
        <v>1055</v>
      </c>
      <c r="E544">
        <v>1</v>
      </c>
      <c r="F544" t="s">
        <v>188</v>
      </c>
      <c r="I544" t="s">
        <v>129</v>
      </c>
      <c r="J544">
        <v>7.19</v>
      </c>
      <c r="K544">
        <v>5.51</v>
      </c>
      <c r="L544">
        <f t="shared" si="38"/>
        <v>0.8400000000000003</v>
      </c>
      <c r="M544">
        <f t="shared" si="39"/>
        <v>0.11682892906815025</v>
      </c>
      <c r="N544">
        <v>0.27700000000000002</v>
      </c>
      <c r="O544">
        <v>0.01</v>
      </c>
      <c r="P544">
        <f t="shared" si="40"/>
        <v>0.26700000000000002</v>
      </c>
      <c r="Q544">
        <v>0.183</v>
      </c>
      <c r="R544">
        <f t="shared" si="41"/>
        <v>0.68539325842696619</v>
      </c>
    </row>
    <row r="545" spans="1:18" x14ac:dyDescent="0.25">
      <c r="A545">
        <v>544</v>
      </c>
      <c r="B545" t="s">
        <v>1756</v>
      </c>
      <c r="D545" t="s">
        <v>1055</v>
      </c>
      <c r="E545">
        <v>2</v>
      </c>
      <c r="F545" t="s">
        <v>188</v>
      </c>
      <c r="I545" t="s">
        <v>129</v>
      </c>
      <c r="J545">
        <v>7.39</v>
      </c>
      <c r="K545">
        <v>5.63</v>
      </c>
      <c r="L545">
        <f t="shared" si="38"/>
        <v>0.87999999999999989</v>
      </c>
      <c r="M545">
        <f t="shared" si="39"/>
        <v>0.11907983761840324</v>
      </c>
      <c r="N545">
        <v>0.40300000000000002</v>
      </c>
      <c r="O545">
        <v>0.01</v>
      </c>
      <c r="P545">
        <f t="shared" si="40"/>
        <v>0.39300000000000002</v>
      </c>
      <c r="Q545">
        <v>0.26600000000000001</v>
      </c>
      <c r="R545">
        <f t="shared" si="41"/>
        <v>0.67684478371501278</v>
      </c>
    </row>
    <row r="546" spans="1:18" x14ac:dyDescent="0.25">
      <c r="A546">
        <v>545</v>
      </c>
      <c r="B546" t="s">
        <v>1014</v>
      </c>
      <c r="D546" t="s">
        <v>839</v>
      </c>
      <c r="E546">
        <v>2</v>
      </c>
      <c r="F546" t="s">
        <v>1765</v>
      </c>
      <c r="I546" t="s">
        <v>129</v>
      </c>
      <c r="L546" t="s">
        <v>135</v>
      </c>
      <c r="M546" t="s">
        <v>135</v>
      </c>
      <c r="N546" t="s">
        <v>135</v>
      </c>
      <c r="O546" t="s">
        <v>135</v>
      </c>
      <c r="P546" t="s">
        <v>135</v>
      </c>
      <c r="Q546" t="s">
        <v>135</v>
      </c>
      <c r="R546" t="s">
        <v>135</v>
      </c>
    </row>
    <row r="547" spans="1:18" x14ac:dyDescent="0.25">
      <c r="A547">
        <v>546</v>
      </c>
      <c r="B547" t="s">
        <v>1757</v>
      </c>
      <c r="D547" t="s">
        <v>1760</v>
      </c>
      <c r="E547">
        <v>2</v>
      </c>
      <c r="F547" t="s">
        <v>1766</v>
      </c>
      <c r="I547" t="s">
        <v>129</v>
      </c>
      <c r="J547">
        <v>8.2799999999999994</v>
      </c>
      <c r="K547">
        <v>5.8</v>
      </c>
      <c r="L547">
        <f t="shared" si="38"/>
        <v>1.2399999999999998</v>
      </c>
      <c r="M547">
        <f t="shared" si="39"/>
        <v>0.14975845410628016</v>
      </c>
      <c r="N547">
        <v>0.33400000000000002</v>
      </c>
      <c r="O547">
        <v>0.01</v>
      </c>
      <c r="P547">
        <f t="shared" si="40"/>
        <v>0.32400000000000001</v>
      </c>
      <c r="Q547">
        <v>0.20899999999999999</v>
      </c>
      <c r="R547">
        <f t="shared" si="41"/>
        <v>0.64506172839506171</v>
      </c>
    </row>
    <row r="548" spans="1:18" x14ac:dyDescent="0.25">
      <c r="A548">
        <v>547</v>
      </c>
      <c r="B548" t="s">
        <v>1758</v>
      </c>
      <c r="D548" t="s">
        <v>1761</v>
      </c>
      <c r="E548">
        <v>3</v>
      </c>
      <c r="F548" t="s">
        <v>1767</v>
      </c>
      <c r="I548" t="s">
        <v>129</v>
      </c>
      <c r="J548">
        <v>9.7100000000000009</v>
      </c>
      <c r="K548">
        <v>7.08</v>
      </c>
      <c r="L548">
        <f t="shared" si="38"/>
        <v>1.3150000000000004</v>
      </c>
      <c r="M548">
        <f t="shared" si="39"/>
        <v>0.13542739443872298</v>
      </c>
      <c r="N548">
        <v>0.55500000000000005</v>
      </c>
      <c r="O548">
        <v>0.01</v>
      </c>
      <c r="P548">
        <f t="shared" si="40"/>
        <v>0.54500000000000004</v>
      </c>
      <c r="Q548">
        <v>0.23300000000000001</v>
      </c>
      <c r="R548">
        <f t="shared" si="41"/>
        <v>0.42752293577981648</v>
      </c>
    </row>
    <row r="549" spans="1:18" x14ac:dyDescent="0.25">
      <c r="A549">
        <v>548</v>
      </c>
      <c r="B549" t="s">
        <v>1249</v>
      </c>
      <c r="D549" t="s">
        <v>1037</v>
      </c>
      <c r="E549">
        <v>1</v>
      </c>
      <c r="F549" t="s">
        <v>1250</v>
      </c>
      <c r="I549" t="s">
        <v>129</v>
      </c>
      <c r="J549">
        <v>9.81</v>
      </c>
      <c r="K549">
        <v>8.17</v>
      </c>
      <c r="L549">
        <f t="shared" si="38"/>
        <v>0.82000000000000028</v>
      </c>
      <c r="M549">
        <f t="shared" si="39"/>
        <v>8.3588175331294617E-2</v>
      </c>
      <c r="N549">
        <v>0.73099999999999998</v>
      </c>
      <c r="O549">
        <v>0.01</v>
      </c>
      <c r="P549">
        <f t="shared" si="40"/>
        <v>0.72099999999999997</v>
      </c>
      <c r="Q549">
        <v>0.34200000000000003</v>
      </c>
      <c r="R549">
        <f t="shared" si="41"/>
        <v>0.4743411927877948</v>
      </c>
    </row>
    <row r="550" spans="1:18" x14ac:dyDescent="0.25">
      <c r="A550">
        <v>549</v>
      </c>
      <c r="B550" t="s">
        <v>1772</v>
      </c>
      <c r="D550" t="s">
        <v>1777</v>
      </c>
      <c r="E550">
        <v>1</v>
      </c>
      <c r="F550" t="s">
        <v>1771</v>
      </c>
      <c r="I550" t="s">
        <v>129</v>
      </c>
      <c r="J550">
        <v>13.77</v>
      </c>
      <c r="K550">
        <v>11.72</v>
      </c>
      <c r="L550">
        <f t="shared" si="38"/>
        <v>1.0249999999999995</v>
      </c>
      <c r="M550">
        <f t="shared" si="39"/>
        <v>7.4437182280319494E-2</v>
      </c>
      <c r="N550">
        <v>0.52</v>
      </c>
      <c r="O550">
        <v>0.01</v>
      </c>
      <c r="P550">
        <f t="shared" si="40"/>
        <v>0.51</v>
      </c>
      <c r="Q550">
        <v>0.16700000000000001</v>
      </c>
      <c r="R550">
        <f t="shared" si="41"/>
        <v>0.32745098039215687</v>
      </c>
    </row>
    <row r="551" spans="1:18" x14ac:dyDescent="0.25">
      <c r="A551">
        <v>550</v>
      </c>
      <c r="B551" t="s">
        <v>1773</v>
      </c>
      <c r="D551" t="s">
        <v>1777</v>
      </c>
      <c r="E551">
        <v>2</v>
      </c>
      <c r="F551" t="s">
        <v>1771</v>
      </c>
      <c r="I551" t="s">
        <v>129</v>
      </c>
      <c r="J551">
        <v>18.03</v>
      </c>
      <c r="K551">
        <v>15.59</v>
      </c>
      <c r="L551">
        <f t="shared" si="38"/>
        <v>1.2200000000000006</v>
      </c>
      <c r="M551">
        <f t="shared" si="39"/>
        <v>6.7665002773155888E-2</v>
      </c>
      <c r="N551">
        <v>0.96399999999999997</v>
      </c>
      <c r="O551">
        <v>0.01</v>
      </c>
      <c r="P551">
        <f t="shared" si="40"/>
        <v>0.95399999999999996</v>
      </c>
      <c r="Q551">
        <v>0.36499999999999999</v>
      </c>
      <c r="R551">
        <f t="shared" si="41"/>
        <v>0.38259958071278827</v>
      </c>
    </row>
    <row r="552" spans="1:18" x14ac:dyDescent="0.25">
      <c r="A552">
        <v>551</v>
      </c>
      <c r="B552" t="s">
        <v>1774</v>
      </c>
      <c r="D552" t="s">
        <v>1777</v>
      </c>
      <c r="E552">
        <v>3</v>
      </c>
      <c r="F552" t="s">
        <v>1771</v>
      </c>
      <c r="I552" t="s">
        <v>129</v>
      </c>
      <c r="J552">
        <v>15.95</v>
      </c>
      <c r="K552">
        <v>13.15</v>
      </c>
      <c r="L552">
        <f t="shared" si="38"/>
        <v>1.3999999999999995</v>
      </c>
      <c r="M552">
        <f t="shared" si="39"/>
        <v>8.7774294670846367E-2</v>
      </c>
      <c r="N552">
        <v>0.26900000000000002</v>
      </c>
      <c r="O552">
        <v>0.01</v>
      </c>
      <c r="P552">
        <f t="shared" si="40"/>
        <v>0.25900000000000001</v>
      </c>
      <c r="Q552">
        <v>8.4000000000000005E-2</v>
      </c>
      <c r="R552">
        <f t="shared" si="41"/>
        <v>0.32432432432432434</v>
      </c>
    </row>
    <row r="553" spans="1:18" x14ac:dyDescent="0.25">
      <c r="A553">
        <v>552</v>
      </c>
      <c r="B553" t="s">
        <v>1775</v>
      </c>
      <c r="D553" t="s">
        <v>1777</v>
      </c>
      <c r="E553">
        <v>4</v>
      </c>
      <c r="F553" t="s">
        <v>1771</v>
      </c>
      <c r="I553" t="s">
        <v>129</v>
      </c>
      <c r="J553">
        <v>9.68</v>
      </c>
      <c r="K553">
        <v>8.4</v>
      </c>
      <c r="L553">
        <f t="shared" si="38"/>
        <v>0.63999999999999968</v>
      </c>
      <c r="M553">
        <f t="shared" si="39"/>
        <v>6.6115702479338817E-2</v>
      </c>
      <c r="N553">
        <v>0.25700000000000001</v>
      </c>
      <c r="O553">
        <v>0.01</v>
      </c>
      <c r="P553">
        <f t="shared" si="40"/>
        <v>0.247</v>
      </c>
      <c r="Q553">
        <v>0.12</v>
      </c>
      <c r="R553">
        <f t="shared" si="41"/>
        <v>0.48582995951417002</v>
      </c>
    </row>
    <row r="554" spans="1:18" x14ac:dyDescent="0.25">
      <c r="A554">
        <v>553</v>
      </c>
      <c r="B554" t="s">
        <v>1776</v>
      </c>
      <c r="D554" t="s">
        <v>1777</v>
      </c>
      <c r="E554">
        <v>5</v>
      </c>
      <c r="F554" t="s">
        <v>1771</v>
      </c>
      <c r="I554" t="s">
        <v>129</v>
      </c>
      <c r="J554">
        <v>16.48</v>
      </c>
      <c r="K554">
        <v>14.15</v>
      </c>
      <c r="L554">
        <f t="shared" si="38"/>
        <v>1.165</v>
      </c>
      <c r="M554">
        <f t="shared" si="39"/>
        <v>7.069174757281553E-2</v>
      </c>
      <c r="N554">
        <v>0.20499999999999999</v>
      </c>
      <c r="O554">
        <v>0.01</v>
      </c>
      <c r="P554">
        <f t="shared" si="40"/>
        <v>0.19499999999999998</v>
      </c>
      <c r="Q554">
        <v>8.2000000000000003E-2</v>
      </c>
      <c r="R554">
        <f t="shared" si="41"/>
        <v>0.42051282051282057</v>
      </c>
    </row>
    <row r="555" spans="1:18" x14ac:dyDescent="0.25">
      <c r="A555">
        <v>554</v>
      </c>
      <c r="B555" t="s">
        <v>1778</v>
      </c>
      <c r="D555" t="s">
        <v>1725</v>
      </c>
      <c r="E555">
        <v>4</v>
      </c>
      <c r="F555" t="s">
        <v>1738</v>
      </c>
      <c r="I555" t="s">
        <v>129</v>
      </c>
      <c r="J555">
        <v>6.93</v>
      </c>
      <c r="K555">
        <v>4.91</v>
      </c>
      <c r="L555">
        <f t="shared" si="38"/>
        <v>1.0099999999999998</v>
      </c>
      <c r="M555">
        <f t="shared" si="39"/>
        <v>0.14574314574314573</v>
      </c>
      <c r="N555">
        <v>0.30499999999999999</v>
      </c>
      <c r="O555">
        <v>0.01</v>
      </c>
      <c r="P555">
        <f t="shared" si="40"/>
        <v>0.29499999999999998</v>
      </c>
      <c r="Q555">
        <v>0.23</v>
      </c>
      <c r="R555">
        <f t="shared" si="41"/>
        <v>0.77966101694915257</v>
      </c>
    </row>
    <row r="556" spans="1:18" x14ac:dyDescent="0.25">
      <c r="A556">
        <v>555</v>
      </c>
      <c r="B556" t="s">
        <v>1741</v>
      </c>
      <c r="D556" t="s">
        <v>839</v>
      </c>
      <c r="E556">
        <v>3</v>
      </c>
      <c r="F556" t="s">
        <v>1765</v>
      </c>
      <c r="G556" s="3">
        <v>43662</v>
      </c>
      <c r="I556" t="s">
        <v>129</v>
      </c>
      <c r="J556">
        <v>8.1300000000000008</v>
      </c>
      <c r="K556">
        <v>5.1100000000000003</v>
      </c>
      <c r="L556">
        <f t="shared" si="38"/>
        <v>1.5100000000000002</v>
      </c>
      <c r="M556">
        <f t="shared" si="39"/>
        <v>0.1857318573185732</v>
      </c>
      <c r="N556">
        <v>0.35299999999999998</v>
      </c>
      <c r="O556">
        <v>0.01</v>
      </c>
      <c r="P556">
        <f t="shared" si="40"/>
        <v>0.34299999999999997</v>
      </c>
      <c r="Q556">
        <v>0.154</v>
      </c>
      <c r="R556">
        <f t="shared" si="41"/>
        <v>0.44897959183673475</v>
      </c>
    </row>
    <row r="557" spans="1:18" x14ac:dyDescent="0.25">
      <c r="A557">
        <v>556</v>
      </c>
      <c r="B557" t="s">
        <v>1779</v>
      </c>
      <c r="D557" t="s">
        <v>1714</v>
      </c>
      <c r="E557">
        <v>4</v>
      </c>
      <c r="F557" t="s">
        <v>1716</v>
      </c>
      <c r="G557" s="3">
        <v>43662</v>
      </c>
      <c r="I557" t="s">
        <v>129</v>
      </c>
      <c r="J557">
        <v>7.65</v>
      </c>
      <c r="K557">
        <v>5.7</v>
      </c>
      <c r="L557">
        <f t="shared" si="38"/>
        <v>0.97500000000000009</v>
      </c>
      <c r="M557">
        <f t="shared" si="39"/>
        <v>0.12745098039215688</v>
      </c>
      <c r="N557">
        <v>0.27500000000000002</v>
      </c>
      <c r="O557">
        <v>0.01</v>
      </c>
      <c r="P557">
        <f t="shared" si="40"/>
        <v>0.26500000000000001</v>
      </c>
      <c r="Q557">
        <v>0.13900000000000001</v>
      </c>
      <c r="R557">
        <f t="shared" si="41"/>
        <v>0.52452830188679245</v>
      </c>
    </row>
    <row r="558" spans="1:18" x14ac:dyDescent="0.25">
      <c r="A558">
        <v>557</v>
      </c>
      <c r="B558" t="s">
        <v>1780</v>
      </c>
      <c r="D558" t="s">
        <v>1714</v>
      </c>
      <c r="E558">
        <v>5</v>
      </c>
      <c r="F558" t="s">
        <v>1716</v>
      </c>
      <c r="G558" s="3">
        <v>43662</v>
      </c>
      <c r="I558" t="s">
        <v>129</v>
      </c>
      <c r="J558">
        <v>8.66</v>
      </c>
      <c r="K558">
        <v>7.33</v>
      </c>
      <c r="L558">
        <f t="shared" si="38"/>
        <v>0.66500000000000004</v>
      </c>
      <c r="M558">
        <f t="shared" si="39"/>
        <v>7.6789838337182448E-2</v>
      </c>
      <c r="N558">
        <v>0.79400000000000004</v>
      </c>
      <c r="O558">
        <v>0.01</v>
      </c>
      <c r="P558">
        <f t="shared" si="40"/>
        <v>0.78400000000000003</v>
      </c>
      <c r="Q558">
        <v>0.39</v>
      </c>
      <c r="R558">
        <f t="shared" si="41"/>
        <v>0.49744897959183676</v>
      </c>
    </row>
    <row r="559" spans="1:18" x14ac:dyDescent="0.25">
      <c r="A559">
        <v>558</v>
      </c>
      <c r="B559" t="s">
        <v>1781</v>
      </c>
      <c r="D559" t="s">
        <v>1723</v>
      </c>
      <c r="E559">
        <v>4</v>
      </c>
      <c r="F559" t="s">
        <v>1737</v>
      </c>
      <c r="G559" s="3">
        <v>43662</v>
      </c>
      <c r="I559" t="s">
        <v>129</v>
      </c>
      <c r="J559">
        <v>4.9000000000000004</v>
      </c>
      <c r="K559">
        <v>4.4000000000000004</v>
      </c>
      <c r="L559">
        <f t="shared" si="38"/>
        <v>0.25</v>
      </c>
      <c r="M559">
        <f t="shared" si="39"/>
        <v>5.10204081632653E-2</v>
      </c>
      <c r="N559">
        <v>0.22</v>
      </c>
      <c r="O559">
        <v>0.01</v>
      </c>
      <c r="P559">
        <f t="shared" si="40"/>
        <v>0.21</v>
      </c>
      <c r="Q559">
        <v>0.13300000000000001</v>
      </c>
      <c r="R559">
        <f t="shared" si="41"/>
        <v>0.63333333333333341</v>
      </c>
    </row>
    <row r="560" spans="1:18" x14ac:dyDescent="0.25">
      <c r="A560">
        <v>559</v>
      </c>
      <c r="B560" t="s">
        <v>1782</v>
      </c>
      <c r="D560" t="s">
        <v>1723</v>
      </c>
      <c r="E560">
        <v>5</v>
      </c>
      <c r="F560" t="s">
        <v>1737</v>
      </c>
      <c r="G560" s="3">
        <v>43662</v>
      </c>
      <c r="I560" t="s">
        <v>129</v>
      </c>
      <c r="J560">
        <v>7.6</v>
      </c>
      <c r="K560">
        <v>6.55</v>
      </c>
      <c r="L560">
        <f t="shared" si="38"/>
        <v>0.52499999999999991</v>
      </c>
      <c r="M560">
        <f t="shared" si="39"/>
        <v>6.9078947368421045E-2</v>
      </c>
      <c r="N560">
        <v>0.67100000000000004</v>
      </c>
      <c r="O560">
        <v>0.01</v>
      </c>
      <c r="P560">
        <f t="shared" si="40"/>
        <v>0.66100000000000003</v>
      </c>
      <c r="Q560">
        <v>0.433</v>
      </c>
      <c r="R560">
        <f t="shared" si="41"/>
        <v>0.65506807866868377</v>
      </c>
    </row>
    <row r="561" spans="1:18" x14ac:dyDescent="0.25">
      <c r="A561">
        <v>560</v>
      </c>
      <c r="B561" t="s">
        <v>1783</v>
      </c>
      <c r="D561" t="s">
        <v>1272</v>
      </c>
      <c r="E561">
        <v>6</v>
      </c>
      <c r="F561" t="s">
        <v>1695</v>
      </c>
      <c r="G561" s="3">
        <v>43662</v>
      </c>
      <c r="I561" t="s">
        <v>129</v>
      </c>
      <c r="J561">
        <v>8.65</v>
      </c>
      <c r="K561">
        <v>4.33</v>
      </c>
      <c r="L561">
        <f t="shared" si="38"/>
        <v>2.16</v>
      </c>
      <c r="M561">
        <f t="shared" si="39"/>
        <v>0.24971098265895955</v>
      </c>
      <c r="N561">
        <v>0.19500000000000001</v>
      </c>
      <c r="O561">
        <v>0.01</v>
      </c>
      <c r="P561">
        <f t="shared" si="40"/>
        <v>0.185</v>
      </c>
      <c r="Q561">
        <v>0.108</v>
      </c>
      <c r="R561">
        <f t="shared" si="41"/>
        <v>0.58378378378378382</v>
      </c>
    </row>
    <row r="562" spans="1:18" x14ac:dyDescent="0.25">
      <c r="A562">
        <v>561</v>
      </c>
      <c r="B562" t="s">
        <v>1784</v>
      </c>
      <c r="D562" t="s">
        <v>1725</v>
      </c>
      <c r="E562">
        <v>5</v>
      </c>
      <c r="F562" t="s">
        <v>1738</v>
      </c>
      <c r="G562" s="3">
        <v>43662</v>
      </c>
      <c r="I562" t="s">
        <v>129</v>
      </c>
      <c r="J562">
        <v>6.73</v>
      </c>
      <c r="K562">
        <v>4.87</v>
      </c>
      <c r="L562">
        <f t="shared" si="38"/>
        <v>0.93000000000000016</v>
      </c>
      <c r="M562">
        <f t="shared" si="39"/>
        <v>0.13818722139673106</v>
      </c>
      <c r="N562">
        <v>0.44600000000000001</v>
      </c>
      <c r="O562">
        <v>0.01</v>
      </c>
      <c r="P562">
        <f t="shared" si="40"/>
        <v>0.436</v>
      </c>
      <c r="Q562">
        <v>0.21</v>
      </c>
      <c r="R562">
        <f t="shared" si="41"/>
        <v>0.48165137614678899</v>
      </c>
    </row>
    <row r="563" spans="1:18" x14ac:dyDescent="0.25">
      <c r="A563">
        <v>562</v>
      </c>
      <c r="B563" t="s">
        <v>1785</v>
      </c>
      <c r="D563" t="s">
        <v>1284</v>
      </c>
      <c r="E563">
        <v>4</v>
      </c>
      <c r="F563" t="s">
        <v>1697</v>
      </c>
      <c r="G563" s="3">
        <v>43662</v>
      </c>
      <c r="I563" t="s">
        <v>129</v>
      </c>
      <c r="J563">
        <v>8.6</v>
      </c>
      <c r="K563">
        <v>6.76</v>
      </c>
      <c r="L563">
        <f t="shared" si="38"/>
        <v>0.91999999999999993</v>
      </c>
      <c r="M563">
        <f t="shared" si="39"/>
        <v>0.10697674418604651</v>
      </c>
      <c r="N563">
        <v>0.70399999999999996</v>
      </c>
      <c r="O563">
        <v>0.01</v>
      </c>
      <c r="P563">
        <f t="shared" si="40"/>
        <v>0.69399999999999995</v>
      </c>
      <c r="Q563">
        <v>0.52900000000000003</v>
      </c>
      <c r="R563">
        <f t="shared" si="41"/>
        <v>0.76224783861671475</v>
      </c>
    </row>
    <row r="564" spans="1:18" x14ac:dyDescent="0.25">
      <c r="A564">
        <v>563</v>
      </c>
      <c r="B564" t="s">
        <v>1786</v>
      </c>
      <c r="D564" t="s">
        <v>1269</v>
      </c>
      <c r="E564">
        <v>5</v>
      </c>
      <c r="F564" t="s">
        <v>1270</v>
      </c>
      <c r="G564" s="3">
        <v>43662</v>
      </c>
      <c r="I564" t="s">
        <v>129</v>
      </c>
      <c r="J564">
        <v>16.57</v>
      </c>
      <c r="K564">
        <v>6.3</v>
      </c>
      <c r="L564">
        <f t="shared" si="38"/>
        <v>5.1349999999999998</v>
      </c>
      <c r="M564">
        <f t="shared" si="39"/>
        <v>0.30989740494870244</v>
      </c>
      <c r="N564">
        <v>0.185</v>
      </c>
      <c r="O564">
        <v>0.01</v>
      </c>
      <c r="P564">
        <f t="shared" si="40"/>
        <v>0.17499999999999999</v>
      </c>
      <c r="Q564">
        <v>0.106</v>
      </c>
      <c r="R564">
        <f t="shared" si="41"/>
        <v>0.60571428571428576</v>
      </c>
    </row>
    <row r="565" spans="1:18" x14ac:dyDescent="0.25">
      <c r="A565">
        <v>564</v>
      </c>
      <c r="B565" t="s">
        <v>1787</v>
      </c>
      <c r="D565" t="s">
        <v>1284</v>
      </c>
      <c r="E565">
        <v>5</v>
      </c>
      <c r="F565" t="s">
        <v>1697</v>
      </c>
      <c r="G565" s="3">
        <v>43662</v>
      </c>
      <c r="I565" t="s">
        <v>129</v>
      </c>
      <c r="J565">
        <v>6.67</v>
      </c>
      <c r="K565">
        <v>5.27</v>
      </c>
      <c r="L565">
        <f t="shared" si="38"/>
        <v>0.70000000000000018</v>
      </c>
      <c r="M565">
        <f t="shared" si="39"/>
        <v>0.10494752623688158</v>
      </c>
      <c r="N565">
        <v>0.28999999999999998</v>
      </c>
      <c r="O565">
        <v>0.01</v>
      </c>
      <c r="P565">
        <f t="shared" si="40"/>
        <v>0.27999999999999997</v>
      </c>
      <c r="Q565">
        <v>0.216</v>
      </c>
      <c r="R565">
        <f t="shared" si="41"/>
        <v>0.77142857142857146</v>
      </c>
    </row>
  </sheetData>
  <autoFilter ref="A1:T474" xr:uid="{00000000-0009-0000-0000-000001000000}">
    <sortState xmlns:xlrd2="http://schemas.microsoft.com/office/spreadsheetml/2017/richdata2" ref="A2:T474">
      <sortCondition ref="A1:A474"/>
    </sortState>
  </autoFilter>
  <sortState xmlns:xlrd2="http://schemas.microsoft.com/office/spreadsheetml/2017/richdata2" ref="A2:U472">
    <sortCondition ref="Q2:Q472"/>
    <sortCondition ref="F2:F472"/>
  </sortState>
  <phoneticPr fontId="2" type="noConversion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852"/>
  <sheetViews>
    <sheetView workbookViewId="0">
      <pane ySplit="1" topLeftCell="A825" activePane="bottomLeft" state="frozen"/>
      <selection activeCell="A406" sqref="A406"/>
      <selection pane="bottomLeft" activeCell="B833" sqref="B833"/>
    </sheetView>
  </sheetViews>
  <sheetFormatPr defaultRowHeight="15" x14ac:dyDescent="0.25"/>
  <cols>
    <col min="2" max="2" width="10.5703125" bestFit="1" customWidth="1"/>
    <col min="3" max="6" width="10.5703125" customWidth="1"/>
    <col min="7" max="7" width="9.7109375" style="3" bestFit="1" customWidth="1"/>
    <col min="9" max="9" width="14.42578125" bestFit="1" customWidth="1"/>
    <col min="11" max="11" width="10.28515625" bestFit="1" customWidth="1"/>
    <col min="12" max="14" width="16.85546875" customWidth="1"/>
    <col min="15" max="17" width="9.140625" customWidth="1"/>
    <col min="18" max="18" width="12" bestFit="1" customWidth="1"/>
  </cols>
  <sheetData>
    <row r="1" spans="1:18" x14ac:dyDescent="0.25">
      <c r="A1" t="s">
        <v>951</v>
      </c>
      <c r="B1" t="s">
        <v>329</v>
      </c>
      <c r="C1" t="s">
        <v>1190</v>
      </c>
      <c r="E1" t="s">
        <v>0</v>
      </c>
      <c r="F1" t="s">
        <v>330</v>
      </c>
      <c r="G1" s="3" t="s">
        <v>628</v>
      </c>
      <c r="H1" t="s">
        <v>546</v>
      </c>
      <c r="I1" t="s">
        <v>547</v>
      </c>
      <c r="J1" t="s">
        <v>548</v>
      </c>
      <c r="K1" t="s">
        <v>549</v>
      </c>
      <c r="L1" t="s">
        <v>557</v>
      </c>
      <c r="M1" t="s">
        <v>558</v>
      </c>
      <c r="N1" t="s">
        <v>559</v>
      </c>
      <c r="O1" t="s">
        <v>550</v>
      </c>
      <c r="P1" t="s">
        <v>551</v>
      </c>
      <c r="Q1" t="s">
        <v>552</v>
      </c>
      <c r="R1" t="s">
        <v>148</v>
      </c>
    </row>
    <row r="2" spans="1:18" x14ac:dyDescent="0.25">
      <c r="A2">
        <v>1</v>
      </c>
      <c r="B2" t="s">
        <v>528</v>
      </c>
      <c r="E2" t="s">
        <v>494</v>
      </c>
      <c r="F2">
        <v>1</v>
      </c>
      <c r="G2" s="3">
        <v>42909</v>
      </c>
      <c r="H2">
        <v>13.6</v>
      </c>
      <c r="I2" t="s">
        <v>554</v>
      </c>
      <c r="J2">
        <v>510</v>
      </c>
      <c r="K2">
        <v>140</v>
      </c>
      <c r="L2">
        <v>15.96</v>
      </c>
      <c r="M2">
        <v>12.44</v>
      </c>
      <c r="N2">
        <v>10.25</v>
      </c>
      <c r="Q2">
        <v>5</v>
      </c>
    </row>
    <row r="3" spans="1:18" x14ac:dyDescent="0.25">
      <c r="A3">
        <v>2</v>
      </c>
      <c r="B3" t="s">
        <v>1016</v>
      </c>
      <c r="C3" t="s">
        <v>94</v>
      </c>
      <c r="E3" t="s">
        <v>369</v>
      </c>
      <c r="F3">
        <v>6</v>
      </c>
      <c r="G3" s="3">
        <v>42909</v>
      </c>
      <c r="H3" t="s">
        <v>553</v>
      </c>
      <c r="I3" t="s">
        <v>555</v>
      </c>
      <c r="J3">
        <v>340</v>
      </c>
      <c r="K3">
        <v>100</v>
      </c>
      <c r="L3">
        <v>6.63</v>
      </c>
      <c r="M3">
        <v>5.13</v>
      </c>
      <c r="N3">
        <v>5.18</v>
      </c>
      <c r="Q3">
        <v>4</v>
      </c>
    </row>
    <row r="4" spans="1:18" x14ac:dyDescent="0.25">
      <c r="A4">
        <v>3</v>
      </c>
      <c r="B4" t="s">
        <v>512</v>
      </c>
      <c r="E4" t="s">
        <v>336</v>
      </c>
      <c r="F4">
        <v>4</v>
      </c>
      <c r="G4" s="3">
        <v>42909</v>
      </c>
      <c r="H4">
        <v>6.3</v>
      </c>
      <c r="I4">
        <v>5.3</v>
      </c>
      <c r="J4">
        <v>290</v>
      </c>
      <c r="K4">
        <v>180</v>
      </c>
      <c r="L4">
        <v>13.72</v>
      </c>
      <c r="M4">
        <v>12.82</v>
      </c>
      <c r="N4">
        <v>10.93</v>
      </c>
      <c r="Q4">
        <v>4</v>
      </c>
    </row>
    <row r="5" spans="1:18" x14ac:dyDescent="0.25">
      <c r="A5">
        <v>4</v>
      </c>
      <c r="B5" t="s">
        <v>524</v>
      </c>
      <c r="E5" t="s">
        <v>494</v>
      </c>
      <c r="F5">
        <v>2</v>
      </c>
      <c r="G5" s="3">
        <v>42909</v>
      </c>
      <c r="H5">
        <v>8.5</v>
      </c>
      <c r="I5">
        <v>7.6</v>
      </c>
      <c r="J5">
        <v>310</v>
      </c>
      <c r="K5">
        <v>190</v>
      </c>
      <c r="L5">
        <v>9.69</v>
      </c>
      <c r="M5">
        <v>11.99</v>
      </c>
      <c r="N5">
        <v>11.78</v>
      </c>
      <c r="Q5">
        <v>3</v>
      </c>
    </row>
    <row r="6" spans="1:18" x14ac:dyDescent="0.25">
      <c r="A6">
        <v>5</v>
      </c>
      <c r="B6" t="s">
        <v>493</v>
      </c>
      <c r="E6" t="s">
        <v>494</v>
      </c>
      <c r="F6">
        <v>3</v>
      </c>
      <c r="G6" s="3">
        <v>42909</v>
      </c>
      <c r="H6">
        <v>7.2</v>
      </c>
      <c r="I6">
        <v>7.3</v>
      </c>
      <c r="J6">
        <v>430</v>
      </c>
      <c r="K6">
        <v>130</v>
      </c>
      <c r="L6">
        <v>6.42</v>
      </c>
      <c r="M6">
        <v>6.89</v>
      </c>
      <c r="N6">
        <v>5.49</v>
      </c>
      <c r="Q6">
        <v>5</v>
      </c>
    </row>
    <row r="7" spans="1:18" x14ac:dyDescent="0.25">
      <c r="A7">
        <v>6</v>
      </c>
      <c r="B7" t="s">
        <v>496</v>
      </c>
      <c r="E7" t="s">
        <v>494</v>
      </c>
      <c r="F7">
        <v>4</v>
      </c>
      <c r="G7" s="3">
        <v>42909</v>
      </c>
      <c r="H7">
        <v>8</v>
      </c>
      <c r="I7" t="s">
        <v>556</v>
      </c>
      <c r="J7">
        <v>270</v>
      </c>
      <c r="K7">
        <v>140</v>
      </c>
      <c r="L7">
        <v>9.07</v>
      </c>
      <c r="M7">
        <v>7.27</v>
      </c>
      <c r="N7">
        <v>8.69</v>
      </c>
      <c r="Q7">
        <v>4</v>
      </c>
    </row>
    <row r="8" spans="1:18" x14ac:dyDescent="0.25">
      <c r="A8">
        <v>7</v>
      </c>
      <c r="B8" t="s">
        <v>522</v>
      </c>
      <c r="E8" t="str">
        <f t="shared" ref="E8:E30" si="0">LEFT(B8,4)</f>
        <v>ALED</v>
      </c>
      <c r="F8">
        <v>1</v>
      </c>
      <c r="G8" s="3">
        <v>42909</v>
      </c>
      <c r="H8" t="s">
        <v>560</v>
      </c>
      <c r="I8" t="s">
        <v>564</v>
      </c>
      <c r="J8">
        <v>150</v>
      </c>
      <c r="K8">
        <v>10</v>
      </c>
      <c r="L8">
        <v>2.8</v>
      </c>
      <c r="M8">
        <v>1.66</v>
      </c>
      <c r="N8">
        <v>2.04</v>
      </c>
      <c r="Q8">
        <v>4</v>
      </c>
    </row>
    <row r="9" spans="1:18" x14ac:dyDescent="0.25">
      <c r="A9">
        <v>8</v>
      </c>
      <c r="B9" t="s">
        <v>523</v>
      </c>
      <c r="E9" t="str">
        <f t="shared" si="0"/>
        <v>COLA</v>
      </c>
      <c r="F9">
        <v>2</v>
      </c>
      <c r="G9" s="3">
        <v>42909</v>
      </c>
      <c r="H9">
        <v>2.1</v>
      </c>
      <c r="I9" t="s">
        <v>565</v>
      </c>
      <c r="J9">
        <v>210</v>
      </c>
      <c r="K9">
        <v>20</v>
      </c>
      <c r="L9">
        <v>1.49</v>
      </c>
      <c r="M9">
        <v>1.54</v>
      </c>
      <c r="N9">
        <v>1.97</v>
      </c>
      <c r="Q9">
        <v>3</v>
      </c>
    </row>
    <row r="10" spans="1:18" x14ac:dyDescent="0.25">
      <c r="A10">
        <v>9</v>
      </c>
      <c r="B10" t="s">
        <v>490</v>
      </c>
      <c r="E10" t="str">
        <f t="shared" si="0"/>
        <v>ALED</v>
      </c>
      <c r="F10">
        <v>2</v>
      </c>
      <c r="G10" s="3">
        <v>42909</v>
      </c>
      <c r="H10">
        <v>8.6</v>
      </c>
      <c r="I10">
        <v>6.8</v>
      </c>
      <c r="J10">
        <v>430</v>
      </c>
      <c r="K10">
        <v>130</v>
      </c>
      <c r="L10">
        <v>3.7</v>
      </c>
      <c r="M10">
        <v>3.85</v>
      </c>
      <c r="N10">
        <v>4.38</v>
      </c>
      <c r="Q10">
        <v>4</v>
      </c>
    </row>
    <row r="11" spans="1:18" x14ac:dyDescent="0.25">
      <c r="A11">
        <v>10</v>
      </c>
      <c r="B11" t="s">
        <v>507</v>
      </c>
      <c r="E11" t="str">
        <f t="shared" si="0"/>
        <v>PIRO</v>
      </c>
      <c r="F11">
        <v>1</v>
      </c>
      <c r="G11" s="3">
        <v>42909</v>
      </c>
      <c r="H11">
        <v>9.6</v>
      </c>
      <c r="I11" t="s">
        <v>566</v>
      </c>
      <c r="J11">
        <v>370</v>
      </c>
      <c r="K11">
        <v>120</v>
      </c>
      <c r="L11">
        <v>13.97</v>
      </c>
      <c r="M11">
        <v>15.9</v>
      </c>
      <c r="N11">
        <v>16.2</v>
      </c>
      <c r="Q11">
        <v>5</v>
      </c>
    </row>
    <row r="12" spans="1:18" x14ac:dyDescent="0.25">
      <c r="A12">
        <v>11</v>
      </c>
      <c r="B12" t="s">
        <v>529</v>
      </c>
      <c r="E12" t="str">
        <f t="shared" si="0"/>
        <v>PLPO</v>
      </c>
      <c r="F12">
        <v>5</v>
      </c>
      <c r="G12" s="3">
        <v>42909</v>
      </c>
      <c r="H12">
        <v>4.9000000000000004</v>
      </c>
      <c r="I12">
        <v>3.7</v>
      </c>
      <c r="J12">
        <v>230</v>
      </c>
      <c r="K12">
        <v>60</v>
      </c>
      <c r="L12">
        <v>11.22</v>
      </c>
      <c r="M12">
        <v>11.41</v>
      </c>
      <c r="N12">
        <v>12.59</v>
      </c>
      <c r="Q12">
        <v>4</v>
      </c>
    </row>
    <row r="13" spans="1:18" x14ac:dyDescent="0.25">
      <c r="A13">
        <v>12</v>
      </c>
      <c r="B13" t="s">
        <v>984</v>
      </c>
      <c r="E13" t="str">
        <f t="shared" si="0"/>
        <v>BYCO</v>
      </c>
      <c r="F13">
        <v>1</v>
      </c>
      <c r="G13" s="3">
        <v>42909</v>
      </c>
      <c r="H13">
        <v>4.5999999999999996</v>
      </c>
      <c r="I13">
        <v>2.2000000000000002</v>
      </c>
      <c r="J13">
        <v>200</v>
      </c>
      <c r="K13">
        <v>80</v>
      </c>
      <c r="L13">
        <v>7.91</v>
      </c>
      <c r="M13">
        <v>8.06</v>
      </c>
      <c r="N13">
        <v>9.3699999999999992</v>
      </c>
      <c r="Q13">
        <v>4</v>
      </c>
      <c r="R13" t="s">
        <v>985</v>
      </c>
    </row>
    <row r="14" spans="1:18" x14ac:dyDescent="0.25">
      <c r="A14">
        <v>13</v>
      </c>
      <c r="B14" t="s">
        <v>520</v>
      </c>
      <c r="E14" t="str">
        <f t="shared" si="0"/>
        <v>DARA</v>
      </c>
      <c r="F14">
        <v>1</v>
      </c>
      <c r="G14" s="3">
        <v>42909</v>
      </c>
      <c r="H14">
        <v>5.4</v>
      </c>
      <c r="I14">
        <v>0.9</v>
      </c>
      <c r="J14">
        <v>160</v>
      </c>
      <c r="K14">
        <v>10</v>
      </c>
      <c r="L14">
        <v>1.8</v>
      </c>
      <c r="M14">
        <v>1.42</v>
      </c>
      <c r="N14">
        <v>1.41</v>
      </c>
      <c r="Q14">
        <v>2</v>
      </c>
    </row>
    <row r="15" spans="1:18" x14ac:dyDescent="0.25">
      <c r="A15">
        <v>14</v>
      </c>
      <c r="B15" t="s">
        <v>497</v>
      </c>
      <c r="E15" t="str">
        <f t="shared" si="0"/>
        <v>BARU</v>
      </c>
      <c r="F15">
        <v>1</v>
      </c>
      <c r="G15" s="3">
        <v>42909</v>
      </c>
      <c r="H15">
        <v>0.9</v>
      </c>
      <c r="I15">
        <v>0.6</v>
      </c>
      <c r="J15">
        <v>140</v>
      </c>
      <c r="K15">
        <v>80</v>
      </c>
      <c r="L15">
        <v>0.46</v>
      </c>
      <c r="M15" t="s">
        <v>135</v>
      </c>
      <c r="N15" t="s">
        <v>135</v>
      </c>
      <c r="Q15">
        <v>4</v>
      </c>
    </row>
    <row r="16" spans="1:18" x14ac:dyDescent="0.25">
      <c r="A16">
        <v>15</v>
      </c>
      <c r="B16" t="s">
        <v>516</v>
      </c>
      <c r="E16" t="str">
        <f t="shared" si="0"/>
        <v>MYLI</v>
      </c>
      <c r="F16">
        <v>5</v>
      </c>
      <c r="G16" s="3">
        <v>42909</v>
      </c>
      <c r="H16">
        <v>7</v>
      </c>
      <c r="I16" t="s">
        <v>567</v>
      </c>
      <c r="J16">
        <v>240</v>
      </c>
      <c r="K16">
        <v>60</v>
      </c>
      <c r="L16">
        <v>16.52</v>
      </c>
      <c r="M16">
        <v>16.75</v>
      </c>
      <c r="N16">
        <v>16.37</v>
      </c>
      <c r="Q16">
        <v>4</v>
      </c>
      <c r="R16" t="s">
        <v>1054</v>
      </c>
    </row>
    <row r="17" spans="1:18" x14ac:dyDescent="0.25">
      <c r="A17">
        <v>16</v>
      </c>
      <c r="B17" t="s">
        <v>487</v>
      </c>
      <c r="E17" t="str">
        <f t="shared" si="0"/>
        <v>TEGL</v>
      </c>
      <c r="F17">
        <v>1</v>
      </c>
      <c r="G17" s="3">
        <v>42909</v>
      </c>
      <c r="H17" t="s">
        <v>561</v>
      </c>
      <c r="I17" t="s">
        <v>568</v>
      </c>
      <c r="J17">
        <v>930</v>
      </c>
      <c r="K17">
        <v>140</v>
      </c>
      <c r="L17">
        <v>11.11</v>
      </c>
      <c r="M17">
        <v>11.1</v>
      </c>
      <c r="N17">
        <v>9.6</v>
      </c>
      <c r="Q17">
        <v>5</v>
      </c>
    </row>
    <row r="18" spans="1:18" x14ac:dyDescent="0.25">
      <c r="A18">
        <v>17</v>
      </c>
      <c r="B18" t="s">
        <v>501</v>
      </c>
      <c r="E18" t="str">
        <f t="shared" si="0"/>
        <v>LAHA</v>
      </c>
      <c r="F18">
        <v>1</v>
      </c>
      <c r="G18" s="3">
        <v>42909</v>
      </c>
      <c r="H18">
        <v>1.5</v>
      </c>
      <c r="I18" t="s">
        <v>135</v>
      </c>
      <c r="J18">
        <v>125</v>
      </c>
      <c r="K18">
        <v>10</v>
      </c>
      <c r="L18">
        <v>0.8</v>
      </c>
      <c r="M18" t="s">
        <v>135</v>
      </c>
      <c r="N18" t="s">
        <v>135</v>
      </c>
      <c r="Q18">
        <v>3</v>
      </c>
    </row>
    <row r="19" spans="1:18" x14ac:dyDescent="0.25">
      <c r="A19">
        <v>18</v>
      </c>
      <c r="B19" t="s">
        <v>513</v>
      </c>
      <c r="E19" t="str">
        <f t="shared" si="0"/>
        <v>COSU</v>
      </c>
      <c r="F19">
        <v>1</v>
      </c>
      <c r="G19" s="3">
        <v>42909</v>
      </c>
      <c r="H19">
        <v>6.7</v>
      </c>
      <c r="I19">
        <v>4.4000000000000004</v>
      </c>
      <c r="J19">
        <v>230</v>
      </c>
      <c r="K19">
        <v>60</v>
      </c>
      <c r="L19">
        <v>14.77</v>
      </c>
      <c r="M19">
        <v>13.5</v>
      </c>
      <c r="N19">
        <v>11</v>
      </c>
      <c r="Q19">
        <v>4</v>
      </c>
    </row>
    <row r="20" spans="1:18" x14ac:dyDescent="0.25">
      <c r="A20">
        <v>19</v>
      </c>
      <c r="B20" t="s">
        <v>509</v>
      </c>
      <c r="E20" t="str">
        <f t="shared" si="0"/>
        <v>STAD</v>
      </c>
      <c r="F20">
        <v>1</v>
      </c>
      <c r="G20" s="3">
        <v>42909</v>
      </c>
      <c r="H20">
        <v>3.1</v>
      </c>
      <c r="I20" t="s">
        <v>135</v>
      </c>
      <c r="J20">
        <v>110</v>
      </c>
      <c r="K20">
        <v>50</v>
      </c>
      <c r="L20">
        <v>5.81</v>
      </c>
      <c r="M20">
        <v>5.91</v>
      </c>
      <c r="N20">
        <v>5</v>
      </c>
      <c r="Q20">
        <v>4</v>
      </c>
    </row>
    <row r="21" spans="1:18" x14ac:dyDescent="0.25">
      <c r="A21">
        <v>20</v>
      </c>
      <c r="B21" t="s">
        <v>527</v>
      </c>
      <c r="E21" t="str">
        <f t="shared" si="0"/>
        <v>BARU</v>
      </c>
      <c r="F21">
        <v>2</v>
      </c>
      <c r="G21" s="3">
        <v>42909</v>
      </c>
      <c r="H21">
        <v>1.3</v>
      </c>
      <c r="I21" t="s">
        <v>569</v>
      </c>
      <c r="J21">
        <v>190</v>
      </c>
      <c r="K21">
        <v>50</v>
      </c>
      <c r="L21">
        <v>0.56000000000000005</v>
      </c>
      <c r="M21" t="s">
        <v>135</v>
      </c>
      <c r="N21" t="s">
        <v>135</v>
      </c>
      <c r="Q21">
        <v>4</v>
      </c>
    </row>
    <row r="22" spans="1:18" x14ac:dyDescent="0.25">
      <c r="A22">
        <v>21</v>
      </c>
      <c r="B22" t="s">
        <v>519</v>
      </c>
      <c r="E22" t="str">
        <f t="shared" si="0"/>
        <v>COSU</v>
      </c>
      <c r="F22">
        <v>2</v>
      </c>
      <c r="G22" s="3">
        <v>42909</v>
      </c>
      <c r="H22">
        <v>8.1999999999999993</v>
      </c>
      <c r="I22">
        <v>6.6</v>
      </c>
      <c r="J22">
        <v>300</v>
      </c>
      <c r="K22">
        <v>50</v>
      </c>
      <c r="L22">
        <v>13.26</v>
      </c>
      <c r="M22">
        <v>9.7100000000000009</v>
      </c>
      <c r="N22">
        <v>11.75</v>
      </c>
      <c r="Q22">
        <v>5</v>
      </c>
    </row>
    <row r="23" spans="1:18" x14ac:dyDescent="0.25">
      <c r="A23">
        <v>22</v>
      </c>
      <c r="B23" t="s">
        <v>504</v>
      </c>
      <c r="E23" t="str">
        <f t="shared" si="0"/>
        <v>ANCO</v>
      </c>
      <c r="F23">
        <v>4</v>
      </c>
      <c r="G23" s="3">
        <v>42909</v>
      </c>
      <c r="H23">
        <v>3.6</v>
      </c>
      <c r="I23">
        <v>3</v>
      </c>
      <c r="J23">
        <v>290</v>
      </c>
      <c r="K23">
        <v>100</v>
      </c>
      <c r="L23">
        <v>5.64</v>
      </c>
      <c r="M23">
        <v>5.92</v>
      </c>
      <c r="N23">
        <v>5.63</v>
      </c>
      <c r="Q23">
        <v>5</v>
      </c>
    </row>
    <row r="24" spans="1:18" x14ac:dyDescent="0.25">
      <c r="A24">
        <v>23</v>
      </c>
      <c r="B24" t="s">
        <v>506</v>
      </c>
      <c r="E24" t="str">
        <f t="shared" si="0"/>
        <v>BARU</v>
      </c>
      <c r="F24">
        <v>3</v>
      </c>
      <c r="G24" s="3">
        <v>42909</v>
      </c>
      <c r="H24">
        <v>1.4</v>
      </c>
      <c r="I24" t="s">
        <v>570</v>
      </c>
      <c r="J24">
        <v>180</v>
      </c>
      <c r="K24">
        <v>60</v>
      </c>
      <c r="L24">
        <v>3.65</v>
      </c>
      <c r="M24">
        <v>2.11</v>
      </c>
      <c r="N24">
        <v>2.4700000000000002</v>
      </c>
      <c r="Q24">
        <v>4</v>
      </c>
    </row>
    <row r="25" spans="1:18" x14ac:dyDescent="0.25">
      <c r="A25">
        <v>24</v>
      </c>
      <c r="B25" t="s">
        <v>526</v>
      </c>
      <c r="E25" t="str">
        <f t="shared" si="0"/>
        <v>ANCO</v>
      </c>
      <c r="F25">
        <v>5</v>
      </c>
      <c r="G25" s="3">
        <v>42909</v>
      </c>
      <c r="H25">
        <v>12</v>
      </c>
      <c r="I25">
        <v>10.8</v>
      </c>
      <c r="J25">
        <v>520</v>
      </c>
      <c r="K25">
        <v>190</v>
      </c>
      <c r="L25">
        <v>8.7799999999999994</v>
      </c>
      <c r="M25">
        <v>10.24</v>
      </c>
      <c r="N25">
        <v>11.33</v>
      </c>
      <c r="Q25">
        <v>5</v>
      </c>
    </row>
    <row r="26" spans="1:18" x14ac:dyDescent="0.25">
      <c r="A26">
        <v>25</v>
      </c>
      <c r="B26" t="s">
        <v>505</v>
      </c>
      <c r="E26" t="str">
        <f t="shared" si="0"/>
        <v>CASY</v>
      </c>
      <c r="F26">
        <v>3</v>
      </c>
      <c r="G26" s="3">
        <v>42909</v>
      </c>
      <c r="H26" t="s">
        <v>562</v>
      </c>
      <c r="I26" t="s">
        <v>571</v>
      </c>
      <c r="J26">
        <v>200</v>
      </c>
      <c r="K26">
        <v>120</v>
      </c>
      <c r="L26">
        <v>3.65</v>
      </c>
      <c r="M26">
        <v>2.11</v>
      </c>
      <c r="N26">
        <v>2.4700000000000002</v>
      </c>
      <c r="Q26">
        <v>4</v>
      </c>
    </row>
    <row r="27" spans="1:18" x14ac:dyDescent="0.25">
      <c r="A27">
        <v>26</v>
      </c>
      <c r="B27" t="s">
        <v>525</v>
      </c>
      <c r="E27" t="str">
        <f t="shared" si="0"/>
        <v>MAEL</v>
      </c>
      <c r="F27">
        <v>4</v>
      </c>
      <c r="G27" s="3">
        <v>42909</v>
      </c>
      <c r="H27" t="s">
        <v>563</v>
      </c>
      <c r="I27" t="s">
        <v>572</v>
      </c>
      <c r="J27">
        <v>260</v>
      </c>
      <c r="K27">
        <v>170</v>
      </c>
      <c r="L27">
        <v>0.7</v>
      </c>
      <c r="M27" t="s">
        <v>135</v>
      </c>
      <c r="N27" t="s">
        <v>135</v>
      </c>
      <c r="Q27">
        <v>4</v>
      </c>
    </row>
    <row r="28" spans="1:18" x14ac:dyDescent="0.25">
      <c r="A28">
        <v>27</v>
      </c>
      <c r="B28" t="s">
        <v>518</v>
      </c>
      <c r="E28" t="str">
        <f t="shared" si="0"/>
        <v>MAEL</v>
      </c>
      <c r="F28">
        <v>5</v>
      </c>
      <c r="G28" s="3">
        <v>42909</v>
      </c>
      <c r="H28">
        <v>4.9000000000000004</v>
      </c>
      <c r="I28" t="s">
        <v>573</v>
      </c>
      <c r="J28">
        <v>230</v>
      </c>
      <c r="K28">
        <v>110</v>
      </c>
      <c r="L28">
        <v>4.01</v>
      </c>
      <c r="M28">
        <v>3.5</v>
      </c>
      <c r="N28">
        <v>3.54</v>
      </c>
      <c r="Q28">
        <v>3</v>
      </c>
    </row>
    <row r="29" spans="1:18" x14ac:dyDescent="0.25">
      <c r="A29">
        <v>28</v>
      </c>
      <c r="B29" t="s">
        <v>517</v>
      </c>
      <c r="E29" t="str">
        <f t="shared" si="0"/>
        <v>ZARH</v>
      </c>
      <c r="F29">
        <v>2</v>
      </c>
      <c r="G29" s="3">
        <v>42909</v>
      </c>
      <c r="H29">
        <v>0.9</v>
      </c>
      <c r="I29" t="s">
        <v>135</v>
      </c>
      <c r="J29">
        <v>120</v>
      </c>
      <c r="K29">
        <v>100</v>
      </c>
      <c r="L29">
        <v>0.7</v>
      </c>
      <c r="M29" t="s">
        <v>135</v>
      </c>
      <c r="N29" t="s">
        <v>135</v>
      </c>
      <c r="Q29">
        <v>3</v>
      </c>
    </row>
    <row r="30" spans="1:18" x14ac:dyDescent="0.25">
      <c r="A30">
        <v>29</v>
      </c>
      <c r="B30" t="s">
        <v>500</v>
      </c>
      <c r="E30" t="str">
        <f t="shared" si="0"/>
        <v>MILI</v>
      </c>
      <c r="F30">
        <v>5</v>
      </c>
      <c r="G30" s="3">
        <v>42909</v>
      </c>
      <c r="H30">
        <v>15.2</v>
      </c>
      <c r="I30">
        <v>1.1499999999999999</v>
      </c>
      <c r="J30">
        <v>550</v>
      </c>
      <c r="K30">
        <v>170</v>
      </c>
      <c r="L30">
        <v>8.14</v>
      </c>
      <c r="M30">
        <v>7.81</v>
      </c>
      <c r="N30">
        <v>7.69</v>
      </c>
      <c r="Q30">
        <v>4</v>
      </c>
    </row>
    <row r="31" spans="1:18" x14ac:dyDescent="0.25">
      <c r="A31">
        <v>30</v>
      </c>
      <c r="B31" t="s">
        <v>1209</v>
      </c>
      <c r="C31" t="s">
        <v>189</v>
      </c>
      <c r="E31" t="s">
        <v>1055</v>
      </c>
      <c r="F31">
        <v>1</v>
      </c>
      <c r="H31">
        <v>5.9</v>
      </c>
      <c r="I31">
        <v>5.6</v>
      </c>
      <c r="J31">
        <v>380</v>
      </c>
      <c r="K31">
        <v>140</v>
      </c>
      <c r="L31">
        <v>1.86</v>
      </c>
      <c r="M31">
        <v>1.91</v>
      </c>
      <c r="N31">
        <v>1.44</v>
      </c>
      <c r="Q31">
        <v>3</v>
      </c>
      <c r="R31" t="s">
        <v>1241</v>
      </c>
    </row>
    <row r="32" spans="1:18" x14ac:dyDescent="0.25">
      <c r="A32">
        <v>31</v>
      </c>
      <c r="B32" t="s">
        <v>596</v>
      </c>
      <c r="E32" t="str">
        <f t="shared" ref="E32:E45" si="1">LEFT(B32,4)</f>
        <v>STCA</v>
      </c>
      <c r="F32">
        <v>5</v>
      </c>
      <c r="G32" s="3">
        <v>42915</v>
      </c>
      <c r="H32">
        <v>1.77</v>
      </c>
      <c r="I32">
        <v>1.33</v>
      </c>
      <c r="J32">
        <v>203</v>
      </c>
      <c r="K32">
        <v>90</v>
      </c>
      <c r="L32">
        <v>0.95</v>
      </c>
      <c r="M32">
        <v>1.23</v>
      </c>
      <c r="N32">
        <v>1.06</v>
      </c>
      <c r="Q32">
        <v>4</v>
      </c>
    </row>
    <row r="33" spans="1:17" x14ac:dyDescent="0.25">
      <c r="A33">
        <v>32</v>
      </c>
      <c r="B33" t="s">
        <v>610</v>
      </c>
      <c r="E33" t="str">
        <f t="shared" si="1"/>
        <v>DIBU</v>
      </c>
      <c r="F33">
        <v>5</v>
      </c>
      <c r="G33" s="3">
        <v>42915</v>
      </c>
      <c r="H33">
        <v>7.1</v>
      </c>
      <c r="I33" t="s">
        <v>629</v>
      </c>
      <c r="J33">
        <v>215</v>
      </c>
      <c r="K33">
        <v>100</v>
      </c>
      <c r="L33">
        <v>17.68</v>
      </c>
      <c r="M33">
        <v>15.87</v>
      </c>
      <c r="N33">
        <v>15.57</v>
      </c>
      <c r="Q33">
        <v>3</v>
      </c>
    </row>
    <row r="34" spans="1:17" x14ac:dyDescent="0.25">
      <c r="A34">
        <v>33</v>
      </c>
      <c r="B34" t="s">
        <v>592</v>
      </c>
      <c r="E34" t="str">
        <f t="shared" si="1"/>
        <v>ERGR</v>
      </c>
      <c r="F34">
        <v>1</v>
      </c>
      <c r="G34" s="3">
        <v>42915</v>
      </c>
      <c r="H34">
        <v>11.9</v>
      </c>
      <c r="I34">
        <v>9.8000000000000007</v>
      </c>
      <c r="J34">
        <v>370</v>
      </c>
      <c r="K34">
        <v>105</v>
      </c>
      <c r="L34">
        <v>17.670000000000002</v>
      </c>
      <c r="M34">
        <v>18.46</v>
      </c>
      <c r="N34">
        <v>20.92</v>
      </c>
      <c r="Q34">
        <v>3</v>
      </c>
    </row>
    <row r="35" spans="1:17" x14ac:dyDescent="0.25">
      <c r="A35">
        <v>34</v>
      </c>
      <c r="B35" t="s">
        <v>597</v>
      </c>
      <c r="E35" t="str">
        <f t="shared" si="1"/>
        <v>STAD</v>
      </c>
      <c r="F35">
        <v>2</v>
      </c>
      <c r="G35" s="3">
        <v>42915</v>
      </c>
      <c r="H35">
        <v>3.8</v>
      </c>
      <c r="I35">
        <v>2.8</v>
      </c>
      <c r="J35">
        <v>225</v>
      </c>
      <c r="K35">
        <v>105</v>
      </c>
      <c r="L35">
        <v>5.8</v>
      </c>
      <c r="M35">
        <v>7.09</v>
      </c>
      <c r="N35">
        <v>6.57</v>
      </c>
      <c r="Q35">
        <v>3</v>
      </c>
    </row>
    <row r="36" spans="1:17" x14ac:dyDescent="0.25">
      <c r="A36">
        <v>35</v>
      </c>
      <c r="B36" t="s">
        <v>595</v>
      </c>
      <c r="E36" t="str">
        <f t="shared" si="1"/>
        <v>MABR</v>
      </c>
      <c r="F36">
        <v>2</v>
      </c>
      <c r="G36" s="3">
        <v>42915</v>
      </c>
      <c r="H36">
        <v>8.3000000000000007</v>
      </c>
      <c r="I36">
        <v>6.5</v>
      </c>
      <c r="J36">
        <v>750</v>
      </c>
      <c r="K36">
        <v>255</v>
      </c>
      <c r="L36">
        <v>3.34</v>
      </c>
      <c r="M36">
        <v>2.84</v>
      </c>
      <c r="N36">
        <v>3.08</v>
      </c>
      <c r="Q36">
        <v>5</v>
      </c>
    </row>
    <row r="37" spans="1:17" x14ac:dyDescent="0.25">
      <c r="A37">
        <v>36</v>
      </c>
      <c r="B37" t="s">
        <v>601</v>
      </c>
      <c r="E37" t="str">
        <f t="shared" si="1"/>
        <v>MYTO</v>
      </c>
      <c r="F37">
        <v>3</v>
      </c>
      <c r="G37" s="3">
        <v>42915</v>
      </c>
      <c r="H37">
        <v>3.2</v>
      </c>
      <c r="I37" t="s">
        <v>630</v>
      </c>
      <c r="J37">
        <v>212</v>
      </c>
      <c r="K37">
        <v>130</v>
      </c>
      <c r="L37">
        <v>3.31</v>
      </c>
      <c r="M37">
        <v>3.25</v>
      </c>
      <c r="N37">
        <v>3.63</v>
      </c>
      <c r="Q37">
        <v>4</v>
      </c>
    </row>
    <row r="38" spans="1:17" x14ac:dyDescent="0.25">
      <c r="A38">
        <v>37</v>
      </c>
      <c r="B38" t="s">
        <v>606</v>
      </c>
      <c r="E38" t="str">
        <f t="shared" si="1"/>
        <v>QUCO</v>
      </c>
      <c r="F38">
        <v>1</v>
      </c>
      <c r="G38" s="3">
        <v>42915</v>
      </c>
      <c r="H38">
        <v>7.9</v>
      </c>
      <c r="I38">
        <v>4.8</v>
      </c>
      <c r="J38">
        <v>285</v>
      </c>
      <c r="K38">
        <v>120</v>
      </c>
      <c r="L38">
        <v>6.1</v>
      </c>
      <c r="M38">
        <v>8.8699999999999992</v>
      </c>
      <c r="N38">
        <v>11.14</v>
      </c>
      <c r="Q38">
        <v>4</v>
      </c>
    </row>
    <row r="39" spans="1:17" x14ac:dyDescent="0.25">
      <c r="A39">
        <v>38</v>
      </c>
      <c r="B39" t="s">
        <v>598</v>
      </c>
      <c r="E39" t="str">
        <f t="shared" si="1"/>
        <v>QUCO</v>
      </c>
      <c r="F39">
        <v>2</v>
      </c>
      <c r="G39" s="3">
        <v>42915</v>
      </c>
      <c r="H39">
        <v>2.2000000000000002</v>
      </c>
      <c r="I39" t="s">
        <v>631</v>
      </c>
      <c r="J39">
        <v>175</v>
      </c>
      <c r="K39">
        <v>80</v>
      </c>
      <c r="L39">
        <v>3.08</v>
      </c>
      <c r="M39" t="s">
        <v>135</v>
      </c>
      <c r="N39" t="s">
        <v>135</v>
      </c>
      <c r="Q39">
        <v>4</v>
      </c>
    </row>
    <row r="40" spans="1:17" x14ac:dyDescent="0.25">
      <c r="A40">
        <v>39</v>
      </c>
      <c r="B40" t="s">
        <v>620</v>
      </c>
      <c r="E40" t="str">
        <f t="shared" si="1"/>
        <v>ANCO</v>
      </c>
      <c r="F40">
        <v>6</v>
      </c>
      <c r="G40" s="3">
        <v>42915</v>
      </c>
      <c r="H40">
        <v>5.0999999999999996</v>
      </c>
      <c r="I40">
        <v>3.8</v>
      </c>
      <c r="J40">
        <v>215</v>
      </c>
      <c r="K40">
        <v>140</v>
      </c>
      <c r="L40">
        <v>6.34</v>
      </c>
      <c r="M40">
        <v>7.74</v>
      </c>
      <c r="N40">
        <v>7.61</v>
      </c>
      <c r="Q40">
        <v>4</v>
      </c>
    </row>
    <row r="41" spans="1:17" x14ac:dyDescent="0.25">
      <c r="A41">
        <v>40</v>
      </c>
      <c r="B41" t="s">
        <v>619</v>
      </c>
      <c r="E41" t="str">
        <f t="shared" si="1"/>
        <v>SCVI</v>
      </c>
      <c r="F41">
        <v>5</v>
      </c>
      <c r="G41" s="3">
        <v>42915</v>
      </c>
      <c r="H41">
        <v>3.5</v>
      </c>
      <c r="I41" t="s">
        <v>632</v>
      </c>
      <c r="J41">
        <v>245</v>
      </c>
      <c r="K41">
        <v>150</v>
      </c>
      <c r="L41">
        <v>2.12</v>
      </c>
      <c r="M41">
        <v>1.97</v>
      </c>
      <c r="N41">
        <v>2.14</v>
      </c>
      <c r="Q41">
        <v>4</v>
      </c>
    </row>
    <row r="42" spans="1:17" x14ac:dyDescent="0.25">
      <c r="A42">
        <v>41</v>
      </c>
      <c r="B42" t="s">
        <v>615</v>
      </c>
      <c r="E42" t="str">
        <f t="shared" si="1"/>
        <v>ZEMO</v>
      </c>
      <c r="F42">
        <v>2</v>
      </c>
      <c r="G42" s="3">
        <v>42915</v>
      </c>
      <c r="H42">
        <v>1.78</v>
      </c>
      <c r="I42" t="s">
        <v>135</v>
      </c>
      <c r="J42">
        <v>120</v>
      </c>
      <c r="K42">
        <v>20</v>
      </c>
      <c r="L42">
        <v>4.57</v>
      </c>
      <c r="M42" t="s">
        <v>135</v>
      </c>
      <c r="N42" t="s">
        <v>135</v>
      </c>
      <c r="Q42">
        <v>4</v>
      </c>
    </row>
    <row r="43" spans="1:17" x14ac:dyDescent="0.25">
      <c r="A43">
        <v>42</v>
      </c>
      <c r="B43" t="s">
        <v>614</v>
      </c>
      <c r="E43" t="str">
        <f t="shared" si="1"/>
        <v>COLA</v>
      </c>
      <c r="F43">
        <v>3</v>
      </c>
      <c r="G43" s="3">
        <v>42915</v>
      </c>
      <c r="H43">
        <v>0.89</v>
      </c>
      <c r="I43" t="s">
        <v>135</v>
      </c>
      <c r="J43">
        <v>105</v>
      </c>
      <c r="K43">
        <v>55</v>
      </c>
      <c r="L43">
        <v>0.52</v>
      </c>
      <c r="M43" t="s">
        <v>135</v>
      </c>
      <c r="N43" t="s">
        <v>135</v>
      </c>
      <c r="Q43">
        <v>4</v>
      </c>
    </row>
    <row r="44" spans="1:17" x14ac:dyDescent="0.25">
      <c r="A44">
        <v>43</v>
      </c>
      <c r="B44" t="s">
        <v>603</v>
      </c>
      <c r="E44" t="str">
        <f t="shared" si="1"/>
        <v>SYPU</v>
      </c>
      <c r="F44">
        <v>1</v>
      </c>
      <c r="G44" s="3">
        <v>42915</v>
      </c>
      <c r="H44">
        <v>2.4</v>
      </c>
      <c r="I44">
        <v>1.9</v>
      </c>
      <c r="J44">
        <v>320</v>
      </c>
      <c r="K44">
        <v>160</v>
      </c>
      <c r="L44">
        <v>1.85</v>
      </c>
      <c r="M44">
        <v>1.78</v>
      </c>
      <c r="N44">
        <v>1.61</v>
      </c>
      <c r="Q44">
        <v>3</v>
      </c>
    </row>
    <row r="45" spans="1:17" x14ac:dyDescent="0.25">
      <c r="A45">
        <v>44</v>
      </c>
      <c r="B45" t="s">
        <v>617</v>
      </c>
      <c r="E45" t="str">
        <f t="shared" si="1"/>
        <v>GOPO</v>
      </c>
      <c r="F45">
        <v>3</v>
      </c>
      <c r="G45" s="3">
        <v>42915</v>
      </c>
      <c r="H45">
        <v>11</v>
      </c>
      <c r="I45" t="s">
        <v>633</v>
      </c>
      <c r="J45">
        <v>420</v>
      </c>
      <c r="K45">
        <v>200</v>
      </c>
      <c r="L45">
        <v>18.29</v>
      </c>
      <c r="M45">
        <v>20.13</v>
      </c>
      <c r="N45">
        <v>18.78</v>
      </c>
      <c r="Q45">
        <v>4</v>
      </c>
    </row>
    <row r="46" spans="1:17" x14ac:dyDescent="0.25">
      <c r="A46">
        <v>45</v>
      </c>
      <c r="B46" t="s">
        <v>594</v>
      </c>
      <c r="E46" t="s">
        <v>373</v>
      </c>
      <c r="F46">
        <v>3</v>
      </c>
      <c r="G46" s="3">
        <v>42915</v>
      </c>
      <c r="H46">
        <v>4</v>
      </c>
      <c r="I46" t="s">
        <v>634</v>
      </c>
      <c r="J46">
        <v>160</v>
      </c>
      <c r="K46">
        <v>10</v>
      </c>
      <c r="L46">
        <v>0.59</v>
      </c>
      <c r="M46" t="s">
        <v>135</v>
      </c>
      <c r="N46" t="s">
        <v>135</v>
      </c>
      <c r="Q46">
        <v>4</v>
      </c>
    </row>
    <row r="47" spans="1:17" x14ac:dyDescent="0.25">
      <c r="A47">
        <v>46</v>
      </c>
      <c r="B47" t="s">
        <v>622</v>
      </c>
      <c r="E47" t="s">
        <v>373</v>
      </c>
      <c r="F47">
        <v>4</v>
      </c>
      <c r="G47" s="3">
        <v>42915</v>
      </c>
      <c r="H47">
        <v>5.2</v>
      </c>
      <c r="I47">
        <v>2.1</v>
      </c>
      <c r="J47">
        <v>170</v>
      </c>
      <c r="K47">
        <v>60</v>
      </c>
      <c r="L47">
        <v>3.54</v>
      </c>
      <c r="M47">
        <v>2.17</v>
      </c>
      <c r="N47">
        <v>1.76</v>
      </c>
      <c r="Q47">
        <v>4</v>
      </c>
    </row>
    <row r="48" spans="1:17" x14ac:dyDescent="0.25">
      <c r="A48">
        <v>47</v>
      </c>
      <c r="B48" t="s">
        <v>623</v>
      </c>
      <c r="E48" t="str">
        <f t="shared" ref="E48:E92" si="2">LEFT(B48,4)</f>
        <v>STRO</v>
      </c>
      <c r="F48">
        <v>5</v>
      </c>
      <c r="G48" s="3">
        <v>42915</v>
      </c>
      <c r="H48">
        <v>5.5</v>
      </c>
      <c r="I48">
        <v>4.2</v>
      </c>
      <c r="J48">
        <v>260</v>
      </c>
      <c r="K48">
        <v>110</v>
      </c>
      <c r="L48">
        <v>6.02</v>
      </c>
      <c r="M48">
        <v>6.06</v>
      </c>
      <c r="N48">
        <v>6.83</v>
      </c>
      <c r="Q48">
        <v>4</v>
      </c>
    </row>
    <row r="49" spans="1:17" x14ac:dyDescent="0.25">
      <c r="A49">
        <v>48</v>
      </c>
      <c r="B49" t="s">
        <v>609</v>
      </c>
      <c r="E49" t="str">
        <f t="shared" si="2"/>
        <v>MABR</v>
      </c>
      <c r="F49">
        <v>3</v>
      </c>
      <c r="G49" s="3">
        <v>42915</v>
      </c>
      <c r="H49">
        <v>23.9</v>
      </c>
      <c r="I49">
        <v>22</v>
      </c>
      <c r="J49">
        <v>1200</v>
      </c>
      <c r="K49">
        <v>410</v>
      </c>
      <c r="L49">
        <v>7.59</v>
      </c>
      <c r="M49">
        <v>6.9</v>
      </c>
      <c r="N49">
        <v>8.14</v>
      </c>
      <c r="Q49">
        <v>5</v>
      </c>
    </row>
    <row r="50" spans="1:17" x14ac:dyDescent="0.25">
      <c r="A50">
        <v>49</v>
      </c>
      <c r="B50" t="s">
        <v>608</v>
      </c>
      <c r="E50" t="str">
        <f t="shared" si="2"/>
        <v>RAGU</v>
      </c>
      <c r="F50">
        <v>4</v>
      </c>
      <c r="G50" s="3">
        <v>42915</v>
      </c>
      <c r="H50">
        <v>14</v>
      </c>
      <c r="I50" t="s">
        <v>635</v>
      </c>
      <c r="J50">
        <v>570</v>
      </c>
      <c r="K50">
        <v>240</v>
      </c>
      <c r="L50">
        <v>19.53</v>
      </c>
      <c r="M50">
        <v>17.12</v>
      </c>
      <c r="N50">
        <v>17.7</v>
      </c>
      <c r="Q50">
        <v>4</v>
      </c>
    </row>
    <row r="51" spans="1:17" x14ac:dyDescent="0.25">
      <c r="A51">
        <v>50</v>
      </c>
      <c r="B51" t="s">
        <v>607</v>
      </c>
      <c r="E51" t="str">
        <f t="shared" si="2"/>
        <v>MABR</v>
      </c>
      <c r="F51">
        <v>4</v>
      </c>
      <c r="G51" s="3">
        <v>42915</v>
      </c>
      <c r="H51">
        <v>13.5</v>
      </c>
      <c r="I51">
        <v>12.7</v>
      </c>
      <c r="J51">
        <v>1050</v>
      </c>
      <c r="K51">
        <v>510</v>
      </c>
      <c r="L51">
        <v>4.4400000000000004</v>
      </c>
      <c r="M51">
        <v>5.14</v>
      </c>
      <c r="N51">
        <v>3.95</v>
      </c>
      <c r="Q51">
        <v>3</v>
      </c>
    </row>
    <row r="52" spans="1:17" x14ac:dyDescent="0.25">
      <c r="A52">
        <v>51</v>
      </c>
      <c r="B52" t="s">
        <v>602</v>
      </c>
      <c r="E52" t="str">
        <f t="shared" si="2"/>
        <v>ZEMO</v>
      </c>
      <c r="F52">
        <v>3</v>
      </c>
      <c r="G52" s="3">
        <v>42915</v>
      </c>
      <c r="H52">
        <v>2.8</v>
      </c>
      <c r="I52" t="s">
        <v>636</v>
      </c>
      <c r="J52">
        <v>240</v>
      </c>
      <c r="K52">
        <v>130</v>
      </c>
      <c r="L52">
        <v>3.58</v>
      </c>
      <c r="M52">
        <v>4.0599999999999996</v>
      </c>
      <c r="N52">
        <v>4.0599999999999996</v>
      </c>
      <c r="Q52">
        <v>4</v>
      </c>
    </row>
    <row r="53" spans="1:17" x14ac:dyDescent="0.25">
      <c r="A53">
        <v>52</v>
      </c>
      <c r="B53" t="s">
        <v>618</v>
      </c>
      <c r="E53" t="str">
        <f t="shared" si="2"/>
        <v>CHMA</v>
      </c>
      <c r="F53">
        <v>1</v>
      </c>
      <c r="G53" s="3">
        <v>42915</v>
      </c>
      <c r="H53">
        <v>6.4</v>
      </c>
      <c r="I53" t="s">
        <v>637</v>
      </c>
      <c r="J53">
        <v>450</v>
      </c>
      <c r="K53">
        <v>130</v>
      </c>
      <c r="L53">
        <v>3.17</v>
      </c>
      <c r="M53">
        <v>3.31</v>
      </c>
      <c r="N53">
        <v>4</v>
      </c>
      <c r="Q53">
        <v>3</v>
      </c>
    </row>
    <row r="54" spans="1:17" x14ac:dyDescent="0.25">
      <c r="A54">
        <v>53</v>
      </c>
      <c r="B54" t="s">
        <v>584</v>
      </c>
      <c r="E54" t="str">
        <f t="shared" si="2"/>
        <v>COLA</v>
      </c>
      <c r="F54">
        <v>4</v>
      </c>
      <c r="G54" s="3">
        <v>42915</v>
      </c>
      <c r="H54">
        <v>2.7</v>
      </c>
      <c r="I54">
        <v>2</v>
      </c>
      <c r="J54">
        <v>260</v>
      </c>
      <c r="K54">
        <v>120</v>
      </c>
      <c r="L54">
        <v>0.76</v>
      </c>
      <c r="M54">
        <v>1.39</v>
      </c>
      <c r="N54">
        <v>1.87</v>
      </c>
      <c r="Q54">
        <v>3</v>
      </c>
    </row>
    <row r="55" spans="1:17" x14ac:dyDescent="0.25">
      <c r="A55">
        <v>54</v>
      </c>
      <c r="B55" t="s">
        <v>577</v>
      </c>
      <c r="E55" t="str">
        <f t="shared" si="2"/>
        <v>CHMA</v>
      </c>
      <c r="F55">
        <v>2</v>
      </c>
      <c r="G55" s="3">
        <v>42915</v>
      </c>
      <c r="H55">
        <v>0.48</v>
      </c>
      <c r="I55" t="s">
        <v>135</v>
      </c>
      <c r="J55">
        <v>100</v>
      </c>
      <c r="K55">
        <v>0</v>
      </c>
      <c r="L55">
        <v>0.43</v>
      </c>
      <c r="M55" t="s">
        <v>135</v>
      </c>
      <c r="N55" t="s">
        <v>135</v>
      </c>
      <c r="Q55">
        <v>2</v>
      </c>
    </row>
    <row r="56" spans="1:17" x14ac:dyDescent="0.25">
      <c r="A56">
        <v>55</v>
      </c>
      <c r="B56" t="s">
        <v>578</v>
      </c>
      <c r="E56" t="str">
        <f t="shared" si="2"/>
        <v>TEGL</v>
      </c>
      <c r="F56">
        <v>2</v>
      </c>
      <c r="G56" s="3">
        <v>42915</v>
      </c>
      <c r="H56">
        <v>1.6</v>
      </c>
      <c r="I56">
        <v>0.8</v>
      </c>
      <c r="J56">
        <v>155</v>
      </c>
      <c r="K56">
        <v>100</v>
      </c>
      <c r="L56">
        <v>1.1000000000000001</v>
      </c>
      <c r="M56" t="s">
        <v>135</v>
      </c>
      <c r="N56" t="s">
        <v>135</v>
      </c>
      <c r="Q56">
        <v>2</v>
      </c>
    </row>
    <row r="57" spans="1:17" x14ac:dyDescent="0.25">
      <c r="A57">
        <v>56</v>
      </c>
      <c r="B57" t="s">
        <v>579</v>
      </c>
      <c r="E57" t="str">
        <f t="shared" si="2"/>
        <v>TEGL</v>
      </c>
      <c r="F57">
        <v>3</v>
      </c>
      <c r="G57" s="3">
        <v>42915</v>
      </c>
      <c r="H57">
        <v>2.4</v>
      </c>
      <c r="I57">
        <v>1.8</v>
      </c>
      <c r="J57">
        <v>160</v>
      </c>
      <c r="K57">
        <v>120</v>
      </c>
      <c r="L57">
        <v>3.5</v>
      </c>
      <c r="M57">
        <v>3.17</v>
      </c>
      <c r="N57">
        <v>2.72</v>
      </c>
      <c r="Q57">
        <v>3</v>
      </c>
    </row>
    <row r="58" spans="1:17" x14ac:dyDescent="0.25">
      <c r="A58">
        <v>57</v>
      </c>
      <c r="B58" t="s">
        <v>583</v>
      </c>
      <c r="E58" t="str">
        <f t="shared" si="2"/>
        <v>TEGL</v>
      </c>
      <c r="F58">
        <v>4</v>
      </c>
      <c r="G58" s="3">
        <v>42915</v>
      </c>
      <c r="H58">
        <v>3.2</v>
      </c>
      <c r="I58">
        <v>2.6</v>
      </c>
      <c r="J58">
        <v>275</v>
      </c>
      <c r="K58">
        <v>200</v>
      </c>
      <c r="L58">
        <v>3.66</v>
      </c>
      <c r="M58">
        <v>3.21</v>
      </c>
      <c r="N58">
        <v>3.09</v>
      </c>
      <c r="Q58">
        <v>3</v>
      </c>
    </row>
    <row r="59" spans="1:17" x14ac:dyDescent="0.25">
      <c r="A59">
        <v>58</v>
      </c>
      <c r="B59" t="s">
        <v>580</v>
      </c>
      <c r="E59" t="str">
        <f t="shared" si="2"/>
        <v>LIMO</v>
      </c>
      <c r="F59">
        <v>1</v>
      </c>
      <c r="G59" s="3">
        <v>42915</v>
      </c>
      <c r="H59">
        <v>0.9</v>
      </c>
      <c r="I59">
        <v>0.35</v>
      </c>
      <c r="J59">
        <v>130</v>
      </c>
      <c r="K59">
        <v>0</v>
      </c>
      <c r="L59">
        <v>0.4</v>
      </c>
      <c r="M59" t="s">
        <v>135</v>
      </c>
      <c r="N59" t="s">
        <v>135</v>
      </c>
      <c r="Q59">
        <v>2</v>
      </c>
    </row>
    <row r="60" spans="1:17" x14ac:dyDescent="0.25">
      <c r="A60">
        <v>59</v>
      </c>
      <c r="B60" t="s">
        <v>586</v>
      </c>
      <c r="E60" t="str">
        <f t="shared" si="2"/>
        <v>LIMO</v>
      </c>
      <c r="F60">
        <v>2</v>
      </c>
      <c r="G60" s="3">
        <v>42915</v>
      </c>
      <c r="H60">
        <v>3</v>
      </c>
      <c r="I60">
        <v>2.9</v>
      </c>
      <c r="J60">
        <v>200</v>
      </c>
      <c r="K60">
        <v>60</v>
      </c>
      <c r="L60">
        <v>1.78</v>
      </c>
      <c r="M60">
        <v>1.75</v>
      </c>
      <c r="N60">
        <v>1.48</v>
      </c>
      <c r="Q60">
        <v>3</v>
      </c>
    </row>
    <row r="61" spans="1:17" x14ac:dyDescent="0.25">
      <c r="A61">
        <v>60</v>
      </c>
      <c r="B61" t="s">
        <v>585</v>
      </c>
      <c r="E61" t="str">
        <f t="shared" si="2"/>
        <v>LIMO</v>
      </c>
      <c r="F61">
        <v>3</v>
      </c>
      <c r="G61" s="3">
        <v>42915</v>
      </c>
      <c r="H61">
        <v>1</v>
      </c>
      <c r="I61">
        <v>0.1</v>
      </c>
      <c r="J61">
        <v>140</v>
      </c>
      <c r="K61">
        <v>90</v>
      </c>
      <c r="L61">
        <v>0.39</v>
      </c>
      <c r="M61" t="s">
        <v>135</v>
      </c>
      <c r="N61" t="s">
        <v>135</v>
      </c>
      <c r="Q61">
        <v>3</v>
      </c>
    </row>
    <row r="62" spans="1:17" x14ac:dyDescent="0.25">
      <c r="A62">
        <v>61</v>
      </c>
      <c r="B62" t="s">
        <v>574</v>
      </c>
      <c r="E62" t="str">
        <f t="shared" si="2"/>
        <v>CHMA</v>
      </c>
      <c r="F62">
        <v>3</v>
      </c>
      <c r="G62" s="3">
        <v>42915</v>
      </c>
      <c r="H62">
        <v>1.3</v>
      </c>
      <c r="I62" t="s">
        <v>641</v>
      </c>
      <c r="J62">
        <v>205</v>
      </c>
      <c r="K62">
        <v>70</v>
      </c>
      <c r="L62">
        <v>0.35</v>
      </c>
      <c r="M62" t="s">
        <v>135</v>
      </c>
      <c r="N62" t="s">
        <v>135</v>
      </c>
      <c r="Q62">
        <v>3</v>
      </c>
    </row>
    <row r="63" spans="1:17" x14ac:dyDescent="0.25">
      <c r="A63">
        <v>62</v>
      </c>
      <c r="B63" t="s">
        <v>612</v>
      </c>
      <c r="E63" t="str">
        <f t="shared" si="2"/>
        <v>SYPU</v>
      </c>
      <c r="F63">
        <v>2</v>
      </c>
      <c r="G63" s="3">
        <v>42915</v>
      </c>
      <c r="H63">
        <v>2.2000000000000002</v>
      </c>
      <c r="I63">
        <v>1.7</v>
      </c>
      <c r="J63">
        <v>290</v>
      </c>
      <c r="K63">
        <v>195</v>
      </c>
      <c r="L63">
        <v>1.89</v>
      </c>
      <c r="M63">
        <v>1.47</v>
      </c>
      <c r="N63">
        <v>1.8</v>
      </c>
      <c r="Q63">
        <v>2</v>
      </c>
    </row>
    <row r="64" spans="1:17" x14ac:dyDescent="0.25">
      <c r="A64">
        <v>63</v>
      </c>
      <c r="B64" t="s">
        <v>621</v>
      </c>
      <c r="E64" t="str">
        <f t="shared" si="2"/>
        <v>LAHA</v>
      </c>
      <c r="F64">
        <v>2</v>
      </c>
      <c r="G64" s="3">
        <v>42915</v>
      </c>
      <c r="H64" t="s">
        <v>639</v>
      </c>
      <c r="I64" t="s">
        <v>135</v>
      </c>
      <c r="J64">
        <v>115</v>
      </c>
      <c r="K64">
        <v>30</v>
      </c>
      <c r="L64">
        <v>0.52</v>
      </c>
      <c r="M64" t="s">
        <v>135</v>
      </c>
      <c r="N64" t="s">
        <v>135</v>
      </c>
      <c r="Q64">
        <v>2</v>
      </c>
    </row>
    <row r="65" spans="1:19" x14ac:dyDescent="0.25">
      <c r="A65">
        <v>64</v>
      </c>
      <c r="B65" t="s">
        <v>588</v>
      </c>
      <c r="E65" t="str">
        <f t="shared" si="2"/>
        <v>BOVI</v>
      </c>
      <c r="F65">
        <v>3</v>
      </c>
      <c r="G65" s="3">
        <v>42915</v>
      </c>
      <c r="H65">
        <v>1.26</v>
      </c>
      <c r="I65" t="s">
        <v>135</v>
      </c>
      <c r="J65">
        <v>65</v>
      </c>
      <c r="K65">
        <v>22</v>
      </c>
      <c r="L65">
        <v>3.15</v>
      </c>
      <c r="M65" t="s">
        <v>135</v>
      </c>
      <c r="N65" t="s">
        <v>135</v>
      </c>
      <c r="Q65">
        <v>3</v>
      </c>
    </row>
    <row r="66" spans="1:19" x14ac:dyDescent="0.25">
      <c r="A66">
        <v>65</v>
      </c>
      <c r="B66" t="s">
        <v>589</v>
      </c>
      <c r="E66" t="str">
        <f t="shared" si="2"/>
        <v>COLA</v>
      </c>
      <c r="F66">
        <v>5</v>
      </c>
      <c r="G66" s="3">
        <v>42915</v>
      </c>
      <c r="H66">
        <v>0.67</v>
      </c>
      <c r="I66" t="s">
        <v>135</v>
      </c>
      <c r="J66">
        <v>73</v>
      </c>
      <c r="K66">
        <v>55</v>
      </c>
      <c r="L66">
        <v>0.47</v>
      </c>
      <c r="M66" t="s">
        <v>135</v>
      </c>
      <c r="N66" t="s">
        <v>135</v>
      </c>
      <c r="Q66">
        <v>2</v>
      </c>
    </row>
    <row r="67" spans="1:19" x14ac:dyDescent="0.25">
      <c r="A67">
        <v>66</v>
      </c>
      <c r="B67" t="s">
        <v>587</v>
      </c>
      <c r="E67" t="str">
        <f t="shared" si="2"/>
        <v>ZARH</v>
      </c>
      <c r="F67">
        <v>3</v>
      </c>
      <c r="G67" s="3">
        <v>42915</v>
      </c>
      <c r="H67">
        <v>2</v>
      </c>
      <c r="I67">
        <v>1.2</v>
      </c>
      <c r="J67">
        <v>150</v>
      </c>
      <c r="K67">
        <v>30</v>
      </c>
      <c r="L67">
        <v>1.78</v>
      </c>
      <c r="M67">
        <v>2.48</v>
      </c>
      <c r="N67">
        <v>1.91</v>
      </c>
      <c r="Q67">
        <v>2</v>
      </c>
    </row>
    <row r="68" spans="1:19" x14ac:dyDescent="0.25">
      <c r="A68">
        <v>67</v>
      </c>
      <c r="B68" t="s">
        <v>638</v>
      </c>
      <c r="E68" t="str">
        <f t="shared" si="2"/>
        <v>BOVI</v>
      </c>
      <c r="F68">
        <v>4</v>
      </c>
      <c r="G68" s="3">
        <v>42915</v>
      </c>
      <c r="H68">
        <v>2.9</v>
      </c>
      <c r="I68">
        <v>1.3</v>
      </c>
      <c r="J68">
        <v>181</v>
      </c>
      <c r="K68">
        <v>95</v>
      </c>
      <c r="L68">
        <v>7.02</v>
      </c>
      <c r="M68">
        <v>7.61</v>
      </c>
      <c r="N68">
        <v>7.5</v>
      </c>
      <c r="Q68">
        <v>4</v>
      </c>
    </row>
    <row r="69" spans="1:19" x14ac:dyDescent="0.25">
      <c r="A69">
        <v>68</v>
      </c>
      <c r="B69" t="s">
        <v>591</v>
      </c>
      <c r="E69" t="str">
        <f t="shared" si="2"/>
        <v>STAD</v>
      </c>
      <c r="F69">
        <v>3</v>
      </c>
      <c r="G69" s="3">
        <v>42915</v>
      </c>
      <c r="H69">
        <v>6.5</v>
      </c>
      <c r="I69">
        <v>6</v>
      </c>
      <c r="J69">
        <v>345</v>
      </c>
      <c r="K69">
        <v>60</v>
      </c>
      <c r="L69">
        <v>10.98</v>
      </c>
      <c r="M69">
        <v>10.61</v>
      </c>
      <c r="N69">
        <v>11.6</v>
      </c>
      <c r="Q69">
        <v>4</v>
      </c>
    </row>
    <row r="70" spans="1:19" x14ac:dyDescent="0.25">
      <c r="A70">
        <v>69</v>
      </c>
      <c r="B70" t="s">
        <v>590</v>
      </c>
      <c r="E70" t="str">
        <f t="shared" si="2"/>
        <v>BOVI</v>
      </c>
      <c r="F70">
        <v>5</v>
      </c>
      <c r="G70" s="3">
        <v>42915</v>
      </c>
      <c r="H70">
        <v>6.5</v>
      </c>
      <c r="I70">
        <v>5.4</v>
      </c>
      <c r="J70">
        <v>265</v>
      </c>
      <c r="K70">
        <v>60</v>
      </c>
      <c r="L70">
        <v>14.71</v>
      </c>
      <c r="M70">
        <v>16.28</v>
      </c>
      <c r="N70">
        <v>12.14</v>
      </c>
      <c r="Q70">
        <v>3</v>
      </c>
    </row>
    <row r="71" spans="1:19" x14ac:dyDescent="0.25">
      <c r="A71">
        <v>70</v>
      </c>
      <c r="B71" t="s">
        <v>611</v>
      </c>
      <c r="E71" t="str">
        <f t="shared" si="2"/>
        <v>CAAD</v>
      </c>
      <c r="F71">
        <v>5</v>
      </c>
      <c r="G71" s="3">
        <v>42915</v>
      </c>
      <c r="H71" t="s">
        <v>640</v>
      </c>
      <c r="I71" t="s">
        <v>642</v>
      </c>
      <c r="J71">
        <v>140</v>
      </c>
      <c r="K71">
        <v>20</v>
      </c>
      <c r="L71">
        <v>2.08</v>
      </c>
      <c r="M71">
        <v>2.67</v>
      </c>
      <c r="N71">
        <v>2.0699999999999998</v>
      </c>
      <c r="Q71">
        <v>4</v>
      </c>
    </row>
    <row r="72" spans="1:19" x14ac:dyDescent="0.25">
      <c r="A72">
        <v>71</v>
      </c>
      <c r="B72" t="s">
        <v>616</v>
      </c>
      <c r="E72" t="str">
        <f t="shared" si="2"/>
        <v>GOPO</v>
      </c>
      <c r="F72">
        <v>4</v>
      </c>
      <c r="G72" s="3">
        <v>42915</v>
      </c>
      <c r="H72">
        <v>13.8</v>
      </c>
      <c r="I72" t="s">
        <v>643</v>
      </c>
      <c r="J72">
        <v>560</v>
      </c>
      <c r="K72">
        <v>265</v>
      </c>
      <c r="L72">
        <v>30.75</v>
      </c>
      <c r="M72">
        <v>20.45</v>
      </c>
      <c r="N72">
        <v>21.12</v>
      </c>
      <c r="Q72">
        <v>5</v>
      </c>
    </row>
    <row r="73" spans="1:19" x14ac:dyDescent="0.25">
      <c r="A73">
        <v>72</v>
      </c>
      <c r="B73" t="s">
        <v>644</v>
      </c>
      <c r="E73" t="str">
        <f t="shared" si="2"/>
        <v>RAFE</v>
      </c>
      <c r="F73">
        <v>1</v>
      </c>
      <c r="G73" s="3">
        <v>42902</v>
      </c>
      <c r="H73">
        <v>1.27</v>
      </c>
      <c r="I73">
        <v>0.77</v>
      </c>
      <c r="J73">
        <v>155</v>
      </c>
      <c r="K73">
        <v>60</v>
      </c>
      <c r="L73">
        <v>1.54</v>
      </c>
      <c r="M73" t="s">
        <v>135</v>
      </c>
      <c r="N73" t="s">
        <v>135</v>
      </c>
      <c r="Q73">
        <v>4</v>
      </c>
    </row>
    <row r="74" spans="1:19" x14ac:dyDescent="0.25">
      <c r="A74">
        <v>73</v>
      </c>
      <c r="B74" t="s">
        <v>287</v>
      </c>
      <c r="E74" t="str">
        <f t="shared" si="2"/>
        <v>MYLI</v>
      </c>
      <c r="F74">
        <v>1</v>
      </c>
      <c r="G74" s="3">
        <v>42902</v>
      </c>
      <c r="H74" t="s">
        <v>645</v>
      </c>
      <c r="I74" t="s">
        <v>651</v>
      </c>
      <c r="J74">
        <v>373</v>
      </c>
      <c r="K74">
        <v>20</v>
      </c>
      <c r="L74">
        <v>5.6</v>
      </c>
      <c r="M74">
        <v>6.71</v>
      </c>
      <c r="N74">
        <v>11.21</v>
      </c>
      <c r="Q74">
        <v>4</v>
      </c>
      <c r="S74" s="2"/>
    </row>
    <row r="75" spans="1:19" x14ac:dyDescent="0.25">
      <c r="A75">
        <v>74</v>
      </c>
      <c r="B75" t="s">
        <v>283</v>
      </c>
      <c r="E75" t="str">
        <f t="shared" si="2"/>
        <v>MYLI</v>
      </c>
      <c r="F75">
        <v>2</v>
      </c>
      <c r="G75" s="3">
        <v>42902</v>
      </c>
      <c r="H75">
        <v>1.28</v>
      </c>
      <c r="I75">
        <v>1.05</v>
      </c>
      <c r="J75">
        <v>175</v>
      </c>
      <c r="K75">
        <v>100</v>
      </c>
      <c r="L75">
        <v>1.01</v>
      </c>
      <c r="M75" t="s">
        <v>135</v>
      </c>
      <c r="N75" t="s">
        <v>135</v>
      </c>
      <c r="Q75">
        <v>4</v>
      </c>
    </row>
    <row r="76" spans="1:19" x14ac:dyDescent="0.25">
      <c r="A76">
        <v>75</v>
      </c>
      <c r="B76" t="s">
        <v>303</v>
      </c>
      <c r="E76" t="str">
        <f t="shared" si="2"/>
        <v>OCPU</v>
      </c>
      <c r="F76">
        <v>1</v>
      </c>
      <c r="G76" s="3">
        <v>42902</v>
      </c>
      <c r="H76" t="s">
        <v>646</v>
      </c>
      <c r="I76" t="s">
        <v>652</v>
      </c>
      <c r="J76">
        <v>495</v>
      </c>
      <c r="K76">
        <v>160</v>
      </c>
      <c r="L76">
        <v>2.76</v>
      </c>
      <c r="M76">
        <v>2.2000000000000002</v>
      </c>
      <c r="N76">
        <v>1.35</v>
      </c>
      <c r="Q76">
        <v>5</v>
      </c>
    </row>
    <row r="77" spans="1:19" x14ac:dyDescent="0.25">
      <c r="A77">
        <v>76</v>
      </c>
      <c r="B77" t="s">
        <v>286</v>
      </c>
      <c r="E77" t="str">
        <f t="shared" si="2"/>
        <v>OCPU</v>
      </c>
      <c r="F77">
        <v>2</v>
      </c>
      <c r="G77" s="3">
        <v>42902</v>
      </c>
      <c r="H77" t="s">
        <v>647</v>
      </c>
      <c r="I77" t="s">
        <v>653</v>
      </c>
      <c r="J77">
        <v>395</v>
      </c>
      <c r="K77">
        <v>120</v>
      </c>
      <c r="L77">
        <v>1.2</v>
      </c>
      <c r="M77">
        <v>1.36</v>
      </c>
      <c r="N77">
        <v>1.52</v>
      </c>
      <c r="Q77">
        <v>5</v>
      </c>
    </row>
    <row r="78" spans="1:19" x14ac:dyDescent="0.25">
      <c r="A78">
        <v>77</v>
      </c>
      <c r="B78" t="s">
        <v>288</v>
      </c>
      <c r="E78" t="str">
        <f t="shared" si="2"/>
        <v>OCPU</v>
      </c>
      <c r="F78">
        <v>3</v>
      </c>
      <c r="G78" s="3">
        <v>42902</v>
      </c>
      <c r="H78">
        <v>9.6</v>
      </c>
      <c r="I78" t="s">
        <v>654</v>
      </c>
      <c r="J78">
        <v>371</v>
      </c>
      <c r="K78">
        <v>180</v>
      </c>
      <c r="L78">
        <v>4.72</v>
      </c>
      <c r="M78">
        <v>3.76</v>
      </c>
      <c r="N78">
        <v>4.8899999999999997</v>
      </c>
      <c r="Q78">
        <v>4</v>
      </c>
    </row>
    <row r="79" spans="1:19" x14ac:dyDescent="0.25">
      <c r="A79">
        <v>78</v>
      </c>
      <c r="B79" t="s">
        <v>280</v>
      </c>
      <c r="E79" t="str">
        <f t="shared" si="2"/>
        <v>MYMU</v>
      </c>
      <c r="F79">
        <v>1</v>
      </c>
      <c r="G79" s="3">
        <v>42902</v>
      </c>
      <c r="H79">
        <v>2.6</v>
      </c>
      <c r="I79">
        <v>2</v>
      </c>
      <c r="J79">
        <v>322</v>
      </c>
      <c r="K79">
        <v>100</v>
      </c>
      <c r="L79">
        <v>1.1000000000000001</v>
      </c>
      <c r="M79">
        <v>1.1100000000000001</v>
      </c>
      <c r="N79">
        <v>1.07</v>
      </c>
      <c r="Q79">
        <v>4</v>
      </c>
    </row>
    <row r="80" spans="1:19" x14ac:dyDescent="0.25">
      <c r="A80">
        <v>79</v>
      </c>
      <c r="B80" t="s">
        <v>285</v>
      </c>
      <c r="E80" t="str">
        <f t="shared" si="2"/>
        <v>MYLI</v>
      </c>
      <c r="F80">
        <v>3</v>
      </c>
      <c r="G80" s="3">
        <v>42902</v>
      </c>
      <c r="H80" t="s">
        <v>648</v>
      </c>
      <c r="I80" t="s">
        <v>655</v>
      </c>
      <c r="J80">
        <v>365</v>
      </c>
      <c r="K80">
        <v>90</v>
      </c>
      <c r="L80">
        <v>8.0500000000000007</v>
      </c>
      <c r="M80">
        <v>5.91</v>
      </c>
      <c r="N80">
        <v>10.77</v>
      </c>
      <c r="Q80">
        <v>4</v>
      </c>
    </row>
    <row r="81" spans="1:17" x14ac:dyDescent="0.25">
      <c r="A81">
        <v>80</v>
      </c>
      <c r="B81" t="s">
        <v>289</v>
      </c>
      <c r="E81" t="str">
        <f t="shared" si="2"/>
        <v>COLA</v>
      </c>
      <c r="F81">
        <v>1</v>
      </c>
      <c r="G81" s="3">
        <v>42902</v>
      </c>
      <c r="H81">
        <v>2.71</v>
      </c>
      <c r="I81">
        <v>1.97</v>
      </c>
      <c r="J81">
        <v>373</v>
      </c>
      <c r="K81">
        <v>90</v>
      </c>
      <c r="L81">
        <v>2.0499999999999998</v>
      </c>
      <c r="M81">
        <v>1.54</v>
      </c>
      <c r="N81">
        <v>1.34</v>
      </c>
      <c r="Q81">
        <v>3</v>
      </c>
    </row>
    <row r="82" spans="1:17" x14ac:dyDescent="0.25">
      <c r="A82">
        <v>81</v>
      </c>
      <c r="B82" t="s">
        <v>282</v>
      </c>
      <c r="E82" t="str">
        <f t="shared" si="2"/>
        <v>TAGU</v>
      </c>
      <c r="F82">
        <v>3</v>
      </c>
      <c r="G82" s="3">
        <v>42902</v>
      </c>
      <c r="H82">
        <v>8.5</v>
      </c>
      <c r="I82">
        <v>7.6</v>
      </c>
      <c r="J82">
        <v>535</v>
      </c>
      <c r="K82">
        <v>80</v>
      </c>
      <c r="L82">
        <v>3.52</v>
      </c>
      <c r="M82">
        <v>3.28</v>
      </c>
      <c r="N82">
        <v>4.34</v>
      </c>
      <c r="Q82">
        <v>5</v>
      </c>
    </row>
    <row r="83" spans="1:17" x14ac:dyDescent="0.25">
      <c r="A83">
        <v>82</v>
      </c>
      <c r="B83" t="s">
        <v>294</v>
      </c>
      <c r="E83" t="str">
        <f t="shared" si="2"/>
        <v>LEEL</v>
      </c>
      <c r="F83">
        <v>5</v>
      </c>
      <c r="G83" s="3">
        <v>42902</v>
      </c>
      <c r="H83">
        <v>4.7</v>
      </c>
      <c r="I83">
        <v>3.6</v>
      </c>
      <c r="J83">
        <v>197</v>
      </c>
      <c r="K83">
        <v>80</v>
      </c>
      <c r="L83">
        <v>9.8000000000000007</v>
      </c>
      <c r="M83">
        <v>9.1</v>
      </c>
      <c r="N83">
        <v>9.6</v>
      </c>
      <c r="Q83">
        <v>3</v>
      </c>
    </row>
    <row r="84" spans="1:17" x14ac:dyDescent="0.25">
      <c r="A84">
        <v>83</v>
      </c>
      <c r="B84" t="s">
        <v>1204</v>
      </c>
      <c r="C84" t="s">
        <v>293</v>
      </c>
      <c r="E84" t="str">
        <f t="shared" si="2"/>
        <v>MYFA</v>
      </c>
      <c r="F84">
        <v>3</v>
      </c>
      <c r="G84" s="3">
        <v>42902</v>
      </c>
      <c r="H84">
        <v>6.8</v>
      </c>
      <c r="I84" t="s">
        <v>656</v>
      </c>
      <c r="J84">
        <v>290</v>
      </c>
      <c r="K84">
        <v>30</v>
      </c>
      <c r="L84">
        <v>8.86</v>
      </c>
      <c r="M84">
        <v>9.61</v>
      </c>
      <c r="N84">
        <v>9.4700000000000006</v>
      </c>
      <c r="Q84">
        <v>5</v>
      </c>
    </row>
    <row r="85" spans="1:17" x14ac:dyDescent="0.25">
      <c r="A85">
        <v>84</v>
      </c>
      <c r="B85" t="s">
        <v>292</v>
      </c>
      <c r="E85" t="str">
        <f t="shared" si="2"/>
        <v>MYMU</v>
      </c>
      <c r="F85">
        <v>2</v>
      </c>
      <c r="G85" s="3">
        <v>42902</v>
      </c>
      <c r="H85">
        <v>1.73</v>
      </c>
      <c r="I85">
        <v>0.96</v>
      </c>
      <c r="J85">
        <v>205</v>
      </c>
      <c r="K85">
        <v>70</v>
      </c>
      <c r="L85">
        <v>0.85</v>
      </c>
      <c r="M85">
        <v>1.19</v>
      </c>
      <c r="N85">
        <v>1.01</v>
      </c>
      <c r="Q85">
        <v>4</v>
      </c>
    </row>
    <row r="86" spans="1:17" x14ac:dyDescent="0.25">
      <c r="A86">
        <v>85</v>
      </c>
      <c r="B86" t="s">
        <v>291</v>
      </c>
      <c r="E86" t="str">
        <f t="shared" si="2"/>
        <v>SCVI</v>
      </c>
      <c r="F86">
        <v>2</v>
      </c>
      <c r="G86" s="3">
        <v>42902</v>
      </c>
      <c r="H86">
        <v>2.0499999999999998</v>
      </c>
      <c r="I86" t="s">
        <v>657</v>
      </c>
      <c r="J86">
        <v>280</v>
      </c>
      <c r="K86">
        <v>30</v>
      </c>
      <c r="L86">
        <v>1.9</v>
      </c>
      <c r="M86">
        <v>2.15</v>
      </c>
      <c r="N86">
        <v>2.4700000000000002</v>
      </c>
      <c r="Q86">
        <v>4</v>
      </c>
    </row>
    <row r="87" spans="1:17" x14ac:dyDescent="0.25">
      <c r="A87">
        <v>86</v>
      </c>
      <c r="B87" t="s">
        <v>295</v>
      </c>
      <c r="C87" t="s">
        <v>184</v>
      </c>
      <c r="E87" t="str">
        <f t="shared" si="2"/>
        <v>CABR</v>
      </c>
      <c r="F87">
        <v>3</v>
      </c>
      <c r="G87" s="3">
        <v>42902</v>
      </c>
      <c r="H87">
        <v>10.199999999999999</v>
      </c>
      <c r="I87">
        <v>8.5</v>
      </c>
      <c r="J87">
        <v>375</v>
      </c>
      <c r="K87">
        <v>100</v>
      </c>
      <c r="L87">
        <v>18.82</v>
      </c>
      <c r="M87">
        <v>19.37</v>
      </c>
      <c r="N87">
        <v>18.850000000000001</v>
      </c>
      <c r="Q87">
        <v>5</v>
      </c>
    </row>
    <row r="88" spans="1:17" x14ac:dyDescent="0.25">
      <c r="A88">
        <v>87</v>
      </c>
      <c r="B88" t="s">
        <v>297</v>
      </c>
      <c r="E88" t="str">
        <f t="shared" si="2"/>
        <v>STFE</v>
      </c>
      <c r="F88">
        <v>1</v>
      </c>
      <c r="G88" s="3">
        <v>42902</v>
      </c>
      <c r="H88" t="s">
        <v>649</v>
      </c>
      <c r="I88" t="s">
        <v>658</v>
      </c>
      <c r="J88">
        <v>582</v>
      </c>
      <c r="K88">
        <v>150</v>
      </c>
      <c r="L88">
        <v>23.9</v>
      </c>
      <c r="M88">
        <v>18.75</v>
      </c>
      <c r="N88">
        <v>23.6</v>
      </c>
      <c r="Q88">
        <v>5</v>
      </c>
    </row>
    <row r="89" spans="1:17" x14ac:dyDescent="0.25">
      <c r="A89">
        <v>88</v>
      </c>
      <c r="B89" t="s">
        <v>302</v>
      </c>
      <c r="E89" t="str">
        <f t="shared" si="2"/>
        <v>MYLI</v>
      </c>
      <c r="F89">
        <v>4</v>
      </c>
      <c r="G89" s="3">
        <v>42902</v>
      </c>
      <c r="H89">
        <v>23.9</v>
      </c>
      <c r="I89">
        <v>20.8</v>
      </c>
      <c r="J89">
        <v>535</v>
      </c>
      <c r="K89">
        <v>85</v>
      </c>
      <c r="L89">
        <v>22.7</v>
      </c>
      <c r="M89">
        <v>19.66</v>
      </c>
      <c r="N89">
        <v>15.6</v>
      </c>
      <c r="Q89">
        <v>5</v>
      </c>
    </row>
    <row r="90" spans="1:17" x14ac:dyDescent="0.25">
      <c r="A90">
        <v>89</v>
      </c>
      <c r="B90" t="s">
        <v>299</v>
      </c>
      <c r="E90" t="str">
        <f t="shared" si="2"/>
        <v>RAUM</v>
      </c>
      <c r="F90">
        <v>3</v>
      </c>
      <c r="G90" s="3">
        <v>42902</v>
      </c>
      <c r="H90">
        <v>3.6</v>
      </c>
      <c r="I90">
        <v>2.8</v>
      </c>
      <c r="J90">
        <v>375</v>
      </c>
      <c r="K90">
        <v>170</v>
      </c>
      <c r="L90">
        <v>2.62</v>
      </c>
      <c r="M90">
        <v>3.18</v>
      </c>
      <c r="N90">
        <v>2.04</v>
      </c>
      <c r="Q90">
        <v>4</v>
      </c>
    </row>
    <row r="91" spans="1:17" x14ac:dyDescent="0.25">
      <c r="A91">
        <v>90</v>
      </c>
      <c r="B91" t="s">
        <v>274</v>
      </c>
      <c r="E91" t="str">
        <f t="shared" si="2"/>
        <v>MILI</v>
      </c>
      <c r="F91">
        <v>3</v>
      </c>
      <c r="G91" s="3">
        <v>42902</v>
      </c>
      <c r="H91" t="s">
        <v>650</v>
      </c>
      <c r="I91" t="s">
        <v>659</v>
      </c>
      <c r="J91">
        <v>355</v>
      </c>
      <c r="K91">
        <v>50</v>
      </c>
      <c r="L91">
        <v>4.1399999999999997</v>
      </c>
      <c r="M91">
        <v>3.33</v>
      </c>
      <c r="N91">
        <v>4.12</v>
      </c>
      <c r="Q91">
        <v>3</v>
      </c>
    </row>
    <row r="92" spans="1:17" x14ac:dyDescent="0.25">
      <c r="A92">
        <v>91</v>
      </c>
      <c r="B92" t="s">
        <v>34</v>
      </c>
      <c r="E92" t="str">
        <f t="shared" si="2"/>
        <v>TOFO</v>
      </c>
      <c r="F92">
        <v>1</v>
      </c>
      <c r="G92" s="3">
        <v>42901</v>
      </c>
      <c r="H92">
        <v>1.5</v>
      </c>
      <c r="I92">
        <v>1.05</v>
      </c>
      <c r="J92">
        <v>150</v>
      </c>
      <c r="K92">
        <v>134</v>
      </c>
      <c r="L92">
        <v>0.76</v>
      </c>
      <c r="M92" t="s">
        <v>135</v>
      </c>
      <c r="N92" t="s">
        <v>135</v>
      </c>
      <c r="Q92">
        <v>3</v>
      </c>
    </row>
    <row r="93" spans="1:17" x14ac:dyDescent="0.25">
      <c r="A93">
        <v>92</v>
      </c>
      <c r="B93" t="s">
        <v>1193</v>
      </c>
      <c r="C93" t="s">
        <v>475</v>
      </c>
      <c r="E93" t="s">
        <v>384</v>
      </c>
      <c r="F93">
        <v>3</v>
      </c>
      <c r="G93" s="3">
        <v>42901</v>
      </c>
      <c r="H93">
        <v>14.9</v>
      </c>
      <c r="I93" t="s">
        <v>662</v>
      </c>
      <c r="J93">
        <v>390</v>
      </c>
      <c r="K93">
        <v>120</v>
      </c>
      <c r="L93">
        <v>18.899999999999999</v>
      </c>
      <c r="M93">
        <v>17.2</v>
      </c>
      <c r="N93">
        <v>18.600000000000001</v>
      </c>
      <c r="Q93">
        <v>4</v>
      </c>
    </row>
    <row r="94" spans="1:17" x14ac:dyDescent="0.25">
      <c r="A94">
        <v>93</v>
      </c>
      <c r="B94" t="s">
        <v>35</v>
      </c>
      <c r="E94" t="str">
        <f>LEFT(B94,4)</f>
        <v>DUFU</v>
      </c>
      <c r="F94">
        <v>2</v>
      </c>
      <c r="G94" s="3">
        <v>42901</v>
      </c>
      <c r="H94">
        <v>3.5</v>
      </c>
      <c r="I94">
        <v>1.6</v>
      </c>
      <c r="J94">
        <v>220</v>
      </c>
      <c r="K94">
        <v>50</v>
      </c>
      <c r="L94">
        <v>2.87</v>
      </c>
      <c r="M94">
        <v>2.44</v>
      </c>
      <c r="N94">
        <v>2.63</v>
      </c>
      <c r="Q94">
        <v>4</v>
      </c>
    </row>
    <row r="95" spans="1:17" x14ac:dyDescent="0.25">
      <c r="A95">
        <v>94</v>
      </c>
      <c r="B95" t="s">
        <v>18</v>
      </c>
      <c r="E95" t="str">
        <f>LEFT(B95,4)</f>
        <v>STRO</v>
      </c>
      <c r="F95">
        <v>1</v>
      </c>
      <c r="G95" s="3">
        <v>42901</v>
      </c>
      <c r="H95">
        <v>14.5</v>
      </c>
      <c r="I95">
        <v>14.7</v>
      </c>
      <c r="J95">
        <v>460</v>
      </c>
      <c r="K95">
        <v>270</v>
      </c>
      <c r="L95">
        <v>14.52</v>
      </c>
      <c r="M95">
        <v>21.83</v>
      </c>
      <c r="N95">
        <v>17.059999999999999</v>
      </c>
      <c r="Q95">
        <v>4</v>
      </c>
    </row>
    <row r="96" spans="1:17" x14ac:dyDescent="0.25">
      <c r="A96">
        <v>95</v>
      </c>
      <c r="B96" t="s">
        <v>36</v>
      </c>
      <c r="E96" t="str">
        <f>LEFT(B96,4)</f>
        <v>QUGR</v>
      </c>
      <c r="F96">
        <v>1</v>
      </c>
      <c r="G96" s="3">
        <v>42901</v>
      </c>
      <c r="H96">
        <v>6.5</v>
      </c>
      <c r="I96">
        <v>5.7</v>
      </c>
      <c r="J96">
        <v>460</v>
      </c>
      <c r="K96">
        <v>70</v>
      </c>
      <c r="L96">
        <v>12.45</v>
      </c>
      <c r="M96">
        <v>11.45</v>
      </c>
      <c r="N96">
        <v>11.7</v>
      </c>
      <c r="Q96">
        <v>5</v>
      </c>
    </row>
    <row r="97" spans="1:17" x14ac:dyDescent="0.25">
      <c r="A97">
        <v>96</v>
      </c>
      <c r="B97" t="s">
        <v>40</v>
      </c>
      <c r="E97" t="str">
        <f>LEFT(B97,4)</f>
        <v>LEEL</v>
      </c>
      <c r="F97">
        <v>1</v>
      </c>
      <c r="G97" s="3">
        <v>42901</v>
      </c>
      <c r="H97">
        <v>7</v>
      </c>
      <c r="I97">
        <v>5</v>
      </c>
      <c r="J97">
        <v>210</v>
      </c>
      <c r="K97">
        <v>70</v>
      </c>
      <c r="L97">
        <v>14.55</v>
      </c>
      <c r="M97">
        <v>14.58</v>
      </c>
      <c r="N97">
        <v>15.05</v>
      </c>
      <c r="Q97">
        <v>4</v>
      </c>
    </row>
    <row r="98" spans="1:17" x14ac:dyDescent="0.25">
      <c r="A98">
        <v>97</v>
      </c>
      <c r="B98" t="s">
        <v>1194</v>
      </c>
      <c r="C98" t="s">
        <v>483</v>
      </c>
      <c r="E98" t="s">
        <v>384</v>
      </c>
      <c r="F98">
        <v>2</v>
      </c>
      <c r="G98" s="3">
        <v>42901</v>
      </c>
      <c r="H98">
        <v>21.5</v>
      </c>
      <c r="I98">
        <v>16.5</v>
      </c>
      <c r="J98">
        <v>690</v>
      </c>
      <c r="K98">
        <v>150</v>
      </c>
      <c r="L98">
        <v>29.4</v>
      </c>
      <c r="M98">
        <v>20.260000000000002</v>
      </c>
      <c r="N98">
        <v>34.56</v>
      </c>
      <c r="Q98">
        <v>4</v>
      </c>
    </row>
    <row r="99" spans="1:17" x14ac:dyDescent="0.25">
      <c r="A99">
        <v>98</v>
      </c>
      <c r="B99" t="s">
        <v>470</v>
      </c>
      <c r="C99" t="s">
        <v>660</v>
      </c>
      <c r="E99" t="s">
        <v>384</v>
      </c>
      <c r="F99">
        <v>1</v>
      </c>
      <c r="G99" s="3">
        <v>42901</v>
      </c>
      <c r="H99">
        <v>15.5</v>
      </c>
      <c r="I99" t="s">
        <v>663</v>
      </c>
      <c r="J99">
        <v>560</v>
      </c>
      <c r="K99">
        <v>260</v>
      </c>
      <c r="L99">
        <v>32.93</v>
      </c>
      <c r="M99">
        <v>31.23</v>
      </c>
      <c r="N99">
        <v>25.3</v>
      </c>
      <c r="Q99">
        <v>4</v>
      </c>
    </row>
    <row r="100" spans="1:17" x14ac:dyDescent="0.25">
      <c r="A100">
        <v>99</v>
      </c>
      <c r="B100" t="s">
        <v>21</v>
      </c>
      <c r="E100" t="str">
        <f t="shared" ref="E100:E112" si="3">LEFT(B100,4)</f>
        <v>DIMO</v>
      </c>
      <c r="F100">
        <v>1</v>
      </c>
      <c r="G100" s="3">
        <v>42901</v>
      </c>
      <c r="H100">
        <v>5.8</v>
      </c>
      <c r="I100">
        <v>5</v>
      </c>
      <c r="J100">
        <v>240</v>
      </c>
      <c r="K100">
        <v>30</v>
      </c>
      <c r="L100">
        <v>10.58</v>
      </c>
      <c r="M100">
        <v>11.97</v>
      </c>
      <c r="N100">
        <v>11.45</v>
      </c>
      <c r="Q100">
        <v>4</v>
      </c>
    </row>
    <row r="101" spans="1:17" x14ac:dyDescent="0.25">
      <c r="A101">
        <v>100</v>
      </c>
      <c r="B101" t="s">
        <v>28</v>
      </c>
      <c r="E101" t="str">
        <f t="shared" si="3"/>
        <v>ERSU</v>
      </c>
      <c r="F101">
        <v>2</v>
      </c>
      <c r="G101" s="3">
        <v>42901</v>
      </c>
      <c r="H101">
        <v>6.1</v>
      </c>
      <c r="I101">
        <v>5.9</v>
      </c>
      <c r="J101">
        <v>250</v>
      </c>
      <c r="K101">
        <v>60</v>
      </c>
      <c r="L101">
        <v>15.03</v>
      </c>
      <c r="M101">
        <v>15.53</v>
      </c>
      <c r="N101">
        <v>16.04</v>
      </c>
      <c r="Q101">
        <v>4</v>
      </c>
    </row>
    <row r="102" spans="1:17" x14ac:dyDescent="0.25">
      <c r="A102">
        <v>101</v>
      </c>
      <c r="B102" t="s">
        <v>27</v>
      </c>
      <c r="E102" t="str">
        <f t="shared" si="3"/>
        <v>KICO</v>
      </c>
      <c r="F102">
        <v>1</v>
      </c>
      <c r="G102" s="3">
        <v>42901</v>
      </c>
      <c r="H102">
        <v>9.6999999999999993</v>
      </c>
      <c r="I102">
        <v>5.8</v>
      </c>
      <c r="J102">
        <v>250</v>
      </c>
      <c r="K102">
        <v>120</v>
      </c>
      <c r="L102">
        <v>25.9</v>
      </c>
      <c r="M102">
        <v>24.3</v>
      </c>
      <c r="N102">
        <v>20.04</v>
      </c>
      <c r="Q102">
        <v>3</v>
      </c>
    </row>
    <row r="103" spans="1:17" x14ac:dyDescent="0.25">
      <c r="A103">
        <v>102</v>
      </c>
      <c r="B103" t="s">
        <v>29</v>
      </c>
      <c r="E103" t="str">
        <f t="shared" si="3"/>
        <v>DIBU</v>
      </c>
      <c r="F103">
        <v>1</v>
      </c>
      <c r="G103" s="3">
        <v>42901</v>
      </c>
      <c r="H103">
        <v>12.7</v>
      </c>
      <c r="I103">
        <v>13.2</v>
      </c>
      <c r="J103">
        <v>390</v>
      </c>
      <c r="K103">
        <v>200</v>
      </c>
      <c r="L103">
        <v>19.5</v>
      </c>
      <c r="M103">
        <v>19.600000000000001</v>
      </c>
      <c r="N103">
        <v>16.5</v>
      </c>
      <c r="Q103">
        <v>4</v>
      </c>
    </row>
    <row r="104" spans="1:17" x14ac:dyDescent="0.25">
      <c r="A104">
        <v>103</v>
      </c>
      <c r="B104" t="s">
        <v>30</v>
      </c>
      <c r="E104" t="str">
        <f t="shared" si="3"/>
        <v>MAAC</v>
      </c>
      <c r="F104">
        <v>1</v>
      </c>
      <c r="G104" s="3">
        <v>42901</v>
      </c>
      <c r="H104">
        <v>4.8</v>
      </c>
      <c r="I104">
        <v>3.8</v>
      </c>
      <c r="J104">
        <v>360</v>
      </c>
      <c r="K104">
        <v>200</v>
      </c>
      <c r="L104">
        <v>9.07</v>
      </c>
      <c r="M104">
        <v>9.61</v>
      </c>
      <c r="N104">
        <v>9.85</v>
      </c>
      <c r="Q104">
        <v>4</v>
      </c>
    </row>
    <row r="105" spans="1:17" x14ac:dyDescent="0.25">
      <c r="A105">
        <v>104</v>
      </c>
      <c r="B105" t="s">
        <v>24</v>
      </c>
      <c r="E105" t="str">
        <f t="shared" si="3"/>
        <v>ERSU</v>
      </c>
      <c r="F105">
        <v>1</v>
      </c>
      <c r="G105" s="3">
        <v>42901</v>
      </c>
      <c r="H105">
        <v>7.5</v>
      </c>
      <c r="I105">
        <v>6.8</v>
      </c>
      <c r="J105">
        <v>280</v>
      </c>
      <c r="K105">
        <v>80</v>
      </c>
      <c r="L105">
        <v>24.6</v>
      </c>
      <c r="M105">
        <v>18.54</v>
      </c>
      <c r="N105">
        <v>23.11</v>
      </c>
      <c r="Q105">
        <v>4</v>
      </c>
    </row>
    <row r="106" spans="1:17" x14ac:dyDescent="0.25">
      <c r="A106">
        <v>105</v>
      </c>
      <c r="B106" t="s">
        <v>26</v>
      </c>
      <c r="E106" t="str">
        <f t="shared" si="3"/>
        <v>VOTU</v>
      </c>
      <c r="F106">
        <v>1</v>
      </c>
      <c r="G106" s="3">
        <v>42901</v>
      </c>
      <c r="H106">
        <v>11.3</v>
      </c>
      <c r="I106">
        <v>8.6</v>
      </c>
      <c r="J106">
        <v>520</v>
      </c>
      <c r="K106">
        <v>50</v>
      </c>
      <c r="L106">
        <v>8.93</v>
      </c>
      <c r="M106">
        <v>10.58</v>
      </c>
      <c r="N106">
        <v>10.07</v>
      </c>
      <c r="Q106">
        <v>5</v>
      </c>
    </row>
    <row r="107" spans="1:17" x14ac:dyDescent="0.25">
      <c r="A107">
        <v>106</v>
      </c>
      <c r="B107" t="s">
        <v>20</v>
      </c>
      <c r="E107" t="str">
        <f t="shared" si="3"/>
        <v>GOBA</v>
      </c>
      <c r="F107">
        <v>1</v>
      </c>
      <c r="G107" s="3">
        <v>42901</v>
      </c>
      <c r="H107" t="s">
        <v>661</v>
      </c>
      <c r="I107" t="s">
        <v>664</v>
      </c>
      <c r="J107">
        <v>330</v>
      </c>
      <c r="K107">
        <v>140</v>
      </c>
      <c r="L107">
        <v>5.26</v>
      </c>
      <c r="M107">
        <v>4.76</v>
      </c>
      <c r="N107">
        <v>4.21</v>
      </c>
      <c r="Q107">
        <v>4</v>
      </c>
    </row>
    <row r="108" spans="1:17" x14ac:dyDescent="0.25">
      <c r="A108">
        <v>107</v>
      </c>
      <c r="B108" t="s">
        <v>25</v>
      </c>
      <c r="E108" t="str">
        <f t="shared" si="3"/>
        <v>MIAL</v>
      </c>
      <c r="F108">
        <v>1</v>
      </c>
      <c r="G108" s="3">
        <v>42901</v>
      </c>
      <c r="H108">
        <v>11.7</v>
      </c>
      <c r="I108" t="s">
        <v>665</v>
      </c>
      <c r="J108">
        <v>290</v>
      </c>
      <c r="K108">
        <v>40</v>
      </c>
      <c r="L108">
        <v>16.7</v>
      </c>
      <c r="M108">
        <v>9.9</v>
      </c>
      <c r="N108">
        <v>6.4</v>
      </c>
      <c r="Q108">
        <v>4</v>
      </c>
    </row>
    <row r="109" spans="1:17" x14ac:dyDescent="0.25">
      <c r="A109">
        <v>108</v>
      </c>
      <c r="B109" t="s">
        <v>22</v>
      </c>
      <c r="E109" t="str">
        <f t="shared" si="3"/>
        <v>DUFU</v>
      </c>
      <c r="F109">
        <v>1</v>
      </c>
      <c r="G109" s="3">
        <v>42901</v>
      </c>
      <c r="H109">
        <v>3.5</v>
      </c>
      <c r="I109">
        <v>1.55</v>
      </c>
      <c r="J109">
        <v>200</v>
      </c>
      <c r="K109">
        <v>0</v>
      </c>
      <c r="L109">
        <v>1.72</v>
      </c>
      <c r="M109">
        <v>2.4900000000000002</v>
      </c>
      <c r="N109">
        <v>1.64</v>
      </c>
      <c r="Q109">
        <v>4</v>
      </c>
    </row>
    <row r="110" spans="1:17" x14ac:dyDescent="0.25">
      <c r="A110">
        <v>109</v>
      </c>
      <c r="B110" t="s">
        <v>108</v>
      </c>
      <c r="E110" t="str">
        <f t="shared" si="3"/>
        <v>STRO</v>
      </c>
      <c r="F110">
        <v>2</v>
      </c>
      <c r="G110" s="3">
        <v>42901</v>
      </c>
      <c r="H110">
        <v>6.8</v>
      </c>
      <c r="I110" t="s">
        <v>670</v>
      </c>
      <c r="J110">
        <v>325</v>
      </c>
      <c r="K110">
        <v>160</v>
      </c>
      <c r="L110">
        <v>8.19</v>
      </c>
      <c r="M110">
        <v>8.9499999999999993</v>
      </c>
      <c r="N110">
        <v>8.31</v>
      </c>
      <c r="Q110">
        <v>5</v>
      </c>
    </row>
    <row r="111" spans="1:17" x14ac:dyDescent="0.25">
      <c r="A111">
        <v>110</v>
      </c>
      <c r="B111" t="s">
        <v>112</v>
      </c>
      <c r="E111" t="str">
        <f t="shared" si="3"/>
        <v>STCA</v>
      </c>
      <c r="F111">
        <v>3</v>
      </c>
      <c r="G111" s="3">
        <v>42901</v>
      </c>
      <c r="H111">
        <v>4</v>
      </c>
      <c r="I111">
        <v>3</v>
      </c>
      <c r="J111">
        <v>250</v>
      </c>
      <c r="K111">
        <v>98</v>
      </c>
      <c r="L111">
        <v>1.88</v>
      </c>
      <c r="M111">
        <v>1.77</v>
      </c>
      <c r="N111">
        <v>2.27</v>
      </c>
      <c r="Q111">
        <v>4</v>
      </c>
    </row>
    <row r="112" spans="1:17" x14ac:dyDescent="0.25">
      <c r="A112">
        <v>111</v>
      </c>
      <c r="B112" t="s">
        <v>87</v>
      </c>
      <c r="E112" t="str">
        <f t="shared" si="3"/>
        <v>AEVE</v>
      </c>
      <c r="F112">
        <v>1</v>
      </c>
      <c r="G112" s="3">
        <v>42901</v>
      </c>
      <c r="H112">
        <v>9.1999999999999993</v>
      </c>
      <c r="I112">
        <v>9</v>
      </c>
      <c r="J112">
        <v>380</v>
      </c>
      <c r="K112">
        <v>220</v>
      </c>
      <c r="L112">
        <v>19.149999999999999</v>
      </c>
      <c r="M112">
        <v>19.05</v>
      </c>
      <c r="N112">
        <v>21.35</v>
      </c>
      <c r="Q112">
        <v>4</v>
      </c>
    </row>
    <row r="113" spans="1:17" x14ac:dyDescent="0.25">
      <c r="A113">
        <v>112</v>
      </c>
      <c r="B113" t="s">
        <v>1199</v>
      </c>
      <c r="C113" t="s">
        <v>476</v>
      </c>
      <c r="E113" t="s">
        <v>420</v>
      </c>
      <c r="F113">
        <v>1</v>
      </c>
      <c r="G113" s="3">
        <v>42901</v>
      </c>
      <c r="H113">
        <v>9.1999999999999993</v>
      </c>
      <c r="I113">
        <v>8.5</v>
      </c>
      <c r="J113">
        <v>450</v>
      </c>
      <c r="K113">
        <v>300</v>
      </c>
      <c r="L113">
        <v>10.94</v>
      </c>
      <c r="M113">
        <v>7.9</v>
      </c>
      <c r="N113">
        <v>9.42</v>
      </c>
      <c r="Q113">
        <v>5</v>
      </c>
    </row>
    <row r="114" spans="1:17" x14ac:dyDescent="0.25">
      <c r="A114">
        <v>113</v>
      </c>
      <c r="B114" t="s">
        <v>117</v>
      </c>
      <c r="E114" t="str">
        <f>LEFT(B114,4)</f>
        <v>DIMO</v>
      </c>
      <c r="F114">
        <v>3</v>
      </c>
      <c r="G114" s="3">
        <v>42901</v>
      </c>
      <c r="H114">
        <v>6.4</v>
      </c>
      <c r="I114">
        <v>5</v>
      </c>
      <c r="J114">
        <v>300</v>
      </c>
      <c r="K114">
        <v>130</v>
      </c>
      <c r="L114">
        <v>10.67</v>
      </c>
      <c r="M114">
        <v>11.09</v>
      </c>
      <c r="N114">
        <v>10.73</v>
      </c>
      <c r="Q114">
        <v>4</v>
      </c>
    </row>
    <row r="115" spans="1:17" x14ac:dyDescent="0.25">
      <c r="A115">
        <v>114</v>
      </c>
      <c r="B115" t="s">
        <v>91</v>
      </c>
      <c r="E115" t="str">
        <f>LEFT(B115,4)</f>
        <v>STCA</v>
      </c>
      <c r="F115">
        <v>1</v>
      </c>
      <c r="G115" s="3">
        <v>42901</v>
      </c>
      <c r="H115">
        <v>5.9</v>
      </c>
      <c r="I115">
        <v>5.5</v>
      </c>
      <c r="J115">
        <v>350</v>
      </c>
      <c r="K115">
        <v>220</v>
      </c>
      <c r="L115">
        <v>4.08</v>
      </c>
      <c r="M115">
        <v>3.96</v>
      </c>
      <c r="N115">
        <v>4.87</v>
      </c>
      <c r="Q115">
        <v>4</v>
      </c>
    </row>
    <row r="116" spans="1:17" x14ac:dyDescent="0.25">
      <c r="A116">
        <v>115</v>
      </c>
      <c r="B116" t="s">
        <v>125</v>
      </c>
      <c r="E116" t="str">
        <f>LEFT(B116,4)</f>
        <v>DIBU</v>
      </c>
      <c r="F116">
        <v>3</v>
      </c>
      <c r="G116" s="3">
        <v>42901</v>
      </c>
      <c r="H116">
        <v>7.1</v>
      </c>
      <c r="I116">
        <v>6.8</v>
      </c>
      <c r="J116">
        <v>280</v>
      </c>
      <c r="K116">
        <v>190</v>
      </c>
      <c r="L116">
        <v>13</v>
      </c>
      <c r="M116">
        <v>13.2</v>
      </c>
      <c r="N116">
        <v>11.1</v>
      </c>
      <c r="Q116">
        <v>4</v>
      </c>
    </row>
    <row r="117" spans="1:17" x14ac:dyDescent="0.25">
      <c r="A117">
        <v>116</v>
      </c>
      <c r="B117" t="s">
        <v>118</v>
      </c>
      <c r="E117" t="str">
        <f>LEFT(B117,4)</f>
        <v>STCA</v>
      </c>
      <c r="F117">
        <v>2</v>
      </c>
      <c r="G117" s="3">
        <v>42901</v>
      </c>
      <c r="H117">
        <v>6.8</v>
      </c>
      <c r="I117" t="s">
        <v>671</v>
      </c>
      <c r="J117">
        <v>340</v>
      </c>
      <c r="K117">
        <v>170</v>
      </c>
      <c r="L117">
        <v>4.9000000000000004</v>
      </c>
      <c r="M117">
        <v>4.9800000000000004</v>
      </c>
      <c r="N117">
        <v>5.32</v>
      </c>
      <c r="Q117">
        <v>4</v>
      </c>
    </row>
    <row r="118" spans="1:17" x14ac:dyDescent="0.25">
      <c r="A118">
        <v>117</v>
      </c>
      <c r="B118" t="s">
        <v>1184</v>
      </c>
      <c r="E118" t="s">
        <v>626</v>
      </c>
      <c r="F118">
        <v>2</v>
      </c>
      <c r="G118" s="3">
        <v>42901</v>
      </c>
      <c r="H118" t="s">
        <v>666</v>
      </c>
      <c r="I118" t="s">
        <v>672</v>
      </c>
      <c r="J118">
        <v>230</v>
      </c>
      <c r="K118">
        <v>85</v>
      </c>
      <c r="L118">
        <v>0.56000000000000005</v>
      </c>
      <c r="M118" t="s">
        <v>135</v>
      </c>
      <c r="N118" t="s">
        <v>135</v>
      </c>
      <c r="Q118">
        <v>3</v>
      </c>
    </row>
    <row r="119" spans="1:17" x14ac:dyDescent="0.25">
      <c r="A119">
        <v>118</v>
      </c>
      <c r="B119" t="s">
        <v>4</v>
      </c>
      <c r="E119" t="str">
        <f>LEFT(B119,4)</f>
        <v>PEOB</v>
      </c>
      <c r="F119">
        <v>1</v>
      </c>
      <c r="G119" s="3">
        <v>42901</v>
      </c>
      <c r="H119">
        <v>3.9</v>
      </c>
      <c r="I119">
        <v>3.2</v>
      </c>
      <c r="J119">
        <v>410</v>
      </c>
      <c r="K119">
        <v>180</v>
      </c>
      <c r="L119">
        <v>2.6</v>
      </c>
      <c r="M119">
        <v>2.8</v>
      </c>
      <c r="N119">
        <v>2.97</v>
      </c>
      <c r="Q119">
        <v>4</v>
      </c>
    </row>
    <row r="120" spans="1:17" x14ac:dyDescent="0.25">
      <c r="A120">
        <v>119</v>
      </c>
      <c r="B120" t="s">
        <v>33</v>
      </c>
      <c r="E120" t="str">
        <f>LEFT(B120,4)</f>
        <v>DIMO</v>
      </c>
      <c r="F120">
        <v>2</v>
      </c>
      <c r="G120" s="3">
        <v>42901</v>
      </c>
      <c r="H120">
        <v>2.8</v>
      </c>
      <c r="I120">
        <v>1.73</v>
      </c>
      <c r="J120">
        <v>220</v>
      </c>
      <c r="K120">
        <v>120</v>
      </c>
      <c r="L120">
        <v>4.1500000000000004</v>
      </c>
      <c r="M120">
        <v>4.01</v>
      </c>
      <c r="N120">
        <v>4.0599999999999996</v>
      </c>
      <c r="Q120">
        <v>4</v>
      </c>
    </row>
    <row r="121" spans="1:17" x14ac:dyDescent="0.25">
      <c r="A121">
        <v>120</v>
      </c>
      <c r="B121" t="s">
        <v>1200</v>
      </c>
      <c r="C121" t="s">
        <v>17</v>
      </c>
      <c r="E121" t="s">
        <v>530</v>
      </c>
      <c r="F121">
        <v>1</v>
      </c>
      <c r="G121" s="3">
        <v>42901</v>
      </c>
      <c r="H121">
        <v>3</v>
      </c>
      <c r="I121">
        <v>0.5</v>
      </c>
      <c r="J121">
        <v>150</v>
      </c>
      <c r="K121">
        <v>20</v>
      </c>
      <c r="L121">
        <v>3.93</v>
      </c>
      <c r="M121">
        <v>3.14</v>
      </c>
      <c r="N121">
        <v>2.67</v>
      </c>
      <c r="Q121">
        <v>3</v>
      </c>
    </row>
    <row r="122" spans="1:17" x14ac:dyDescent="0.25">
      <c r="A122">
        <v>121</v>
      </c>
      <c r="B122" t="s">
        <v>472</v>
      </c>
      <c r="E122" t="str">
        <f>LEFT(B122,4)</f>
        <v>MYTO</v>
      </c>
      <c r="F122">
        <v>1</v>
      </c>
      <c r="G122" s="3">
        <v>42901</v>
      </c>
      <c r="H122">
        <v>4.0999999999999996</v>
      </c>
      <c r="I122">
        <v>1.5</v>
      </c>
      <c r="J122">
        <v>220</v>
      </c>
      <c r="K122">
        <v>30</v>
      </c>
      <c r="L122">
        <v>4.1500000000000004</v>
      </c>
      <c r="M122">
        <v>4.01</v>
      </c>
      <c r="N122">
        <v>4.0599999999999996</v>
      </c>
      <c r="Q122">
        <v>4</v>
      </c>
    </row>
    <row r="123" spans="1:17" x14ac:dyDescent="0.25">
      <c r="A123">
        <v>122</v>
      </c>
      <c r="B123" t="s">
        <v>13</v>
      </c>
      <c r="E123" t="str">
        <f>LEFT(B123,4)</f>
        <v>DIBU</v>
      </c>
      <c r="F123">
        <v>2</v>
      </c>
      <c r="G123" s="3">
        <v>42901</v>
      </c>
      <c r="H123">
        <v>8.5</v>
      </c>
      <c r="I123">
        <v>8</v>
      </c>
      <c r="J123">
        <v>230</v>
      </c>
      <c r="K123">
        <v>100</v>
      </c>
      <c r="L123">
        <v>15.66</v>
      </c>
      <c r="M123">
        <v>16.670000000000002</v>
      </c>
      <c r="N123">
        <v>15.17</v>
      </c>
      <c r="Q123">
        <v>4</v>
      </c>
    </row>
    <row r="124" spans="1:17" x14ac:dyDescent="0.25">
      <c r="A124">
        <v>123</v>
      </c>
      <c r="B124" t="s">
        <v>471</v>
      </c>
      <c r="C124" t="s">
        <v>1192</v>
      </c>
      <c r="E124" t="s">
        <v>384</v>
      </c>
      <c r="F124">
        <v>4</v>
      </c>
      <c r="G124" s="3">
        <v>42901</v>
      </c>
      <c r="H124">
        <v>11.8</v>
      </c>
      <c r="I124" t="s">
        <v>673</v>
      </c>
      <c r="J124">
        <v>390</v>
      </c>
      <c r="K124">
        <v>120</v>
      </c>
      <c r="L124">
        <v>26.2</v>
      </c>
      <c r="M124">
        <v>22.02</v>
      </c>
      <c r="N124">
        <v>22.27</v>
      </c>
      <c r="Q124">
        <v>5</v>
      </c>
    </row>
    <row r="125" spans="1:17" x14ac:dyDescent="0.25">
      <c r="A125">
        <v>124</v>
      </c>
      <c r="B125" t="s">
        <v>11</v>
      </c>
      <c r="E125" t="str">
        <f>LEFT(B125,4)</f>
        <v>SOLY</v>
      </c>
      <c r="F125">
        <v>1</v>
      </c>
      <c r="G125" s="3">
        <v>42901</v>
      </c>
      <c r="H125" t="s">
        <v>667</v>
      </c>
      <c r="I125" t="s">
        <v>135</v>
      </c>
      <c r="J125">
        <v>120</v>
      </c>
      <c r="K125">
        <v>0</v>
      </c>
      <c r="L125">
        <v>2.0299999999999998</v>
      </c>
      <c r="M125">
        <v>1.99</v>
      </c>
      <c r="N125">
        <v>2.1800000000000002</v>
      </c>
      <c r="Q125">
        <v>4</v>
      </c>
    </row>
    <row r="126" spans="1:17" x14ac:dyDescent="0.25">
      <c r="A126">
        <v>125</v>
      </c>
      <c r="B126" t="s">
        <v>9</v>
      </c>
      <c r="E126" t="str">
        <f>LEFT(B126,4)</f>
        <v>TAOC</v>
      </c>
      <c r="F126">
        <v>2</v>
      </c>
      <c r="G126" s="3">
        <v>42901</v>
      </c>
      <c r="H126">
        <v>2.92</v>
      </c>
      <c r="I126">
        <v>0.48</v>
      </c>
      <c r="J126">
        <v>150</v>
      </c>
      <c r="K126">
        <v>80</v>
      </c>
      <c r="L126">
        <v>10.8</v>
      </c>
      <c r="M126">
        <v>11.1</v>
      </c>
      <c r="N126">
        <v>8.01</v>
      </c>
      <c r="Q126">
        <v>4</v>
      </c>
    </row>
    <row r="127" spans="1:17" x14ac:dyDescent="0.25">
      <c r="A127">
        <v>126</v>
      </c>
      <c r="B127" t="s">
        <v>1183</v>
      </c>
      <c r="E127" t="s">
        <v>626</v>
      </c>
      <c r="F127">
        <v>1</v>
      </c>
      <c r="G127" s="3">
        <v>42901</v>
      </c>
      <c r="H127" t="s">
        <v>668</v>
      </c>
      <c r="I127" t="s">
        <v>674</v>
      </c>
      <c r="J127">
        <v>200</v>
      </c>
      <c r="K127">
        <v>60</v>
      </c>
      <c r="L127">
        <v>1.0900000000000001</v>
      </c>
      <c r="M127" t="s">
        <v>135</v>
      </c>
      <c r="N127" t="s">
        <v>135</v>
      </c>
      <c r="Q127">
        <v>4</v>
      </c>
    </row>
    <row r="128" spans="1:17" x14ac:dyDescent="0.25">
      <c r="A128">
        <v>127</v>
      </c>
      <c r="B128" t="s">
        <v>6</v>
      </c>
      <c r="E128" t="str">
        <f>LEFT(B128,4)</f>
        <v>MABR</v>
      </c>
      <c r="F128">
        <v>1</v>
      </c>
      <c r="G128" s="3">
        <v>42901</v>
      </c>
      <c r="H128">
        <v>3.4</v>
      </c>
      <c r="I128">
        <v>2.2000000000000002</v>
      </c>
      <c r="J128">
        <v>290</v>
      </c>
      <c r="K128">
        <v>140</v>
      </c>
      <c r="L128">
        <v>1.9</v>
      </c>
      <c r="M128">
        <v>1.6</v>
      </c>
      <c r="N128">
        <v>1.56</v>
      </c>
      <c r="Q128">
        <v>3</v>
      </c>
    </row>
    <row r="129" spans="1:17" x14ac:dyDescent="0.25">
      <c r="A129">
        <v>128</v>
      </c>
      <c r="B129" t="s">
        <v>143</v>
      </c>
      <c r="E129" t="str">
        <f>LEFT(B129,4)</f>
        <v>GOPO</v>
      </c>
      <c r="F129">
        <v>1</v>
      </c>
      <c r="G129" s="3">
        <v>42901</v>
      </c>
      <c r="H129">
        <v>15.5</v>
      </c>
      <c r="I129" t="s">
        <v>675</v>
      </c>
      <c r="J129">
        <v>550</v>
      </c>
      <c r="K129">
        <v>70</v>
      </c>
      <c r="L129">
        <v>23.75</v>
      </c>
      <c r="M129">
        <v>24.5</v>
      </c>
      <c r="N129">
        <v>27.4</v>
      </c>
      <c r="Q129">
        <v>5</v>
      </c>
    </row>
    <row r="130" spans="1:17" x14ac:dyDescent="0.25">
      <c r="A130">
        <v>129</v>
      </c>
      <c r="B130" t="s">
        <v>10</v>
      </c>
      <c r="E130" t="str">
        <f>LEFT(B130,4)</f>
        <v>TAOC</v>
      </c>
      <c r="F130">
        <v>1</v>
      </c>
      <c r="G130" s="3">
        <v>42901</v>
      </c>
      <c r="H130">
        <v>4.5</v>
      </c>
      <c r="I130" t="s">
        <v>676</v>
      </c>
      <c r="J130">
        <v>170</v>
      </c>
      <c r="K130">
        <v>110</v>
      </c>
      <c r="L130">
        <v>11.1</v>
      </c>
      <c r="M130">
        <v>15.5</v>
      </c>
      <c r="N130">
        <v>11</v>
      </c>
      <c r="Q130">
        <v>4</v>
      </c>
    </row>
    <row r="131" spans="1:17" x14ac:dyDescent="0.25">
      <c r="A131">
        <v>130</v>
      </c>
      <c r="B131" t="s">
        <v>14</v>
      </c>
      <c r="E131" t="str">
        <f>LEFT(B131,4)</f>
        <v>ERSU</v>
      </c>
      <c r="F131">
        <v>3</v>
      </c>
      <c r="G131" s="3">
        <v>42901</v>
      </c>
      <c r="H131">
        <v>6.2</v>
      </c>
      <c r="I131" t="s">
        <v>677</v>
      </c>
      <c r="J131">
        <v>240</v>
      </c>
      <c r="K131">
        <v>120</v>
      </c>
      <c r="L131">
        <v>17.5</v>
      </c>
      <c r="M131">
        <v>19.3</v>
      </c>
      <c r="N131">
        <v>16.3</v>
      </c>
      <c r="Q131">
        <v>4</v>
      </c>
    </row>
    <row r="132" spans="1:17" x14ac:dyDescent="0.25">
      <c r="A132">
        <v>131</v>
      </c>
      <c r="B132" t="s">
        <v>23</v>
      </c>
      <c r="E132" t="str">
        <f>LEFT(B132,4)</f>
        <v>OUSP</v>
      </c>
      <c r="F132">
        <v>1</v>
      </c>
      <c r="G132" s="3">
        <v>42901</v>
      </c>
      <c r="H132" t="s">
        <v>669</v>
      </c>
      <c r="I132" t="s">
        <v>678</v>
      </c>
      <c r="J132">
        <v>270</v>
      </c>
      <c r="K132">
        <v>80</v>
      </c>
      <c r="L132">
        <v>12.88</v>
      </c>
      <c r="M132">
        <v>14.48</v>
      </c>
      <c r="N132">
        <v>14.67</v>
      </c>
      <c r="Q132">
        <v>4</v>
      </c>
    </row>
    <row r="133" spans="1:17" x14ac:dyDescent="0.25">
      <c r="A133">
        <v>132</v>
      </c>
      <c r="B133" t="s">
        <v>1198</v>
      </c>
      <c r="C133" t="s">
        <v>474</v>
      </c>
      <c r="E133" t="s">
        <v>420</v>
      </c>
      <c r="F133">
        <v>2</v>
      </c>
      <c r="G133" s="3">
        <v>42901</v>
      </c>
      <c r="H133">
        <v>14.2</v>
      </c>
      <c r="I133" t="s">
        <v>679</v>
      </c>
      <c r="J133">
        <v>560</v>
      </c>
      <c r="K133">
        <v>230</v>
      </c>
      <c r="L133">
        <v>10.9</v>
      </c>
      <c r="M133">
        <v>15</v>
      </c>
      <c r="N133">
        <v>9.3000000000000007</v>
      </c>
      <c r="Q133">
        <v>5</v>
      </c>
    </row>
    <row r="134" spans="1:17" x14ac:dyDescent="0.25">
      <c r="A134">
        <v>133</v>
      </c>
      <c r="B134" t="s">
        <v>71</v>
      </c>
      <c r="E134" t="str">
        <f>LEFT(B134,4)</f>
        <v>TACA</v>
      </c>
      <c r="F134">
        <v>3</v>
      </c>
      <c r="G134" s="3">
        <v>42900</v>
      </c>
      <c r="H134">
        <v>7.8</v>
      </c>
      <c r="I134">
        <v>5.0999999999999996</v>
      </c>
      <c r="J134">
        <v>272</v>
      </c>
      <c r="K134">
        <v>45</v>
      </c>
      <c r="L134">
        <v>6.61</v>
      </c>
      <c r="M134">
        <v>8.02</v>
      </c>
      <c r="N134">
        <v>7.42</v>
      </c>
      <c r="Q134">
        <v>4</v>
      </c>
    </row>
    <row r="135" spans="1:17" x14ac:dyDescent="0.25">
      <c r="A135">
        <v>134</v>
      </c>
      <c r="B135" t="s">
        <v>1202</v>
      </c>
      <c r="C135" t="s">
        <v>680</v>
      </c>
      <c r="E135" t="s">
        <v>335</v>
      </c>
      <c r="F135">
        <v>4</v>
      </c>
      <c r="G135" s="3">
        <v>42900</v>
      </c>
      <c r="H135">
        <v>7</v>
      </c>
      <c r="I135" t="s">
        <v>686</v>
      </c>
      <c r="J135">
        <v>301</v>
      </c>
      <c r="K135">
        <v>100</v>
      </c>
      <c r="L135">
        <v>6.9</v>
      </c>
      <c r="M135">
        <v>4.5999999999999996</v>
      </c>
      <c r="N135">
        <v>6.7</v>
      </c>
      <c r="Q135">
        <v>4</v>
      </c>
    </row>
    <row r="136" spans="1:17" x14ac:dyDescent="0.25">
      <c r="A136">
        <v>135</v>
      </c>
      <c r="B136" t="s">
        <v>182</v>
      </c>
      <c r="E136" t="str">
        <f>LEFT(B136,4)</f>
        <v>QUGR</v>
      </c>
      <c r="F136">
        <v>2</v>
      </c>
      <c r="G136" s="3">
        <v>42900</v>
      </c>
      <c r="H136" t="s">
        <v>681</v>
      </c>
      <c r="I136" t="s">
        <v>687</v>
      </c>
      <c r="J136">
        <v>494</v>
      </c>
      <c r="K136">
        <v>170</v>
      </c>
      <c r="L136">
        <v>12.2</v>
      </c>
      <c r="M136">
        <v>12.7</v>
      </c>
      <c r="N136">
        <v>13.6</v>
      </c>
      <c r="Q136">
        <v>5</v>
      </c>
    </row>
    <row r="137" spans="1:17" x14ac:dyDescent="0.25">
      <c r="A137">
        <v>136</v>
      </c>
      <c r="B137" t="s">
        <v>99</v>
      </c>
      <c r="E137" t="str">
        <f>LEFT(B137,4)</f>
        <v>OCCO</v>
      </c>
      <c r="F137">
        <v>1</v>
      </c>
      <c r="G137" s="3">
        <v>42900</v>
      </c>
      <c r="H137" t="s">
        <v>682</v>
      </c>
      <c r="I137" t="s">
        <v>688</v>
      </c>
      <c r="J137">
        <v>340</v>
      </c>
      <c r="K137">
        <v>73</v>
      </c>
      <c r="L137">
        <v>1.95</v>
      </c>
      <c r="M137">
        <v>2.2000000000000002</v>
      </c>
      <c r="N137">
        <v>2.02</v>
      </c>
      <c r="Q137">
        <v>5</v>
      </c>
    </row>
    <row r="138" spans="1:17" x14ac:dyDescent="0.25">
      <c r="A138">
        <v>137</v>
      </c>
      <c r="B138" t="s">
        <v>94</v>
      </c>
      <c r="E138" t="str">
        <f>LEFT(B138,4)</f>
        <v>STCA</v>
      </c>
      <c r="F138">
        <v>4</v>
      </c>
      <c r="G138" s="3">
        <v>42900</v>
      </c>
      <c r="H138">
        <v>4.2</v>
      </c>
      <c r="I138" t="s">
        <v>689</v>
      </c>
      <c r="J138">
        <v>292</v>
      </c>
      <c r="K138">
        <v>132</v>
      </c>
      <c r="L138">
        <v>3.12</v>
      </c>
      <c r="M138">
        <v>2.39</v>
      </c>
      <c r="N138">
        <v>2.23</v>
      </c>
      <c r="Q138">
        <v>4</v>
      </c>
    </row>
    <row r="139" spans="1:17" x14ac:dyDescent="0.25">
      <c r="A139">
        <v>138</v>
      </c>
      <c r="B139" t="s">
        <v>105</v>
      </c>
      <c r="E139" t="str">
        <f>LEFT(B139,4)</f>
        <v>ERCU</v>
      </c>
      <c r="F139">
        <v>1</v>
      </c>
      <c r="G139" s="3">
        <v>42900</v>
      </c>
      <c r="H139">
        <v>0.9</v>
      </c>
      <c r="I139" t="s">
        <v>135</v>
      </c>
      <c r="J139">
        <v>127</v>
      </c>
      <c r="K139">
        <v>33</v>
      </c>
      <c r="L139">
        <v>0.67</v>
      </c>
      <c r="M139" t="s">
        <v>135</v>
      </c>
      <c r="N139" t="s">
        <v>135</v>
      </c>
      <c r="Q139">
        <v>4</v>
      </c>
    </row>
    <row r="140" spans="1:17" x14ac:dyDescent="0.25">
      <c r="A140">
        <v>139</v>
      </c>
      <c r="B140" t="s">
        <v>1196</v>
      </c>
      <c r="C140" t="s">
        <v>486</v>
      </c>
      <c r="E140" t="s">
        <v>384</v>
      </c>
      <c r="F140">
        <v>7</v>
      </c>
      <c r="G140" s="3">
        <v>42900</v>
      </c>
      <c r="H140">
        <v>22.7</v>
      </c>
      <c r="I140" t="s">
        <v>690</v>
      </c>
      <c r="J140">
        <v>535</v>
      </c>
      <c r="K140">
        <v>122</v>
      </c>
      <c r="L140">
        <v>27.5</v>
      </c>
      <c r="M140">
        <v>24.3</v>
      </c>
      <c r="N140">
        <v>27.6</v>
      </c>
      <c r="Q140">
        <v>5</v>
      </c>
    </row>
    <row r="141" spans="1:17" x14ac:dyDescent="0.25">
      <c r="A141">
        <v>140</v>
      </c>
      <c r="B141" t="s">
        <v>109</v>
      </c>
      <c r="E141" t="str">
        <f t="shared" ref="E141:E146" si="4">LEFT(B141,4)</f>
        <v>MAEL</v>
      </c>
      <c r="F141">
        <v>1</v>
      </c>
      <c r="G141" s="3">
        <v>42900</v>
      </c>
      <c r="H141" t="s">
        <v>683</v>
      </c>
      <c r="I141" t="s">
        <v>691</v>
      </c>
      <c r="J141">
        <v>302</v>
      </c>
      <c r="K141">
        <v>58</v>
      </c>
      <c r="L141">
        <v>1.38</v>
      </c>
      <c r="M141">
        <v>1.05</v>
      </c>
      <c r="N141">
        <v>1.36</v>
      </c>
      <c r="Q141">
        <v>4</v>
      </c>
    </row>
    <row r="142" spans="1:17" x14ac:dyDescent="0.25">
      <c r="A142">
        <v>141</v>
      </c>
      <c r="B142" t="s">
        <v>481</v>
      </c>
      <c r="E142" t="str">
        <f t="shared" si="4"/>
        <v>MYTO</v>
      </c>
      <c r="F142">
        <v>2</v>
      </c>
      <c r="G142" s="3">
        <v>42900</v>
      </c>
      <c r="H142">
        <v>5</v>
      </c>
      <c r="I142" t="s">
        <v>692</v>
      </c>
      <c r="J142">
        <v>210</v>
      </c>
      <c r="K142">
        <v>87</v>
      </c>
      <c r="L142">
        <v>2.2400000000000002</v>
      </c>
      <c r="M142">
        <v>2.5</v>
      </c>
      <c r="N142">
        <v>2.1</v>
      </c>
      <c r="Q142">
        <v>5</v>
      </c>
    </row>
    <row r="143" spans="1:17" x14ac:dyDescent="0.25">
      <c r="A143">
        <v>142</v>
      </c>
      <c r="B143" t="s">
        <v>111</v>
      </c>
      <c r="E143" t="str">
        <f t="shared" si="4"/>
        <v>CABR</v>
      </c>
      <c r="F143">
        <v>1</v>
      </c>
      <c r="G143" s="3">
        <v>42900</v>
      </c>
      <c r="H143">
        <v>4.5</v>
      </c>
      <c r="I143" t="s">
        <v>135</v>
      </c>
      <c r="J143">
        <v>127</v>
      </c>
      <c r="K143">
        <v>58</v>
      </c>
      <c r="L143">
        <v>11.8</v>
      </c>
      <c r="M143">
        <v>10.45</v>
      </c>
      <c r="N143">
        <v>10.24</v>
      </c>
      <c r="Q143">
        <v>5</v>
      </c>
    </row>
    <row r="144" spans="1:17" x14ac:dyDescent="0.25">
      <c r="A144">
        <v>143</v>
      </c>
      <c r="B144" t="s">
        <v>114</v>
      </c>
      <c r="E144" t="str">
        <f t="shared" si="4"/>
        <v>TACA</v>
      </c>
      <c r="F144">
        <v>2</v>
      </c>
      <c r="G144" s="3">
        <v>42900</v>
      </c>
      <c r="H144">
        <v>4.4000000000000004</v>
      </c>
      <c r="I144" t="s">
        <v>693</v>
      </c>
      <c r="J144">
        <v>260</v>
      </c>
      <c r="K144">
        <v>91</v>
      </c>
      <c r="L144">
        <v>3.88</v>
      </c>
      <c r="M144">
        <v>4.12</v>
      </c>
      <c r="N144">
        <v>3.89</v>
      </c>
      <c r="Q144">
        <v>5</v>
      </c>
    </row>
    <row r="145" spans="1:17" x14ac:dyDescent="0.25">
      <c r="A145">
        <v>144</v>
      </c>
      <c r="B145" t="s">
        <v>88</v>
      </c>
      <c r="E145" t="str">
        <f t="shared" si="4"/>
        <v>DUFU</v>
      </c>
      <c r="F145">
        <v>3</v>
      </c>
      <c r="G145" s="3">
        <v>42900</v>
      </c>
      <c r="H145">
        <v>3.1</v>
      </c>
      <c r="I145" t="s">
        <v>694</v>
      </c>
      <c r="J145">
        <v>253</v>
      </c>
      <c r="K145">
        <v>5</v>
      </c>
      <c r="L145">
        <v>2.2599999999999998</v>
      </c>
      <c r="M145">
        <v>1.89</v>
      </c>
      <c r="N145">
        <v>1.95</v>
      </c>
      <c r="Q145">
        <v>4</v>
      </c>
    </row>
    <row r="146" spans="1:17" x14ac:dyDescent="0.25">
      <c r="A146">
        <v>145</v>
      </c>
      <c r="B146" t="s">
        <v>103</v>
      </c>
      <c r="E146" t="str">
        <f t="shared" si="4"/>
        <v>TACA</v>
      </c>
      <c r="F146">
        <v>1</v>
      </c>
      <c r="G146" s="3">
        <v>42900</v>
      </c>
      <c r="H146">
        <v>3.8</v>
      </c>
      <c r="I146">
        <v>2.87</v>
      </c>
      <c r="J146">
        <v>205</v>
      </c>
      <c r="K146">
        <v>64</v>
      </c>
      <c r="L146">
        <v>3.3</v>
      </c>
      <c r="M146">
        <v>4.5</v>
      </c>
      <c r="N146">
        <v>5.08</v>
      </c>
      <c r="Q146">
        <v>4</v>
      </c>
    </row>
    <row r="147" spans="1:17" x14ac:dyDescent="0.25">
      <c r="A147">
        <v>146</v>
      </c>
      <c r="B147" t="s">
        <v>107</v>
      </c>
      <c r="E147" t="s">
        <v>373</v>
      </c>
      <c r="F147">
        <v>1</v>
      </c>
      <c r="G147" s="3">
        <v>42900</v>
      </c>
      <c r="H147" t="s">
        <v>684</v>
      </c>
      <c r="I147" t="s">
        <v>135</v>
      </c>
      <c r="J147">
        <v>154</v>
      </c>
      <c r="K147">
        <v>44</v>
      </c>
      <c r="L147">
        <v>0.62</v>
      </c>
      <c r="M147">
        <v>0.98</v>
      </c>
      <c r="N147">
        <v>0.87</v>
      </c>
      <c r="Q147">
        <v>4</v>
      </c>
    </row>
    <row r="148" spans="1:17" x14ac:dyDescent="0.25">
      <c r="A148">
        <v>147</v>
      </c>
      <c r="B148" t="s">
        <v>90</v>
      </c>
      <c r="E148" t="str">
        <f>LEFT(B148,4)</f>
        <v>BADR</v>
      </c>
      <c r="F148">
        <v>1</v>
      </c>
      <c r="G148" s="3">
        <v>42900</v>
      </c>
      <c r="H148">
        <v>1.37</v>
      </c>
      <c r="I148">
        <v>0.7</v>
      </c>
      <c r="J148">
        <v>232</v>
      </c>
      <c r="K148">
        <v>105</v>
      </c>
      <c r="L148">
        <v>0.71</v>
      </c>
      <c r="M148" t="s">
        <v>135</v>
      </c>
      <c r="N148" t="s">
        <v>135</v>
      </c>
      <c r="Q148">
        <v>4</v>
      </c>
    </row>
    <row r="149" spans="1:17" x14ac:dyDescent="0.25">
      <c r="A149">
        <v>148</v>
      </c>
      <c r="B149" t="s">
        <v>106</v>
      </c>
      <c r="E149" t="str">
        <f>LEFT(B149,4)</f>
        <v>PEOB</v>
      </c>
      <c r="F149">
        <v>2</v>
      </c>
      <c r="G149" s="3">
        <v>42900</v>
      </c>
      <c r="H149" t="s">
        <v>685</v>
      </c>
      <c r="I149" t="s">
        <v>695</v>
      </c>
      <c r="J149">
        <v>384</v>
      </c>
      <c r="K149">
        <v>148</v>
      </c>
      <c r="L149">
        <v>6.46</v>
      </c>
      <c r="M149">
        <v>4.63</v>
      </c>
      <c r="N149">
        <v>5.15</v>
      </c>
      <c r="Q149">
        <v>3</v>
      </c>
    </row>
    <row r="150" spans="1:17" x14ac:dyDescent="0.25">
      <c r="A150">
        <v>149</v>
      </c>
      <c r="B150" t="s">
        <v>1195</v>
      </c>
      <c r="C150" t="s">
        <v>478</v>
      </c>
      <c r="E150" t="s">
        <v>384</v>
      </c>
      <c r="F150">
        <v>6</v>
      </c>
      <c r="G150" s="3">
        <v>42900</v>
      </c>
      <c r="H150">
        <v>17.7</v>
      </c>
      <c r="I150">
        <v>16.7</v>
      </c>
      <c r="J150">
        <v>595</v>
      </c>
      <c r="K150">
        <v>286</v>
      </c>
      <c r="L150">
        <v>26.5</v>
      </c>
      <c r="M150">
        <v>24.3</v>
      </c>
      <c r="N150">
        <v>23.3</v>
      </c>
      <c r="Q150">
        <v>5</v>
      </c>
    </row>
    <row r="151" spans="1:17" x14ac:dyDescent="0.25">
      <c r="A151">
        <v>150</v>
      </c>
      <c r="B151" t="s">
        <v>124</v>
      </c>
      <c r="E151" t="str">
        <f>LEFT(B151,4)</f>
        <v>GOBA</v>
      </c>
      <c r="F151">
        <v>2</v>
      </c>
      <c r="G151" s="3">
        <v>42900</v>
      </c>
      <c r="H151">
        <v>7</v>
      </c>
      <c r="I151" t="s">
        <v>697</v>
      </c>
      <c r="J151">
        <v>277</v>
      </c>
      <c r="K151">
        <v>95</v>
      </c>
      <c r="L151">
        <v>4.8</v>
      </c>
      <c r="M151">
        <v>4.5599999999999996</v>
      </c>
      <c r="N151">
        <v>4.78</v>
      </c>
      <c r="Q151">
        <v>5</v>
      </c>
    </row>
    <row r="152" spans="1:17" x14ac:dyDescent="0.25">
      <c r="A152">
        <v>151</v>
      </c>
      <c r="B152" t="s">
        <v>101</v>
      </c>
      <c r="E152" t="str">
        <f>LEFT(B152,4)</f>
        <v>ERSU</v>
      </c>
      <c r="F152">
        <v>4</v>
      </c>
      <c r="G152" s="3">
        <v>42900</v>
      </c>
      <c r="H152" t="s">
        <v>696</v>
      </c>
      <c r="I152" t="s">
        <v>698</v>
      </c>
      <c r="J152">
        <v>177</v>
      </c>
      <c r="K152">
        <v>25</v>
      </c>
      <c r="L152">
        <v>12.06</v>
      </c>
      <c r="M152">
        <v>13.29</v>
      </c>
      <c r="N152">
        <v>15.73</v>
      </c>
      <c r="Q152">
        <v>5</v>
      </c>
    </row>
    <row r="153" spans="1:17" x14ac:dyDescent="0.25">
      <c r="A153">
        <v>152</v>
      </c>
      <c r="B153" t="s">
        <v>485</v>
      </c>
      <c r="E153" t="str">
        <f>LEFT(B153,4)</f>
        <v>OUSP</v>
      </c>
      <c r="F153">
        <v>2</v>
      </c>
      <c r="G153" s="3">
        <v>42900</v>
      </c>
      <c r="H153">
        <v>9.6</v>
      </c>
      <c r="I153" t="s">
        <v>707</v>
      </c>
      <c r="J153">
        <v>230</v>
      </c>
      <c r="K153">
        <v>45</v>
      </c>
      <c r="L153">
        <v>12.84</v>
      </c>
      <c r="M153">
        <v>10.8</v>
      </c>
      <c r="N153">
        <v>10.6</v>
      </c>
      <c r="Q153">
        <v>5</v>
      </c>
    </row>
    <row r="154" spans="1:17" x14ac:dyDescent="0.25">
      <c r="A154">
        <v>153</v>
      </c>
      <c r="B154" t="s">
        <v>76</v>
      </c>
      <c r="E154" t="str">
        <f>LEFT(B154,4)</f>
        <v>ZARH</v>
      </c>
      <c r="F154">
        <v>1</v>
      </c>
      <c r="G154" s="3">
        <v>42900</v>
      </c>
      <c r="H154">
        <v>2.1800000000000002</v>
      </c>
      <c r="I154" t="s">
        <v>135</v>
      </c>
      <c r="J154">
        <v>115</v>
      </c>
      <c r="K154">
        <v>50</v>
      </c>
      <c r="L154">
        <v>2.0699999999999998</v>
      </c>
      <c r="M154">
        <v>1.96</v>
      </c>
      <c r="N154">
        <v>1.89</v>
      </c>
      <c r="Q154">
        <v>5</v>
      </c>
    </row>
    <row r="155" spans="1:17" x14ac:dyDescent="0.25">
      <c r="A155">
        <v>154</v>
      </c>
      <c r="B155" t="s">
        <v>184</v>
      </c>
      <c r="E155" t="str">
        <f>LEFT(B155,4)</f>
        <v>CABR</v>
      </c>
      <c r="F155">
        <v>2</v>
      </c>
      <c r="G155" s="3">
        <v>42900</v>
      </c>
      <c r="H155">
        <v>4.5</v>
      </c>
      <c r="I155">
        <v>1.0900000000000001</v>
      </c>
      <c r="J155">
        <v>148</v>
      </c>
      <c r="K155">
        <v>40</v>
      </c>
      <c r="L155">
        <v>10.08</v>
      </c>
      <c r="M155">
        <v>10.95</v>
      </c>
      <c r="N155">
        <v>8.92</v>
      </c>
      <c r="Q155">
        <v>4</v>
      </c>
    </row>
    <row r="156" spans="1:17" x14ac:dyDescent="0.25">
      <c r="A156">
        <v>155</v>
      </c>
      <c r="B156" t="s">
        <v>1214</v>
      </c>
      <c r="C156" t="s">
        <v>96</v>
      </c>
      <c r="E156" t="s">
        <v>382</v>
      </c>
      <c r="F156">
        <v>6</v>
      </c>
      <c r="G156" s="3">
        <v>42900</v>
      </c>
      <c r="H156" t="s">
        <v>700</v>
      </c>
      <c r="I156" t="s">
        <v>708</v>
      </c>
      <c r="J156">
        <v>180</v>
      </c>
      <c r="K156">
        <v>55</v>
      </c>
      <c r="L156">
        <v>1.28</v>
      </c>
      <c r="M156">
        <v>1.6</v>
      </c>
      <c r="N156">
        <v>1.59</v>
      </c>
      <c r="Q156">
        <v>5</v>
      </c>
    </row>
    <row r="157" spans="1:17" x14ac:dyDescent="0.25">
      <c r="A157">
        <v>156</v>
      </c>
      <c r="B157" t="s">
        <v>78</v>
      </c>
      <c r="E157" t="str">
        <f t="shared" ref="E157:E162" si="5">LEFT(B157,4)</f>
        <v>AEVE</v>
      </c>
      <c r="F157">
        <v>3</v>
      </c>
      <c r="G157" s="3">
        <v>42900</v>
      </c>
      <c r="H157">
        <v>7.3</v>
      </c>
      <c r="I157">
        <v>5.5</v>
      </c>
      <c r="J157">
        <v>325</v>
      </c>
      <c r="K157">
        <v>140</v>
      </c>
      <c r="L157">
        <v>8.18</v>
      </c>
      <c r="M157">
        <v>9</v>
      </c>
      <c r="N157">
        <v>9.06</v>
      </c>
      <c r="Q157">
        <v>5</v>
      </c>
    </row>
    <row r="158" spans="1:17" x14ac:dyDescent="0.25">
      <c r="A158">
        <v>157</v>
      </c>
      <c r="B158" t="s">
        <v>115</v>
      </c>
      <c r="E158" t="str">
        <f t="shared" si="5"/>
        <v>PEOB</v>
      </c>
      <c r="F158">
        <v>3</v>
      </c>
      <c r="G158" s="3">
        <v>42900</v>
      </c>
      <c r="H158" t="s">
        <v>701</v>
      </c>
      <c r="I158" t="s">
        <v>709</v>
      </c>
      <c r="J158">
        <v>430</v>
      </c>
      <c r="K158">
        <v>20</v>
      </c>
      <c r="L158">
        <v>2.7</v>
      </c>
      <c r="M158">
        <v>2.1800000000000002</v>
      </c>
      <c r="N158">
        <v>2.46</v>
      </c>
      <c r="Q158">
        <v>5</v>
      </c>
    </row>
    <row r="159" spans="1:17" x14ac:dyDescent="0.25">
      <c r="A159">
        <v>158</v>
      </c>
      <c r="B159" t="s">
        <v>72</v>
      </c>
      <c r="E159" t="str">
        <f t="shared" si="5"/>
        <v>TACA</v>
      </c>
      <c r="F159">
        <v>4</v>
      </c>
      <c r="G159" s="3">
        <v>42900</v>
      </c>
      <c r="H159" t="s">
        <v>702</v>
      </c>
      <c r="I159" t="s">
        <v>710</v>
      </c>
      <c r="J159">
        <v>332</v>
      </c>
      <c r="K159">
        <v>60</v>
      </c>
      <c r="L159">
        <v>8.0500000000000007</v>
      </c>
      <c r="M159">
        <v>9.09</v>
      </c>
      <c r="N159">
        <v>8.18</v>
      </c>
      <c r="Q159">
        <v>4</v>
      </c>
    </row>
    <row r="160" spans="1:17" x14ac:dyDescent="0.25">
      <c r="A160">
        <v>159</v>
      </c>
      <c r="B160" t="s">
        <v>74</v>
      </c>
      <c r="E160" t="str">
        <f t="shared" si="5"/>
        <v>OCCO</v>
      </c>
      <c r="F160">
        <v>2</v>
      </c>
      <c r="G160" s="3">
        <v>42900</v>
      </c>
      <c r="H160">
        <v>16.5</v>
      </c>
      <c r="I160">
        <v>13.8</v>
      </c>
      <c r="J160">
        <v>600</v>
      </c>
      <c r="K160">
        <v>210</v>
      </c>
      <c r="L160">
        <v>5.28</v>
      </c>
      <c r="M160">
        <v>6.6</v>
      </c>
      <c r="N160">
        <v>6.61</v>
      </c>
      <c r="Q160">
        <v>5</v>
      </c>
    </row>
    <row r="161" spans="1:17" x14ac:dyDescent="0.25">
      <c r="A161">
        <v>160</v>
      </c>
      <c r="B161" t="s">
        <v>122</v>
      </c>
      <c r="E161" t="str">
        <f t="shared" si="5"/>
        <v>VOTU</v>
      </c>
      <c r="F161">
        <v>2</v>
      </c>
      <c r="G161" s="3">
        <v>42900</v>
      </c>
      <c r="H161" t="s">
        <v>703</v>
      </c>
      <c r="I161" t="s">
        <v>711</v>
      </c>
      <c r="J161">
        <v>420</v>
      </c>
      <c r="K161">
        <v>20</v>
      </c>
      <c r="L161">
        <v>6.4</v>
      </c>
      <c r="M161">
        <v>6.81</v>
      </c>
      <c r="N161">
        <v>6.22</v>
      </c>
      <c r="Q161">
        <v>5</v>
      </c>
    </row>
    <row r="162" spans="1:17" x14ac:dyDescent="0.25">
      <c r="A162">
        <v>161</v>
      </c>
      <c r="B162" t="s">
        <v>100</v>
      </c>
      <c r="E162" t="str">
        <f t="shared" si="5"/>
        <v>ERSU</v>
      </c>
      <c r="F162">
        <v>5</v>
      </c>
      <c r="G162" s="3">
        <v>42900</v>
      </c>
      <c r="H162" t="s">
        <v>704</v>
      </c>
      <c r="I162" t="s">
        <v>712</v>
      </c>
      <c r="J162">
        <v>242</v>
      </c>
      <c r="K162">
        <v>53</v>
      </c>
      <c r="L162">
        <v>12.11</v>
      </c>
      <c r="M162">
        <v>12.74</v>
      </c>
      <c r="N162">
        <v>11.75</v>
      </c>
      <c r="Q162">
        <v>4</v>
      </c>
    </row>
    <row r="163" spans="1:17" x14ac:dyDescent="0.25">
      <c r="A163">
        <v>162</v>
      </c>
      <c r="B163" t="s">
        <v>1215</v>
      </c>
      <c r="C163" t="s">
        <v>89</v>
      </c>
      <c r="E163" t="s">
        <v>382</v>
      </c>
      <c r="F163">
        <v>3</v>
      </c>
      <c r="G163" s="3">
        <v>42900</v>
      </c>
      <c r="H163">
        <v>1.61</v>
      </c>
      <c r="I163">
        <v>2.54</v>
      </c>
      <c r="J163">
        <v>225</v>
      </c>
      <c r="K163">
        <v>60</v>
      </c>
      <c r="L163">
        <v>2.5</v>
      </c>
      <c r="M163">
        <v>2.4</v>
      </c>
      <c r="N163">
        <v>2.2200000000000002</v>
      </c>
      <c r="Q163">
        <v>4</v>
      </c>
    </row>
    <row r="164" spans="1:17" x14ac:dyDescent="0.25">
      <c r="A164">
        <v>163</v>
      </c>
      <c r="B164" t="s">
        <v>1201</v>
      </c>
      <c r="C164" t="s">
        <v>699</v>
      </c>
      <c r="E164" t="s">
        <v>530</v>
      </c>
      <c r="F164">
        <v>2</v>
      </c>
      <c r="G164" s="3">
        <v>42900</v>
      </c>
      <c r="H164">
        <v>3.3</v>
      </c>
      <c r="I164" t="s">
        <v>713</v>
      </c>
      <c r="J164">
        <v>169</v>
      </c>
      <c r="K164">
        <v>40</v>
      </c>
      <c r="L164">
        <v>1.98</v>
      </c>
      <c r="M164">
        <v>2.33</v>
      </c>
      <c r="N164">
        <v>1.58</v>
      </c>
      <c r="Q164">
        <v>4</v>
      </c>
    </row>
    <row r="165" spans="1:17" x14ac:dyDescent="0.25">
      <c r="A165">
        <v>164</v>
      </c>
      <c r="B165" t="s">
        <v>83</v>
      </c>
      <c r="E165" t="str">
        <f>LEFT(B165,4)</f>
        <v>MAAC</v>
      </c>
      <c r="F165">
        <v>2</v>
      </c>
      <c r="G165" s="3">
        <v>42900</v>
      </c>
      <c r="H165">
        <v>4.5</v>
      </c>
      <c r="I165" t="s">
        <v>714</v>
      </c>
      <c r="J165">
        <v>252</v>
      </c>
      <c r="K165">
        <v>110</v>
      </c>
      <c r="L165">
        <v>6.7</v>
      </c>
      <c r="M165">
        <v>6.05</v>
      </c>
      <c r="N165">
        <v>5.19</v>
      </c>
      <c r="Q165">
        <v>4</v>
      </c>
    </row>
    <row r="166" spans="1:17" x14ac:dyDescent="0.25">
      <c r="A166">
        <v>165</v>
      </c>
      <c r="B166" t="s">
        <v>82</v>
      </c>
      <c r="E166" t="str">
        <f>LEFT(B166,4)</f>
        <v>CASY</v>
      </c>
      <c r="F166">
        <v>1</v>
      </c>
      <c r="G166" s="3">
        <v>42900</v>
      </c>
      <c r="H166" t="s">
        <v>705</v>
      </c>
      <c r="I166" t="s">
        <v>715</v>
      </c>
      <c r="J166">
        <v>302</v>
      </c>
      <c r="K166">
        <v>30</v>
      </c>
      <c r="L166">
        <v>4.74</v>
      </c>
      <c r="M166">
        <v>5.18</v>
      </c>
      <c r="N166">
        <v>5.4</v>
      </c>
      <c r="Q166">
        <v>4</v>
      </c>
    </row>
    <row r="167" spans="1:17" x14ac:dyDescent="0.25">
      <c r="A167">
        <v>166</v>
      </c>
      <c r="B167" t="s">
        <v>84</v>
      </c>
      <c r="E167" t="str">
        <f>LEFT(B167,4)</f>
        <v>MAEL</v>
      </c>
      <c r="F167">
        <v>2</v>
      </c>
      <c r="G167" s="3">
        <v>42900</v>
      </c>
      <c r="H167" t="s">
        <v>706</v>
      </c>
      <c r="I167" t="s">
        <v>716</v>
      </c>
      <c r="J167">
        <v>260</v>
      </c>
      <c r="K167">
        <v>32</v>
      </c>
      <c r="L167">
        <v>1.64</v>
      </c>
      <c r="M167">
        <v>1.71</v>
      </c>
      <c r="N167">
        <v>1.35</v>
      </c>
      <c r="Q167">
        <v>4</v>
      </c>
    </row>
    <row r="168" spans="1:17" x14ac:dyDescent="0.25">
      <c r="A168">
        <v>167</v>
      </c>
      <c r="B168" t="s">
        <v>123</v>
      </c>
      <c r="E168" t="str">
        <f>LEFT(B168,4)</f>
        <v>ERCU</v>
      </c>
      <c r="F168">
        <v>2</v>
      </c>
      <c r="G168" s="3">
        <v>42900</v>
      </c>
      <c r="H168">
        <v>0.74</v>
      </c>
      <c r="I168">
        <v>0.43</v>
      </c>
      <c r="J168">
        <v>160</v>
      </c>
      <c r="K168">
        <v>50</v>
      </c>
      <c r="L168">
        <v>0.67</v>
      </c>
      <c r="M168" t="s">
        <v>135</v>
      </c>
      <c r="N168" t="s">
        <v>135</v>
      </c>
      <c r="Q168">
        <v>4</v>
      </c>
    </row>
    <row r="169" spans="1:17" x14ac:dyDescent="0.25">
      <c r="A169">
        <v>168</v>
      </c>
      <c r="B169" t="s">
        <v>459</v>
      </c>
      <c r="E169" t="str">
        <f>LEFT(B169,4)</f>
        <v>GOPO</v>
      </c>
      <c r="F169">
        <v>5</v>
      </c>
      <c r="G169" s="3">
        <v>42907</v>
      </c>
      <c r="H169">
        <v>26</v>
      </c>
      <c r="I169" t="s">
        <v>720</v>
      </c>
      <c r="J169">
        <v>500</v>
      </c>
      <c r="K169">
        <v>100</v>
      </c>
      <c r="L169">
        <v>36.54</v>
      </c>
      <c r="M169">
        <v>29.13</v>
      </c>
      <c r="N169">
        <v>32.729999999999997</v>
      </c>
      <c r="Q169">
        <v>5</v>
      </c>
    </row>
    <row r="170" spans="1:17" x14ac:dyDescent="0.25">
      <c r="A170">
        <v>169</v>
      </c>
      <c r="B170" t="s">
        <v>1206</v>
      </c>
      <c r="C170" t="s">
        <v>466</v>
      </c>
      <c r="E170" t="s">
        <v>1207</v>
      </c>
      <c r="F170">
        <v>1</v>
      </c>
      <c r="G170" s="3">
        <v>42907</v>
      </c>
      <c r="H170">
        <v>21.5</v>
      </c>
      <c r="I170">
        <v>18.600000000000001</v>
      </c>
      <c r="J170">
        <v>675</v>
      </c>
      <c r="K170">
        <v>305</v>
      </c>
      <c r="L170">
        <v>13.06</v>
      </c>
      <c r="M170">
        <v>11.83</v>
      </c>
      <c r="N170">
        <v>13.15</v>
      </c>
      <c r="Q170">
        <v>5</v>
      </c>
    </row>
    <row r="171" spans="1:17" x14ac:dyDescent="0.25">
      <c r="A171">
        <v>170</v>
      </c>
      <c r="B171" t="s">
        <v>464</v>
      </c>
      <c r="E171" t="s">
        <v>463</v>
      </c>
      <c r="F171">
        <v>1</v>
      </c>
      <c r="G171" s="3">
        <v>42907</v>
      </c>
      <c r="H171">
        <v>4</v>
      </c>
      <c r="I171">
        <v>3.2</v>
      </c>
      <c r="J171">
        <v>430</v>
      </c>
      <c r="K171">
        <v>135</v>
      </c>
      <c r="L171">
        <v>2.64</v>
      </c>
      <c r="M171">
        <v>2.4</v>
      </c>
      <c r="N171">
        <v>2.0699999999999998</v>
      </c>
      <c r="Q171">
        <v>4</v>
      </c>
    </row>
    <row r="172" spans="1:17" x14ac:dyDescent="0.25">
      <c r="A172">
        <v>171</v>
      </c>
      <c r="B172" t="s">
        <v>460</v>
      </c>
      <c r="E172" t="str">
        <f t="shared" ref="E172:E186" si="6">LEFT(B172,4)</f>
        <v>QUGR</v>
      </c>
      <c r="F172">
        <v>3</v>
      </c>
      <c r="G172" s="3">
        <v>42907</v>
      </c>
      <c r="H172">
        <v>9.4</v>
      </c>
      <c r="I172" t="s">
        <v>721</v>
      </c>
      <c r="J172">
        <v>265</v>
      </c>
      <c r="K172">
        <v>110</v>
      </c>
      <c r="L172">
        <v>10.66</v>
      </c>
      <c r="M172">
        <v>10.72</v>
      </c>
      <c r="N172">
        <v>10.51</v>
      </c>
      <c r="Q172">
        <v>5</v>
      </c>
    </row>
    <row r="173" spans="1:17" x14ac:dyDescent="0.25">
      <c r="A173">
        <v>172</v>
      </c>
      <c r="B173" t="s">
        <v>456</v>
      </c>
      <c r="E173" t="str">
        <f t="shared" si="6"/>
        <v>OUSP</v>
      </c>
      <c r="F173">
        <v>5</v>
      </c>
      <c r="G173" s="3">
        <v>42907</v>
      </c>
      <c r="H173">
        <v>12.5</v>
      </c>
      <c r="I173">
        <v>11.5</v>
      </c>
      <c r="J173">
        <v>385</v>
      </c>
      <c r="K173">
        <v>240</v>
      </c>
      <c r="L173">
        <v>13.67</v>
      </c>
      <c r="M173">
        <v>11.4</v>
      </c>
      <c r="N173">
        <v>12.2</v>
      </c>
      <c r="Q173">
        <v>5</v>
      </c>
    </row>
    <row r="174" spans="1:17" x14ac:dyDescent="0.25">
      <c r="A174">
        <v>173</v>
      </c>
      <c r="B174" t="s">
        <v>461</v>
      </c>
      <c r="E174" t="str">
        <f t="shared" si="6"/>
        <v>AEVE</v>
      </c>
      <c r="F174">
        <v>5</v>
      </c>
      <c r="G174" s="3">
        <v>42907</v>
      </c>
      <c r="H174">
        <v>8.9</v>
      </c>
      <c r="I174">
        <v>7.1</v>
      </c>
      <c r="J174">
        <v>545</v>
      </c>
      <c r="K174">
        <v>340</v>
      </c>
      <c r="L174">
        <v>10.98</v>
      </c>
      <c r="M174">
        <v>10.97</v>
      </c>
      <c r="N174">
        <v>10.95</v>
      </c>
      <c r="Q174">
        <v>5</v>
      </c>
    </row>
    <row r="175" spans="1:17" x14ac:dyDescent="0.25">
      <c r="A175">
        <v>174</v>
      </c>
      <c r="B175" t="s">
        <v>452</v>
      </c>
      <c r="E175" t="str">
        <f t="shared" si="6"/>
        <v>STFE</v>
      </c>
      <c r="F175">
        <v>5</v>
      </c>
      <c r="G175" s="3">
        <v>42907</v>
      </c>
      <c r="H175">
        <v>11.1</v>
      </c>
      <c r="I175">
        <v>7.7</v>
      </c>
      <c r="J175">
        <v>405</v>
      </c>
      <c r="K175">
        <v>150</v>
      </c>
      <c r="L175">
        <v>20.100000000000001</v>
      </c>
      <c r="M175">
        <v>18.600000000000001</v>
      </c>
      <c r="N175">
        <v>18.77</v>
      </c>
      <c r="Q175">
        <v>5</v>
      </c>
    </row>
    <row r="176" spans="1:17" x14ac:dyDescent="0.25">
      <c r="A176">
        <v>175</v>
      </c>
      <c r="B176" t="s">
        <v>458</v>
      </c>
      <c r="E176" t="str">
        <f t="shared" si="6"/>
        <v>AMIN</v>
      </c>
      <c r="F176">
        <v>1</v>
      </c>
      <c r="G176" s="3">
        <v>42907</v>
      </c>
      <c r="H176">
        <v>2.2999999999999998</v>
      </c>
      <c r="I176">
        <v>2.2000000000000002</v>
      </c>
      <c r="J176">
        <v>250</v>
      </c>
      <c r="K176">
        <v>100</v>
      </c>
      <c r="L176">
        <v>1.8</v>
      </c>
      <c r="M176">
        <v>1.78</v>
      </c>
      <c r="N176">
        <v>2.2000000000000002</v>
      </c>
      <c r="Q176">
        <v>3</v>
      </c>
    </row>
    <row r="177" spans="1:17" x14ac:dyDescent="0.25">
      <c r="A177">
        <v>176</v>
      </c>
      <c r="B177" t="s">
        <v>455</v>
      </c>
      <c r="E177" t="str">
        <f t="shared" si="6"/>
        <v>RAGU</v>
      </c>
      <c r="F177">
        <v>2</v>
      </c>
      <c r="G177" s="3">
        <v>42907</v>
      </c>
      <c r="H177" t="s">
        <v>717</v>
      </c>
      <c r="I177">
        <v>1.6</v>
      </c>
      <c r="J177">
        <v>170</v>
      </c>
      <c r="K177">
        <v>90</v>
      </c>
      <c r="L177">
        <v>4.57</v>
      </c>
      <c r="M177">
        <v>3.46</v>
      </c>
      <c r="N177">
        <v>3.49</v>
      </c>
      <c r="Q177">
        <v>4</v>
      </c>
    </row>
    <row r="178" spans="1:17" x14ac:dyDescent="0.25">
      <c r="A178">
        <v>177</v>
      </c>
      <c r="B178" t="s">
        <v>457</v>
      </c>
      <c r="E178" t="str">
        <f t="shared" si="6"/>
        <v>AMIN</v>
      </c>
      <c r="F178">
        <v>2</v>
      </c>
      <c r="G178" s="3">
        <v>42907</v>
      </c>
      <c r="H178" t="s">
        <v>718</v>
      </c>
      <c r="I178" t="s">
        <v>722</v>
      </c>
      <c r="J178">
        <v>245</v>
      </c>
      <c r="K178">
        <v>60</v>
      </c>
      <c r="L178">
        <v>1.2</v>
      </c>
      <c r="M178">
        <v>1.1499999999999999</v>
      </c>
      <c r="N178">
        <v>1.1200000000000001</v>
      </c>
      <c r="Q178">
        <v>4</v>
      </c>
    </row>
    <row r="179" spans="1:17" x14ac:dyDescent="0.25">
      <c r="A179">
        <v>178</v>
      </c>
      <c r="B179" t="s">
        <v>462</v>
      </c>
      <c r="E179" t="str">
        <f t="shared" si="6"/>
        <v>QUMU</v>
      </c>
      <c r="F179">
        <v>1</v>
      </c>
      <c r="G179" s="3">
        <v>42907</v>
      </c>
      <c r="H179">
        <v>14</v>
      </c>
      <c r="I179">
        <v>13.5</v>
      </c>
      <c r="J179">
        <v>415</v>
      </c>
      <c r="K179">
        <v>245</v>
      </c>
      <c r="L179">
        <v>10.57</v>
      </c>
      <c r="M179">
        <v>13</v>
      </c>
      <c r="N179">
        <v>12.72</v>
      </c>
      <c r="Q179">
        <v>3</v>
      </c>
    </row>
    <row r="180" spans="1:17" x14ac:dyDescent="0.25">
      <c r="A180">
        <v>179</v>
      </c>
      <c r="B180" t="s">
        <v>454</v>
      </c>
      <c r="E180" t="str">
        <f t="shared" si="6"/>
        <v>RAGU</v>
      </c>
      <c r="F180">
        <v>3</v>
      </c>
      <c r="G180" s="3">
        <v>42907</v>
      </c>
      <c r="H180">
        <v>5.2</v>
      </c>
      <c r="I180">
        <v>3.2</v>
      </c>
      <c r="J180">
        <v>286</v>
      </c>
      <c r="K180">
        <v>205</v>
      </c>
      <c r="L180">
        <v>7.85</v>
      </c>
      <c r="M180">
        <v>7.51</v>
      </c>
      <c r="N180">
        <v>8.77</v>
      </c>
      <c r="Q180">
        <v>3</v>
      </c>
    </row>
    <row r="181" spans="1:17" x14ac:dyDescent="0.25">
      <c r="A181">
        <v>180</v>
      </c>
      <c r="B181" t="s">
        <v>445</v>
      </c>
      <c r="E181" t="str">
        <f t="shared" si="6"/>
        <v>QUMU</v>
      </c>
      <c r="F181">
        <v>2</v>
      </c>
      <c r="G181" s="3">
        <v>42907</v>
      </c>
      <c r="H181">
        <v>6.8</v>
      </c>
      <c r="I181">
        <v>7.3</v>
      </c>
      <c r="J181">
        <v>335</v>
      </c>
      <c r="K181">
        <v>180</v>
      </c>
      <c r="L181">
        <v>8.06</v>
      </c>
      <c r="M181">
        <v>7.58</v>
      </c>
      <c r="N181">
        <v>7.78</v>
      </c>
      <c r="Q181">
        <v>4</v>
      </c>
    </row>
    <row r="182" spans="1:17" x14ac:dyDescent="0.25">
      <c r="A182">
        <v>181</v>
      </c>
      <c r="B182" t="s">
        <v>448</v>
      </c>
      <c r="E182" t="str">
        <f t="shared" si="6"/>
        <v>POTO</v>
      </c>
      <c r="F182">
        <v>1</v>
      </c>
      <c r="G182" s="3">
        <v>42907</v>
      </c>
      <c r="H182" t="s">
        <v>719</v>
      </c>
      <c r="I182" t="s">
        <v>723</v>
      </c>
      <c r="J182">
        <v>760</v>
      </c>
      <c r="K182">
        <v>140</v>
      </c>
      <c r="L182">
        <v>23.05</v>
      </c>
      <c r="M182">
        <v>25.49</v>
      </c>
      <c r="N182">
        <v>33.159999999999997</v>
      </c>
      <c r="Q182">
        <v>4</v>
      </c>
    </row>
    <row r="183" spans="1:17" x14ac:dyDescent="0.25">
      <c r="A183">
        <v>182</v>
      </c>
      <c r="B183" t="s">
        <v>453</v>
      </c>
      <c r="E183" t="str">
        <f t="shared" si="6"/>
        <v>POTO</v>
      </c>
      <c r="F183">
        <v>2</v>
      </c>
      <c r="G183" s="3">
        <v>42907</v>
      </c>
      <c r="H183">
        <v>24.5</v>
      </c>
      <c r="I183">
        <v>21.2</v>
      </c>
      <c r="J183">
        <v>770</v>
      </c>
      <c r="K183">
        <v>255</v>
      </c>
      <c r="L183">
        <v>30.29</v>
      </c>
      <c r="M183">
        <v>30.33</v>
      </c>
      <c r="N183">
        <v>26.17</v>
      </c>
      <c r="Q183">
        <v>4</v>
      </c>
    </row>
    <row r="184" spans="1:17" x14ac:dyDescent="0.25">
      <c r="A184">
        <v>183</v>
      </c>
      <c r="B184" t="s">
        <v>419</v>
      </c>
      <c r="E184" t="str">
        <f t="shared" si="6"/>
        <v>ANCO</v>
      </c>
      <c r="F184">
        <v>3</v>
      </c>
      <c r="G184" s="3">
        <v>42906</v>
      </c>
      <c r="H184">
        <v>5.7</v>
      </c>
      <c r="I184">
        <v>4</v>
      </c>
      <c r="J184">
        <v>210</v>
      </c>
      <c r="K184">
        <v>20</v>
      </c>
      <c r="L184">
        <v>9.18</v>
      </c>
      <c r="M184">
        <v>10.89</v>
      </c>
      <c r="N184">
        <v>10.66</v>
      </c>
      <c r="Q184">
        <v>4</v>
      </c>
    </row>
    <row r="185" spans="1:17" x14ac:dyDescent="0.25">
      <c r="A185">
        <v>184</v>
      </c>
      <c r="B185" t="s">
        <v>433</v>
      </c>
      <c r="E185" t="str">
        <f t="shared" si="6"/>
        <v>CABR</v>
      </c>
      <c r="F185">
        <v>4</v>
      </c>
      <c r="G185" s="3">
        <v>42906</v>
      </c>
      <c r="H185">
        <v>7.3</v>
      </c>
      <c r="I185">
        <v>0.95</v>
      </c>
      <c r="J185">
        <v>155</v>
      </c>
      <c r="K185">
        <v>60</v>
      </c>
      <c r="L185">
        <v>21.3</v>
      </c>
      <c r="M185">
        <v>22.04</v>
      </c>
      <c r="N185">
        <v>19.29</v>
      </c>
      <c r="Q185">
        <v>4</v>
      </c>
    </row>
    <row r="186" spans="1:17" x14ac:dyDescent="0.25">
      <c r="A186">
        <v>185</v>
      </c>
      <c r="B186" t="s">
        <v>408</v>
      </c>
      <c r="E186" t="str">
        <f t="shared" si="6"/>
        <v>CABR</v>
      </c>
      <c r="F186">
        <v>5</v>
      </c>
      <c r="G186" s="3">
        <v>42906</v>
      </c>
      <c r="H186">
        <v>10.5</v>
      </c>
      <c r="I186">
        <v>7.5</v>
      </c>
      <c r="J186">
        <v>240</v>
      </c>
      <c r="K186">
        <v>110</v>
      </c>
      <c r="L186">
        <v>16.77</v>
      </c>
      <c r="M186">
        <v>13.56</v>
      </c>
      <c r="N186">
        <v>10.029999999999999</v>
      </c>
      <c r="Q186">
        <v>5</v>
      </c>
    </row>
    <row r="187" spans="1:17" x14ac:dyDescent="0.25">
      <c r="A187">
        <v>186</v>
      </c>
      <c r="B187" t="s">
        <v>1189</v>
      </c>
      <c r="C187" t="s">
        <v>1191</v>
      </c>
      <c r="E187" t="s">
        <v>498</v>
      </c>
      <c r="F187">
        <v>4</v>
      </c>
      <c r="G187" s="3">
        <v>42906</v>
      </c>
      <c r="H187">
        <v>4</v>
      </c>
      <c r="I187">
        <v>3.5</v>
      </c>
      <c r="J187">
        <v>395</v>
      </c>
      <c r="K187">
        <v>255</v>
      </c>
      <c r="L187">
        <v>2.02</v>
      </c>
      <c r="M187" t="s">
        <v>135</v>
      </c>
      <c r="N187" t="s">
        <v>135</v>
      </c>
      <c r="Q187">
        <v>5</v>
      </c>
    </row>
    <row r="188" spans="1:17" x14ac:dyDescent="0.25">
      <c r="A188">
        <v>187</v>
      </c>
      <c r="B188" t="s">
        <v>406</v>
      </c>
      <c r="E188" t="str">
        <f t="shared" ref="E188:E201" si="7">LEFT(B188,4)</f>
        <v>ERCU</v>
      </c>
      <c r="F188">
        <v>5</v>
      </c>
      <c r="G188" s="3">
        <v>42906</v>
      </c>
      <c r="H188">
        <v>0.52</v>
      </c>
      <c r="I188" t="s">
        <v>135</v>
      </c>
      <c r="J188">
        <v>100</v>
      </c>
      <c r="K188">
        <v>70</v>
      </c>
      <c r="L188">
        <v>0.62</v>
      </c>
      <c r="M188" t="s">
        <v>135</v>
      </c>
      <c r="N188" t="s">
        <v>135</v>
      </c>
      <c r="Q188">
        <v>4</v>
      </c>
    </row>
    <row r="189" spans="1:17" x14ac:dyDescent="0.25">
      <c r="A189">
        <v>188</v>
      </c>
      <c r="B189" t="s">
        <v>404</v>
      </c>
      <c r="E189" t="str">
        <f t="shared" si="7"/>
        <v>SCVI</v>
      </c>
      <c r="F189">
        <v>4</v>
      </c>
      <c r="G189" s="3">
        <v>42906</v>
      </c>
      <c r="H189">
        <v>2.2400000000000002</v>
      </c>
      <c r="I189">
        <v>1.79</v>
      </c>
      <c r="J189">
        <v>305</v>
      </c>
      <c r="K189">
        <v>181</v>
      </c>
      <c r="L189">
        <v>1.83</v>
      </c>
      <c r="M189">
        <v>1.76</v>
      </c>
      <c r="N189">
        <v>1.81</v>
      </c>
      <c r="Q189">
        <v>4</v>
      </c>
    </row>
    <row r="190" spans="1:17" x14ac:dyDescent="0.25">
      <c r="A190">
        <v>189</v>
      </c>
      <c r="B190" t="s">
        <v>293</v>
      </c>
      <c r="E190" t="str">
        <f t="shared" si="7"/>
        <v>MYFA</v>
      </c>
      <c r="F190">
        <v>4</v>
      </c>
      <c r="G190" s="3">
        <v>42906</v>
      </c>
      <c r="H190">
        <v>5.5</v>
      </c>
      <c r="I190">
        <v>2.5</v>
      </c>
      <c r="J190">
        <v>225</v>
      </c>
      <c r="K190">
        <v>60</v>
      </c>
      <c r="L190">
        <v>7.07</v>
      </c>
      <c r="M190">
        <v>6.76</v>
      </c>
      <c r="N190">
        <v>6.84</v>
      </c>
      <c r="Q190">
        <v>4</v>
      </c>
    </row>
    <row r="191" spans="1:17" x14ac:dyDescent="0.25">
      <c r="A191">
        <v>190</v>
      </c>
      <c r="B191" t="s">
        <v>441</v>
      </c>
      <c r="E191" t="str">
        <f t="shared" si="7"/>
        <v>KICO</v>
      </c>
      <c r="F191">
        <v>2</v>
      </c>
      <c r="G191" s="3">
        <v>42906</v>
      </c>
      <c r="H191">
        <v>6.7</v>
      </c>
      <c r="I191">
        <v>4.8</v>
      </c>
      <c r="J191">
        <v>242</v>
      </c>
      <c r="K191">
        <v>12</v>
      </c>
      <c r="L191">
        <v>16.55</v>
      </c>
      <c r="M191">
        <v>21.6</v>
      </c>
      <c r="N191">
        <v>19.63</v>
      </c>
      <c r="Q191">
        <v>4</v>
      </c>
    </row>
    <row r="192" spans="1:17" x14ac:dyDescent="0.25">
      <c r="A192">
        <v>191</v>
      </c>
      <c r="B192" t="s">
        <v>437</v>
      </c>
      <c r="E192" t="str">
        <f t="shared" si="7"/>
        <v>MYFA</v>
      </c>
      <c r="F192">
        <v>5</v>
      </c>
      <c r="G192" s="3">
        <v>42906</v>
      </c>
      <c r="H192">
        <v>7.5</v>
      </c>
      <c r="I192">
        <v>7.6</v>
      </c>
      <c r="J192">
        <v>385</v>
      </c>
      <c r="K192">
        <v>130</v>
      </c>
      <c r="L192">
        <v>8.67</v>
      </c>
      <c r="M192">
        <v>8.6300000000000008</v>
      </c>
      <c r="N192">
        <v>8.23</v>
      </c>
      <c r="Q192">
        <v>4</v>
      </c>
    </row>
    <row r="193" spans="1:18" x14ac:dyDescent="0.25">
      <c r="A193">
        <v>192</v>
      </c>
      <c r="B193" t="s">
        <v>1245</v>
      </c>
      <c r="C193" t="s">
        <v>436</v>
      </c>
      <c r="E193" t="str">
        <f t="shared" si="7"/>
        <v>STFE</v>
      </c>
      <c r="F193">
        <v>6</v>
      </c>
      <c r="G193" s="3">
        <v>42906</v>
      </c>
      <c r="H193">
        <v>17.7</v>
      </c>
      <c r="I193">
        <v>15.5</v>
      </c>
      <c r="J193">
        <v>265</v>
      </c>
      <c r="K193">
        <v>70</v>
      </c>
      <c r="L193">
        <v>27.23</v>
      </c>
      <c r="M193">
        <v>26.96</v>
      </c>
      <c r="N193">
        <v>30.77</v>
      </c>
      <c r="Q193">
        <v>4</v>
      </c>
      <c r="R193" t="s">
        <v>1246</v>
      </c>
    </row>
    <row r="194" spans="1:18" x14ac:dyDescent="0.25">
      <c r="A194">
        <v>193</v>
      </c>
      <c r="B194" t="s">
        <v>443</v>
      </c>
      <c r="E194" t="str">
        <f t="shared" si="7"/>
        <v>KICO</v>
      </c>
      <c r="F194">
        <v>3</v>
      </c>
      <c r="G194" s="3">
        <v>42906</v>
      </c>
      <c r="H194">
        <v>2.02</v>
      </c>
      <c r="I194" t="s">
        <v>135</v>
      </c>
      <c r="J194">
        <v>140</v>
      </c>
      <c r="K194">
        <v>95</v>
      </c>
      <c r="L194">
        <v>6.05</v>
      </c>
      <c r="M194">
        <v>6.47</v>
      </c>
      <c r="N194">
        <v>5.18</v>
      </c>
      <c r="Q194">
        <v>3</v>
      </c>
    </row>
    <row r="195" spans="1:18" x14ac:dyDescent="0.25">
      <c r="A195">
        <v>194</v>
      </c>
      <c r="B195" t="s">
        <v>434</v>
      </c>
      <c r="E195" t="str">
        <f t="shared" si="7"/>
        <v>SOLY</v>
      </c>
      <c r="F195">
        <v>4</v>
      </c>
      <c r="G195" s="3">
        <v>42906</v>
      </c>
      <c r="H195">
        <v>1.46</v>
      </c>
      <c r="I195" t="s">
        <v>135</v>
      </c>
      <c r="J195">
        <v>100</v>
      </c>
      <c r="K195">
        <v>15</v>
      </c>
      <c r="L195">
        <v>1.37</v>
      </c>
      <c r="M195" t="s">
        <v>135</v>
      </c>
      <c r="N195" t="s">
        <v>135</v>
      </c>
      <c r="Q195">
        <v>4</v>
      </c>
    </row>
    <row r="196" spans="1:18" x14ac:dyDescent="0.25">
      <c r="A196">
        <v>195</v>
      </c>
      <c r="B196" t="s">
        <v>424</v>
      </c>
      <c r="E196" t="str">
        <f t="shared" si="7"/>
        <v>CASY</v>
      </c>
      <c r="F196">
        <v>2</v>
      </c>
      <c r="G196" s="3">
        <v>42906</v>
      </c>
      <c r="H196">
        <v>0.67</v>
      </c>
      <c r="I196" t="s">
        <v>135</v>
      </c>
      <c r="J196">
        <v>90</v>
      </c>
      <c r="K196">
        <v>10</v>
      </c>
      <c r="L196">
        <v>0.59</v>
      </c>
      <c r="M196" t="s">
        <v>135</v>
      </c>
      <c r="N196" t="s">
        <v>135</v>
      </c>
      <c r="Q196">
        <v>3</v>
      </c>
    </row>
    <row r="197" spans="1:18" x14ac:dyDescent="0.25">
      <c r="A197">
        <v>196</v>
      </c>
      <c r="B197" t="s">
        <v>444</v>
      </c>
      <c r="E197" t="str">
        <f t="shared" si="7"/>
        <v>TOFO</v>
      </c>
      <c r="F197">
        <v>4</v>
      </c>
      <c r="G197" s="3">
        <v>42906</v>
      </c>
      <c r="H197">
        <v>1.45</v>
      </c>
      <c r="I197">
        <v>0.49</v>
      </c>
      <c r="J197">
        <v>137</v>
      </c>
      <c r="K197">
        <v>105</v>
      </c>
      <c r="L197">
        <v>1.1000000000000001</v>
      </c>
      <c r="M197" t="s">
        <v>135</v>
      </c>
      <c r="N197" t="s">
        <v>135</v>
      </c>
      <c r="Q197">
        <v>3</v>
      </c>
    </row>
    <row r="198" spans="1:18" x14ac:dyDescent="0.25">
      <c r="A198">
        <v>197</v>
      </c>
      <c r="B198" t="s">
        <v>429</v>
      </c>
      <c r="E198" t="str">
        <f t="shared" si="7"/>
        <v>RAGU</v>
      </c>
      <c r="F198">
        <v>1</v>
      </c>
      <c r="G198" s="3">
        <v>42906</v>
      </c>
      <c r="H198">
        <v>1.1000000000000001</v>
      </c>
      <c r="I198" t="s">
        <v>135</v>
      </c>
      <c r="J198">
        <v>86</v>
      </c>
      <c r="K198">
        <v>15</v>
      </c>
      <c r="L198">
        <v>1.73</v>
      </c>
      <c r="M198" t="s">
        <v>135</v>
      </c>
      <c r="N198" t="s">
        <v>135</v>
      </c>
      <c r="Q198">
        <v>4</v>
      </c>
    </row>
    <row r="199" spans="1:18" x14ac:dyDescent="0.25">
      <c r="A199">
        <v>198</v>
      </c>
      <c r="B199" t="s">
        <v>402</v>
      </c>
      <c r="E199" t="str">
        <f t="shared" si="7"/>
        <v>KICO</v>
      </c>
      <c r="F199">
        <v>4</v>
      </c>
      <c r="G199" s="3">
        <v>42906</v>
      </c>
      <c r="H199">
        <v>9.5</v>
      </c>
      <c r="I199">
        <v>4.5</v>
      </c>
      <c r="J199">
        <v>215</v>
      </c>
      <c r="K199">
        <v>115</v>
      </c>
      <c r="L199">
        <v>24.5</v>
      </c>
      <c r="M199">
        <v>25.3</v>
      </c>
      <c r="N199">
        <v>29.06</v>
      </c>
      <c r="Q199">
        <v>3</v>
      </c>
    </row>
    <row r="200" spans="1:18" x14ac:dyDescent="0.25">
      <c r="A200">
        <v>199</v>
      </c>
      <c r="B200" t="s">
        <v>403</v>
      </c>
      <c r="E200" t="str">
        <f t="shared" si="7"/>
        <v>PLPO</v>
      </c>
      <c r="F200">
        <v>3</v>
      </c>
      <c r="G200" s="3">
        <v>42906</v>
      </c>
      <c r="H200">
        <v>5.5</v>
      </c>
      <c r="I200">
        <v>4.2</v>
      </c>
      <c r="J200">
        <v>290</v>
      </c>
      <c r="K200">
        <v>160</v>
      </c>
      <c r="L200">
        <v>12.81</v>
      </c>
      <c r="M200">
        <v>11.74</v>
      </c>
      <c r="N200">
        <v>9.6999999999999993</v>
      </c>
      <c r="Q200">
        <v>4</v>
      </c>
    </row>
    <row r="201" spans="1:18" x14ac:dyDescent="0.25">
      <c r="A201">
        <v>200</v>
      </c>
      <c r="B201" t="s">
        <v>435</v>
      </c>
      <c r="E201" t="str">
        <f t="shared" si="7"/>
        <v>PLPO</v>
      </c>
      <c r="F201">
        <v>4</v>
      </c>
      <c r="G201" s="3">
        <v>42906</v>
      </c>
      <c r="H201">
        <v>5.0999999999999996</v>
      </c>
      <c r="I201">
        <v>2.1</v>
      </c>
      <c r="J201">
        <v>200</v>
      </c>
      <c r="K201">
        <v>80</v>
      </c>
      <c r="L201">
        <v>6.4</v>
      </c>
      <c r="M201">
        <v>6.01</v>
      </c>
      <c r="N201">
        <v>5.88</v>
      </c>
      <c r="Q201">
        <v>4</v>
      </c>
    </row>
    <row r="202" spans="1:18" x14ac:dyDescent="0.25">
      <c r="A202">
        <v>201</v>
      </c>
      <c r="B202" t="s">
        <v>1770</v>
      </c>
      <c r="C202" t="s">
        <v>1249</v>
      </c>
      <c r="E202" t="s">
        <v>1251</v>
      </c>
      <c r="F202">
        <v>4</v>
      </c>
      <c r="G202" s="3">
        <v>42906</v>
      </c>
      <c r="H202">
        <v>6</v>
      </c>
      <c r="I202">
        <v>5.2</v>
      </c>
      <c r="J202">
        <v>588</v>
      </c>
      <c r="K202">
        <v>217</v>
      </c>
      <c r="L202">
        <v>6.83</v>
      </c>
      <c r="M202">
        <v>7.33</v>
      </c>
      <c r="N202">
        <v>6.11</v>
      </c>
      <c r="Q202">
        <v>3</v>
      </c>
    </row>
    <row r="203" spans="1:18" x14ac:dyDescent="0.25">
      <c r="A203">
        <v>202</v>
      </c>
      <c r="B203" t="s">
        <v>425</v>
      </c>
      <c r="E203" t="str">
        <f t="shared" ref="E203:E239" si="8">LEFT(B203,4)</f>
        <v>PRHE</v>
      </c>
      <c r="F203">
        <v>1</v>
      </c>
      <c r="G203" s="3">
        <v>42906</v>
      </c>
      <c r="H203">
        <v>5.7</v>
      </c>
      <c r="I203">
        <v>4.5999999999999996</v>
      </c>
      <c r="J203">
        <v>565</v>
      </c>
      <c r="K203">
        <v>135</v>
      </c>
      <c r="L203">
        <v>2.23</v>
      </c>
      <c r="M203">
        <v>2.56</v>
      </c>
      <c r="N203">
        <v>2.68</v>
      </c>
      <c r="Q203">
        <v>3</v>
      </c>
    </row>
    <row r="204" spans="1:18" x14ac:dyDescent="0.25">
      <c r="A204">
        <v>203</v>
      </c>
      <c r="B204" t="s">
        <v>432</v>
      </c>
      <c r="E204" t="str">
        <f t="shared" si="8"/>
        <v>BOVI</v>
      </c>
      <c r="F204">
        <v>1</v>
      </c>
      <c r="G204" s="3">
        <v>42906</v>
      </c>
      <c r="H204">
        <v>2.98</v>
      </c>
      <c r="I204">
        <v>2.0099999999999998</v>
      </c>
      <c r="J204">
        <v>231</v>
      </c>
      <c r="K204">
        <v>135</v>
      </c>
      <c r="L204">
        <v>5.38</v>
      </c>
      <c r="M204">
        <v>6.36</v>
      </c>
      <c r="N204">
        <v>6.4</v>
      </c>
      <c r="Q204">
        <v>4</v>
      </c>
    </row>
    <row r="205" spans="1:18" x14ac:dyDescent="0.25">
      <c r="A205">
        <v>204</v>
      </c>
      <c r="B205" t="s">
        <v>423</v>
      </c>
      <c r="E205" t="str">
        <f t="shared" si="8"/>
        <v>STFE</v>
      </c>
      <c r="F205">
        <v>2</v>
      </c>
      <c r="G205" s="3">
        <v>42906</v>
      </c>
      <c r="H205">
        <v>19.2</v>
      </c>
      <c r="I205">
        <v>18.100000000000001</v>
      </c>
      <c r="J205">
        <v>645</v>
      </c>
      <c r="K205">
        <v>170</v>
      </c>
      <c r="L205">
        <v>39.020000000000003</v>
      </c>
      <c r="M205">
        <v>30.87</v>
      </c>
      <c r="N205">
        <v>39.06</v>
      </c>
      <c r="Q205">
        <v>5</v>
      </c>
    </row>
    <row r="206" spans="1:18" x14ac:dyDescent="0.25">
      <c r="A206">
        <v>205</v>
      </c>
      <c r="B206" t="s">
        <v>405</v>
      </c>
      <c r="E206" t="str">
        <f t="shared" si="8"/>
        <v>OCPU</v>
      </c>
      <c r="F206">
        <v>5</v>
      </c>
      <c r="G206" s="3">
        <v>42906</v>
      </c>
      <c r="H206">
        <v>4.5</v>
      </c>
      <c r="I206">
        <v>3.6</v>
      </c>
      <c r="J206">
        <v>440</v>
      </c>
      <c r="K206">
        <v>242</v>
      </c>
      <c r="L206">
        <v>1.71</v>
      </c>
      <c r="M206">
        <v>2.0299999999999998</v>
      </c>
      <c r="N206">
        <v>1.9</v>
      </c>
      <c r="Q206">
        <v>4</v>
      </c>
    </row>
    <row r="207" spans="1:18" x14ac:dyDescent="0.25">
      <c r="A207">
        <v>206</v>
      </c>
      <c r="B207" t="s">
        <v>422</v>
      </c>
      <c r="E207" t="str">
        <f t="shared" si="8"/>
        <v>STFE</v>
      </c>
      <c r="F207">
        <v>3</v>
      </c>
      <c r="G207" s="3">
        <v>42906</v>
      </c>
      <c r="H207">
        <v>18.5</v>
      </c>
      <c r="I207">
        <v>16.8</v>
      </c>
      <c r="J207">
        <v>460</v>
      </c>
      <c r="K207">
        <v>120</v>
      </c>
      <c r="L207">
        <v>10.4</v>
      </c>
      <c r="M207">
        <v>16.78</v>
      </c>
      <c r="N207">
        <v>18.899999999999999</v>
      </c>
      <c r="Q207">
        <v>5</v>
      </c>
    </row>
    <row r="208" spans="1:18" x14ac:dyDescent="0.25">
      <c r="A208">
        <v>207</v>
      </c>
      <c r="B208" t="s">
        <v>436</v>
      </c>
      <c r="E208" t="str">
        <f t="shared" si="8"/>
        <v>STFE</v>
      </c>
      <c r="F208">
        <v>4</v>
      </c>
      <c r="G208" s="3">
        <v>42906</v>
      </c>
      <c r="H208">
        <v>15</v>
      </c>
      <c r="I208">
        <v>9.5</v>
      </c>
      <c r="J208">
        <v>390</v>
      </c>
      <c r="K208">
        <v>100</v>
      </c>
      <c r="L208">
        <v>20.3</v>
      </c>
      <c r="M208">
        <v>14.04</v>
      </c>
      <c r="N208">
        <v>16.27</v>
      </c>
      <c r="Q208">
        <v>5</v>
      </c>
    </row>
    <row r="209" spans="1:18" x14ac:dyDescent="0.25">
      <c r="A209">
        <v>208</v>
      </c>
      <c r="B209" t="s">
        <v>440</v>
      </c>
      <c r="E209" t="str">
        <f t="shared" si="8"/>
        <v>SCVI</v>
      </c>
      <c r="F209">
        <v>3</v>
      </c>
      <c r="G209" s="3">
        <v>42906</v>
      </c>
      <c r="H209">
        <v>1.56</v>
      </c>
      <c r="I209">
        <v>0.79</v>
      </c>
      <c r="J209">
        <v>160</v>
      </c>
      <c r="K209">
        <v>50</v>
      </c>
      <c r="L209">
        <v>0.53</v>
      </c>
      <c r="M209" t="s">
        <v>135</v>
      </c>
      <c r="N209" t="s">
        <v>135</v>
      </c>
      <c r="Q209">
        <v>3</v>
      </c>
    </row>
    <row r="210" spans="1:18" x14ac:dyDescent="0.25">
      <c r="A210">
        <v>209</v>
      </c>
      <c r="B210" t="s">
        <v>428</v>
      </c>
      <c r="E210" t="str">
        <f t="shared" si="8"/>
        <v>TOFO</v>
      </c>
      <c r="F210">
        <v>2</v>
      </c>
      <c r="G210" s="3">
        <v>42906</v>
      </c>
      <c r="H210">
        <v>1.4</v>
      </c>
      <c r="I210">
        <v>0.93</v>
      </c>
      <c r="J210">
        <v>175</v>
      </c>
      <c r="K210">
        <v>80</v>
      </c>
      <c r="L210">
        <v>1.28</v>
      </c>
      <c r="M210" t="s">
        <v>135</v>
      </c>
      <c r="N210" t="s">
        <v>135</v>
      </c>
      <c r="Q210">
        <v>4</v>
      </c>
    </row>
    <row r="211" spans="1:18" x14ac:dyDescent="0.25">
      <c r="A211">
        <v>210</v>
      </c>
      <c r="B211" t="s">
        <v>409</v>
      </c>
      <c r="E211" t="str">
        <f t="shared" si="8"/>
        <v>TOFO</v>
      </c>
      <c r="F211">
        <v>3</v>
      </c>
      <c r="G211" s="3">
        <v>42906</v>
      </c>
      <c r="H211">
        <v>1.33</v>
      </c>
      <c r="I211">
        <v>0.74</v>
      </c>
      <c r="J211">
        <v>140</v>
      </c>
      <c r="K211">
        <v>95</v>
      </c>
      <c r="L211">
        <v>1.31</v>
      </c>
      <c r="M211" t="s">
        <v>135</v>
      </c>
      <c r="N211" t="s">
        <v>135</v>
      </c>
      <c r="Q211">
        <v>5</v>
      </c>
    </row>
    <row r="212" spans="1:18" x14ac:dyDescent="0.25">
      <c r="A212">
        <v>211</v>
      </c>
      <c r="B212" t="s">
        <v>442</v>
      </c>
      <c r="C212" t="s">
        <v>11</v>
      </c>
      <c r="E212" t="str">
        <f t="shared" si="8"/>
        <v>SOLY</v>
      </c>
      <c r="F212">
        <v>5</v>
      </c>
      <c r="G212" s="3">
        <v>42906</v>
      </c>
      <c r="H212">
        <v>1.92</v>
      </c>
      <c r="I212">
        <v>1.23</v>
      </c>
      <c r="J212">
        <v>100</v>
      </c>
      <c r="K212">
        <v>5</v>
      </c>
      <c r="L212">
        <v>1.96</v>
      </c>
      <c r="M212" t="s">
        <v>135</v>
      </c>
      <c r="N212" t="s">
        <v>135</v>
      </c>
      <c r="Q212">
        <v>4</v>
      </c>
    </row>
    <row r="213" spans="1:18" x14ac:dyDescent="0.25">
      <c r="A213">
        <v>212</v>
      </c>
      <c r="B213" t="s">
        <v>399</v>
      </c>
      <c r="E213" t="str">
        <f t="shared" si="8"/>
        <v>SIGU</v>
      </c>
      <c r="F213">
        <v>1</v>
      </c>
      <c r="G213" s="3">
        <v>42906</v>
      </c>
      <c r="H213">
        <v>0.71</v>
      </c>
      <c r="I213">
        <v>0.55000000000000004</v>
      </c>
      <c r="J213">
        <v>135</v>
      </c>
      <c r="K213">
        <v>40</v>
      </c>
      <c r="L213">
        <v>1.05</v>
      </c>
      <c r="M213" t="s">
        <v>135</v>
      </c>
      <c r="N213" t="s">
        <v>135</v>
      </c>
      <c r="Q213">
        <v>3</v>
      </c>
    </row>
    <row r="214" spans="1:18" x14ac:dyDescent="0.25">
      <c r="A214">
        <v>213</v>
      </c>
      <c r="B214" t="s">
        <v>438</v>
      </c>
      <c r="E214" t="str">
        <f t="shared" si="8"/>
        <v>MYMU</v>
      </c>
      <c r="F214">
        <v>3</v>
      </c>
      <c r="G214" s="3">
        <v>42906</v>
      </c>
      <c r="H214">
        <v>2.65</v>
      </c>
      <c r="I214">
        <v>1.85</v>
      </c>
      <c r="J214">
        <v>260</v>
      </c>
      <c r="K214">
        <v>30</v>
      </c>
      <c r="L214">
        <v>2.4700000000000002</v>
      </c>
      <c r="M214">
        <v>1.43</v>
      </c>
      <c r="N214">
        <v>1.27</v>
      </c>
      <c r="Q214">
        <v>4</v>
      </c>
    </row>
    <row r="215" spans="1:18" x14ac:dyDescent="0.25">
      <c r="A215">
        <v>214</v>
      </c>
      <c r="B215" t="s">
        <v>415</v>
      </c>
      <c r="E215" t="str">
        <f t="shared" si="8"/>
        <v>AMIN</v>
      </c>
      <c r="F215">
        <v>3</v>
      </c>
      <c r="G215" s="3">
        <v>42906</v>
      </c>
      <c r="H215">
        <v>2.98</v>
      </c>
      <c r="I215">
        <v>2.2200000000000002</v>
      </c>
      <c r="J215">
        <v>295</v>
      </c>
      <c r="K215">
        <v>60</v>
      </c>
      <c r="L215">
        <v>1.86</v>
      </c>
      <c r="M215">
        <v>2.17</v>
      </c>
      <c r="N215">
        <v>4.01</v>
      </c>
      <c r="Q215">
        <v>3</v>
      </c>
      <c r="R215" t="s">
        <v>418</v>
      </c>
    </row>
    <row r="216" spans="1:18" x14ac:dyDescent="0.25">
      <c r="A216">
        <v>215</v>
      </c>
      <c r="B216" t="s">
        <v>439</v>
      </c>
      <c r="E216" t="str">
        <f t="shared" si="8"/>
        <v>AMIN</v>
      </c>
      <c r="F216">
        <v>4</v>
      </c>
      <c r="G216" s="3">
        <v>42906</v>
      </c>
      <c r="H216">
        <v>1.48</v>
      </c>
      <c r="I216">
        <v>0.42</v>
      </c>
      <c r="J216">
        <v>174</v>
      </c>
      <c r="K216">
        <v>35</v>
      </c>
      <c r="L216">
        <v>1.08</v>
      </c>
      <c r="M216" t="s">
        <v>135</v>
      </c>
      <c r="N216" t="s">
        <v>135</v>
      </c>
      <c r="Q216">
        <v>3</v>
      </c>
      <c r="R216" t="s">
        <v>983</v>
      </c>
    </row>
    <row r="217" spans="1:18" x14ac:dyDescent="0.25">
      <c r="A217">
        <v>216</v>
      </c>
      <c r="B217" t="s">
        <v>414</v>
      </c>
      <c r="E217" t="str">
        <f t="shared" si="8"/>
        <v>SOLY</v>
      </c>
      <c r="F217">
        <v>2</v>
      </c>
      <c r="G217" s="3">
        <v>42906</v>
      </c>
      <c r="H217">
        <v>0.94699999999999995</v>
      </c>
      <c r="I217" t="s">
        <v>135</v>
      </c>
      <c r="J217">
        <v>110</v>
      </c>
      <c r="K217">
        <v>40</v>
      </c>
      <c r="L217">
        <v>0.92</v>
      </c>
      <c r="M217" t="s">
        <v>135</v>
      </c>
      <c r="N217" t="s">
        <v>135</v>
      </c>
      <c r="Q217">
        <v>4</v>
      </c>
    </row>
    <row r="218" spans="1:18" x14ac:dyDescent="0.25">
      <c r="A218">
        <v>217</v>
      </c>
      <c r="B218" t="s">
        <v>413</v>
      </c>
      <c r="E218" t="str">
        <f t="shared" si="8"/>
        <v>SOLY</v>
      </c>
      <c r="F218">
        <v>3</v>
      </c>
      <c r="G218" s="3">
        <v>42906</v>
      </c>
      <c r="H218">
        <v>0.78500000000000003</v>
      </c>
      <c r="I218" t="s">
        <v>135</v>
      </c>
      <c r="J218">
        <v>90</v>
      </c>
      <c r="K218">
        <v>40</v>
      </c>
      <c r="L218">
        <v>0.78</v>
      </c>
      <c r="M218" t="s">
        <v>135</v>
      </c>
      <c r="N218" t="s">
        <v>135</v>
      </c>
      <c r="Q218">
        <v>4</v>
      </c>
    </row>
    <row r="219" spans="1:18" x14ac:dyDescent="0.25">
      <c r="A219">
        <v>218</v>
      </c>
      <c r="B219" t="s">
        <v>410</v>
      </c>
      <c r="E219" t="str">
        <f t="shared" si="8"/>
        <v>BOVI</v>
      </c>
      <c r="F219">
        <v>2</v>
      </c>
      <c r="G219" s="3">
        <v>42906</v>
      </c>
      <c r="H219">
        <v>2.6150000000000002</v>
      </c>
      <c r="I219" t="s">
        <v>135</v>
      </c>
      <c r="J219">
        <v>120</v>
      </c>
      <c r="K219">
        <v>70</v>
      </c>
      <c r="L219">
        <v>5.74</v>
      </c>
      <c r="M219">
        <v>4.8600000000000003</v>
      </c>
      <c r="N219">
        <v>5.77</v>
      </c>
      <c r="Q219">
        <v>4</v>
      </c>
    </row>
    <row r="220" spans="1:18" x14ac:dyDescent="0.25">
      <c r="A220">
        <v>219</v>
      </c>
      <c r="B220" t="s">
        <v>407</v>
      </c>
      <c r="E220" t="str">
        <f t="shared" si="8"/>
        <v>MILI</v>
      </c>
      <c r="F220">
        <v>4</v>
      </c>
      <c r="G220" s="3">
        <v>42906</v>
      </c>
      <c r="H220">
        <v>9.9</v>
      </c>
      <c r="I220">
        <v>7.8</v>
      </c>
      <c r="J220">
        <v>433</v>
      </c>
      <c r="K220">
        <v>60</v>
      </c>
      <c r="L220">
        <v>6.66</v>
      </c>
      <c r="M220">
        <v>7.35</v>
      </c>
      <c r="N220">
        <v>7.16</v>
      </c>
      <c r="Q220">
        <v>5</v>
      </c>
    </row>
    <row r="221" spans="1:18" x14ac:dyDescent="0.25">
      <c r="A221">
        <v>220</v>
      </c>
      <c r="B221" t="s">
        <v>762</v>
      </c>
      <c r="E221" t="str">
        <f t="shared" si="8"/>
        <v>BYCO</v>
      </c>
      <c r="F221">
        <v>2</v>
      </c>
      <c r="G221" s="3">
        <v>42923</v>
      </c>
      <c r="H221">
        <v>4.3</v>
      </c>
      <c r="I221">
        <v>6</v>
      </c>
      <c r="J221">
        <v>390</v>
      </c>
      <c r="K221">
        <v>90</v>
      </c>
      <c r="L221">
        <v>12.35</v>
      </c>
      <c r="M221">
        <v>9.98</v>
      </c>
      <c r="N221">
        <v>10.08</v>
      </c>
      <c r="Q221">
        <v>3</v>
      </c>
    </row>
    <row r="222" spans="1:18" x14ac:dyDescent="0.25">
      <c r="A222">
        <v>221</v>
      </c>
      <c r="B222" t="s">
        <v>765</v>
      </c>
      <c r="E222" t="str">
        <f t="shared" si="8"/>
        <v>TAGU</v>
      </c>
      <c r="F222">
        <v>5</v>
      </c>
      <c r="G222" s="3">
        <v>42923</v>
      </c>
      <c r="H222">
        <v>3</v>
      </c>
      <c r="I222">
        <v>2.5299999999999998</v>
      </c>
      <c r="J222">
        <v>312</v>
      </c>
      <c r="K222">
        <v>236</v>
      </c>
      <c r="L222">
        <v>2.0699999999999998</v>
      </c>
      <c r="M222">
        <v>1.85</v>
      </c>
      <c r="N222">
        <v>2.06</v>
      </c>
      <c r="Q222">
        <v>3</v>
      </c>
    </row>
    <row r="223" spans="1:18" x14ac:dyDescent="0.25">
      <c r="A223">
        <v>222</v>
      </c>
      <c r="B223" t="s">
        <v>759</v>
      </c>
      <c r="E223" t="str">
        <f t="shared" si="8"/>
        <v>QUGR</v>
      </c>
      <c r="F223">
        <v>5</v>
      </c>
      <c r="G223" s="3">
        <v>42923</v>
      </c>
      <c r="H223">
        <v>21.8</v>
      </c>
      <c r="I223">
        <v>22.8</v>
      </c>
      <c r="J223">
        <v>490</v>
      </c>
      <c r="K223">
        <v>240</v>
      </c>
      <c r="L223">
        <v>30</v>
      </c>
      <c r="M223">
        <v>26</v>
      </c>
      <c r="N223">
        <v>28.13</v>
      </c>
      <c r="Q223">
        <v>5</v>
      </c>
    </row>
    <row r="224" spans="1:18" x14ac:dyDescent="0.25">
      <c r="A224">
        <v>223</v>
      </c>
      <c r="B224" t="s">
        <v>761</v>
      </c>
      <c r="E224" t="str">
        <f t="shared" si="8"/>
        <v>MYTO</v>
      </c>
      <c r="F224">
        <v>5</v>
      </c>
      <c r="G224" s="3">
        <v>42923</v>
      </c>
      <c r="H224">
        <v>3.2</v>
      </c>
      <c r="I224">
        <v>1.92</v>
      </c>
      <c r="J224">
        <v>255</v>
      </c>
      <c r="K224">
        <v>130</v>
      </c>
      <c r="L224">
        <v>3.81</v>
      </c>
      <c r="M224">
        <v>3.34</v>
      </c>
      <c r="N224">
        <v>4.4800000000000004</v>
      </c>
      <c r="Q224">
        <v>4</v>
      </c>
    </row>
    <row r="225" spans="1:17" x14ac:dyDescent="0.25">
      <c r="A225">
        <v>224</v>
      </c>
      <c r="B225" t="s">
        <v>757</v>
      </c>
      <c r="E225" t="str">
        <f t="shared" si="8"/>
        <v>ERGR</v>
      </c>
      <c r="F225">
        <v>4</v>
      </c>
      <c r="G225" s="3">
        <v>42923</v>
      </c>
      <c r="H225">
        <v>12.4</v>
      </c>
      <c r="I225">
        <v>11.9</v>
      </c>
      <c r="J225">
        <v>535</v>
      </c>
      <c r="K225">
        <v>420</v>
      </c>
      <c r="L225">
        <v>24.88</v>
      </c>
      <c r="M225">
        <v>21.53</v>
      </c>
      <c r="N225">
        <v>18.22</v>
      </c>
      <c r="Q225">
        <v>4</v>
      </c>
    </row>
    <row r="226" spans="1:17" x14ac:dyDescent="0.25">
      <c r="A226">
        <v>225</v>
      </c>
      <c r="B226" t="s">
        <v>767</v>
      </c>
      <c r="E226" t="str">
        <f t="shared" si="8"/>
        <v>JACA</v>
      </c>
      <c r="F226">
        <v>3</v>
      </c>
      <c r="G226" s="3">
        <v>42923</v>
      </c>
      <c r="H226">
        <v>6.8</v>
      </c>
      <c r="I226">
        <v>6.6</v>
      </c>
      <c r="J226">
        <v>620</v>
      </c>
      <c r="K226">
        <v>225</v>
      </c>
      <c r="L226">
        <v>3.38</v>
      </c>
      <c r="M226">
        <v>2.27</v>
      </c>
      <c r="N226">
        <v>2.59</v>
      </c>
      <c r="Q226">
        <v>4</v>
      </c>
    </row>
    <row r="227" spans="1:17" x14ac:dyDescent="0.25">
      <c r="A227">
        <v>226</v>
      </c>
      <c r="B227" t="s">
        <v>760</v>
      </c>
      <c r="E227" t="str">
        <f t="shared" si="8"/>
        <v>TAOC</v>
      </c>
      <c r="F227">
        <v>4</v>
      </c>
      <c r="G227" s="3">
        <v>42923</v>
      </c>
      <c r="H227">
        <v>6</v>
      </c>
      <c r="I227">
        <v>4.9000000000000004</v>
      </c>
      <c r="J227">
        <v>205</v>
      </c>
      <c r="K227">
        <v>130</v>
      </c>
      <c r="L227">
        <v>20.46</v>
      </c>
      <c r="M227">
        <v>11.47</v>
      </c>
      <c r="N227">
        <v>13.56</v>
      </c>
      <c r="Q227">
        <v>4</v>
      </c>
    </row>
    <row r="228" spans="1:17" x14ac:dyDescent="0.25">
      <c r="A228">
        <v>227</v>
      </c>
      <c r="B228" t="s">
        <v>766</v>
      </c>
      <c r="E228" t="str">
        <f t="shared" si="8"/>
        <v>JACA</v>
      </c>
      <c r="F228">
        <v>4</v>
      </c>
      <c r="G228" s="3">
        <v>42923</v>
      </c>
      <c r="H228">
        <v>3.9</v>
      </c>
      <c r="I228">
        <v>2.8</v>
      </c>
      <c r="J228">
        <v>380</v>
      </c>
      <c r="K228">
        <v>130</v>
      </c>
      <c r="L228">
        <v>1.77</v>
      </c>
      <c r="M228">
        <v>1.89</v>
      </c>
      <c r="N228">
        <v>1.9</v>
      </c>
      <c r="Q228">
        <v>4</v>
      </c>
    </row>
    <row r="229" spans="1:17" x14ac:dyDescent="0.25">
      <c r="A229">
        <v>228</v>
      </c>
      <c r="B229" t="s">
        <v>747</v>
      </c>
      <c r="E229" t="str">
        <f t="shared" si="8"/>
        <v>DUFU</v>
      </c>
      <c r="F229">
        <v>5</v>
      </c>
      <c r="G229" s="3">
        <v>42923</v>
      </c>
      <c r="H229">
        <v>1.64</v>
      </c>
      <c r="I229" t="s">
        <v>774</v>
      </c>
      <c r="J229">
        <v>160</v>
      </c>
      <c r="K229">
        <v>40</v>
      </c>
      <c r="L229">
        <v>1.0900000000000001</v>
      </c>
      <c r="M229" t="s">
        <v>135</v>
      </c>
      <c r="N229" t="s">
        <v>135</v>
      </c>
      <c r="Q229">
        <v>4</v>
      </c>
    </row>
    <row r="230" spans="1:17" x14ac:dyDescent="0.25">
      <c r="A230">
        <v>229</v>
      </c>
      <c r="B230" t="s">
        <v>750</v>
      </c>
      <c r="E230" t="str">
        <f t="shared" si="8"/>
        <v>COSU</v>
      </c>
      <c r="F230">
        <v>3</v>
      </c>
      <c r="G230" s="3">
        <v>42923</v>
      </c>
      <c r="H230">
        <v>12.6</v>
      </c>
      <c r="I230">
        <v>11.2</v>
      </c>
      <c r="J230">
        <v>265</v>
      </c>
      <c r="K230">
        <v>120</v>
      </c>
      <c r="L230">
        <v>25.12</v>
      </c>
      <c r="M230">
        <v>23.39</v>
      </c>
      <c r="N230">
        <v>27.57</v>
      </c>
      <c r="Q230">
        <v>3</v>
      </c>
    </row>
    <row r="231" spans="1:17" x14ac:dyDescent="0.25">
      <c r="A231">
        <v>230</v>
      </c>
      <c r="B231" t="s">
        <v>748</v>
      </c>
      <c r="E231" t="str">
        <f t="shared" si="8"/>
        <v>MABR</v>
      </c>
      <c r="F231">
        <v>5</v>
      </c>
      <c r="G231" s="3">
        <v>42923</v>
      </c>
      <c r="H231">
        <v>13.2</v>
      </c>
      <c r="I231">
        <v>12.4</v>
      </c>
      <c r="J231">
        <v>725</v>
      </c>
      <c r="K231">
        <v>265</v>
      </c>
      <c r="L231">
        <v>3.81</v>
      </c>
      <c r="M231">
        <v>3.31</v>
      </c>
      <c r="N231">
        <v>3.19</v>
      </c>
      <c r="Q231">
        <v>5</v>
      </c>
    </row>
    <row r="232" spans="1:17" x14ac:dyDescent="0.25">
      <c r="A232">
        <v>231</v>
      </c>
      <c r="B232" t="s">
        <v>749</v>
      </c>
      <c r="E232" t="str">
        <f t="shared" si="8"/>
        <v>ERGR</v>
      </c>
      <c r="F232">
        <v>5</v>
      </c>
      <c r="G232" s="3">
        <v>42923</v>
      </c>
      <c r="H232">
        <v>3</v>
      </c>
      <c r="I232">
        <v>1.1000000000000001</v>
      </c>
      <c r="J232">
        <v>170</v>
      </c>
      <c r="K232">
        <v>85</v>
      </c>
      <c r="L232">
        <v>8.42</v>
      </c>
      <c r="M232">
        <v>8.65</v>
      </c>
      <c r="N232">
        <v>9.2200000000000006</v>
      </c>
      <c r="Q232">
        <v>3</v>
      </c>
    </row>
    <row r="233" spans="1:17" x14ac:dyDescent="0.25">
      <c r="A233">
        <v>232</v>
      </c>
      <c r="B233" t="s">
        <v>752</v>
      </c>
      <c r="E233" t="str">
        <f t="shared" si="8"/>
        <v>CASY</v>
      </c>
      <c r="F233">
        <v>5</v>
      </c>
      <c r="G233" s="3">
        <v>42923</v>
      </c>
      <c r="H233">
        <v>1.97</v>
      </c>
      <c r="I233">
        <v>1.17</v>
      </c>
      <c r="J233">
        <v>175</v>
      </c>
      <c r="K233">
        <v>130</v>
      </c>
      <c r="L233">
        <v>0.96</v>
      </c>
      <c r="M233" t="s">
        <v>135</v>
      </c>
      <c r="N233" t="s">
        <v>135</v>
      </c>
      <c r="Q233">
        <v>3</v>
      </c>
    </row>
    <row r="234" spans="1:17" x14ac:dyDescent="0.25">
      <c r="A234">
        <v>233</v>
      </c>
      <c r="B234" t="s">
        <v>753</v>
      </c>
      <c r="E234" t="str">
        <f t="shared" si="8"/>
        <v>SYPU</v>
      </c>
      <c r="F234">
        <v>4</v>
      </c>
      <c r="G234" s="3">
        <v>42923</v>
      </c>
      <c r="H234">
        <v>7.5</v>
      </c>
      <c r="I234">
        <v>5.3</v>
      </c>
      <c r="J234">
        <v>420</v>
      </c>
      <c r="K234">
        <v>160</v>
      </c>
      <c r="L234">
        <v>5.7</v>
      </c>
      <c r="M234">
        <v>5.0999999999999996</v>
      </c>
      <c r="N234">
        <v>4.4000000000000004</v>
      </c>
      <c r="Q234">
        <v>4</v>
      </c>
    </row>
    <row r="235" spans="1:17" x14ac:dyDescent="0.25">
      <c r="A235">
        <v>234</v>
      </c>
      <c r="B235" t="s">
        <v>754</v>
      </c>
      <c r="E235" t="str">
        <f t="shared" si="8"/>
        <v>RAGU</v>
      </c>
      <c r="F235">
        <v>5</v>
      </c>
      <c r="G235" s="3">
        <v>42923</v>
      </c>
      <c r="H235">
        <v>9.3000000000000007</v>
      </c>
      <c r="I235" t="s">
        <v>775</v>
      </c>
      <c r="J235">
        <v>365</v>
      </c>
      <c r="K235">
        <v>170</v>
      </c>
      <c r="L235">
        <v>9.35</v>
      </c>
      <c r="M235">
        <v>10.51</v>
      </c>
      <c r="N235">
        <v>14.58</v>
      </c>
      <c r="Q235">
        <v>4</v>
      </c>
    </row>
    <row r="236" spans="1:17" x14ac:dyDescent="0.25">
      <c r="A236">
        <v>235</v>
      </c>
      <c r="B236" t="s">
        <v>755</v>
      </c>
      <c r="E236" t="str">
        <f t="shared" si="8"/>
        <v>RAUM</v>
      </c>
      <c r="F236">
        <v>4</v>
      </c>
      <c r="G236" s="3">
        <v>42923</v>
      </c>
      <c r="H236">
        <v>2.4</v>
      </c>
      <c r="I236" t="s">
        <v>776</v>
      </c>
      <c r="J236">
        <v>255</v>
      </c>
      <c r="K236">
        <v>105</v>
      </c>
      <c r="L236">
        <v>1.44</v>
      </c>
      <c r="M236">
        <v>1.54</v>
      </c>
      <c r="N236">
        <v>2.15</v>
      </c>
      <c r="Q236">
        <v>4</v>
      </c>
    </row>
    <row r="237" spans="1:17" x14ac:dyDescent="0.25">
      <c r="A237">
        <v>236</v>
      </c>
      <c r="B237" t="s">
        <v>756</v>
      </c>
      <c r="E237" t="str">
        <f t="shared" si="8"/>
        <v>PEOB</v>
      </c>
      <c r="F237">
        <v>4</v>
      </c>
      <c r="G237" s="3">
        <v>42923</v>
      </c>
      <c r="H237">
        <v>12</v>
      </c>
      <c r="I237">
        <v>13</v>
      </c>
      <c r="J237">
        <v>740</v>
      </c>
      <c r="K237">
        <v>470</v>
      </c>
      <c r="L237">
        <v>4.99</v>
      </c>
      <c r="M237">
        <v>5.14</v>
      </c>
      <c r="N237">
        <v>4.12</v>
      </c>
      <c r="Q237">
        <v>5</v>
      </c>
    </row>
    <row r="238" spans="1:17" x14ac:dyDescent="0.25">
      <c r="A238">
        <v>237</v>
      </c>
      <c r="B238" t="s">
        <v>758</v>
      </c>
      <c r="E238" t="str">
        <f t="shared" si="8"/>
        <v>MYMU</v>
      </c>
      <c r="F238">
        <v>4</v>
      </c>
      <c r="G238" s="3">
        <v>42923</v>
      </c>
      <c r="H238">
        <v>1.19</v>
      </c>
      <c r="I238">
        <v>0.9</v>
      </c>
      <c r="J238">
        <v>210</v>
      </c>
      <c r="K238">
        <v>160</v>
      </c>
      <c r="L238">
        <v>0.33</v>
      </c>
      <c r="M238" t="s">
        <v>135</v>
      </c>
      <c r="N238" t="s">
        <v>135</v>
      </c>
      <c r="Q238">
        <v>4</v>
      </c>
    </row>
    <row r="239" spans="1:17" x14ac:dyDescent="0.25">
      <c r="A239">
        <v>238</v>
      </c>
      <c r="B239" t="s">
        <v>746</v>
      </c>
      <c r="E239" t="str">
        <f t="shared" si="8"/>
        <v>SYPU</v>
      </c>
      <c r="F239">
        <v>5</v>
      </c>
      <c r="G239" s="3">
        <v>42923</v>
      </c>
      <c r="H239" t="s">
        <v>773</v>
      </c>
      <c r="I239" t="s">
        <v>777</v>
      </c>
      <c r="J239">
        <v>615</v>
      </c>
      <c r="K239">
        <v>170</v>
      </c>
      <c r="L239">
        <v>5.9</v>
      </c>
      <c r="M239">
        <v>6.06</v>
      </c>
      <c r="N239">
        <v>4.72</v>
      </c>
      <c r="Q239">
        <v>4</v>
      </c>
    </row>
    <row r="240" spans="1:17" x14ac:dyDescent="0.25">
      <c r="A240">
        <v>239</v>
      </c>
      <c r="B240" t="s">
        <v>1252</v>
      </c>
      <c r="C240" t="s">
        <v>67</v>
      </c>
      <c r="E240" t="s">
        <v>332</v>
      </c>
      <c r="F240">
        <v>6</v>
      </c>
      <c r="G240" s="3">
        <v>42896</v>
      </c>
      <c r="H240" t="s">
        <v>778</v>
      </c>
      <c r="I240" t="s">
        <v>779</v>
      </c>
      <c r="J240">
        <v>400</v>
      </c>
      <c r="K240">
        <v>190</v>
      </c>
      <c r="L240">
        <f>8.67+12.44</f>
        <v>21.11</v>
      </c>
      <c r="M240" t="s">
        <v>135</v>
      </c>
      <c r="N240" t="s">
        <v>135</v>
      </c>
      <c r="Q240">
        <v>4</v>
      </c>
    </row>
    <row r="241" spans="1:18" x14ac:dyDescent="0.25">
      <c r="A241">
        <v>240</v>
      </c>
      <c r="B241" t="s">
        <v>1253</v>
      </c>
      <c r="C241" t="s">
        <v>63</v>
      </c>
      <c r="E241" t="s">
        <v>338</v>
      </c>
      <c r="F241">
        <v>7</v>
      </c>
      <c r="G241" s="3">
        <v>42896</v>
      </c>
      <c r="H241">
        <v>5.0999999999999996</v>
      </c>
      <c r="I241">
        <v>3.9</v>
      </c>
      <c r="J241">
        <v>194</v>
      </c>
      <c r="K241">
        <v>138</v>
      </c>
      <c r="L241">
        <v>7.49</v>
      </c>
      <c r="M241">
        <v>7.21</v>
      </c>
      <c r="N241">
        <v>7.55</v>
      </c>
      <c r="Q241">
        <v>3</v>
      </c>
    </row>
    <row r="242" spans="1:18" x14ac:dyDescent="0.25">
      <c r="A242">
        <v>241</v>
      </c>
      <c r="B242" t="s">
        <v>1254</v>
      </c>
      <c r="C242" t="s">
        <v>66</v>
      </c>
      <c r="E242" t="s">
        <v>344</v>
      </c>
      <c r="F242">
        <v>6</v>
      </c>
      <c r="G242" s="3">
        <v>42896</v>
      </c>
      <c r="H242">
        <v>11.2</v>
      </c>
      <c r="I242" t="s">
        <v>780</v>
      </c>
      <c r="J242">
        <v>430</v>
      </c>
      <c r="K242">
        <v>158</v>
      </c>
      <c r="L242">
        <v>8.34</v>
      </c>
      <c r="M242">
        <v>9.7200000000000006</v>
      </c>
      <c r="N242">
        <v>8.7799999999999994</v>
      </c>
      <c r="Q242">
        <v>4</v>
      </c>
    </row>
    <row r="243" spans="1:18" x14ac:dyDescent="0.25">
      <c r="A243">
        <v>242</v>
      </c>
      <c r="B243" t="s">
        <v>1205</v>
      </c>
      <c r="C243" t="s">
        <v>64</v>
      </c>
      <c r="E243" t="s">
        <v>358</v>
      </c>
      <c r="F243">
        <v>6</v>
      </c>
      <c r="G243" s="3">
        <v>42896</v>
      </c>
      <c r="H243" t="s">
        <v>781</v>
      </c>
      <c r="I243" t="s">
        <v>782</v>
      </c>
      <c r="J243">
        <v>255</v>
      </c>
      <c r="K243">
        <v>62</v>
      </c>
      <c r="L243">
        <v>6.86</v>
      </c>
      <c r="M243">
        <v>6.15</v>
      </c>
      <c r="N243">
        <v>7.61</v>
      </c>
      <c r="Q243">
        <v>4</v>
      </c>
    </row>
    <row r="244" spans="1:18" x14ac:dyDescent="0.25">
      <c r="A244">
        <v>243</v>
      </c>
      <c r="B244" t="s">
        <v>81</v>
      </c>
      <c r="E244" t="str">
        <f t="shared" ref="E244:E259" si="9">LEFT(B244,4)</f>
        <v>MYFA</v>
      </c>
      <c r="F244">
        <v>1</v>
      </c>
      <c r="G244" s="3">
        <v>42898</v>
      </c>
      <c r="H244" t="s">
        <v>783</v>
      </c>
      <c r="I244" t="s">
        <v>784</v>
      </c>
      <c r="J244">
        <v>270</v>
      </c>
      <c r="K244">
        <v>82</v>
      </c>
      <c r="L244">
        <v>3.1</v>
      </c>
      <c r="M244">
        <v>3.9</v>
      </c>
      <c r="N244">
        <v>3.5</v>
      </c>
      <c r="Q244">
        <v>3</v>
      </c>
    </row>
    <row r="245" spans="1:18" x14ac:dyDescent="0.25">
      <c r="A245">
        <v>244</v>
      </c>
      <c r="B245" t="s">
        <v>785</v>
      </c>
      <c r="E245" t="str">
        <f t="shared" si="9"/>
        <v>JACA</v>
      </c>
      <c r="F245">
        <v>2</v>
      </c>
      <c r="G245" s="3">
        <v>42898</v>
      </c>
      <c r="H245" t="s">
        <v>786</v>
      </c>
      <c r="I245" t="s">
        <v>787</v>
      </c>
      <c r="J245">
        <v>326</v>
      </c>
      <c r="K245" t="s">
        <v>135</v>
      </c>
      <c r="L245">
        <v>1.1000000000000001</v>
      </c>
      <c r="M245">
        <v>1.65</v>
      </c>
      <c r="N245">
        <v>1.19</v>
      </c>
      <c r="Q245">
        <v>3</v>
      </c>
      <c r="R245" t="s">
        <v>788</v>
      </c>
    </row>
    <row r="246" spans="1:18" x14ac:dyDescent="0.25">
      <c r="A246">
        <v>245</v>
      </c>
      <c r="B246" t="s">
        <v>79</v>
      </c>
      <c r="E246" t="str">
        <f t="shared" si="9"/>
        <v>MAAC</v>
      </c>
      <c r="F246">
        <v>4</v>
      </c>
      <c r="G246" s="3">
        <v>42898</v>
      </c>
      <c r="H246">
        <v>7.8</v>
      </c>
      <c r="I246">
        <v>6.9</v>
      </c>
      <c r="J246">
        <v>380</v>
      </c>
      <c r="K246">
        <v>169</v>
      </c>
      <c r="L246">
        <v>1.714</v>
      </c>
      <c r="M246">
        <v>1.526</v>
      </c>
      <c r="N246">
        <v>1.32</v>
      </c>
      <c r="Q246">
        <v>4</v>
      </c>
    </row>
    <row r="247" spans="1:18" x14ac:dyDescent="0.25">
      <c r="A247">
        <v>246</v>
      </c>
      <c r="B247" t="s">
        <v>69</v>
      </c>
      <c r="E247" t="str">
        <f t="shared" si="9"/>
        <v>MAAC</v>
      </c>
      <c r="F247">
        <v>3</v>
      </c>
      <c r="G247" s="3">
        <v>42898</v>
      </c>
      <c r="H247">
        <v>6.2</v>
      </c>
      <c r="I247">
        <v>5</v>
      </c>
      <c r="J247">
        <v>350</v>
      </c>
      <c r="K247">
        <v>202</v>
      </c>
      <c r="L247">
        <v>9.68</v>
      </c>
      <c r="M247">
        <v>9.91</v>
      </c>
      <c r="N247">
        <v>9.9600000000000009</v>
      </c>
      <c r="Q247">
        <v>3</v>
      </c>
    </row>
    <row r="248" spans="1:18" x14ac:dyDescent="0.25">
      <c r="A248">
        <v>247</v>
      </c>
      <c r="B248" t="s">
        <v>132</v>
      </c>
      <c r="E248" t="str">
        <f t="shared" si="9"/>
        <v>TACA</v>
      </c>
      <c r="F248">
        <v>5</v>
      </c>
      <c r="G248" s="3">
        <v>42898</v>
      </c>
      <c r="H248">
        <v>19.8</v>
      </c>
      <c r="I248" t="s">
        <v>789</v>
      </c>
      <c r="J248">
        <v>400</v>
      </c>
      <c r="K248">
        <v>80</v>
      </c>
      <c r="L248">
        <v>8.52</v>
      </c>
      <c r="M248">
        <v>7.91</v>
      </c>
      <c r="N248">
        <v>7.81</v>
      </c>
      <c r="Q248">
        <v>5</v>
      </c>
    </row>
    <row r="249" spans="1:18" x14ac:dyDescent="0.25">
      <c r="A249">
        <v>248</v>
      </c>
      <c r="B249" t="s">
        <v>73</v>
      </c>
      <c r="E249" t="str">
        <f t="shared" si="9"/>
        <v>ERCU</v>
      </c>
      <c r="F249">
        <v>3</v>
      </c>
      <c r="G249" s="3">
        <v>42898</v>
      </c>
      <c r="H249">
        <v>1.94</v>
      </c>
      <c r="I249" t="s">
        <v>790</v>
      </c>
      <c r="J249">
        <v>267</v>
      </c>
      <c r="K249">
        <v>93</v>
      </c>
      <c r="L249">
        <v>1.08</v>
      </c>
      <c r="M249">
        <v>1.06</v>
      </c>
      <c r="N249">
        <v>0.74</v>
      </c>
      <c r="Q249">
        <v>4</v>
      </c>
    </row>
    <row r="250" spans="1:18" x14ac:dyDescent="0.25">
      <c r="A250">
        <v>249</v>
      </c>
      <c r="B250" t="s">
        <v>70</v>
      </c>
      <c r="E250" t="str">
        <f t="shared" si="9"/>
        <v>OCCO</v>
      </c>
      <c r="F250">
        <v>3</v>
      </c>
      <c r="G250" s="3">
        <v>42898</v>
      </c>
      <c r="H250">
        <v>7</v>
      </c>
      <c r="I250">
        <v>6.2</v>
      </c>
      <c r="J250">
        <v>660</v>
      </c>
      <c r="K250">
        <v>101</v>
      </c>
      <c r="L250">
        <v>3.22</v>
      </c>
      <c r="M250">
        <v>3.02</v>
      </c>
      <c r="N250">
        <v>2.73</v>
      </c>
      <c r="Q250">
        <v>4</v>
      </c>
    </row>
    <row r="251" spans="1:18" x14ac:dyDescent="0.25">
      <c r="A251">
        <v>250</v>
      </c>
      <c r="B251" t="s">
        <v>110</v>
      </c>
      <c r="E251" t="str">
        <f t="shared" si="9"/>
        <v>STRO</v>
      </c>
      <c r="F251">
        <v>4</v>
      </c>
      <c r="G251" s="3">
        <v>42898</v>
      </c>
      <c r="H251">
        <v>10</v>
      </c>
      <c r="I251">
        <v>8.5</v>
      </c>
      <c r="J251">
        <v>370</v>
      </c>
      <c r="K251">
        <v>161</v>
      </c>
      <c r="L251">
        <v>3.22</v>
      </c>
      <c r="M251">
        <v>3.02</v>
      </c>
      <c r="N251">
        <v>2.73</v>
      </c>
      <c r="Q251">
        <v>4</v>
      </c>
    </row>
    <row r="252" spans="1:18" x14ac:dyDescent="0.25">
      <c r="A252">
        <v>251</v>
      </c>
      <c r="B252" t="s">
        <v>791</v>
      </c>
      <c r="E252" t="str">
        <f t="shared" si="9"/>
        <v>JACA</v>
      </c>
      <c r="F252">
        <v>1</v>
      </c>
      <c r="G252" s="3">
        <v>42898</v>
      </c>
      <c r="H252">
        <v>3.4</v>
      </c>
      <c r="I252" t="s">
        <v>792</v>
      </c>
      <c r="J252">
        <v>300</v>
      </c>
      <c r="K252">
        <v>80</v>
      </c>
      <c r="L252">
        <v>1.66</v>
      </c>
      <c r="M252">
        <v>1.34</v>
      </c>
      <c r="N252">
        <v>1.65</v>
      </c>
      <c r="Q252">
        <v>4</v>
      </c>
    </row>
    <row r="253" spans="1:18" x14ac:dyDescent="0.25">
      <c r="A253">
        <v>252</v>
      </c>
      <c r="B253" t="s">
        <v>77</v>
      </c>
      <c r="E253" t="str">
        <f t="shared" si="9"/>
        <v>STRO</v>
      </c>
      <c r="F253">
        <v>3</v>
      </c>
      <c r="G253" s="3">
        <v>42898</v>
      </c>
      <c r="H253">
        <v>5.7</v>
      </c>
      <c r="I253" t="s">
        <v>793</v>
      </c>
      <c r="J253">
        <v>300</v>
      </c>
      <c r="K253">
        <v>126</v>
      </c>
      <c r="L253">
        <v>5.84</v>
      </c>
      <c r="M253">
        <v>5.64</v>
      </c>
      <c r="N253">
        <v>6.38</v>
      </c>
      <c r="Q253">
        <v>4</v>
      </c>
    </row>
    <row r="254" spans="1:18" x14ac:dyDescent="0.25">
      <c r="A254">
        <v>253</v>
      </c>
      <c r="B254" t="s">
        <v>1203</v>
      </c>
      <c r="C254" t="s">
        <v>256</v>
      </c>
      <c r="E254" t="str">
        <f t="shared" si="9"/>
        <v>MYFA</v>
      </c>
      <c r="F254">
        <v>2</v>
      </c>
      <c r="G254" s="3">
        <v>42901</v>
      </c>
      <c r="H254">
        <v>5.6</v>
      </c>
      <c r="I254">
        <v>1.8</v>
      </c>
      <c r="J254">
        <v>400</v>
      </c>
      <c r="K254">
        <v>220</v>
      </c>
      <c r="L254">
        <v>9.14</v>
      </c>
      <c r="M254">
        <v>6.18</v>
      </c>
      <c r="N254">
        <v>6.06</v>
      </c>
      <c r="R254">
        <v>1665</v>
      </c>
    </row>
    <row r="255" spans="1:18" x14ac:dyDescent="0.25">
      <c r="A255">
        <v>254</v>
      </c>
      <c r="B255" t="s">
        <v>468</v>
      </c>
      <c r="E255" t="str">
        <f t="shared" si="9"/>
        <v>VOTU</v>
      </c>
      <c r="F255">
        <v>3</v>
      </c>
      <c r="G255" s="3">
        <v>42901</v>
      </c>
      <c r="H255">
        <v>7</v>
      </c>
      <c r="I255">
        <v>5.8</v>
      </c>
      <c r="J255">
        <v>450</v>
      </c>
      <c r="K255">
        <v>140</v>
      </c>
      <c r="L255">
        <v>6.8</v>
      </c>
      <c r="M255">
        <v>6.6</v>
      </c>
      <c r="N255">
        <v>6.14</v>
      </c>
      <c r="R255">
        <v>8355</v>
      </c>
    </row>
    <row r="256" spans="1:18" x14ac:dyDescent="0.25">
      <c r="A256">
        <v>255</v>
      </c>
      <c r="B256" t="s">
        <v>1259</v>
      </c>
      <c r="C256" t="s">
        <v>277</v>
      </c>
      <c r="E256" t="str">
        <f t="shared" si="9"/>
        <v>VOTU</v>
      </c>
      <c r="F256">
        <v>4</v>
      </c>
      <c r="G256" s="3">
        <v>42901</v>
      </c>
      <c r="H256">
        <v>6.3</v>
      </c>
      <c r="I256">
        <v>5</v>
      </c>
      <c r="J256">
        <v>450</v>
      </c>
      <c r="K256">
        <v>110</v>
      </c>
      <c r="L256">
        <v>8.02</v>
      </c>
      <c r="M256">
        <v>6.38</v>
      </c>
      <c r="N256">
        <v>7.01</v>
      </c>
      <c r="R256">
        <v>8340</v>
      </c>
    </row>
    <row r="257" spans="1:18" x14ac:dyDescent="0.25">
      <c r="A257">
        <v>256</v>
      </c>
      <c r="B257" t="s">
        <v>1232</v>
      </c>
      <c r="C257" t="s">
        <v>268</v>
      </c>
      <c r="E257" t="str">
        <f t="shared" si="9"/>
        <v>MAEL</v>
      </c>
      <c r="F257">
        <v>3</v>
      </c>
      <c r="G257" s="3">
        <v>42901</v>
      </c>
      <c r="H257">
        <v>1.8</v>
      </c>
      <c r="I257">
        <v>1.9</v>
      </c>
      <c r="J257">
        <v>400</v>
      </c>
      <c r="K257">
        <v>200</v>
      </c>
      <c r="L257">
        <v>4.09</v>
      </c>
      <c r="M257">
        <v>3.5</v>
      </c>
      <c r="N257">
        <v>3</v>
      </c>
      <c r="R257">
        <v>1362</v>
      </c>
    </row>
    <row r="258" spans="1:18" x14ac:dyDescent="0.25">
      <c r="A258">
        <v>257</v>
      </c>
      <c r="B258" t="s">
        <v>1234</v>
      </c>
      <c r="C258" t="s">
        <v>236</v>
      </c>
      <c r="E258" t="str">
        <f t="shared" si="9"/>
        <v>MILI</v>
      </c>
      <c r="F258">
        <v>2</v>
      </c>
      <c r="G258" s="3">
        <v>42901</v>
      </c>
      <c r="H258" t="s">
        <v>1038</v>
      </c>
      <c r="I258" t="s">
        <v>1039</v>
      </c>
      <c r="J258">
        <v>600</v>
      </c>
      <c r="K258">
        <v>120</v>
      </c>
      <c r="L258">
        <v>9.43</v>
      </c>
      <c r="M258">
        <v>10.6</v>
      </c>
      <c r="N258">
        <v>9.56</v>
      </c>
      <c r="R258">
        <v>1620</v>
      </c>
    </row>
    <row r="259" spans="1:18" x14ac:dyDescent="0.25">
      <c r="A259">
        <v>258</v>
      </c>
      <c r="B259" t="s">
        <v>1240</v>
      </c>
      <c r="C259" t="s">
        <v>279</v>
      </c>
      <c r="E259" t="str">
        <f t="shared" si="9"/>
        <v>PLPO</v>
      </c>
      <c r="F259">
        <v>2</v>
      </c>
      <c r="G259" s="3">
        <v>42901</v>
      </c>
      <c r="H259">
        <v>6.2</v>
      </c>
      <c r="I259">
        <v>4</v>
      </c>
      <c r="J259">
        <v>220</v>
      </c>
      <c r="K259">
        <v>90</v>
      </c>
      <c r="L259">
        <v>12.64</v>
      </c>
      <c r="M259">
        <v>13.62</v>
      </c>
      <c r="N259">
        <v>13.87</v>
      </c>
      <c r="R259">
        <v>8330</v>
      </c>
    </row>
    <row r="260" spans="1:18" x14ac:dyDescent="0.25">
      <c r="A260">
        <v>259</v>
      </c>
      <c r="B260" t="s">
        <v>1218</v>
      </c>
      <c r="C260" t="s">
        <v>1052</v>
      </c>
      <c r="D260" t="s">
        <v>1099</v>
      </c>
      <c r="E260" t="s">
        <v>373</v>
      </c>
      <c r="G260" s="3">
        <v>42901</v>
      </c>
      <c r="H260">
        <v>3.4</v>
      </c>
      <c r="I260" t="s">
        <v>135</v>
      </c>
      <c r="J260">
        <v>145</v>
      </c>
      <c r="K260">
        <v>60</v>
      </c>
      <c r="L260">
        <v>1.75</v>
      </c>
      <c r="M260" t="s">
        <v>135</v>
      </c>
      <c r="N260" t="s">
        <v>135</v>
      </c>
      <c r="R260" t="s">
        <v>1053</v>
      </c>
    </row>
    <row r="261" spans="1:18" x14ac:dyDescent="0.25">
      <c r="A261">
        <v>260</v>
      </c>
      <c r="B261" t="s">
        <v>1228</v>
      </c>
      <c r="C261" t="s">
        <v>218</v>
      </c>
      <c r="E261" t="str">
        <f t="shared" ref="E261:E277" si="10">LEFT(B261,4)</f>
        <v>LEEL</v>
      </c>
      <c r="F261">
        <v>2</v>
      </c>
      <c r="G261" s="3">
        <v>42901</v>
      </c>
      <c r="H261">
        <v>14</v>
      </c>
      <c r="I261" t="s">
        <v>1040</v>
      </c>
      <c r="J261">
        <v>500</v>
      </c>
      <c r="K261">
        <v>50</v>
      </c>
      <c r="L261">
        <v>18.489999999999998</v>
      </c>
      <c r="M261">
        <v>19</v>
      </c>
      <c r="N261">
        <v>16.88</v>
      </c>
      <c r="R261">
        <v>1564</v>
      </c>
    </row>
    <row r="262" spans="1:18" x14ac:dyDescent="0.25">
      <c r="A262">
        <v>261</v>
      </c>
      <c r="B262" t="s">
        <v>1230</v>
      </c>
      <c r="C262" t="s">
        <v>242</v>
      </c>
      <c r="E262" t="str">
        <f t="shared" si="10"/>
        <v>LEEL</v>
      </c>
      <c r="F262">
        <v>4</v>
      </c>
      <c r="G262" s="3">
        <v>42901</v>
      </c>
      <c r="H262">
        <v>4.3</v>
      </c>
      <c r="I262">
        <v>6.3</v>
      </c>
      <c r="J262">
        <v>300</v>
      </c>
      <c r="K262">
        <v>50</v>
      </c>
      <c r="L262">
        <v>15.06</v>
      </c>
      <c r="M262">
        <v>13.78</v>
      </c>
      <c r="N262">
        <v>17.57</v>
      </c>
      <c r="R262">
        <v>1565</v>
      </c>
    </row>
    <row r="263" spans="1:18" x14ac:dyDescent="0.25">
      <c r="A263">
        <v>262</v>
      </c>
      <c r="B263" t="s">
        <v>1239</v>
      </c>
      <c r="C263" t="s">
        <v>221</v>
      </c>
      <c r="E263" t="str">
        <f t="shared" si="10"/>
        <v>PLPO</v>
      </c>
      <c r="F263">
        <v>1</v>
      </c>
      <c r="G263" s="3">
        <v>42901</v>
      </c>
      <c r="H263">
        <v>4.2</v>
      </c>
      <c r="I263">
        <v>3.6</v>
      </c>
      <c r="J263">
        <v>250</v>
      </c>
      <c r="K263">
        <v>170</v>
      </c>
      <c r="L263">
        <v>7.78</v>
      </c>
      <c r="M263">
        <v>9.06</v>
      </c>
      <c r="N263">
        <v>9.4499999999999993</v>
      </c>
      <c r="R263">
        <v>1559</v>
      </c>
    </row>
    <row r="264" spans="1:18" x14ac:dyDescent="0.25">
      <c r="A264">
        <v>263</v>
      </c>
      <c r="B264" t="s">
        <v>282</v>
      </c>
      <c r="C264" t="s">
        <v>275</v>
      </c>
      <c r="E264" t="str">
        <f t="shared" si="10"/>
        <v>TAGU</v>
      </c>
      <c r="F264">
        <v>3</v>
      </c>
      <c r="G264" s="3">
        <v>42901</v>
      </c>
      <c r="H264">
        <v>6.9</v>
      </c>
      <c r="I264">
        <v>6</v>
      </c>
      <c r="J264">
        <v>700</v>
      </c>
      <c r="K264">
        <v>300</v>
      </c>
      <c r="L264">
        <v>2.27</v>
      </c>
      <c r="M264">
        <v>3.18</v>
      </c>
      <c r="N264">
        <v>2.88</v>
      </c>
      <c r="R264">
        <v>1533</v>
      </c>
    </row>
    <row r="265" spans="1:18" x14ac:dyDescent="0.25">
      <c r="A265">
        <v>264</v>
      </c>
      <c r="B265" t="s">
        <v>1256</v>
      </c>
      <c r="C265" t="s">
        <v>224</v>
      </c>
      <c r="E265" t="str">
        <f t="shared" si="10"/>
        <v>TAGU</v>
      </c>
      <c r="F265">
        <v>2</v>
      </c>
      <c r="G265" s="3">
        <v>42901</v>
      </c>
      <c r="H265">
        <v>6</v>
      </c>
      <c r="I265">
        <v>5.4</v>
      </c>
      <c r="J265">
        <v>700</v>
      </c>
      <c r="K265">
        <v>220</v>
      </c>
      <c r="L265">
        <v>2.76</v>
      </c>
      <c r="M265">
        <v>2.46</v>
      </c>
      <c r="N265">
        <v>2.5299999999999998</v>
      </c>
      <c r="R265">
        <v>1513</v>
      </c>
    </row>
    <row r="266" spans="1:18" x14ac:dyDescent="0.25">
      <c r="A266">
        <v>265</v>
      </c>
      <c r="B266" t="s">
        <v>1213</v>
      </c>
      <c r="C266" t="s">
        <v>245</v>
      </c>
      <c r="E266" t="str">
        <f t="shared" si="10"/>
        <v>RAFE</v>
      </c>
      <c r="F266">
        <v>2</v>
      </c>
      <c r="G266" s="3">
        <v>42901</v>
      </c>
      <c r="H266">
        <v>3.3</v>
      </c>
      <c r="I266">
        <v>2.5</v>
      </c>
      <c r="J266">
        <v>400</v>
      </c>
      <c r="K266">
        <v>230</v>
      </c>
      <c r="L266">
        <v>2.08</v>
      </c>
      <c r="M266">
        <v>1.94</v>
      </c>
      <c r="N266">
        <v>2.4300000000000002</v>
      </c>
      <c r="R266">
        <v>1195</v>
      </c>
    </row>
    <row r="267" spans="1:18" x14ac:dyDescent="0.25">
      <c r="A267">
        <v>266</v>
      </c>
      <c r="B267" t="s">
        <v>1229</v>
      </c>
      <c r="C267" t="s">
        <v>229</v>
      </c>
      <c r="E267" t="str">
        <f t="shared" si="10"/>
        <v>LEEL</v>
      </c>
      <c r="F267">
        <v>3</v>
      </c>
      <c r="G267" s="3">
        <v>42901</v>
      </c>
      <c r="H267">
        <v>7.3</v>
      </c>
      <c r="I267">
        <v>4.8</v>
      </c>
      <c r="J267">
        <v>190</v>
      </c>
      <c r="K267">
        <v>50</v>
      </c>
      <c r="L267">
        <v>24.8</v>
      </c>
      <c r="M267">
        <v>24.21</v>
      </c>
      <c r="N267">
        <v>26.7</v>
      </c>
      <c r="R267">
        <v>1173</v>
      </c>
    </row>
    <row r="268" spans="1:18" x14ac:dyDescent="0.25">
      <c r="A268">
        <v>267</v>
      </c>
      <c r="B268" t="s">
        <v>1231</v>
      </c>
      <c r="C268" t="s">
        <v>206</v>
      </c>
      <c r="E268" t="str">
        <f t="shared" si="10"/>
        <v>MAAC</v>
      </c>
      <c r="F268">
        <v>5</v>
      </c>
      <c r="G268" s="3">
        <v>42901</v>
      </c>
      <c r="H268">
        <v>2.8</v>
      </c>
      <c r="I268">
        <v>1.2</v>
      </c>
      <c r="J268">
        <v>180</v>
      </c>
      <c r="K268">
        <v>120</v>
      </c>
      <c r="L268">
        <v>9.64</v>
      </c>
      <c r="M268">
        <v>10.74</v>
      </c>
      <c r="N268">
        <v>8.33</v>
      </c>
      <c r="R268">
        <v>1159</v>
      </c>
    </row>
    <row r="269" spans="1:18" x14ac:dyDescent="0.25">
      <c r="A269">
        <v>268</v>
      </c>
      <c r="B269" t="s">
        <v>1243</v>
      </c>
      <c r="C269" t="s">
        <v>253</v>
      </c>
      <c r="E269" t="str">
        <f t="shared" si="10"/>
        <v>RAUM</v>
      </c>
      <c r="F269">
        <v>2</v>
      </c>
      <c r="G269" s="3">
        <v>42901</v>
      </c>
      <c r="H269">
        <v>10.7</v>
      </c>
      <c r="I269">
        <v>7.5</v>
      </c>
      <c r="J269">
        <v>550</v>
      </c>
      <c r="K269">
        <v>210</v>
      </c>
      <c r="L269">
        <v>3.05</v>
      </c>
      <c r="M269">
        <v>3.68</v>
      </c>
      <c r="N269">
        <v>2.9</v>
      </c>
      <c r="R269">
        <v>1057</v>
      </c>
    </row>
    <row r="270" spans="1:18" x14ac:dyDescent="0.25">
      <c r="A270">
        <v>269</v>
      </c>
      <c r="B270" t="s">
        <v>1221</v>
      </c>
      <c r="C270" t="s">
        <v>238</v>
      </c>
      <c r="E270" t="str">
        <f t="shared" si="10"/>
        <v>BYBA</v>
      </c>
      <c r="F270">
        <v>1</v>
      </c>
      <c r="G270" s="3">
        <v>42901</v>
      </c>
      <c r="H270">
        <v>5.9</v>
      </c>
      <c r="I270">
        <v>5.3</v>
      </c>
      <c r="J270">
        <v>500</v>
      </c>
      <c r="K270">
        <v>190</v>
      </c>
      <c r="L270">
        <v>10.32</v>
      </c>
      <c r="M270">
        <v>10.73</v>
      </c>
      <c r="N270">
        <v>9.85</v>
      </c>
      <c r="R270" t="s">
        <v>1051</v>
      </c>
    </row>
    <row r="271" spans="1:18" x14ac:dyDescent="0.25">
      <c r="A271">
        <v>270</v>
      </c>
      <c r="B271" t="s">
        <v>1197</v>
      </c>
      <c r="C271" t="s">
        <v>251</v>
      </c>
      <c r="E271" t="str">
        <f t="shared" si="10"/>
        <v>ANCR</v>
      </c>
      <c r="F271">
        <v>5</v>
      </c>
      <c r="G271" s="3">
        <v>42901</v>
      </c>
      <c r="H271">
        <v>8.6</v>
      </c>
      <c r="I271">
        <v>7</v>
      </c>
      <c r="J271">
        <v>400</v>
      </c>
      <c r="K271">
        <v>180</v>
      </c>
      <c r="L271">
        <v>21.3</v>
      </c>
      <c r="M271">
        <v>26.35</v>
      </c>
      <c r="N271">
        <v>20.010000000000002</v>
      </c>
      <c r="R271">
        <v>1324</v>
      </c>
    </row>
    <row r="272" spans="1:18" x14ac:dyDescent="0.25">
      <c r="A272">
        <v>271</v>
      </c>
      <c r="B272" t="s">
        <v>1255</v>
      </c>
      <c r="C272" t="s">
        <v>199</v>
      </c>
      <c r="E272" t="str">
        <f t="shared" si="10"/>
        <v>TAGU</v>
      </c>
      <c r="F272">
        <v>1</v>
      </c>
      <c r="G272" s="3">
        <v>42901</v>
      </c>
      <c r="H272">
        <v>6</v>
      </c>
      <c r="I272">
        <v>5</v>
      </c>
      <c r="J272">
        <v>500</v>
      </c>
      <c r="K272">
        <v>190</v>
      </c>
      <c r="L272">
        <v>3.24</v>
      </c>
      <c r="M272">
        <v>3.36</v>
      </c>
      <c r="N272">
        <v>2.67</v>
      </c>
      <c r="R272">
        <v>1243</v>
      </c>
    </row>
    <row r="273" spans="1:18" x14ac:dyDescent="0.25">
      <c r="A273">
        <v>272</v>
      </c>
      <c r="B273" t="s">
        <v>1233</v>
      </c>
      <c r="C273" t="s">
        <v>233</v>
      </c>
      <c r="E273" t="str">
        <f t="shared" si="10"/>
        <v>MILI</v>
      </c>
      <c r="F273">
        <v>1</v>
      </c>
      <c r="G273" s="3">
        <v>42901</v>
      </c>
      <c r="H273">
        <v>2.8</v>
      </c>
      <c r="I273">
        <v>1.5</v>
      </c>
      <c r="J273">
        <v>250</v>
      </c>
      <c r="K273">
        <v>150</v>
      </c>
      <c r="L273">
        <v>2.4</v>
      </c>
      <c r="M273">
        <v>2.0699999999999998</v>
      </c>
      <c r="N273">
        <v>2.58</v>
      </c>
      <c r="R273">
        <v>1238</v>
      </c>
    </row>
    <row r="274" spans="1:18" x14ac:dyDescent="0.25">
      <c r="A274">
        <v>273</v>
      </c>
      <c r="B274" t="s">
        <v>1236</v>
      </c>
      <c r="C274" t="s">
        <v>211</v>
      </c>
      <c r="E274" t="str">
        <f t="shared" si="10"/>
        <v>OCCO</v>
      </c>
      <c r="F274">
        <v>5</v>
      </c>
      <c r="G274" s="3">
        <v>42901</v>
      </c>
      <c r="H274">
        <v>15.2</v>
      </c>
      <c r="I274" t="s">
        <v>1041</v>
      </c>
      <c r="J274">
        <v>700</v>
      </c>
      <c r="K274">
        <v>150</v>
      </c>
      <c r="L274">
        <v>5.01</v>
      </c>
      <c r="M274">
        <v>7.15</v>
      </c>
      <c r="N274">
        <v>5.53</v>
      </c>
      <c r="R274">
        <v>1215</v>
      </c>
    </row>
    <row r="275" spans="1:18" x14ac:dyDescent="0.25">
      <c r="A275">
        <v>274</v>
      </c>
      <c r="B275" t="s">
        <v>1260</v>
      </c>
      <c r="C275" t="s">
        <v>254</v>
      </c>
      <c r="E275" t="str">
        <f t="shared" si="10"/>
        <v>ZEMO</v>
      </c>
      <c r="F275">
        <v>1</v>
      </c>
      <c r="G275" s="3">
        <v>42901</v>
      </c>
      <c r="H275">
        <v>4.5999999999999996</v>
      </c>
      <c r="I275">
        <v>4.0999999999999996</v>
      </c>
      <c r="J275">
        <v>280</v>
      </c>
      <c r="K275">
        <v>110</v>
      </c>
      <c r="L275">
        <v>6.4</v>
      </c>
      <c r="M275">
        <v>7.08</v>
      </c>
      <c r="N275">
        <v>9.31</v>
      </c>
      <c r="R275">
        <v>1197</v>
      </c>
    </row>
    <row r="276" spans="1:18" x14ac:dyDescent="0.25">
      <c r="A276">
        <v>275</v>
      </c>
      <c r="B276" t="s">
        <v>1212</v>
      </c>
      <c r="C276" t="s">
        <v>307</v>
      </c>
      <c r="E276" t="str">
        <f t="shared" si="10"/>
        <v>OUSP</v>
      </c>
      <c r="F276">
        <v>6</v>
      </c>
      <c r="G276" s="3">
        <v>42902</v>
      </c>
      <c r="H276" t="s">
        <v>1042</v>
      </c>
      <c r="I276" t="s">
        <v>1043</v>
      </c>
      <c r="J276">
        <v>460</v>
      </c>
      <c r="K276">
        <v>60</v>
      </c>
      <c r="L276">
        <v>9.27</v>
      </c>
      <c r="M276">
        <v>11.62</v>
      </c>
      <c r="N276">
        <v>13.56</v>
      </c>
      <c r="Q276">
        <v>5</v>
      </c>
      <c r="R276">
        <v>5086</v>
      </c>
    </row>
    <row r="277" spans="1:18" x14ac:dyDescent="0.25">
      <c r="A277">
        <v>276</v>
      </c>
      <c r="B277" t="s">
        <v>1244</v>
      </c>
      <c r="C277" t="s">
        <v>231</v>
      </c>
      <c r="E277" t="str">
        <f t="shared" si="10"/>
        <v>SCVI</v>
      </c>
      <c r="F277">
        <v>1</v>
      </c>
      <c r="G277" s="3">
        <v>42902</v>
      </c>
      <c r="H277">
        <v>1.8</v>
      </c>
      <c r="I277">
        <v>1.3</v>
      </c>
      <c r="J277">
        <v>230</v>
      </c>
      <c r="K277">
        <v>40</v>
      </c>
      <c r="L277">
        <v>1.7</v>
      </c>
      <c r="M277">
        <v>1.56</v>
      </c>
      <c r="N277">
        <v>1.67</v>
      </c>
      <c r="Q277">
        <v>4</v>
      </c>
      <c r="R277">
        <v>5091</v>
      </c>
    </row>
    <row r="278" spans="1:18" x14ac:dyDescent="0.25">
      <c r="A278">
        <v>277</v>
      </c>
      <c r="B278" t="s">
        <v>1219</v>
      </c>
      <c r="C278" t="s">
        <v>189</v>
      </c>
      <c r="E278" t="s">
        <v>1055</v>
      </c>
      <c r="F278">
        <v>1</v>
      </c>
      <c r="G278" s="3">
        <v>42902</v>
      </c>
      <c r="H278">
        <v>5.9</v>
      </c>
      <c r="I278">
        <v>5.6</v>
      </c>
      <c r="J278">
        <v>380</v>
      </c>
      <c r="K278">
        <v>140</v>
      </c>
      <c r="L278">
        <v>1.86</v>
      </c>
      <c r="M278">
        <v>1.91</v>
      </c>
      <c r="N278">
        <v>1.44</v>
      </c>
      <c r="Q278">
        <v>3</v>
      </c>
      <c r="R278">
        <v>5075</v>
      </c>
    </row>
    <row r="279" spans="1:18" x14ac:dyDescent="0.25">
      <c r="A279">
        <v>278</v>
      </c>
      <c r="B279" t="s">
        <v>1210</v>
      </c>
      <c r="C279" t="s">
        <v>213</v>
      </c>
      <c r="E279" t="str">
        <f>LEFT(B279,4)</f>
        <v>OUSP</v>
      </c>
      <c r="F279">
        <v>3</v>
      </c>
      <c r="G279" s="3">
        <v>42902</v>
      </c>
      <c r="H279">
        <v>8.8000000000000007</v>
      </c>
      <c r="I279">
        <v>7.5</v>
      </c>
      <c r="J279">
        <v>400</v>
      </c>
      <c r="K279">
        <v>100</v>
      </c>
      <c r="L279">
        <v>17.45</v>
      </c>
      <c r="M279">
        <v>8.9600000000000009</v>
      </c>
      <c r="N279">
        <v>14.39</v>
      </c>
      <c r="Q279">
        <v>5</v>
      </c>
      <c r="R279">
        <v>5068</v>
      </c>
    </row>
    <row r="280" spans="1:18" x14ac:dyDescent="0.25">
      <c r="A280">
        <v>279</v>
      </c>
      <c r="B280" t="s">
        <v>1242</v>
      </c>
      <c r="C280" t="s">
        <v>248</v>
      </c>
      <c r="E280" t="str">
        <f>LEFT(B280,4)</f>
        <v>RAUM</v>
      </c>
      <c r="F280">
        <v>1</v>
      </c>
      <c r="G280" s="3">
        <v>42902</v>
      </c>
      <c r="H280">
        <v>7.5</v>
      </c>
      <c r="I280">
        <v>7.1</v>
      </c>
      <c r="J280">
        <v>600</v>
      </c>
      <c r="K280">
        <v>190</v>
      </c>
      <c r="L280">
        <v>6.25</v>
      </c>
      <c r="M280">
        <v>6.11</v>
      </c>
      <c r="N280">
        <v>5.3</v>
      </c>
      <c r="Q280">
        <v>4</v>
      </c>
      <c r="R280">
        <v>5024</v>
      </c>
    </row>
    <row r="281" spans="1:18" x14ac:dyDescent="0.25">
      <c r="A281">
        <v>280</v>
      </c>
      <c r="B281" t="s">
        <v>1211</v>
      </c>
      <c r="C281" t="s">
        <v>216</v>
      </c>
      <c r="E281" t="str">
        <f>LEFT(B281,4)</f>
        <v>OUSP</v>
      </c>
      <c r="F281">
        <v>4</v>
      </c>
      <c r="G281" s="3">
        <v>42902</v>
      </c>
      <c r="H281">
        <v>7.2</v>
      </c>
      <c r="I281" t="s">
        <v>1044</v>
      </c>
      <c r="J281">
        <v>400</v>
      </c>
      <c r="K281">
        <v>260</v>
      </c>
      <c r="L281">
        <v>13.08</v>
      </c>
      <c r="M281">
        <v>13.01</v>
      </c>
      <c r="N281">
        <v>13.33</v>
      </c>
      <c r="Q281">
        <v>4</v>
      </c>
      <c r="R281">
        <v>5135</v>
      </c>
    </row>
    <row r="282" spans="1:18" x14ac:dyDescent="0.25">
      <c r="A282">
        <v>281</v>
      </c>
      <c r="B282" t="s">
        <v>1217</v>
      </c>
      <c r="C282" t="s">
        <v>203</v>
      </c>
      <c r="E282" t="s">
        <v>373</v>
      </c>
      <c r="F282">
        <v>2</v>
      </c>
      <c r="G282" s="3">
        <v>42902</v>
      </c>
      <c r="H282">
        <v>4</v>
      </c>
      <c r="I282" t="s">
        <v>1045</v>
      </c>
      <c r="J282">
        <v>250</v>
      </c>
      <c r="K282">
        <v>60</v>
      </c>
      <c r="L282">
        <v>1.19</v>
      </c>
      <c r="M282">
        <v>0.76</v>
      </c>
      <c r="N282">
        <v>1.29</v>
      </c>
      <c r="Q282">
        <v>4</v>
      </c>
      <c r="R282">
        <v>5155</v>
      </c>
    </row>
    <row r="283" spans="1:18" x14ac:dyDescent="0.25">
      <c r="A283">
        <v>282</v>
      </c>
      <c r="B283" t="s">
        <v>304</v>
      </c>
      <c r="E283" t="str">
        <f t="shared" ref="E283:E314" si="11">LEFT(B283,4)</f>
        <v>ERCU</v>
      </c>
      <c r="F283">
        <v>4</v>
      </c>
      <c r="G283" s="3">
        <v>42902</v>
      </c>
      <c r="H283">
        <v>1.6</v>
      </c>
      <c r="I283">
        <v>1.5</v>
      </c>
      <c r="J283">
        <v>240</v>
      </c>
      <c r="K283">
        <v>90</v>
      </c>
      <c r="L283">
        <v>1.21</v>
      </c>
      <c r="M283">
        <v>0.95</v>
      </c>
      <c r="N283">
        <v>1.01</v>
      </c>
      <c r="Q283">
        <v>4</v>
      </c>
      <c r="R283">
        <v>5131</v>
      </c>
    </row>
    <row r="284" spans="1:18" x14ac:dyDescent="0.25">
      <c r="A284">
        <v>283</v>
      </c>
      <c r="B284" t="s">
        <v>1235</v>
      </c>
      <c r="C284" t="s">
        <v>208</v>
      </c>
      <c r="E284" t="str">
        <f t="shared" si="11"/>
        <v>OCCO</v>
      </c>
      <c r="F284">
        <v>4</v>
      </c>
      <c r="G284" s="3">
        <v>42902</v>
      </c>
      <c r="H284">
        <v>9.3000000000000007</v>
      </c>
      <c r="I284">
        <v>5.6</v>
      </c>
      <c r="J284">
        <v>500</v>
      </c>
      <c r="K284">
        <v>20</v>
      </c>
      <c r="L284">
        <v>7.28</v>
      </c>
      <c r="M284">
        <v>8.15</v>
      </c>
      <c r="N284">
        <v>5.56</v>
      </c>
      <c r="Q284">
        <v>4</v>
      </c>
      <c r="R284">
        <v>5108</v>
      </c>
    </row>
    <row r="285" spans="1:18" x14ac:dyDescent="0.25">
      <c r="A285">
        <v>284</v>
      </c>
      <c r="B285" t="s">
        <v>1220</v>
      </c>
      <c r="C285" t="s">
        <v>271</v>
      </c>
      <c r="E285" t="str">
        <f t="shared" si="11"/>
        <v>AEVE</v>
      </c>
      <c r="F285">
        <v>4</v>
      </c>
      <c r="G285" s="3">
        <v>42902</v>
      </c>
      <c r="H285">
        <v>6.5</v>
      </c>
      <c r="I285" t="s">
        <v>1046</v>
      </c>
      <c r="J285">
        <v>200</v>
      </c>
      <c r="K285">
        <v>50</v>
      </c>
      <c r="L285">
        <v>3.5</v>
      </c>
      <c r="M285">
        <v>3.26</v>
      </c>
      <c r="N285">
        <v>2.41</v>
      </c>
      <c r="Q285">
        <v>5</v>
      </c>
      <c r="R285">
        <v>5105</v>
      </c>
    </row>
    <row r="286" spans="1:18" x14ac:dyDescent="0.25">
      <c r="A286">
        <v>285</v>
      </c>
      <c r="B286" t="s">
        <v>1222</v>
      </c>
      <c r="C286" t="s">
        <v>259</v>
      </c>
      <c r="E286" t="str">
        <f t="shared" si="11"/>
        <v>CALU</v>
      </c>
      <c r="F286">
        <v>1</v>
      </c>
      <c r="G286" s="3">
        <v>42902</v>
      </c>
      <c r="H286">
        <v>11.5</v>
      </c>
      <c r="I286" t="s">
        <v>1047</v>
      </c>
      <c r="J286">
        <v>700</v>
      </c>
      <c r="K286">
        <v>120</v>
      </c>
      <c r="L286">
        <v>9.56</v>
      </c>
      <c r="M286">
        <v>7.45</v>
      </c>
      <c r="N286">
        <v>7.33</v>
      </c>
      <c r="Q286">
        <v>4</v>
      </c>
      <c r="R286">
        <v>5085</v>
      </c>
    </row>
    <row r="287" spans="1:18" x14ac:dyDescent="0.25">
      <c r="A287">
        <v>286</v>
      </c>
      <c r="B287" t="s">
        <v>1237</v>
      </c>
      <c r="C287" t="s">
        <v>258</v>
      </c>
      <c r="E287" t="str">
        <f t="shared" si="11"/>
        <v>OCCO</v>
      </c>
      <c r="F287">
        <v>6</v>
      </c>
      <c r="G287" s="3">
        <v>42902</v>
      </c>
      <c r="H287" t="s">
        <v>1048</v>
      </c>
      <c r="I287" t="s">
        <v>1049</v>
      </c>
      <c r="J287">
        <v>700</v>
      </c>
      <c r="K287">
        <v>30</v>
      </c>
      <c r="L287">
        <v>5.28</v>
      </c>
      <c r="M287">
        <v>4.78</v>
      </c>
      <c r="N287">
        <v>4.41</v>
      </c>
      <c r="Q287">
        <v>5</v>
      </c>
      <c r="R287">
        <v>5096</v>
      </c>
    </row>
    <row r="288" spans="1:18" x14ac:dyDescent="0.25">
      <c r="A288">
        <v>287</v>
      </c>
      <c r="B288" t="s">
        <v>1227</v>
      </c>
      <c r="C288" t="s">
        <v>196</v>
      </c>
      <c r="E288" t="str">
        <f t="shared" si="11"/>
        <v>GOPO</v>
      </c>
      <c r="F288">
        <v>2</v>
      </c>
      <c r="G288" s="3">
        <v>42902</v>
      </c>
      <c r="H288">
        <v>17.8</v>
      </c>
      <c r="I288" t="s">
        <v>1050</v>
      </c>
      <c r="J288">
        <v>600</v>
      </c>
      <c r="K288">
        <v>130</v>
      </c>
      <c r="L288">
        <v>25.93</v>
      </c>
      <c r="M288">
        <v>23.02</v>
      </c>
      <c r="N288">
        <v>31.38</v>
      </c>
      <c r="Q288">
        <v>5</v>
      </c>
      <c r="R288">
        <v>5101</v>
      </c>
    </row>
    <row r="289" spans="1:18" x14ac:dyDescent="0.25">
      <c r="A289">
        <v>288</v>
      </c>
      <c r="B289" t="s">
        <v>1238</v>
      </c>
      <c r="C289" t="s">
        <v>226</v>
      </c>
      <c r="E289" t="str">
        <f t="shared" si="11"/>
        <v>OCPU</v>
      </c>
      <c r="F289">
        <v>4</v>
      </c>
      <c r="G289" s="3">
        <v>42902</v>
      </c>
      <c r="H289">
        <v>3.8</v>
      </c>
      <c r="I289">
        <v>2.2999999999999998</v>
      </c>
      <c r="J289">
        <v>400</v>
      </c>
      <c r="K289">
        <v>130</v>
      </c>
      <c r="L289">
        <v>1.81</v>
      </c>
      <c r="M289">
        <v>1.25</v>
      </c>
      <c r="N289">
        <v>1.45</v>
      </c>
      <c r="Q289">
        <v>3</v>
      </c>
      <c r="R289" t="s">
        <v>986</v>
      </c>
    </row>
    <row r="290" spans="1:18" x14ac:dyDescent="0.25">
      <c r="A290">
        <v>289</v>
      </c>
      <c r="B290" t="s">
        <v>802</v>
      </c>
      <c r="E290" t="str">
        <f t="shared" si="11"/>
        <v>JACA</v>
      </c>
      <c r="F290">
        <v>5</v>
      </c>
      <c r="G290" s="3">
        <v>42927</v>
      </c>
      <c r="H290">
        <v>5.3</v>
      </c>
      <c r="I290">
        <v>4.8</v>
      </c>
      <c r="J290">
        <v>656</v>
      </c>
      <c r="K290">
        <v>550</v>
      </c>
      <c r="L290">
        <v>2.76</v>
      </c>
      <c r="M290">
        <v>2.58</v>
      </c>
      <c r="N290">
        <v>4.28</v>
      </c>
      <c r="Q290">
        <v>4</v>
      </c>
    </row>
    <row r="291" spans="1:18" x14ac:dyDescent="0.25">
      <c r="A291">
        <v>290</v>
      </c>
      <c r="B291" t="s">
        <v>806</v>
      </c>
      <c r="E291" t="str">
        <f t="shared" si="11"/>
        <v>LAHA</v>
      </c>
      <c r="F291">
        <v>3</v>
      </c>
      <c r="G291" s="3">
        <v>42927</v>
      </c>
      <c r="H291">
        <v>1.52</v>
      </c>
      <c r="I291">
        <v>0.85</v>
      </c>
      <c r="J291">
        <v>202</v>
      </c>
      <c r="K291">
        <v>40</v>
      </c>
      <c r="L291">
        <v>0.64</v>
      </c>
      <c r="M291" t="s">
        <v>135</v>
      </c>
      <c r="N291" t="s">
        <v>135</v>
      </c>
      <c r="Q291">
        <v>3</v>
      </c>
    </row>
    <row r="292" spans="1:18" x14ac:dyDescent="0.25">
      <c r="A292">
        <v>291</v>
      </c>
      <c r="B292" t="s">
        <v>815</v>
      </c>
      <c r="E292" t="str">
        <f t="shared" si="11"/>
        <v>RAUM</v>
      </c>
      <c r="F292">
        <v>5</v>
      </c>
      <c r="G292" s="3">
        <v>42927</v>
      </c>
      <c r="H292">
        <v>2.2999999999999998</v>
      </c>
      <c r="I292">
        <v>1.5</v>
      </c>
      <c r="J292">
        <v>290</v>
      </c>
      <c r="K292">
        <v>140</v>
      </c>
      <c r="L292">
        <v>2.11</v>
      </c>
      <c r="M292" t="s">
        <v>135</v>
      </c>
      <c r="N292" t="s">
        <v>135</v>
      </c>
      <c r="Q292">
        <v>3</v>
      </c>
    </row>
    <row r="293" spans="1:18" x14ac:dyDescent="0.25">
      <c r="A293">
        <v>292</v>
      </c>
      <c r="B293" t="s">
        <v>811</v>
      </c>
      <c r="E293" t="str">
        <f t="shared" si="11"/>
        <v>CUVE</v>
      </c>
      <c r="F293">
        <v>1</v>
      </c>
      <c r="G293" s="3">
        <v>42927</v>
      </c>
      <c r="H293">
        <v>1.1000000000000001</v>
      </c>
      <c r="I293">
        <v>0.75</v>
      </c>
      <c r="J293">
        <v>135</v>
      </c>
      <c r="K293">
        <v>60</v>
      </c>
      <c r="L293">
        <v>0.54</v>
      </c>
      <c r="M293" t="s">
        <v>135</v>
      </c>
      <c r="N293" t="s">
        <v>135</v>
      </c>
      <c r="Q293">
        <v>4</v>
      </c>
    </row>
    <row r="294" spans="1:18" x14ac:dyDescent="0.25">
      <c r="A294">
        <v>293</v>
      </c>
      <c r="B294" t="s">
        <v>814</v>
      </c>
      <c r="E294" t="str">
        <f t="shared" si="11"/>
        <v>BYCO</v>
      </c>
      <c r="F294">
        <v>3</v>
      </c>
      <c r="G294" s="3">
        <v>42927</v>
      </c>
      <c r="H294">
        <v>0.75</v>
      </c>
      <c r="I294" t="s">
        <v>135</v>
      </c>
      <c r="J294">
        <v>99</v>
      </c>
      <c r="K294">
        <v>40</v>
      </c>
      <c r="L294">
        <v>0.35</v>
      </c>
      <c r="M294" t="s">
        <v>135</v>
      </c>
      <c r="N294" t="s">
        <v>135</v>
      </c>
      <c r="Q294">
        <v>3</v>
      </c>
    </row>
    <row r="295" spans="1:18" x14ac:dyDescent="0.25">
      <c r="A295">
        <v>294</v>
      </c>
      <c r="B295" t="s">
        <v>808</v>
      </c>
      <c r="E295" t="str">
        <f t="shared" si="11"/>
        <v>PLEL</v>
      </c>
      <c r="F295">
        <v>1</v>
      </c>
      <c r="G295" s="3">
        <v>42927</v>
      </c>
      <c r="H295">
        <v>6</v>
      </c>
      <c r="I295">
        <v>5.5</v>
      </c>
      <c r="J295">
        <v>360</v>
      </c>
      <c r="K295">
        <v>205</v>
      </c>
      <c r="L295">
        <v>8.6</v>
      </c>
      <c r="M295">
        <v>9.06</v>
      </c>
      <c r="N295">
        <v>9.5299999999999994</v>
      </c>
      <c r="Q295">
        <v>3</v>
      </c>
    </row>
    <row r="296" spans="1:18" x14ac:dyDescent="0.25">
      <c r="A296">
        <v>295</v>
      </c>
      <c r="B296" t="s">
        <v>807</v>
      </c>
      <c r="E296" t="str">
        <f t="shared" si="11"/>
        <v>BARU</v>
      </c>
      <c r="F296">
        <v>5</v>
      </c>
      <c r="G296" s="3">
        <v>42927</v>
      </c>
      <c r="H296">
        <v>1.1100000000000001</v>
      </c>
      <c r="I296">
        <v>0.4</v>
      </c>
      <c r="J296">
        <v>165</v>
      </c>
      <c r="K296">
        <v>120</v>
      </c>
      <c r="L296">
        <v>0.97</v>
      </c>
      <c r="M296" t="s">
        <v>135</v>
      </c>
      <c r="N296" t="s">
        <v>135</v>
      </c>
      <c r="Q296">
        <v>3</v>
      </c>
    </row>
    <row r="297" spans="1:18" x14ac:dyDescent="0.25">
      <c r="A297">
        <v>296</v>
      </c>
      <c r="B297" t="s">
        <v>803</v>
      </c>
      <c r="E297" t="str">
        <f t="shared" si="11"/>
        <v>RAFE</v>
      </c>
      <c r="F297">
        <v>4</v>
      </c>
      <c r="G297" s="3">
        <v>42927</v>
      </c>
      <c r="H297">
        <v>1.59</v>
      </c>
      <c r="I297">
        <v>0.9</v>
      </c>
      <c r="J297">
        <v>197</v>
      </c>
      <c r="K297">
        <v>90</v>
      </c>
      <c r="L297">
        <v>1.38</v>
      </c>
      <c r="M297" t="s">
        <v>135</v>
      </c>
      <c r="N297" t="s">
        <v>135</v>
      </c>
      <c r="Q297">
        <v>4</v>
      </c>
    </row>
    <row r="298" spans="1:18" x14ac:dyDescent="0.25">
      <c r="A298">
        <v>297</v>
      </c>
      <c r="B298" t="s">
        <v>817</v>
      </c>
      <c r="E298" t="str">
        <f t="shared" si="11"/>
        <v>VOTU</v>
      </c>
      <c r="F298">
        <v>4</v>
      </c>
      <c r="G298" s="3">
        <v>42927</v>
      </c>
      <c r="H298">
        <v>7</v>
      </c>
      <c r="I298">
        <v>5.3</v>
      </c>
      <c r="J298">
        <v>340</v>
      </c>
      <c r="K298">
        <v>130</v>
      </c>
      <c r="L298">
        <v>6.3</v>
      </c>
      <c r="M298">
        <v>6.98</v>
      </c>
      <c r="N298">
        <v>7.95</v>
      </c>
      <c r="Q298">
        <v>4</v>
      </c>
    </row>
    <row r="299" spans="1:18" x14ac:dyDescent="0.25">
      <c r="A299">
        <v>298</v>
      </c>
      <c r="B299" t="s">
        <v>816</v>
      </c>
      <c r="E299" t="str">
        <f t="shared" si="11"/>
        <v>QUCO</v>
      </c>
      <c r="F299">
        <v>3</v>
      </c>
      <c r="G299" s="3">
        <v>42927</v>
      </c>
      <c r="H299">
        <v>3.2</v>
      </c>
      <c r="I299">
        <v>2.2000000000000002</v>
      </c>
      <c r="J299">
        <v>220</v>
      </c>
      <c r="K299">
        <v>130</v>
      </c>
      <c r="L299">
        <v>5.07</v>
      </c>
      <c r="M299">
        <v>4.34</v>
      </c>
      <c r="N299">
        <v>5.56</v>
      </c>
      <c r="Q299">
        <v>3</v>
      </c>
    </row>
    <row r="300" spans="1:18" x14ac:dyDescent="0.25">
      <c r="A300">
        <v>299</v>
      </c>
      <c r="B300" t="s">
        <v>819</v>
      </c>
      <c r="E300" t="str">
        <f t="shared" si="11"/>
        <v>QUCO</v>
      </c>
      <c r="F300">
        <v>4</v>
      </c>
      <c r="G300" s="3">
        <v>42927</v>
      </c>
      <c r="H300">
        <v>7.8</v>
      </c>
      <c r="I300" t="s">
        <v>822</v>
      </c>
      <c r="J300">
        <v>213</v>
      </c>
      <c r="K300">
        <v>140</v>
      </c>
      <c r="L300">
        <v>16.010000000000002</v>
      </c>
      <c r="M300">
        <v>17.41</v>
      </c>
      <c r="N300">
        <v>13.4</v>
      </c>
      <c r="Q300">
        <v>4</v>
      </c>
    </row>
    <row r="301" spans="1:18" x14ac:dyDescent="0.25">
      <c r="A301">
        <v>300</v>
      </c>
      <c r="B301" t="s">
        <v>818</v>
      </c>
      <c r="E301" t="str">
        <f t="shared" si="11"/>
        <v>MYMU</v>
      </c>
      <c r="F301">
        <v>5</v>
      </c>
      <c r="G301" s="3">
        <v>42927</v>
      </c>
      <c r="H301">
        <v>3</v>
      </c>
      <c r="I301">
        <v>2.8</v>
      </c>
      <c r="J301">
        <v>440</v>
      </c>
      <c r="K301">
        <v>245</v>
      </c>
      <c r="L301">
        <v>0.62</v>
      </c>
      <c r="M301">
        <v>0.51</v>
      </c>
      <c r="N301">
        <v>0.68</v>
      </c>
      <c r="Q301">
        <v>3</v>
      </c>
    </row>
    <row r="302" spans="1:18" x14ac:dyDescent="0.25">
      <c r="A302">
        <v>301</v>
      </c>
      <c r="B302" t="s">
        <v>796</v>
      </c>
      <c r="E302" t="str">
        <f t="shared" si="11"/>
        <v>QUCO</v>
      </c>
      <c r="F302">
        <v>5</v>
      </c>
      <c r="G302" s="3">
        <v>42927</v>
      </c>
      <c r="H302">
        <v>3.64</v>
      </c>
      <c r="I302">
        <v>0.43</v>
      </c>
      <c r="J302">
        <v>150</v>
      </c>
      <c r="K302">
        <v>70</v>
      </c>
      <c r="L302">
        <v>4.66</v>
      </c>
      <c r="M302">
        <v>7.25</v>
      </c>
      <c r="N302">
        <v>6.51</v>
      </c>
      <c r="Q302">
        <v>4</v>
      </c>
    </row>
    <row r="303" spans="1:18" x14ac:dyDescent="0.25">
      <c r="A303">
        <v>302</v>
      </c>
      <c r="B303" t="s">
        <v>798</v>
      </c>
      <c r="E303" t="str">
        <f t="shared" si="11"/>
        <v>BYCO</v>
      </c>
      <c r="F303">
        <v>4</v>
      </c>
      <c r="G303" s="3">
        <v>42927</v>
      </c>
      <c r="H303">
        <v>1.01</v>
      </c>
      <c r="I303" t="s">
        <v>135</v>
      </c>
      <c r="J303">
        <v>80</v>
      </c>
      <c r="K303">
        <v>40</v>
      </c>
      <c r="L303">
        <v>0.82</v>
      </c>
      <c r="M303" t="s">
        <v>135</v>
      </c>
      <c r="N303" t="s">
        <v>135</v>
      </c>
      <c r="Q303">
        <v>4</v>
      </c>
    </row>
    <row r="304" spans="1:18" x14ac:dyDescent="0.25">
      <c r="A304">
        <v>303</v>
      </c>
      <c r="B304" t="s">
        <v>805</v>
      </c>
      <c r="E304" t="str">
        <f t="shared" si="11"/>
        <v>LAHA</v>
      </c>
      <c r="F304">
        <v>4</v>
      </c>
      <c r="G304" s="3">
        <v>42927</v>
      </c>
      <c r="H304">
        <v>0.47</v>
      </c>
      <c r="I304" t="s">
        <v>135</v>
      </c>
      <c r="J304">
        <v>80</v>
      </c>
      <c r="K304">
        <v>0</v>
      </c>
      <c r="L304">
        <v>0.3</v>
      </c>
      <c r="M304" t="s">
        <v>135</v>
      </c>
      <c r="N304" t="s">
        <v>135</v>
      </c>
      <c r="Q304">
        <v>3</v>
      </c>
    </row>
    <row r="305" spans="1:17" x14ac:dyDescent="0.25">
      <c r="A305">
        <v>304</v>
      </c>
      <c r="B305" t="s">
        <v>797</v>
      </c>
      <c r="E305" t="str">
        <f t="shared" si="11"/>
        <v>ALED</v>
      </c>
      <c r="F305">
        <v>3</v>
      </c>
      <c r="G305" s="3">
        <v>42927</v>
      </c>
      <c r="H305">
        <v>2.14</v>
      </c>
      <c r="I305">
        <v>1.1599999999999999</v>
      </c>
      <c r="J305">
        <v>250</v>
      </c>
      <c r="K305">
        <v>140</v>
      </c>
      <c r="L305">
        <v>1.72</v>
      </c>
      <c r="M305">
        <v>1.18</v>
      </c>
      <c r="N305">
        <v>1.54</v>
      </c>
      <c r="Q305">
        <v>4</v>
      </c>
    </row>
    <row r="306" spans="1:17" x14ac:dyDescent="0.25">
      <c r="A306">
        <v>305</v>
      </c>
      <c r="B306" t="s">
        <v>795</v>
      </c>
      <c r="E306" t="str">
        <f t="shared" si="11"/>
        <v>COSU</v>
      </c>
      <c r="F306">
        <v>4</v>
      </c>
      <c r="G306" s="3">
        <v>42927</v>
      </c>
      <c r="H306">
        <v>4.3</v>
      </c>
      <c r="I306">
        <v>2.7</v>
      </c>
      <c r="J306">
        <v>181</v>
      </c>
      <c r="K306">
        <v>100</v>
      </c>
      <c r="L306">
        <v>10.61</v>
      </c>
      <c r="M306">
        <v>7.84</v>
      </c>
      <c r="N306">
        <v>12.76</v>
      </c>
      <c r="Q306">
        <v>3</v>
      </c>
    </row>
    <row r="307" spans="1:17" x14ac:dyDescent="0.25">
      <c r="A307">
        <v>306</v>
      </c>
      <c r="B307" t="s">
        <v>794</v>
      </c>
      <c r="E307" t="str">
        <f t="shared" si="11"/>
        <v>COSU</v>
      </c>
      <c r="F307">
        <v>5</v>
      </c>
      <c r="G307" s="3">
        <v>42927</v>
      </c>
      <c r="H307">
        <v>4.7</v>
      </c>
      <c r="I307">
        <v>4.0999999999999996</v>
      </c>
      <c r="J307">
        <v>221</v>
      </c>
      <c r="K307">
        <v>120</v>
      </c>
      <c r="L307">
        <v>10.87</v>
      </c>
      <c r="M307">
        <v>19.309999999999999</v>
      </c>
      <c r="N307">
        <v>8.49</v>
      </c>
      <c r="Q307">
        <v>3</v>
      </c>
    </row>
    <row r="308" spans="1:17" x14ac:dyDescent="0.25">
      <c r="A308">
        <v>307</v>
      </c>
      <c r="B308" t="s">
        <v>804</v>
      </c>
      <c r="E308" t="str">
        <f t="shared" si="11"/>
        <v>PEOB</v>
      </c>
      <c r="F308">
        <v>5</v>
      </c>
      <c r="G308" s="3">
        <v>42927</v>
      </c>
      <c r="H308">
        <v>14.4</v>
      </c>
      <c r="I308" t="s">
        <v>823</v>
      </c>
      <c r="J308">
        <v>670</v>
      </c>
      <c r="K308">
        <v>400</v>
      </c>
      <c r="L308">
        <v>7.54</v>
      </c>
      <c r="M308">
        <v>3.64</v>
      </c>
      <c r="N308">
        <v>4.87</v>
      </c>
      <c r="Q308">
        <v>5</v>
      </c>
    </row>
    <row r="309" spans="1:17" x14ac:dyDescent="0.25">
      <c r="A309">
        <v>308</v>
      </c>
      <c r="B309" t="s">
        <v>799</v>
      </c>
      <c r="E309" t="str">
        <f t="shared" si="11"/>
        <v>LUGR</v>
      </c>
      <c r="F309">
        <v>1</v>
      </c>
      <c r="G309" s="3">
        <v>42927</v>
      </c>
      <c r="H309">
        <v>5.8</v>
      </c>
      <c r="I309">
        <v>4.5999999999999996</v>
      </c>
      <c r="J309">
        <v>340</v>
      </c>
      <c r="K309">
        <v>150</v>
      </c>
      <c r="L309">
        <v>10.02</v>
      </c>
      <c r="M309">
        <v>8.6300000000000008</v>
      </c>
      <c r="N309">
        <v>10.68</v>
      </c>
      <c r="Q309">
        <v>4</v>
      </c>
    </row>
    <row r="310" spans="1:17" x14ac:dyDescent="0.25">
      <c r="A310">
        <v>309</v>
      </c>
      <c r="B310" t="s">
        <v>739</v>
      </c>
      <c r="E310" t="str">
        <f t="shared" si="11"/>
        <v>ROMO</v>
      </c>
      <c r="F310">
        <v>5</v>
      </c>
      <c r="G310" s="3">
        <v>42921</v>
      </c>
      <c r="H310">
        <v>3.8</v>
      </c>
      <c r="I310">
        <v>1.6579999999999999</v>
      </c>
      <c r="J310">
        <v>220</v>
      </c>
      <c r="K310">
        <v>76</v>
      </c>
      <c r="L310">
        <v>6.64</v>
      </c>
      <c r="M310">
        <v>4.03</v>
      </c>
      <c r="N310">
        <v>4.07</v>
      </c>
      <c r="Q310">
        <v>3</v>
      </c>
    </row>
    <row r="311" spans="1:17" x14ac:dyDescent="0.25">
      <c r="A311">
        <v>310</v>
      </c>
      <c r="B311" t="s">
        <v>737</v>
      </c>
      <c r="E311" t="str">
        <f t="shared" si="11"/>
        <v>DUFU</v>
      </c>
      <c r="F311">
        <v>4</v>
      </c>
      <c r="G311" s="3">
        <v>42921</v>
      </c>
      <c r="H311">
        <v>3.2</v>
      </c>
      <c r="I311">
        <v>0.65400000000000003</v>
      </c>
      <c r="J311">
        <v>166</v>
      </c>
      <c r="K311">
        <v>44</v>
      </c>
      <c r="L311">
        <v>2.3199999999999998</v>
      </c>
      <c r="M311">
        <v>4.08</v>
      </c>
      <c r="N311">
        <v>2.4</v>
      </c>
      <c r="Q311">
        <v>3</v>
      </c>
    </row>
    <row r="312" spans="1:17" x14ac:dyDescent="0.25">
      <c r="A312">
        <v>311</v>
      </c>
      <c r="B312" t="s">
        <v>740</v>
      </c>
      <c r="E312" t="str">
        <f t="shared" si="11"/>
        <v>ERGR</v>
      </c>
      <c r="F312">
        <v>2</v>
      </c>
      <c r="G312" s="3">
        <v>42921</v>
      </c>
      <c r="H312">
        <v>8.1</v>
      </c>
      <c r="I312">
        <v>7.4</v>
      </c>
      <c r="J312">
        <v>250</v>
      </c>
      <c r="K312">
        <v>50</v>
      </c>
      <c r="L312">
        <v>18.440000000000001</v>
      </c>
      <c r="M312">
        <v>17.93</v>
      </c>
      <c r="N312">
        <v>15.35</v>
      </c>
      <c r="Q312">
        <v>3</v>
      </c>
    </row>
    <row r="313" spans="1:17" x14ac:dyDescent="0.25">
      <c r="A313">
        <v>312</v>
      </c>
      <c r="B313" t="s">
        <v>736</v>
      </c>
      <c r="E313" t="str">
        <f t="shared" si="11"/>
        <v>QUGR</v>
      </c>
      <c r="F313">
        <v>4</v>
      </c>
      <c r="G313" s="3">
        <v>42921</v>
      </c>
      <c r="H313">
        <v>10.4</v>
      </c>
      <c r="I313">
        <v>7.3</v>
      </c>
      <c r="J313">
        <v>500</v>
      </c>
      <c r="K313">
        <v>300</v>
      </c>
      <c r="L313">
        <v>15.74</v>
      </c>
      <c r="M313">
        <v>12.96</v>
      </c>
      <c r="N313">
        <v>14.13</v>
      </c>
      <c r="Q313">
        <v>4</v>
      </c>
    </row>
    <row r="314" spans="1:17" x14ac:dyDescent="0.25">
      <c r="A314">
        <v>313</v>
      </c>
      <c r="B314" t="s">
        <v>741</v>
      </c>
      <c r="E314" t="str">
        <f t="shared" si="11"/>
        <v>TOFO</v>
      </c>
      <c r="F314">
        <v>5</v>
      </c>
      <c r="G314" s="3">
        <v>42921</v>
      </c>
      <c r="H314">
        <v>1.67</v>
      </c>
      <c r="I314">
        <v>1.23</v>
      </c>
      <c r="J314">
        <v>205</v>
      </c>
      <c r="K314">
        <v>140</v>
      </c>
      <c r="L314">
        <v>0.72</v>
      </c>
      <c r="M314" t="s">
        <v>135</v>
      </c>
      <c r="N314" t="s">
        <v>135</v>
      </c>
      <c r="Q314">
        <v>3</v>
      </c>
    </row>
    <row r="315" spans="1:17" x14ac:dyDescent="0.25">
      <c r="A315">
        <v>314</v>
      </c>
      <c r="B315" t="s">
        <v>729</v>
      </c>
      <c r="E315" t="str">
        <f t="shared" ref="E315:E346" si="12">LEFT(B315,4)</f>
        <v>POTO</v>
      </c>
      <c r="F315">
        <v>3</v>
      </c>
      <c r="G315" s="3">
        <v>42921</v>
      </c>
      <c r="H315">
        <v>21.5</v>
      </c>
      <c r="I315">
        <v>18.5</v>
      </c>
      <c r="J315">
        <v>550</v>
      </c>
      <c r="K315">
        <v>300</v>
      </c>
      <c r="L315">
        <v>29.41</v>
      </c>
      <c r="M315">
        <v>29.93</v>
      </c>
      <c r="N315">
        <v>25.75</v>
      </c>
      <c r="Q315">
        <v>4</v>
      </c>
    </row>
    <row r="316" spans="1:17" x14ac:dyDescent="0.25">
      <c r="A316">
        <v>315</v>
      </c>
      <c r="B316" t="s">
        <v>1216</v>
      </c>
      <c r="C316" t="s">
        <v>732</v>
      </c>
      <c r="E316" t="str">
        <f t="shared" si="12"/>
        <v>RAFE</v>
      </c>
      <c r="F316">
        <v>5</v>
      </c>
      <c r="G316" s="3">
        <v>42921</v>
      </c>
      <c r="H316">
        <v>2.9</v>
      </c>
      <c r="I316">
        <v>2.4</v>
      </c>
      <c r="J316">
        <v>240</v>
      </c>
      <c r="K316">
        <v>200</v>
      </c>
      <c r="L316">
        <v>1.83</v>
      </c>
      <c r="M316">
        <v>1.77</v>
      </c>
      <c r="N316">
        <v>1.26</v>
      </c>
      <c r="Q316">
        <v>3</v>
      </c>
    </row>
    <row r="317" spans="1:17" x14ac:dyDescent="0.25">
      <c r="A317">
        <v>316</v>
      </c>
      <c r="B317" t="s">
        <v>738</v>
      </c>
      <c r="E317" t="str">
        <f t="shared" si="12"/>
        <v>ANDI</v>
      </c>
      <c r="F317">
        <v>3</v>
      </c>
      <c r="G317" s="3">
        <v>42921</v>
      </c>
      <c r="H317">
        <v>0.88</v>
      </c>
      <c r="I317" t="s">
        <v>135</v>
      </c>
      <c r="J317">
        <v>115</v>
      </c>
      <c r="K317">
        <v>70</v>
      </c>
      <c r="L317">
        <v>1.29</v>
      </c>
      <c r="M317" t="s">
        <v>135</v>
      </c>
      <c r="N317" t="s">
        <v>135</v>
      </c>
      <c r="Q317">
        <v>3</v>
      </c>
    </row>
    <row r="318" spans="1:17" x14ac:dyDescent="0.25">
      <c r="A318">
        <v>317</v>
      </c>
      <c r="B318" t="s">
        <v>734</v>
      </c>
      <c r="E318" t="str">
        <f t="shared" si="12"/>
        <v>DAEL</v>
      </c>
      <c r="F318">
        <v>1</v>
      </c>
      <c r="G318" s="3">
        <v>42921</v>
      </c>
      <c r="H318" t="s">
        <v>881</v>
      </c>
      <c r="I318" t="s">
        <v>882</v>
      </c>
      <c r="J318">
        <v>200</v>
      </c>
      <c r="K318">
        <v>60</v>
      </c>
      <c r="L318">
        <v>5.53</v>
      </c>
      <c r="M318">
        <v>8.1199999999999992</v>
      </c>
      <c r="N318">
        <v>6.96</v>
      </c>
      <c r="Q318">
        <v>4</v>
      </c>
    </row>
    <row r="319" spans="1:17" x14ac:dyDescent="0.25">
      <c r="A319">
        <v>318</v>
      </c>
      <c r="B319" t="s">
        <v>733</v>
      </c>
      <c r="E319" t="str">
        <f t="shared" si="12"/>
        <v>CASY</v>
      </c>
      <c r="F319">
        <v>4</v>
      </c>
      <c r="G319" s="3">
        <v>42921</v>
      </c>
      <c r="H319">
        <v>1.48</v>
      </c>
      <c r="I319">
        <v>0.78</v>
      </c>
      <c r="J319">
        <v>185</v>
      </c>
      <c r="K319">
        <v>100</v>
      </c>
      <c r="L319">
        <v>1.47</v>
      </c>
      <c r="M319" t="s">
        <v>135</v>
      </c>
      <c r="N319" t="s">
        <v>135</v>
      </c>
      <c r="Q319">
        <v>3</v>
      </c>
    </row>
    <row r="320" spans="1:17" x14ac:dyDescent="0.25">
      <c r="A320">
        <v>319</v>
      </c>
      <c r="B320" t="s">
        <v>726</v>
      </c>
      <c r="E320" t="str">
        <f t="shared" si="12"/>
        <v>SYPU</v>
      </c>
      <c r="F320">
        <v>3</v>
      </c>
      <c r="G320" s="3">
        <v>42921</v>
      </c>
      <c r="H320">
        <v>4.8</v>
      </c>
      <c r="I320">
        <v>3</v>
      </c>
      <c r="J320">
        <v>450</v>
      </c>
      <c r="K320">
        <v>215</v>
      </c>
      <c r="L320">
        <v>10.59</v>
      </c>
      <c r="M320">
        <v>10.51</v>
      </c>
      <c r="N320">
        <v>13.96</v>
      </c>
      <c r="Q320">
        <v>3</v>
      </c>
    </row>
    <row r="321" spans="1:17" x14ac:dyDescent="0.25">
      <c r="A321">
        <v>320</v>
      </c>
      <c r="B321" t="s">
        <v>727</v>
      </c>
      <c r="E321" t="str">
        <f t="shared" si="12"/>
        <v>ERGR</v>
      </c>
      <c r="F321">
        <v>3</v>
      </c>
      <c r="G321" s="3">
        <v>42921</v>
      </c>
      <c r="H321">
        <v>11.8</v>
      </c>
      <c r="I321">
        <v>11.5</v>
      </c>
      <c r="J321">
        <v>400</v>
      </c>
      <c r="K321">
        <v>240</v>
      </c>
      <c r="L321">
        <v>24.04</v>
      </c>
      <c r="M321">
        <v>25.77</v>
      </c>
      <c r="N321">
        <v>28.93</v>
      </c>
      <c r="Q321">
        <v>4</v>
      </c>
    </row>
    <row r="322" spans="1:17" x14ac:dyDescent="0.25">
      <c r="A322">
        <v>321</v>
      </c>
      <c r="B322" t="s">
        <v>853</v>
      </c>
      <c r="E322" t="str">
        <f t="shared" si="12"/>
        <v>CAGU</v>
      </c>
      <c r="F322">
        <v>1</v>
      </c>
      <c r="G322" s="3">
        <v>42930</v>
      </c>
      <c r="H322">
        <v>6.9</v>
      </c>
      <c r="I322">
        <v>5.9</v>
      </c>
      <c r="J322">
        <v>500</v>
      </c>
      <c r="K322">
        <v>420</v>
      </c>
      <c r="L322">
        <v>1.52</v>
      </c>
      <c r="M322">
        <v>1.76</v>
      </c>
      <c r="N322">
        <v>1.04</v>
      </c>
      <c r="Q322">
        <v>3</v>
      </c>
    </row>
    <row r="323" spans="1:17" x14ac:dyDescent="0.25">
      <c r="A323">
        <v>322</v>
      </c>
      <c r="B323" t="s">
        <v>851</v>
      </c>
      <c r="E323" t="str">
        <f t="shared" si="12"/>
        <v>OCVE</v>
      </c>
      <c r="F323">
        <v>1</v>
      </c>
      <c r="G323" s="3">
        <v>42930</v>
      </c>
      <c r="H323">
        <v>8.1</v>
      </c>
      <c r="I323">
        <v>7</v>
      </c>
      <c r="J323">
        <v>500</v>
      </c>
      <c r="K323">
        <v>262</v>
      </c>
      <c r="L323">
        <v>6.04</v>
      </c>
      <c r="M323">
        <v>5.7</v>
      </c>
      <c r="N323">
        <v>5.74</v>
      </c>
      <c r="Q323">
        <v>3</v>
      </c>
    </row>
    <row r="324" spans="1:17" x14ac:dyDescent="0.25">
      <c r="A324">
        <v>323</v>
      </c>
      <c r="B324" t="s">
        <v>824</v>
      </c>
      <c r="E324" t="str">
        <f t="shared" si="12"/>
        <v>CAGU</v>
      </c>
      <c r="F324">
        <v>2</v>
      </c>
      <c r="G324" s="3">
        <v>42930</v>
      </c>
      <c r="H324">
        <v>6.5</v>
      </c>
      <c r="I324">
        <v>6</v>
      </c>
      <c r="J324">
        <v>570</v>
      </c>
      <c r="K324">
        <v>372</v>
      </c>
      <c r="L324">
        <v>1.29</v>
      </c>
      <c r="M324">
        <v>1.68</v>
      </c>
      <c r="N324">
        <v>1.8</v>
      </c>
      <c r="Q324">
        <v>3</v>
      </c>
    </row>
    <row r="325" spans="1:17" x14ac:dyDescent="0.25">
      <c r="A325">
        <v>324</v>
      </c>
      <c r="B325" t="s">
        <v>845</v>
      </c>
      <c r="E325" t="str">
        <f t="shared" si="12"/>
        <v>CAGU</v>
      </c>
      <c r="F325">
        <v>3</v>
      </c>
      <c r="G325" s="3">
        <v>42930</v>
      </c>
      <c r="H325">
        <v>7.1</v>
      </c>
      <c r="I325">
        <v>6.6</v>
      </c>
      <c r="J325">
        <v>745</v>
      </c>
      <c r="K325">
        <v>378</v>
      </c>
      <c r="L325">
        <v>2.3199999999999998</v>
      </c>
      <c r="M325">
        <v>3.32</v>
      </c>
      <c r="N325">
        <v>1.32</v>
      </c>
      <c r="Q325">
        <v>3</v>
      </c>
    </row>
    <row r="326" spans="1:17" x14ac:dyDescent="0.25">
      <c r="A326">
        <v>325</v>
      </c>
      <c r="B326" t="s">
        <v>904</v>
      </c>
      <c r="E326" t="str">
        <f t="shared" si="12"/>
        <v>OCVE</v>
      </c>
      <c r="F326">
        <v>6</v>
      </c>
      <c r="G326" s="3">
        <v>42930</v>
      </c>
      <c r="H326">
        <v>7.6</v>
      </c>
      <c r="I326">
        <v>5.3</v>
      </c>
      <c r="J326">
        <v>652</v>
      </c>
      <c r="K326">
        <v>412</v>
      </c>
      <c r="L326">
        <v>6.66</v>
      </c>
      <c r="M326">
        <v>7.39</v>
      </c>
      <c r="N326">
        <v>6.92</v>
      </c>
      <c r="Q326">
        <v>3</v>
      </c>
    </row>
    <row r="327" spans="1:17" x14ac:dyDescent="0.25">
      <c r="A327">
        <v>326</v>
      </c>
      <c r="B327" t="s">
        <v>905</v>
      </c>
      <c r="E327" t="str">
        <f t="shared" si="12"/>
        <v>OCMI</v>
      </c>
      <c r="F327">
        <v>6</v>
      </c>
      <c r="G327" s="3">
        <v>42930</v>
      </c>
      <c r="H327">
        <v>6.5</v>
      </c>
      <c r="I327">
        <v>5.0999999999999996</v>
      </c>
      <c r="J327">
        <v>543</v>
      </c>
      <c r="K327">
        <v>262</v>
      </c>
      <c r="L327">
        <v>5.68</v>
      </c>
      <c r="M327">
        <v>5.78</v>
      </c>
      <c r="N327">
        <v>7.75</v>
      </c>
      <c r="Q327">
        <v>3</v>
      </c>
    </row>
    <row r="328" spans="1:17" x14ac:dyDescent="0.25">
      <c r="A328">
        <v>327</v>
      </c>
      <c r="B328" t="s">
        <v>847</v>
      </c>
      <c r="E328" t="str">
        <f t="shared" si="12"/>
        <v>EUMY</v>
      </c>
      <c r="F328">
        <v>1</v>
      </c>
      <c r="G328" s="3">
        <v>42930</v>
      </c>
      <c r="H328">
        <v>5.2</v>
      </c>
      <c r="I328">
        <v>4</v>
      </c>
      <c r="J328">
        <v>585</v>
      </c>
      <c r="K328">
        <v>452</v>
      </c>
      <c r="L328">
        <v>4.5</v>
      </c>
      <c r="M328">
        <v>4.4000000000000004</v>
      </c>
      <c r="N328">
        <v>4.6399999999999997</v>
      </c>
      <c r="Q328">
        <v>3</v>
      </c>
    </row>
    <row r="329" spans="1:17" x14ac:dyDescent="0.25">
      <c r="A329">
        <v>328</v>
      </c>
      <c r="B329" t="s">
        <v>850</v>
      </c>
      <c r="E329" t="str">
        <f t="shared" si="12"/>
        <v>OCVE</v>
      </c>
      <c r="F329">
        <v>2</v>
      </c>
      <c r="G329" s="3">
        <v>42930</v>
      </c>
      <c r="H329">
        <v>3.8</v>
      </c>
      <c r="I329">
        <v>3.5</v>
      </c>
      <c r="J329">
        <v>632</v>
      </c>
      <c r="K329">
        <v>385</v>
      </c>
      <c r="L329">
        <v>3.87</v>
      </c>
      <c r="M329">
        <v>2.9</v>
      </c>
      <c r="N329">
        <v>3.01</v>
      </c>
      <c r="Q329">
        <v>4</v>
      </c>
    </row>
    <row r="330" spans="1:17" x14ac:dyDescent="0.25">
      <c r="A330">
        <v>329</v>
      </c>
      <c r="B330" t="s">
        <v>846</v>
      </c>
      <c r="E330" t="str">
        <f t="shared" si="12"/>
        <v>OCMI</v>
      </c>
      <c r="F330">
        <v>1</v>
      </c>
      <c r="G330" s="3">
        <v>42930</v>
      </c>
      <c r="H330">
        <v>16.5</v>
      </c>
      <c r="I330">
        <v>14.2</v>
      </c>
      <c r="J330">
        <v>1000</v>
      </c>
      <c r="K330">
        <v>422</v>
      </c>
      <c r="L330">
        <v>12.86</v>
      </c>
      <c r="M330">
        <v>9.08</v>
      </c>
      <c r="N330">
        <v>10.54</v>
      </c>
      <c r="Q330">
        <v>4</v>
      </c>
    </row>
    <row r="331" spans="1:17" x14ac:dyDescent="0.25">
      <c r="A331">
        <v>330</v>
      </c>
      <c r="B331" t="s">
        <v>829</v>
      </c>
      <c r="E331" t="str">
        <f t="shared" si="12"/>
        <v>CASY</v>
      </c>
      <c r="F331">
        <v>6</v>
      </c>
      <c r="G331" s="3">
        <v>42930</v>
      </c>
      <c r="H331">
        <v>6.5</v>
      </c>
      <c r="I331">
        <v>6.2</v>
      </c>
      <c r="J331">
        <v>700</v>
      </c>
      <c r="K331">
        <v>470</v>
      </c>
      <c r="L331">
        <v>5.03</v>
      </c>
      <c r="M331">
        <v>4.45</v>
      </c>
      <c r="N331">
        <v>3.5</v>
      </c>
      <c r="Q331">
        <v>3</v>
      </c>
    </row>
    <row r="332" spans="1:17" x14ac:dyDescent="0.25">
      <c r="A332">
        <v>331</v>
      </c>
      <c r="B332" t="s">
        <v>830</v>
      </c>
      <c r="E332" t="str">
        <f t="shared" si="12"/>
        <v>COLA</v>
      </c>
      <c r="F332">
        <v>6</v>
      </c>
      <c r="G332" s="3">
        <v>42930</v>
      </c>
      <c r="H332">
        <v>6.3</v>
      </c>
      <c r="I332">
        <v>5.0999999999999996</v>
      </c>
      <c r="J332">
        <v>600</v>
      </c>
      <c r="K332">
        <v>269</v>
      </c>
      <c r="L332">
        <v>6.79</v>
      </c>
      <c r="M332" s="4">
        <v>4.04</v>
      </c>
      <c r="N332" s="4">
        <v>4.33</v>
      </c>
      <c r="Q332">
        <v>2</v>
      </c>
    </row>
    <row r="333" spans="1:17" x14ac:dyDescent="0.25">
      <c r="A333">
        <v>332</v>
      </c>
      <c r="B333" t="s">
        <v>855</v>
      </c>
      <c r="E333" t="str">
        <f t="shared" si="12"/>
        <v>OCMI</v>
      </c>
      <c r="F333">
        <v>2</v>
      </c>
      <c r="G333" s="3">
        <v>42930</v>
      </c>
      <c r="H333">
        <v>4.0999999999999996</v>
      </c>
      <c r="I333">
        <v>2.6</v>
      </c>
      <c r="J333">
        <v>543</v>
      </c>
      <c r="K333">
        <v>160</v>
      </c>
      <c r="L333">
        <v>7.56</v>
      </c>
      <c r="M333">
        <v>6.51</v>
      </c>
      <c r="N333">
        <v>8.09</v>
      </c>
      <c r="Q333">
        <v>4</v>
      </c>
    </row>
    <row r="334" spans="1:17" x14ac:dyDescent="0.25">
      <c r="A334">
        <v>333</v>
      </c>
      <c r="B334" t="s">
        <v>831</v>
      </c>
      <c r="E334" t="str">
        <f t="shared" si="12"/>
        <v>SIGU</v>
      </c>
      <c r="F334">
        <v>3</v>
      </c>
      <c r="G334" s="3">
        <v>42930</v>
      </c>
      <c r="H334" t="s">
        <v>906</v>
      </c>
      <c r="I334" t="s">
        <v>907</v>
      </c>
      <c r="J334">
        <v>240</v>
      </c>
      <c r="K334">
        <v>35</v>
      </c>
      <c r="L334">
        <v>0.96</v>
      </c>
      <c r="M334">
        <v>0.99</v>
      </c>
      <c r="N334" t="s">
        <v>135</v>
      </c>
      <c r="Q334">
        <v>2</v>
      </c>
    </row>
    <row r="335" spans="1:17" x14ac:dyDescent="0.25">
      <c r="A335">
        <v>334</v>
      </c>
      <c r="B335" t="s">
        <v>835</v>
      </c>
      <c r="E335" t="str">
        <f t="shared" si="12"/>
        <v>OCVE</v>
      </c>
      <c r="F335">
        <v>3</v>
      </c>
      <c r="G335" s="3">
        <v>42930</v>
      </c>
      <c r="H335">
        <v>11.5</v>
      </c>
      <c r="I335">
        <v>9.6</v>
      </c>
      <c r="J335">
        <v>707</v>
      </c>
      <c r="K335">
        <v>471</v>
      </c>
      <c r="L335">
        <v>10.49</v>
      </c>
      <c r="M335">
        <v>9.9700000000000006</v>
      </c>
      <c r="N335">
        <v>8.9499999999999993</v>
      </c>
      <c r="Q335">
        <v>2</v>
      </c>
    </row>
    <row r="336" spans="1:17" x14ac:dyDescent="0.25">
      <c r="A336">
        <v>335</v>
      </c>
      <c r="B336" t="s">
        <v>842</v>
      </c>
      <c r="E336" t="str">
        <f t="shared" si="12"/>
        <v>OCMI</v>
      </c>
      <c r="F336">
        <v>3</v>
      </c>
      <c r="G336" s="3">
        <v>42930</v>
      </c>
      <c r="H336">
        <v>2.1</v>
      </c>
      <c r="I336">
        <v>1.8</v>
      </c>
      <c r="J336">
        <v>520</v>
      </c>
      <c r="K336">
        <v>110</v>
      </c>
      <c r="L336">
        <v>4.32</v>
      </c>
      <c r="M336">
        <v>3.94</v>
      </c>
      <c r="N336">
        <v>4.13</v>
      </c>
      <c r="Q336">
        <v>2</v>
      </c>
    </row>
    <row r="337" spans="1:18" x14ac:dyDescent="0.25">
      <c r="A337">
        <v>336</v>
      </c>
      <c r="B337" t="s">
        <v>843</v>
      </c>
      <c r="E337" t="str">
        <f t="shared" si="12"/>
        <v>CAGU</v>
      </c>
      <c r="F337">
        <v>4</v>
      </c>
      <c r="G337" s="3">
        <v>42930</v>
      </c>
      <c r="H337">
        <v>2.2000000000000002</v>
      </c>
      <c r="I337">
        <v>1.4</v>
      </c>
      <c r="J337">
        <v>259</v>
      </c>
      <c r="K337">
        <v>90</v>
      </c>
      <c r="L337">
        <v>0.9</v>
      </c>
      <c r="M337">
        <v>1.22</v>
      </c>
      <c r="N337">
        <v>0.91</v>
      </c>
      <c r="Q337">
        <v>2</v>
      </c>
    </row>
    <row r="338" spans="1:18" x14ac:dyDescent="0.25">
      <c r="A338">
        <v>337</v>
      </c>
      <c r="B338" t="s">
        <v>827</v>
      </c>
      <c r="E338" t="str">
        <f t="shared" si="12"/>
        <v>SIGU</v>
      </c>
      <c r="F338">
        <v>4</v>
      </c>
      <c r="G338" s="3">
        <v>42930</v>
      </c>
      <c r="H338">
        <v>3.9</v>
      </c>
      <c r="I338">
        <v>3.4</v>
      </c>
      <c r="J338">
        <v>650</v>
      </c>
      <c r="K338">
        <v>262</v>
      </c>
      <c r="L338">
        <v>2.2000000000000002</v>
      </c>
      <c r="M338">
        <v>1.84</v>
      </c>
      <c r="N338">
        <v>2.11</v>
      </c>
      <c r="Q338">
        <v>3</v>
      </c>
    </row>
    <row r="339" spans="1:18" x14ac:dyDescent="0.25">
      <c r="A339">
        <v>338</v>
      </c>
      <c r="B339" t="s">
        <v>828</v>
      </c>
      <c r="E339" t="str">
        <f t="shared" si="12"/>
        <v>CAGU</v>
      </c>
      <c r="F339">
        <v>5</v>
      </c>
      <c r="G339" s="3">
        <v>42930</v>
      </c>
      <c r="H339">
        <v>10.199999999999999</v>
      </c>
      <c r="I339">
        <v>9</v>
      </c>
      <c r="J339">
        <v>654</v>
      </c>
      <c r="K339">
        <v>210</v>
      </c>
      <c r="L339">
        <v>2.52</v>
      </c>
      <c r="M339">
        <v>2.5099999999999998</v>
      </c>
      <c r="N339">
        <v>1.94</v>
      </c>
      <c r="Q339">
        <v>2</v>
      </c>
    </row>
    <row r="340" spans="1:18" x14ac:dyDescent="0.25">
      <c r="A340">
        <v>339</v>
      </c>
      <c r="B340" t="s">
        <v>844</v>
      </c>
      <c r="E340" t="str">
        <f t="shared" si="12"/>
        <v>OCVE</v>
      </c>
      <c r="F340">
        <v>4</v>
      </c>
      <c r="G340" s="3">
        <v>42930</v>
      </c>
      <c r="H340">
        <v>5.0999999999999996</v>
      </c>
      <c r="I340">
        <v>2.7</v>
      </c>
      <c r="J340">
        <v>487</v>
      </c>
      <c r="K340">
        <v>410</v>
      </c>
      <c r="L340">
        <v>5.45</v>
      </c>
      <c r="M340">
        <v>5.0999999999999996</v>
      </c>
      <c r="N340">
        <v>7.82</v>
      </c>
      <c r="Q340">
        <v>2</v>
      </c>
    </row>
    <row r="341" spans="1:18" x14ac:dyDescent="0.25">
      <c r="A341">
        <v>340</v>
      </c>
      <c r="B341" t="s">
        <v>841</v>
      </c>
      <c r="E341" t="str">
        <f t="shared" si="12"/>
        <v>OCVE</v>
      </c>
      <c r="F341">
        <v>5</v>
      </c>
      <c r="G341" s="3">
        <v>42930</v>
      </c>
      <c r="H341">
        <v>10.199999999999999</v>
      </c>
      <c r="I341">
        <v>8.5</v>
      </c>
      <c r="J341">
        <v>512</v>
      </c>
      <c r="K341">
        <v>345</v>
      </c>
      <c r="L341">
        <v>9.69</v>
      </c>
      <c r="M341">
        <v>12.33</v>
      </c>
      <c r="N341">
        <v>11.75</v>
      </c>
      <c r="Q341">
        <v>3</v>
      </c>
    </row>
    <row r="342" spans="1:18" x14ac:dyDescent="0.25">
      <c r="A342">
        <v>341</v>
      </c>
      <c r="B342" t="s">
        <v>832</v>
      </c>
      <c r="E342" t="str">
        <f t="shared" si="12"/>
        <v>OCMI</v>
      </c>
      <c r="F342">
        <v>4</v>
      </c>
      <c r="G342" s="3">
        <v>42930</v>
      </c>
      <c r="H342">
        <v>2.5</v>
      </c>
      <c r="I342">
        <v>2.1</v>
      </c>
      <c r="J342">
        <v>412</v>
      </c>
      <c r="K342">
        <v>238</v>
      </c>
      <c r="L342">
        <v>4.9800000000000004</v>
      </c>
      <c r="M342">
        <v>4.49</v>
      </c>
      <c r="N342">
        <v>4.74</v>
      </c>
      <c r="Q342">
        <v>2</v>
      </c>
    </row>
    <row r="343" spans="1:18" x14ac:dyDescent="0.25">
      <c r="A343">
        <v>342</v>
      </c>
      <c r="B343" t="s">
        <v>1226</v>
      </c>
      <c r="C343" t="s">
        <v>869</v>
      </c>
      <c r="D343" t="s">
        <v>1099</v>
      </c>
      <c r="E343" t="str">
        <f t="shared" si="12"/>
        <v>EUMY</v>
      </c>
      <c r="G343" s="3">
        <v>42930</v>
      </c>
      <c r="H343">
        <v>8.6</v>
      </c>
      <c r="I343">
        <v>7.9</v>
      </c>
      <c r="J343">
        <v>800</v>
      </c>
      <c r="K343">
        <v>433</v>
      </c>
      <c r="L343">
        <v>5.35</v>
      </c>
      <c r="M343">
        <v>5.3</v>
      </c>
      <c r="N343">
        <v>5.45</v>
      </c>
      <c r="Q343">
        <v>3</v>
      </c>
      <c r="R343" t="s">
        <v>1107</v>
      </c>
    </row>
    <row r="344" spans="1:18" x14ac:dyDescent="0.25">
      <c r="A344">
        <v>343</v>
      </c>
      <c r="B344" t="s">
        <v>838</v>
      </c>
      <c r="E344" t="str">
        <f t="shared" si="12"/>
        <v>ANCA</v>
      </c>
      <c r="F344">
        <v>1</v>
      </c>
      <c r="G344" s="3">
        <v>42930</v>
      </c>
      <c r="H344">
        <v>27.3</v>
      </c>
      <c r="I344">
        <v>24.1</v>
      </c>
      <c r="J344">
        <v>1000</v>
      </c>
      <c r="K344">
        <v>636</v>
      </c>
      <c r="L344">
        <v>8.14</v>
      </c>
      <c r="M344" t="s">
        <v>135</v>
      </c>
      <c r="N344" t="s">
        <v>135</v>
      </c>
      <c r="Q344">
        <v>4</v>
      </c>
    </row>
    <row r="345" spans="1:18" x14ac:dyDescent="0.25">
      <c r="A345">
        <v>344</v>
      </c>
      <c r="B345" t="s">
        <v>955</v>
      </c>
      <c r="E345" t="str">
        <f t="shared" si="12"/>
        <v>MYVE</v>
      </c>
      <c r="F345">
        <v>2</v>
      </c>
      <c r="G345" s="3">
        <v>42940</v>
      </c>
      <c r="H345">
        <v>18.600000000000001</v>
      </c>
      <c r="I345">
        <v>16.2</v>
      </c>
      <c r="J345">
        <v>920</v>
      </c>
      <c r="K345">
        <v>410</v>
      </c>
      <c r="L345">
        <v>5.35</v>
      </c>
      <c r="M345">
        <v>5.33</v>
      </c>
      <c r="N345">
        <v>6.03</v>
      </c>
      <c r="Q345">
        <v>4</v>
      </c>
      <c r="R345">
        <v>4200</v>
      </c>
    </row>
    <row r="346" spans="1:18" x14ac:dyDescent="0.25">
      <c r="A346">
        <v>345</v>
      </c>
      <c r="B346" t="s">
        <v>967</v>
      </c>
      <c r="E346" t="str">
        <f t="shared" si="12"/>
        <v>EUPU</v>
      </c>
      <c r="F346">
        <v>1</v>
      </c>
      <c r="G346" s="3">
        <v>42940</v>
      </c>
      <c r="H346">
        <v>3.1</v>
      </c>
      <c r="I346">
        <v>2.9</v>
      </c>
      <c r="J346">
        <v>603</v>
      </c>
      <c r="K346">
        <v>366</v>
      </c>
      <c r="L346">
        <v>1.19</v>
      </c>
      <c r="M346">
        <v>1.44</v>
      </c>
      <c r="N346">
        <v>1.1599999999999999</v>
      </c>
      <c r="Q346">
        <v>3</v>
      </c>
      <c r="R346">
        <v>4252</v>
      </c>
    </row>
    <row r="347" spans="1:18" x14ac:dyDescent="0.25">
      <c r="A347">
        <v>346</v>
      </c>
      <c r="B347" t="s">
        <v>966</v>
      </c>
      <c r="E347" t="str">
        <f t="shared" ref="E347:E378" si="13">LEFT(B347,4)</f>
        <v>GUNI</v>
      </c>
      <c r="F347">
        <v>5</v>
      </c>
      <c r="G347" s="3">
        <v>42940</v>
      </c>
      <c r="H347">
        <v>9.5</v>
      </c>
      <c r="I347">
        <v>8.4</v>
      </c>
      <c r="J347">
        <v>840</v>
      </c>
      <c r="K347">
        <v>497</v>
      </c>
      <c r="L347">
        <v>5.53</v>
      </c>
      <c r="M347">
        <v>3.06</v>
      </c>
      <c r="N347">
        <v>4.54</v>
      </c>
      <c r="Q347">
        <v>4</v>
      </c>
      <c r="R347">
        <v>4244</v>
      </c>
    </row>
    <row r="348" spans="1:18" x14ac:dyDescent="0.25">
      <c r="A348">
        <v>347</v>
      </c>
      <c r="B348" t="s">
        <v>963</v>
      </c>
      <c r="E348" t="str">
        <f t="shared" si="13"/>
        <v>MYVE</v>
      </c>
      <c r="F348">
        <v>3</v>
      </c>
      <c r="G348" s="3">
        <v>42940</v>
      </c>
      <c r="H348" t="s">
        <v>976</v>
      </c>
      <c r="I348" t="s">
        <v>978</v>
      </c>
      <c r="J348">
        <v>860</v>
      </c>
      <c r="K348">
        <v>400</v>
      </c>
      <c r="L348">
        <v>4.72</v>
      </c>
      <c r="M348">
        <v>3.32</v>
      </c>
      <c r="N348">
        <v>3.97</v>
      </c>
      <c r="Q348">
        <v>4</v>
      </c>
      <c r="R348">
        <v>4313</v>
      </c>
    </row>
    <row r="349" spans="1:18" x14ac:dyDescent="0.25">
      <c r="A349">
        <v>348</v>
      </c>
      <c r="B349" t="s">
        <v>973</v>
      </c>
      <c r="E349" t="str">
        <f t="shared" si="13"/>
        <v>EUPU</v>
      </c>
      <c r="F349">
        <v>2</v>
      </c>
      <c r="G349" s="3">
        <v>42940</v>
      </c>
      <c r="H349">
        <v>5.7</v>
      </c>
      <c r="I349">
        <v>4.9000000000000004</v>
      </c>
      <c r="J349">
        <v>637</v>
      </c>
      <c r="K349">
        <v>545</v>
      </c>
      <c r="L349">
        <v>1.94</v>
      </c>
      <c r="M349">
        <v>1.69</v>
      </c>
      <c r="N349">
        <v>1.97</v>
      </c>
      <c r="Q349">
        <v>3</v>
      </c>
      <c r="R349">
        <v>4329</v>
      </c>
    </row>
    <row r="350" spans="1:18" x14ac:dyDescent="0.25">
      <c r="A350">
        <v>349</v>
      </c>
      <c r="B350" t="s">
        <v>964</v>
      </c>
      <c r="E350" t="str">
        <f t="shared" si="13"/>
        <v>PLRE</v>
      </c>
      <c r="F350">
        <v>3</v>
      </c>
      <c r="G350" s="3">
        <v>42940</v>
      </c>
      <c r="H350">
        <v>18.899999999999999</v>
      </c>
      <c r="I350">
        <v>18.8</v>
      </c>
      <c r="J350">
        <v>725</v>
      </c>
      <c r="K350">
        <v>521</v>
      </c>
      <c r="L350">
        <v>12.54</v>
      </c>
      <c r="M350">
        <v>11.14</v>
      </c>
      <c r="N350">
        <v>9.93</v>
      </c>
      <c r="Q350">
        <v>3</v>
      </c>
      <c r="R350">
        <v>4332</v>
      </c>
    </row>
    <row r="351" spans="1:18" x14ac:dyDescent="0.25">
      <c r="A351">
        <v>350</v>
      </c>
      <c r="B351" t="s">
        <v>974</v>
      </c>
      <c r="E351" t="str">
        <f t="shared" si="13"/>
        <v>CUTE</v>
      </c>
      <c r="F351">
        <v>2</v>
      </c>
      <c r="G351" s="3">
        <v>42940</v>
      </c>
      <c r="H351" t="s">
        <v>977</v>
      </c>
      <c r="I351" t="s">
        <v>979</v>
      </c>
      <c r="J351">
        <v>320</v>
      </c>
      <c r="K351">
        <v>130</v>
      </c>
      <c r="L351">
        <v>0.65</v>
      </c>
      <c r="M351" t="s">
        <v>135</v>
      </c>
      <c r="N351" t="s">
        <v>135</v>
      </c>
      <c r="Q351">
        <v>3</v>
      </c>
    </row>
    <row r="352" spans="1:18" x14ac:dyDescent="0.25">
      <c r="A352">
        <v>351</v>
      </c>
      <c r="B352" t="s">
        <v>975</v>
      </c>
      <c r="E352" t="str">
        <f t="shared" si="13"/>
        <v>CUTE</v>
      </c>
      <c r="F352">
        <v>3</v>
      </c>
      <c r="G352" s="3">
        <v>42940</v>
      </c>
      <c r="H352">
        <v>2.87</v>
      </c>
      <c r="I352">
        <v>1.89</v>
      </c>
      <c r="J352">
        <v>270</v>
      </c>
      <c r="K352">
        <v>150</v>
      </c>
      <c r="L352">
        <v>1.27</v>
      </c>
      <c r="M352" t="s">
        <v>135</v>
      </c>
      <c r="N352" t="s">
        <v>135</v>
      </c>
      <c r="Q352">
        <v>4</v>
      </c>
    </row>
    <row r="353" spans="1:18" x14ac:dyDescent="0.25">
      <c r="A353">
        <v>352</v>
      </c>
      <c r="B353" t="s">
        <v>971</v>
      </c>
      <c r="E353" t="str">
        <f t="shared" si="13"/>
        <v>CUTE</v>
      </c>
      <c r="F353">
        <v>4</v>
      </c>
      <c r="G353" s="3">
        <v>42940</v>
      </c>
      <c r="H353">
        <v>1.75</v>
      </c>
      <c r="I353">
        <v>1.04</v>
      </c>
      <c r="J353">
        <v>220</v>
      </c>
      <c r="K353">
        <v>60</v>
      </c>
      <c r="L353">
        <v>0.74</v>
      </c>
      <c r="M353" t="s">
        <v>135</v>
      </c>
      <c r="N353" t="s">
        <v>135</v>
      </c>
      <c r="Q353">
        <v>4</v>
      </c>
    </row>
    <row r="354" spans="1:18" x14ac:dyDescent="0.25">
      <c r="A354">
        <v>353</v>
      </c>
      <c r="B354" t="s">
        <v>970</v>
      </c>
      <c r="E354" t="str">
        <f t="shared" si="13"/>
        <v>MYVE</v>
      </c>
      <c r="F354">
        <v>4</v>
      </c>
      <c r="G354" s="3">
        <v>42940</v>
      </c>
      <c r="H354">
        <v>15.2</v>
      </c>
      <c r="I354">
        <v>13.5</v>
      </c>
      <c r="J354">
        <v>910</v>
      </c>
      <c r="K354">
        <v>480</v>
      </c>
      <c r="L354">
        <v>7.11</v>
      </c>
      <c r="M354">
        <v>8.17</v>
      </c>
      <c r="N354">
        <v>7.11</v>
      </c>
      <c r="Q354">
        <v>4</v>
      </c>
    </row>
    <row r="355" spans="1:18" x14ac:dyDescent="0.25">
      <c r="A355">
        <v>354</v>
      </c>
      <c r="B355" t="s">
        <v>959</v>
      </c>
      <c r="E355" t="str">
        <f t="shared" si="13"/>
        <v>PLRE</v>
      </c>
      <c r="F355">
        <v>4</v>
      </c>
      <c r="G355" s="3">
        <v>42940</v>
      </c>
      <c r="H355">
        <v>17.100000000000001</v>
      </c>
      <c r="I355">
        <v>14.6</v>
      </c>
      <c r="J355">
        <v>533</v>
      </c>
      <c r="K355">
        <v>240</v>
      </c>
      <c r="L355">
        <v>14.76</v>
      </c>
      <c r="M355">
        <v>21.02</v>
      </c>
      <c r="N355">
        <v>19.46</v>
      </c>
      <c r="Q355">
        <v>2</v>
      </c>
    </row>
    <row r="356" spans="1:18" x14ac:dyDescent="0.25">
      <c r="A356">
        <v>355</v>
      </c>
      <c r="B356" t="s">
        <v>965</v>
      </c>
      <c r="E356" t="str">
        <f t="shared" si="13"/>
        <v>NECU</v>
      </c>
      <c r="F356">
        <v>2</v>
      </c>
      <c r="G356" s="3">
        <v>42940</v>
      </c>
      <c r="H356">
        <v>7.5</v>
      </c>
      <c r="I356">
        <v>7.3</v>
      </c>
      <c r="J356">
        <v>920</v>
      </c>
      <c r="K356">
        <v>495</v>
      </c>
      <c r="L356">
        <v>2.34</v>
      </c>
      <c r="M356">
        <v>3.03</v>
      </c>
      <c r="N356">
        <v>2.83</v>
      </c>
      <c r="Q356">
        <v>3</v>
      </c>
      <c r="R356">
        <v>3474</v>
      </c>
    </row>
    <row r="357" spans="1:18" x14ac:dyDescent="0.25">
      <c r="A357">
        <v>356</v>
      </c>
      <c r="B357" t="s">
        <v>953</v>
      </c>
      <c r="E357" t="str">
        <f t="shared" si="13"/>
        <v>PLRE</v>
      </c>
      <c r="F357">
        <v>5</v>
      </c>
      <c r="G357" s="3">
        <v>42940</v>
      </c>
      <c r="H357">
        <v>18.399999999999999</v>
      </c>
      <c r="I357">
        <v>17.600000000000001</v>
      </c>
      <c r="J357">
        <v>1010</v>
      </c>
      <c r="K357">
        <v>460</v>
      </c>
      <c r="L357">
        <v>14.89</v>
      </c>
      <c r="M357">
        <v>16.239999999999998</v>
      </c>
      <c r="N357">
        <v>24.22</v>
      </c>
      <c r="Q357">
        <v>3</v>
      </c>
      <c r="R357">
        <v>4485</v>
      </c>
    </row>
    <row r="358" spans="1:18" x14ac:dyDescent="0.25">
      <c r="A358">
        <v>357</v>
      </c>
      <c r="B358" t="s">
        <v>957</v>
      </c>
      <c r="E358" t="str">
        <f t="shared" si="13"/>
        <v>MYVE</v>
      </c>
      <c r="F358">
        <v>5</v>
      </c>
      <c r="G358" s="3">
        <v>42940</v>
      </c>
      <c r="H358">
        <v>13.4</v>
      </c>
      <c r="I358">
        <v>12.2</v>
      </c>
      <c r="J358">
        <v>1200</v>
      </c>
      <c r="K358">
        <v>445</v>
      </c>
      <c r="L358">
        <v>4.25</v>
      </c>
      <c r="M358">
        <v>4.01</v>
      </c>
      <c r="N358">
        <v>4.0999999999999996</v>
      </c>
      <c r="Q358">
        <v>3</v>
      </c>
      <c r="R358">
        <v>4509</v>
      </c>
    </row>
    <row r="359" spans="1:18" x14ac:dyDescent="0.25">
      <c r="A359">
        <v>358</v>
      </c>
      <c r="B359" t="s">
        <v>960</v>
      </c>
      <c r="E359" t="str">
        <f t="shared" si="13"/>
        <v>POTO</v>
      </c>
      <c r="F359">
        <v>6</v>
      </c>
      <c r="G359" s="3">
        <v>42940</v>
      </c>
      <c r="H359">
        <v>15.5</v>
      </c>
      <c r="I359">
        <v>13.3</v>
      </c>
      <c r="J359">
        <v>840</v>
      </c>
      <c r="K359">
        <v>690</v>
      </c>
      <c r="L359">
        <v>22.88</v>
      </c>
      <c r="M359">
        <v>15.45</v>
      </c>
      <c r="N359">
        <v>17.32</v>
      </c>
      <c r="Q359">
        <v>3</v>
      </c>
      <c r="R359">
        <v>4512</v>
      </c>
    </row>
    <row r="360" spans="1:18" x14ac:dyDescent="0.25">
      <c r="A360">
        <v>359</v>
      </c>
      <c r="B360" t="s">
        <v>961</v>
      </c>
      <c r="E360" t="str">
        <f t="shared" si="13"/>
        <v>NECU</v>
      </c>
      <c r="F360">
        <v>3</v>
      </c>
      <c r="G360" s="3">
        <v>42940</v>
      </c>
      <c r="H360">
        <v>14.5</v>
      </c>
      <c r="I360">
        <v>13.2</v>
      </c>
      <c r="J360">
        <v>1200</v>
      </c>
      <c r="K360">
        <v>780</v>
      </c>
      <c r="L360">
        <v>5.29</v>
      </c>
      <c r="M360">
        <v>4.5999999999999996</v>
      </c>
      <c r="N360">
        <v>4.1399999999999997</v>
      </c>
      <c r="Q360">
        <v>4</v>
      </c>
      <c r="R360">
        <v>4546</v>
      </c>
    </row>
    <row r="361" spans="1:18" x14ac:dyDescent="0.25">
      <c r="A361">
        <v>360</v>
      </c>
      <c r="B361" t="s">
        <v>956</v>
      </c>
      <c r="E361" t="str">
        <f t="shared" si="13"/>
        <v>NECU</v>
      </c>
      <c r="F361">
        <v>4</v>
      </c>
      <c r="G361" s="3">
        <v>42940</v>
      </c>
      <c r="H361">
        <v>6.5</v>
      </c>
      <c r="I361">
        <v>6.4</v>
      </c>
      <c r="J361">
        <v>850</v>
      </c>
      <c r="K361">
        <v>595</v>
      </c>
      <c r="L361">
        <v>3.02</v>
      </c>
      <c r="M361">
        <v>2.62</v>
      </c>
      <c r="N361">
        <v>3.11</v>
      </c>
      <c r="Q361">
        <v>3</v>
      </c>
      <c r="R361">
        <v>4547</v>
      </c>
    </row>
    <row r="362" spans="1:18" x14ac:dyDescent="0.25">
      <c r="A362">
        <v>361</v>
      </c>
      <c r="B362" t="s">
        <v>962</v>
      </c>
      <c r="E362" t="str">
        <f t="shared" si="13"/>
        <v>PRHE</v>
      </c>
      <c r="F362">
        <v>3</v>
      </c>
      <c r="G362" s="3">
        <v>42940</v>
      </c>
      <c r="H362">
        <v>10.6</v>
      </c>
      <c r="I362">
        <v>9</v>
      </c>
      <c r="J362">
        <v>890</v>
      </c>
      <c r="K362">
        <v>570</v>
      </c>
      <c r="L362">
        <v>3.64</v>
      </c>
      <c r="M362">
        <v>2.4</v>
      </c>
      <c r="N362">
        <v>2.9</v>
      </c>
      <c r="Q362">
        <v>3</v>
      </c>
      <c r="R362">
        <v>4613</v>
      </c>
    </row>
    <row r="363" spans="1:18" x14ac:dyDescent="0.25">
      <c r="A363">
        <v>362</v>
      </c>
      <c r="B363" t="s">
        <v>954</v>
      </c>
      <c r="E363" t="str">
        <f t="shared" si="13"/>
        <v>NECU</v>
      </c>
      <c r="F363">
        <v>5</v>
      </c>
      <c r="G363" s="3">
        <v>42940</v>
      </c>
      <c r="H363">
        <v>3.1</v>
      </c>
      <c r="I363">
        <v>2.8</v>
      </c>
      <c r="J363">
        <v>565</v>
      </c>
      <c r="K363">
        <v>225</v>
      </c>
      <c r="L363">
        <v>1.25</v>
      </c>
      <c r="M363" t="s">
        <v>135</v>
      </c>
      <c r="N363" t="s">
        <v>135</v>
      </c>
      <c r="Q363">
        <v>2</v>
      </c>
      <c r="R363">
        <v>4710</v>
      </c>
    </row>
    <row r="364" spans="1:18" x14ac:dyDescent="0.25">
      <c r="A364">
        <v>363</v>
      </c>
      <c r="B364" t="s">
        <v>972</v>
      </c>
      <c r="E364" t="str">
        <f t="shared" si="13"/>
        <v>MIAL</v>
      </c>
      <c r="F364">
        <v>4</v>
      </c>
      <c r="G364" s="3">
        <v>42940</v>
      </c>
      <c r="H364">
        <v>16.600000000000001</v>
      </c>
      <c r="I364">
        <v>11.6</v>
      </c>
      <c r="J364">
        <v>483</v>
      </c>
      <c r="K364">
        <v>241</v>
      </c>
      <c r="L364">
        <v>15.15</v>
      </c>
      <c r="M364">
        <v>11.27</v>
      </c>
      <c r="N364">
        <v>21.09</v>
      </c>
      <c r="Q364">
        <v>3</v>
      </c>
      <c r="R364">
        <v>2699</v>
      </c>
    </row>
    <row r="365" spans="1:18" x14ac:dyDescent="0.25">
      <c r="A365">
        <v>364</v>
      </c>
      <c r="B365" t="s">
        <v>958</v>
      </c>
      <c r="E365" t="str">
        <f t="shared" si="13"/>
        <v>STRO</v>
      </c>
      <c r="F365">
        <v>6</v>
      </c>
      <c r="G365" s="3">
        <v>42940</v>
      </c>
      <c r="H365">
        <v>2.37</v>
      </c>
      <c r="I365" t="s">
        <v>135</v>
      </c>
      <c r="J365">
        <v>110</v>
      </c>
      <c r="K365">
        <v>50</v>
      </c>
      <c r="L365">
        <v>2.25</v>
      </c>
      <c r="M365" t="s">
        <v>135</v>
      </c>
      <c r="N365" t="s">
        <v>135</v>
      </c>
      <c r="Q365">
        <v>0</v>
      </c>
      <c r="R365">
        <v>2743</v>
      </c>
    </row>
    <row r="366" spans="1:18" x14ac:dyDescent="0.25">
      <c r="A366">
        <v>365</v>
      </c>
      <c r="B366" t="s">
        <v>861</v>
      </c>
      <c r="E366" t="str">
        <f t="shared" si="13"/>
        <v>LAHA</v>
      </c>
      <c r="F366">
        <v>5</v>
      </c>
      <c r="G366" s="3">
        <v>42931</v>
      </c>
      <c r="H366">
        <v>8.6</v>
      </c>
      <c r="I366">
        <v>7.5</v>
      </c>
      <c r="J366">
        <v>550</v>
      </c>
      <c r="K366">
        <v>170</v>
      </c>
      <c r="L366">
        <v>2.4500000000000002</v>
      </c>
      <c r="M366">
        <v>3.49</v>
      </c>
      <c r="N366">
        <v>3.49</v>
      </c>
      <c r="Q366">
        <v>3</v>
      </c>
      <c r="R366">
        <v>2699</v>
      </c>
    </row>
    <row r="367" spans="1:18" x14ac:dyDescent="0.25">
      <c r="A367">
        <v>366</v>
      </c>
      <c r="B367" t="s">
        <v>862</v>
      </c>
      <c r="E367" t="str">
        <f t="shared" si="13"/>
        <v>TAOC</v>
      </c>
      <c r="F367">
        <v>5</v>
      </c>
      <c r="G367" s="3">
        <v>42931</v>
      </c>
      <c r="H367">
        <v>5.0999999999999996</v>
      </c>
      <c r="I367">
        <v>3.7</v>
      </c>
      <c r="J367">
        <v>440</v>
      </c>
      <c r="K367">
        <v>229</v>
      </c>
      <c r="L367">
        <v>8.49</v>
      </c>
      <c r="M367">
        <v>11.65</v>
      </c>
      <c r="N367">
        <v>10.02</v>
      </c>
      <c r="Q367">
        <v>2</v>
      </c>
      <c r="R367">
        <v>2743</v>
      </c>
    </row>
    <row r="368" spans="1:18" x14ac:dyDescent="0.25">
      <c r="A368">
        <v>367</v>
      </c>
      <c r="B368" t="s">
        <v>868</v>
      </c>
      <c r="E368" t="str">
        <f t="shared" si="13"/>
        <v>OCMI</v>
      </c>
      <c r="F368">
        <v>5</v>
      </c>
      <c r="G368" s="3">
        <v>42931</v>
      </c>
      <c r="H368">
        <v>2.2999999999999998</v>
      </c>
      <c r="I368">
        <v>1.6</v>
      </c>
      <c r="J368">
        <v>283</v>
      </c>
      <c r="K368">
        <v>145</v>
      </c>
      <c r="L368">
        <v>3.33</v>
      </c>
      <c r="M368">
        <v>3.02</v>
      </c>
      <c r="N368">
        <v>3.4</v>
      </c>
      <c r="Q368">
        <v>2</v>
      </c>
      <c r="R368">
        <v>2760</v>
      </c>
    </row>
    <row r="369" spans="1:18" x14ac:dyDescent="0.25">
      <c r="A369">
        <v>368</v>
      </c>
      <c r="B369" t="s">
        <v>863</v>
      </c>
      <c r="E369" t="str">
        <f t="shared" si="13"/>
        <v>CUVE</v>
      </c>
      <c r="F369">
        <v>2</v>
      </c>
      <c r="G369" s="3">
        <v>42931</v>
      </c>
      <c r="H369">
        <v>1.8</v>
      </c>
      <c r="I369">
        <v>1.5</v>
      </c>
      <c r="J369">
        <v>386</v>
      </c>
      <c r="K369">
        <v>291</v>
      </c>
      <c r="L369">
        <v>0.79</v>
      </c>
      <c r="M369" t="s">
        <v>135</v>
      </c>
      <c r="N369" t="s">
        <v>135</v>
      </c>
      <c r="Q369">
        <v>2</v>
      </c>
      <c r="R369">
        <v>2774</v>
      </c>
    </row>
    <row r="370" spans="1:18" x14ac:dyDescent="0.25">
      <c r="A370">
        <v>369</v>
      </c>
      <c r="B370" t="s">
        <v>867</v>
      </c>
      <c r="E370" t="str">
        <f t="shared" si="13"/>
        <v>ALED</v>
      </c>
      <c r="F370">
        <v>4</v>
      </c>
      <c r="G370" s="3">
        <v>42931</v>
      </c>
      <c r="H370">
        <v>2</v>
      </c>
      <c r="I370">
        <v>1.1000000000000001</v>
      </c>
      <c r="J370">
        <v>294</v>
      </c>
      <c r="K370">
        <v>40</v>
      </c>
      <c r="L370">
        <v>0.64</v>
      </c>
      <c r="M370" t="s">
        <v>135</v>
      </c>
      <c r="N370" t="s">
        <v>135</v>
      </c>
      <c r="Q370">
        <v>2</v>
      </c>
      <c r="R370">
        <v>2775</v>
      </c>
    </row>
    <row r="371" spans="1:18" x14ac:dyDescent="0.25">
      <c r="A371">
        <v>370</v>
      </c>
      <c r="B371" t="s">
        <v>870</v>
      </c>
      <c r="E371" t="str">
        <f t="shared" si="13"/>
        <v>SIGU</v>
      </c>
      <c r="F371">
        <v>2</v>
      </c>
      <c r="G371" s="3">
        <v>42931</v>
      </c>
      <c r="H371">
        <v>5.9</v>
      </c>
      <c r="I371">
        <v>5.2</v>
      </c>
      <c r="J371">
        <v>600</v>
      </c>
      <c r="K371">
        <v>244</v>
      </c>
      <c r="L371">
        <v>2.25</v>
      </c>
      <c r="M371">
        <v>2.98</v>
      </c>
      <c r="N371">
        <v>2.96</v>
      </c>
      <c r="Q371">
        <v>3</v>
      </c>
      <c r="R371">
        <v>9144</v>
      </c>
    </row>
    <row r="372" spans="1:18" x14ac:dyDescent="0.25">
      <c r="A372">
        <v>371</v>
      </c>
      <c r="B372" t="s">
        <v>871</v>
      </c>
      <c r="E372" t="str">
        <f t="shared" si="13"/>
        <v>LIMO</v>
      </c>
      <c r="F372">
        <v>4</v>
      </c>
      <c r="G372" s="3">
        <v>42931</v>
      </c>
      <c r="H372">
        <v>6.8</v>
      </c>
      <c r="I372">
        <v>6.4</v>
      </c>
      <c r="J372">
        <v>505</v>
      </c>
      <c r="K372">
        <v>419</v>
      </c>
      <c r="L372">
        <v>1.52</v>
      </c>
      <c r="M372">
        <v>1.86</v>
      </c>
      <c r="N372">
        <v>1.59</v>
      </c>
      <c r="Q372">
        <v>2</v>
      </c>
      <c r="R372">
        <v>2784</v>
      </c>
    </row>
    <row r="373" spans="1:18" x14ac:dyDescent="0.25">
      <c r="A373">
        <v>372</v>
      </c>
      <c r="B373" t="s">
        <v>872</v>
      </c>
      <c r="E373" t="str">
        <f t="shared" si="13"/>
        <v>SIGU</v>
      </c>
      <c r="F373">
        <v>5</v>
      </c>
      <c r="G373" s="3">
        <v>42931</v>
      </c>
      <c r="H373">
        <v>1.1220000000000001</v>
      </c>
      <c r="I373">
        <v>1.361</v>
      </c>
      <c r="J373">
        <v>306</v>
      </c>
      <c r="K373">
        <v>80</v>
      </c>
      <c r="L373">
        <v>0.71</v>
      </c>
      <c r="M373" t="s">
        <v>135</v>
      </c>
      <c r="N373" t="s">
        <v>135</v>
      </c>
      <c r="Q373">
        <v>3</v>
      </c>
    </row>
    <row r="374" spans="1:18" x14ac:dyDescent="0.25">
      <c r="A374">
        <v>373</v>
      </c>
      <c r="B374" t="s">
        <v>876</v>
      </c>
      <c r="E374" t="str">
        <f t="shared" si="13"/>
        <v>PRHE</v>
      </c>
      <c r="F374">
        <v>2</v>
      </c>
      <c r="G374" s="3">
        <v>42931</v>
      </c>
      <c r="H374">
        <v>27.2</v>
      </c>
      <c r="I374">
        <v>23</v>
      </c>
      <c r="J374">
        <v>1300</v>
      </c>
      <c r="K374">
        <v>320</v>
      </c>
      <c r="L374">
        <v>6.32</v>
      </c>
      <c r="M374">
        <v>5.84</v>
      </c>
      <c r="N374">
        <v>5.29</v>
      </c>
      <c r="Q374">
        <v>5</v>
      </c>
      <c r="R374">
        <v>2779</v>
      </c>
    </row>
    <row r="375" spans="1:18" x14ac:dyDescent="0.25">
      <c r="A375">
        <v>374</v>
      </c>
      <c r="B375" t="s">
        <v>877</v>
      </c>
      <c r="E375" t="str">
        <f t="shared" si="13"/>
        <v>NEOP</v>
      </c>
      <c r="F375">
        <v>1</v>
      </c>
      <c r="G375" s="3">
        <v>42931</v>
      </c>
      <c r="H375">
        <v>9.5</v>
      </c>
      <c r="I375">
        <v>8.6999999999999993</v>
      </c>
      <c r="J375">
        <v>1000</v>
      </c>
      <c r="K375">
        <v>540</v>
      </c>
      <c r="L375">
        <v>4.0199999999999996</v>
      </c>
      <c r="M375">
        <v>4.0199999999999996</v>
      </c>
      <c r="N375">
        <v>4.4800000000000004</v>
      </c>
      <c r="Q375">
        <v>4</v>
      </c>
      <c r="R375">
        <v>2850</v>
      </c>
    </row>
    <row r="376" spans="1:18" x14ac:dyDescent="0.25">
      <c r="A376">
        <v>375</v>
      </c>
      <c r="B376" t="s">
        <v>873</v>
      </c>
      <c r="E376" t="str">
        <f t="shared" si="13"/>
        <v>CUTE</v>
      </c>
      <c r="F376">
        <v>1</v>
      </c>
      <c r="G376" s="3">
        <v>42931</v>
      </c>
      <c r="H376">
        <v>9.1</v>
      </c>
      <c r="I376">
        <v>8.5</v>
      </c>
      <c r="J376">
        <v>633</v>
      </c>
      <c r="K376">
        <v>133</v>
      </c>
      <c r="L376">
        <v>2.84</v>
      </c>
      <c r="M376">
        <v>2.23</v>
      </c>
      <c r="N376">
        <v>2.91</v>
      </c>
      <c r="Q376">
        <v>4</v>
      </c>
      <c r="R376">
        <v>2841</v>
      </c>
    </row>
    <row r="377" spans="1:18" x14ac:dyDescent="0.25">
      <c r="A377">
        <v>376</v>
      </c>
      <c r="B377" t="s">
        <v>856</v>
      </c>
      <c r="E377" t="str">
        <f t="shared" si="13"/>
        <v>EUMY</v>
      </c>
      <c r="F377">
        <v>4</v>
      </c>
      <c r="G377" s="3">
        <v>42931</v>
      </c>
      <c r="H377">
        <v>12.8</v>
      </c>
      <c r="I377">
        <v>12.4</v>
      </c>
      <c r="J377">
        <v>673</v>
      </c>
      <c r="K377">
        <v>246</v>
      </c>
      <c r="L377">
        <v>6.88</v>
      </c>
      <c r="M377">
        <v>6.19</v>
      </c>
      <c r="N377">
        <v>6.48</v>
      </c>
      <c r="Q377">
        <v>3</v>
      </c>
      <c r="R377">
        <v>2843</v>
      </c>
    </row>
    <row r="378" spans="1:18" x14ac:dyDescent="0.25">
      <c r="A378">
        <v>377</v>
      </c>
      <c r="B378" t="s">
        <v>860</v>
      </c>
      <c r="E378" t="str">
        <f t="shared" si="13"/>
        <v>LIMO</v>
      </c>
      <c r="F378">
        <v>5</v>
      </c>
      <c r="G378" s="3">
        <v>42931</v>
      </c>
      <c r="H378">
        <v>9.8000000000000007</v>
      </c>
      <c r="I378">
        <v>8.1999999999999993</v>
      </c>
      <c r="J378">
        <v>458</v>
      </c>
      <c r="K378">
        <v>120</v>
      </c>
      <c r="L378">
        <v>4.8600000000000003</v>
      </c>
      <c r="M378">
        <v>4.5</v>
      </c>
      <c r="N378">
        <v>4.07</v>
      </c>
      <c r="Q378">
        <v>3</v>
      </c>
    </row>
    <row r="379" spans="1:18" x14ac:dyDescent="0.25">
      <c r="A379">
        <v>378</v>
      </c>
      <c r="B379" t="s">
        <v>990</v>
      </c>
      <c r="C379" t="s">
        <v>935</v>
      </c>
      <c r="E379" t="str">
        <f t="shared" ref="E379:E410" si="14">LEFT(B379,4)</f>
        <v>SIGU</v>
      </c>
      <c r="F379">
        <v>6</v>
      </c>
      <c r="G379" s="3">
        <v>42936</v>
      </c>
      <c r="H379">
        <v>6.7</v>
      </c>
      <c r="I379" t="s">
        <v>1034</v>
      </c>
      <c r="J379">
        <v>660</v>
      </c>
      <c r="K379">
        <v>432</v>
      </c>
      <c r="L379">
        <v>2.19</v>
      </c>
      <c r="M379">
        <v>2.71</v>
      </c>
      <c r="N379">
        <v>2.67</v>
      </c>
      <c r="Q379">
        <v>3</v>
      </c>
      <c r="R379">
        <v>3821</v>
      </c>
    </row>
    <row r="380" spans="1:18" x14ac:dyDescent="0.25">
      <c r="A380">
        <v>379</v>
      </c>
      <c r="B380" t="s">
        <v>944</v>
      </c>
      <c r="E380" t="str">
        <f t="shared" si="14"/>
        <v>DARA</v>
      </c>
      <c r="F380">
        <v>5</v>
      </c>
      <c r="G380" s="3">
        <v>42936</v>
      </c>
      <c r="H380">
        <v>10.3</v>
      </c>
      <c r="I380">
        <v>9.5</v>
      </c>
      <c r="J380">
        <v>810</v>
      </c>
      <c r="K380">
        <v>625</v>
      </c>
      <c r="L380">
        <v>9.61</v>
      </c>
      <c r="M380">
        <v>9.9700000000000006</v>
      </c>
      <c r="N380">
        <v>7.87</v>
      </c>
      <c r="Q380">
        <v>4</v>
      </c>
      <c r="R380">
        <v>3830</v>
      </c>
    </row>
    <row r="381" spans="1:18" x14ac:dyDescent="0.25">
      <c r="A381">
        <v>380</v>
      </c>
      <c r="B381" t="s">
        <v>947</v>
      </c>
      <c r="E381" t="str">
        <f t="shared" si="14"/>
        <v>POTO</v>
      </c>
      <c r="F381">
        <v>5</v>
      </c>
      <c r="G381" s="3">
        <v>42936</v>
      </c>
      <c r="H381">
        <v>21.4</v>
      </c>
      <c r="I381">
        <v>19</v>
      </c>
      <c r="J381">
        <v>648</v>
      </c>
      <c r="K381">
        <v>348</v>
      </c>
      <c r="L381">
        <v>31.61</v>
      </c>
      <c r="M381">
        <v>19.68</v>
      </c>
      <c r="N381">
        <v>27.26</v>
      </c>
      <c r="Q381">
        <v>4</v>
      </c>
      <c r="R381">
        <v>3828</v>
      </c>
    </row>
    <row r="382" spans="1:18" x14ac:dyDescent="0.25">
      <c r="A382">
        <v>381</v>
      </c>
      <c r="B382" t="s">
        <v>899</v>
      </c>
      <c r="E382" t="str">
        <f t="shared" si="14"/>
        <v>NECU</v>
      </c>
      <c r="F382">
        <v>1</v>
      </c>
      <c r="G382" s="3">
        <v>42936</v>
      </c>
      <c r="H382">
        <v>9.6</v>
      </c>
      <c r="I382">
        <v>9.1999999999999993</v>
      </c>
      <c r="J382">
        <v>900</v>
      </c>
      <c r="K382">
        <v>540</v>
      </c>
      <c r="L382">
        <v>4.49</v>
      </c>
      <c r="M382">
        <v>5.27</v>
      </c>
      <c r="N382">
        <v>4.91</v>
      </c>
      <c r="Q382">
        <v>4</v>
      </c>
      <c r="R382">
        <v>3803</v>
      </c>
    </row>
    <row r="383" spans="1:18" x14ac:dyDescent="0.25">
      <c r="A383">
        <v>382</v>
      </c>
      <c r="B383" t="s">
        <v>939</v>
      </c>
      <c r="E383" t="str">
        <f t="shared" si="14"/>
        <v>GUNI</v>
      </c>
      <c r="F383">
        <v>4</v>
      </c>
      <c r="G383" s="3">
        <v>42936</v>
      </c>
      <c r="H383">
        <v>7.4</v>
      </c>
      <c r="I383">
        <v>7.3</v>
      </c>
      <c r="J383">
        <v>710</v>
      </c>
      <c r="K383">
        <v>515</v>
      </c>
      <c r="L383">
        <v>4.1100000000000003</v>
      </c>
      <c r="M383">
        <v>5.0599999999999996</v>
      </c>
      <c r="N383">
        <v>3.96</v>
      </c>
      <c r="Q383">
        <v>3</v>
      </c>
      <c r="R383">
        <v>3806</v>
      </c>
    </row>
    <row r="384" spans="1:18" x14ac:dyDescent="0.25">
      <c r="A384">
        <v>383</v>
      </c>
      <c r="B384" t="s">
        <v>940</v>
      </c>
      <c r="E384" t="str">
        <f t="shared" si="14"/>
        <v>MYVE</v>
      </c>
      <c r="F384">
        <v>1</v>
      </c>
      <c r="G384" s="3">
        <v>42936</v>
      </c>
      <c r="H384">
        <v>9.5</v>
      </c>
      <c r="I384">
        <v>7.3</v>
      </c>
      <c r="J384">
        <v>920</v>
      </c>
      <c r="K384">
        <v>370</v>
      </c>
      <c r="L384">
        <v>5.39</v>
      </c>
      <c r="M384">
        <v>5.24</v>
      </c>
      <c r="N384">
        <v>5.34</v>
      </c>
      <c r="Q384">
        <v>4</v>
      </c>
      <c r="R384">
        <v>3839</v>
      </c>
    </row>
    <row r="385" spans="1:18" x14ac:dyDescent="0.25">
      <c r="A385">
        <v>384</v>
      </c>
      <c r="B385" t="s">
        <v>943</v>
      </c>
      <c r="E385" t="str">
        <f t="shared" si="14"/>
        <v>AMIN</v>
      </c>
      <c r="F385">
        <v>5</v>
      </c>
      <c r="G385" s="3">
        <v>42936</v>
      </c>
      <c r="H385">
        <v>7.6</v>
      </c>
      <c r="I385">
        <v>6.2</v>
      </c>
      <c r="J385">
        <v>890</v>
      </c>
      <c r="K385">
        <v>412</v>
      </c>
      <c r="L385">
        <v>3.5</v>
      </c>
      <c r="M385">
        <v>4.24</v>
      </c>
      <c r="N385">
        <v>4.7</v>
      </c>
      <c r="Q385">
        <v>4</v>
      </c>
      <c r="R385">
        <v>3866</v>
      </c>
    </row>
    <row r="386" spans="1:18" x14ac:dyDescent="0.25">
      <c r="A386">
        <v>385</v>
      </c>
      <c r="B386" t="s">
        <v>937</v>
      </c>
      <c r="E386" t="str">
        <f t="shared" si="14"/>
        <v>DARA</v>
      </c>
      <c r="F386">
        <v>4</v>
      </c>
      <c r="G386" s="3">
        <v>42936</v>
      </c>
      <c r="H386">
        <v>10.4</v>
      </c>
      <c r="I386">
        <v>9.5</v>
      </c>
      <c r="J386">
        <v>660</v>
      </c>
      <c r="K386">
        <v>445</v>
      </c>
      <c r="L386">
        <v>5.43</v>
      </c>
      <c r="M386">
        <v>5.61</v>
      </c>
      <c r="N386">
        <v>6.07</v>
      </c>
      <c r="Q386">
        <v>3</v>
      </c>
      <c r="R386">
        <v>3873</v>
      </c>
    </row>
    <row r="387" spans="1:18" x14ac:dyDescent="0.25">
      <c r="A387">
        <v>386</v>
      </c>
      <c r="B387" t="s">
        <v>936</v>
      </c>
      <c r="E387" t="str">
        <f t="shared" si="14"/>
        <v>AMIN</v>
      </c>
      <c r="F387">
        <v>6</v>
      </c>
      <c r="G387" s="3">
        <v>42936</v>
      </c>
      <c r="H387">
        <v>9</v>
      </c>
      <c r="I387">
        <v>7.8</v>
      </c>
      <c r="J387">
        <v>850</v>
      </c>
      <c r="K387">
        <v>330</v>
      </c>
      <c r="L387">
        <v>3.2</v>
      </c>
      <c r="M387">
        <v>3.15</v>
      </c>
      <c r="N387">
        <v>3.32</v>
      </c>
      <c r="Q387">
        <v>3</v>
      </c>
      <c r="R387">
        <v>3872</v>
      </c>
    </row>
    <row r="388" spans="1:18" x14ac:dyDescent="0.25">
      <c r="A388">
        <v>387</v>
      </c>
      <c r="B388" t="s">
        <v>945</v>
      </c>
      <c r="E388" t="str">
        <f t="shared" si="14"/>
        <v>PLRE</v>
      </c>
      <c r="F388">
        <v>2</v>
      </c>
      <c r="G388" s="3">
        <v>42936</v>
      </c>
      <c r="H388">
        <v>7.8</v>
      </c>
      <c r="I388">
        <v>8</v>
      </c>
      <c r="J388">
        <v>620</v>
      </c>
      <c r="K388">
        <v>500</v>
      </c>
      <c r="L388">
        <v>9.5399999999999991</v>
      </c>
      <c r="M388">
        <v>9.5299999999999994</v>
      </c>
      <c r="N388">
        <v>9.01</v>
      </c>
      <c r="Q388">
        <v>3</v>
      </c>
      <c r="R388">
        <v>3879</v>
      </c>
    </row>
    <row r="389" spans="1:18" x14ac:dyDescent="0.25">
      <c r="A389">
        <v>388</v>
      </c>
      <c r="B389" t="s">
        <v>946</v>
      </c>
      <c r="E389" t="str">
        <f t="shared" si="14"/>
        <v>QUMU</v>
      </c>
      <c r="F389">
        <v>5</v>
      </c>
      <c r="G389" s="3">
        <v>42936</v>
      </c>
      <c r="H389">
        <v>18.2</v>
      </c>
      <c r="I389">
        <v>12.2</v>
      </c>
      <c r="J389">
        <v>680</v>
      </c>
      <c r="K389">
        <v>485</v>
      </c>
      <c r="L389">
        <v>11.61</v>
      </c>
      <c r="M389">
        <v>9.42</v>
      </c>
      <c r="N389">
        <v>9.73</v>
      </c>
      <c r="Q389">
        <v>4</v>
      </c>
      <c r="R389">
        <v>3870</v>
      </c>
    </row>
    <row r="390" spans="1:18" x14ac:dyDescent="0.25">
      <c r="A390">
        <v>389</v>
      </c>
      <c r="B390" t="s">
        <v>932</v>
      </c>
      <c r="E390" t="str">
        <f t="shared" si="14"/>
        <v>GUNI</v>
      </c>
      <c r="F390">
        <v>3</v>
      </c>
      <c r="G390" s="3">
        <v>42936</v>
      </c>
      <c r="H390">
        <v>13.1</v>
      </c>
      <c r="I390" t="s">
        <v>1035</v>
      </c>
      <c r="J390">
        <v>760</v>
      </c>
      <c r="K390">
        <v>480</v>
      </c>
      <c r="L390">
        <v>4.16</v>
      </c>
      <c r="M390">
        <v>5.61</v>
      </c>
      <c r="N390">
        <v>4.7300000000000004</v>
      </c>
      <c r="Q390">
        <v>4</v>
      </c>
      <c r="R390">
        <v>3897</v>
      </c>
    </row>
    <row r="391" spans="1:18" x14ac:dyDescent="0.25">
      <c r="A391">
        <v>390</v>
      </c>
      <c r="B391" t="s">
        <v>916</v>
      </c>
      <c r="E391" t="str">
        <f t="shared" si="14"/>
        <v>ANFA</v>
      </c>
      <c r="F391">
        <v>4</v>
      </c>
      <c r="G391" s="3">
        <v>42936</v>
      </c>
      <c r="H391">
        <v>24.8</v>
      </c>
      <c r="I391">
        <v>22.4</v>
      </c>
      <c r="J391">
        <v>990</v>
      </c>
      <c r="K391">
        <v>630</v>
      </c>
      <c r="L391">
        <v>32.590000000000003</v>
      </c>
      <c r="M391">
        <v>54.9</v>
      </c>
      <c r="N391">
        <v>32.409999999999997</v>
      </c>
      <c r="Q391">
        <v>5</v>
      </c>
      <c r="R391">
        <v>3907</v>
      </c>
    </row>
    <row r="392" spans="1:18" x14ac:dyDescent="0.25">
      <c r="A392">
        <v>391</v>
      </c>
      <c r="B392" t="s">
        <v>912</v>
      </c>
      <c r="E392" t="str">
        <f t="shared" si="14"/>
        <v>ANFA</v>
      </c>
      <c r="F392">
        <v>2</v>
      </c>
      <c r="G392" s="3">
        <v>42936</v>
      </c>
      <c r="H392">
        <v>18.5</v>
      </c>
      <c r="I392">
        <v>16.600000000000001</v>
      </c>
      <c r="J392">
        <v>780</v>
      </c>
      <c r="K392">
        <v>610</v>
      </c>
      <c r="L392">
        <v>18.84</v>
      </c>
      <c r="M392">
        <v>20.079999999999998</v>
      </c>
      <c r="N392">
        <v>27.9</v>
      </c>
      <c r="Q392">
        <v>4</v>
      </c>
    </row>
    <row r="393" spans="1:18" x14ac:dyDescent="0.25">
      <c r="A393">
        <v>392</v>
      </c>
      <c r="B393" t="s">
        <v>908</v>
      </c>
      <c r="E393" t="str">
        <f t="shared" si="14"/>
        <v>ANFA</v>
      </c>
      <c r="F393">
        <v>1</v>
      </c>
      <c r="G393" s="3">
        <v>42936</v>
      </c>
      <c r="H393">
        <v>15.7</v>
      </c>
      <c r="I393">
        <v>13.5</v>
      </c>
      <c r="J393">
        <v>695</v>
      </c>
      <c r="K393">
        <v>550</v>
      </c>
      <c r="L393">
        <v>25.18</v>
      </c>
      <c r="M393">
        <v>37.659999999999997</v>
      </c>
      <c r="N393">
        <v>34.799999999999997</v>
      </c>
      <c r="Q393">
        <v>4</v>
      </c>
      <c r="R393">
        <v>3945</v>
      </c>
    </row>
    <row r="394" spans="1:18" x14ac:dyDescent="0.25">
      <c r="A394">
        <v>393</v>
      </c>
      <c r="B394" t="s">
        <v>918</v>
      </c>
      <c r="E394" t="str">
        <f t="shared" si="14"/>
        <v>ANFA</v>
      </c>
      <c r="F394">
        <v>5</v>
      </c>
      <c r="G394" s="3">
        <v>42936</v>
      </c>
      <c r="H394">
        <v>14.6</v>
      </c>
      <c r="I394">
        <v>12.1</v>
      </c>
      <c r="J394">
        <v>670</v>
      </c>
      <c r="K394">
        <v>390</v>
      </c>
      <c r="L394">
        <v>31.21</v>
      </c>
      <c r="M394">
        <v>32.03</v>
      </c>
      <c r="N394">
        <v>30.79</v>
      </c>
      <c r="Q394">
        <v>4</v>
      </c>
      <c r="R394">
        <v>3940</v>
      </c>
    </row>
    <row r="395" spans="1:18" x14ac:dyDescent="0.25">
      <c r="A395">
        <v>394</v>
      </c>
      <c r="B395" t="s">
        <v>914</v>
      </c>
      <c r="E395" t="str">
        <f t="shared" si="14"/>
        <v>ANFA</v>
      </c>
      <c r="F395">
        <v>3</v>
      </c>
      <c r="G395" s="3">
        <v>42936</v>
      </c>
      <c r="H395">
        <v>10.8</v>
      </c>
      <c r="I395">
        <v>9.6999999999999993</v>
      </c>
      <c r="J395">
        <v>545</v>
      </c>
      <c r="K395">
        <v>400</v>
      </c>
      <c r="L395">
        <v>25.4</v>
      </c>
      <c r="M395">
        <v>26.61</v>
      </c>
      <c r="N395">
        <v>32.880000000000003</v>
      </c>
      <c r="Q395">
        <v>4</v>
      </c>
      <c r="R395">
        <v>3939</v>
      </c>
    </row>
    <row r="396" spans="1:18" x14ac:dyDescent="0.25">
      <c r="A396">
        <v>395</v>
      </c>
      <c r="B396" t="s">
        <v>933</v>
      </c>
      <c r="E396" t="str">
        <f t="shared" si="14"/>
        <v>POTO</v>
      </c>
      <c r="F396">
        <v>4</v>
      </c>
      <c r="G396" s="3">
        <v>42936</v>
      </c>
      <c r="H396">
        <v>22.5</v>
      </c>
      <c r="I396">
        <v>19.100000000000001</v>
      </c>
      <c r="J396">
        <v>655</v>
      </c>
      <c r="K396">
        <v>358</v>
      </c>
      <c r="L396">
        <v>30.75</v>
      </c>
      <c r="M396">
        <v>18.29</v>
      </c>
      <c r="N396">
        <v>14.23</v>
      </c>
      <c r="Q396">
        <v>3</v>
      </c>
    </row>
    <row r="397" spans="1:18" x14ac:dyDescent="0.25">
      <c r="A397">
        <v>396</v>
      </c>
      <c r="B397" t="s">
        <v>931</v>
      </c>
      <c r="E397" t="str">
        <f t="shared" si="14"/>
        <v>QUMU</v>
      </c>
      <c r="F397">
        <v>4</v>
      </c>
      <c r="G397" s="3">
        <v>42936</v>
      </c>
      <c r="H397">
        <v>12</v>
      </c>
      <c r="I397">
        <v>10.7</v>
      </c>
      <c r="J397">
        <v>642</v>
      </c>
      <c r="K397">
        <v>246</v>
      </c>
      <c r="L397">
        <v>7.36</v>
      </c>
      <c r="M397">
        <v>7.09</v>
      </c>
      <c r="N397">
        <v>11.53</v>
      </c>
      <c r="Q397">
        <v>3</v>
      </c>
      <c r="R397">
        <v>3944</v>
      </c>
    </row>
    <row r="398" spans="1:18" x14ac:dyDescent="0.25">
      <c r="A398">
        <v>397</v>
      </c>
      <c r="B398" t="s">
        <v>928</v>
      </c>
      <c r="E398" t="str">
        <f t="shared" si="14"/>
        <v>DARA</v>
      </c>
      <c r="F398">
        <v>2</v>
      </c>
      <c r="G398" s="3">
        <v>42936</v>
      </c>
      <c r="H398">
        <v>6</v>
      </c>
      <c r="I398">
        <v>5.0999999999999996</v>
      </c>
      <c r="J398">
        <v>585</v>
      </c>
      <c r="K398">
        <v>435</v>
      </c>
      <c r="L398">
        <v>7.14</v>
      </c>
      <c r="M398">
        <v>6.44</v>
      </c>
      <c r="N398">
        <v>7.73</v>
      </c>
      <c r="Q398">
        <v>2</v>
      </c>
      <c r="R398">
        <v>3975</v>
      </c>
    </row>
    <row r="399" spans="1:18" x14ac:dyDescent="0.25">
      <c r="A399">
        <v>398</v>
      </c>
      <c r="B399" t="s">
        <v>934</v>
      </c>
      <c r="E399" t="str">
        <f t="shared" si="14"/>
        <v>BYCO</v>
      </c>
      <c r="F399">
        <v>5</v>
      </c>
      <c r="G399" s="3">
        <v>42936</v>
      </c>
      <c r="H399">
        <v>6.1</v>
      </c>
      <c r="I399">
        <v>5</v>
      </c>
      <c r="J399">
        <v>465</v>
      </c>
      <c r="K399">
        <v>360</v>
      </c>
      <c r="L399">
        <v>9.43</v>
      </c>
      <c r="M399">
        <v>8.73</v>
      </c>
      <c r="N399">
        <v>10.01</v>
      </c>
      <c r="Q399">
        <v>2</v>
      </c>
      <c r="R399">
        <v>3994</v>
      </c>
    </row>
    <row r="400" spans="1:18" x14ac:dyDescent="0.25">
      <c r="A400">
        <v>399</v>
      </c>
      <c r="B400" t="s">
        <v>920</v>
      </c>
      <c r="E400" t="str">
        <f t="shared" si="14"/>
        <v>PLRE</v>
      </c>
      <c r="F400">
        <v>1</v>
      </c>
      <c r="G400" s="3">
        <v>42936</v>
      </c>
      <c r="H400">
        <v>9.6999999999999993</v>
      </c>
      <c r="I400">
        <v>9.5</v>
      </c>
      <c r="J400">
        <v>555</v>
      </c>
      <c r="K400">
        <v>375</v>
      </c>
      <c r="L400">
        <v>14.87</v>
      </c>
      <c r="M400">
        <v>18.100000000000001</v>
      </c>
      <c r="N400">
        <v>16.89</v>
      </c>
      <c r="Q400">
        <v>3</v>
      </c>
      <c r="R400">
        <v>3989</v>
      </c>
    </row>
    <row r="401" spans="1:18" x14ac:dyDescent="0.25">
      <c r="A401">
        <v>400</v>
      </c>
      <c r="B401" t="s">
        <v>924</v>
      </c>
      <c r="E401" t="str">
        <f t="shared" si="14"/>
        <v>GUNI</v>
      </c>
      <c r="F401">
        <v>1</v>
      </c>
      <c r="G401" s="3">
        <v>42936</v>
      </c>
      <c r="H401">
        <v>9.1</v>
      </c>
      <c r="I401">
        <v>8.1999999999999993</v>
      </c>
      <c r="J401">
        <v>770</v>
      </c>
      <c r="K401">
        <v>445</v>
      </c>
      <c r="L401">
        <v>4.55</v>
      </c>
      <c r="M401">
        <v>4.75</v>
      </c>
      <c r="N401">
        <v>3.03</v>
      </c>
      <c r="Q401">
        <v>4</v>
      </c>
      <c r="R401">
        <v>4033</v>
      </c>
    </row>
    <row r="402" spans="1:18" x14ac:dyDescent="0.25">
      <c r="A402">
        <v>401</v>
      </c>
      <c r="B402" t="s">
        <v>929</v>
      </c>
      <c r="E402" t="str">
        <f t="shared" si="14"/>
        <v>DARA</v>
      </c>
      <c r="F402">
        <v>3</v>
      </c>
      <c r="G402" s="3">
        <v>42936</v>
      </c>
      <c r="H402">
        <v>10</v>
      </c>
      <c r="I402">
        <v>8.8000000000000007</v>
      </c>
      <c r="J402">
        <v>870</v>
      </c>
      <c r="K402">
        <v>520</v>
      </c>
      <c r="L402">
        <v>9.65</v>
      </c>
      <c r="M402">
        <v>10.19</v>
      </c>
      <c r="N402">
        <v>9.01</v>
      </c>
      <c r="Q402">
        <v>3</v>
      </c>
      <c r="R402">
        <v>4073</v>
      </c>
    </row>
    <row r="403" spans="1:18" x14ac:dyDescent="0.25">
      <c r="A403">
        <v>402</v>
      </c>
      <c r="B403" t="s">
        <v>927</v>
      </c>
      <c r="E403" t="str">
        <f t="shared" si="14"/>
        <v>QUMU</v>
      </c>
      <c r="F403">
        <v>3</v>
      </c>
      <c r="G403" s="3">
        <v>42936</v>
      </c>
      <c r="H403">
        <v>20.5</v>
      </c>
      <c r="I403">
        <v>17.8</v>
      </c>
      <c r="J403">
        <v>740</v>
      </c>
      <c r="K403">
        <v>445</v>
      </c>
      <c r="L403">
        <v>14.84</v>
      </c>
      <c r="M403">
        <v>15.97</v>
      </c>
      <c r="N403">
        <v>13.7</v>
      </c>
      <c r="Q403">
        <v>3</v>
      </c>
      <c r="R403">
        <v>4100</v>
      </c>
    </row>
    <row r="404" spans="1:18" x14ac:dyDescent="0.25">
      <c r="A404">
        <v>403</v>
      </c>
      <c r="B404" t="s">
        <v>930</v>
      </c>
      <c r="E404" t="str">
        <f t="shared" si="14"/>
        <v>GUNI</v>
      </c>
      <c r="F404">
        <v>2</v>
      </c>
      <c r="G404" s="3">
        <v>42936</v>
      </c>
      <c r="H404">
        <v>14.5</v>
      </c>
      <c r="I404">
        <v>12.2</v>
      </c>
      <c r="J404">
        <v>785</v>
      </c>
      <c r="K404">
        <v>600</v>
      </c>
      <c r="L404">
        <v>4.82</v>
      </c>
      <c r="M404">
        <v>7.99</v>
      </c>
      <c r="N404">
        <v>6.53</v>
      </c>
      <c r="Q404">
        <v>3</v>
      </c>
      <c r="R404">
        <v>4122</v>
      </c>
    </row>
    <row r="405" spans="1:18" x14ac:dyDescent="0.25">
      <c r="A405">
        <v>404</v>
      </c>
      <c r="B405" t="s">
        <v>883</v>
      </c>
      <c r="E405" t="str">
        <f t="shared" si="14"/>
        <v>MIAL</v>
      </c>
      <c r="F405">
        <v>2</v>
      </c>
      <c r="G405" s="3">
        <v>42934</v>
      </c>
      <c r="H405" t="s">
        <v>980</v>
      </c>
      <c r="I405" t="s">
        <v>981</v>
      </c>
      <c r="J405">
        <v>292</v>
      </c>
      <c r="K405">
        <v>30</v>
      </c>
      <c r="L405">
        <v>7.22</v>
      </c>
      <c r="M405">
        <v>6.1</v>
      </c>
      <c r="N405">
        <v>5.63</v>
      </c>
      <c r="Q405">
        <v>4</v>
      </c>
    </row>
    <row r="406" spans="1:18" x14ac:dyDescent="0.25">
      <c r="A406">
        <v>405</v>
      </c>
      <c r="B406" t="s">
        <v>884</v>
      </c>
      <c r="E406" t="str">
        <f t="shared" si="14"/>
        <v>CUVE</v>
      </c>
      <c r="F406">
        <v>3</v>
      </c>
      <c r="G406" s="3">
        <v>42934</v>
      </c>
      <c r="H406">
        <v>2.56</v>
      </c>
      <c r="I406">
        <v>2.08</v>
      </c>
      <c r="J406">
        <v>420</v>
      </c>
      <c r="K406">
        <v>220</v>
      </c>
      <c r="L406">
        <v>1.1399999999999999</v>
      </c>
      <c r="M406">
        <v>0.83</v>
      </c>
      <c r="N406">
        <v>0.94</v>
      </c>
      <c r="Q406">
        <v>3</v>
      </c>
    </row>
    <row r="407" spans="1:18" x14ac:dyDescent="0.25">
      <c r="A407">
        <v>406</v>
      </c>
      <c r="B407" t="s">
        <v>885</v>
      </c>
      <c r="E407" t="str">
        <f t="shared" si="14"/>
        <v>CUVE</v>
      </c>
      <c r="F407">
        <v>4</v>
      </c>
      <c r="G407" s="3">
        <v>42934</v>
      </c>
      <c r="H407">
        <v>6.5</v>
      </c>
      <c r="I407">
        <v>6.08</v>
      </c>
      <c r="J407">
        <v>400</v>
      </c>
      <c r="K407">
        <v>200</v>
      </c>
      <c r="L407">
        <v>1.55</v>
      </c>
      <c r="M407">
        <v>1.97</v>
      </c>
      <c r="N407">
        <v>1.81</v>
      </c>
      <c r="Q407">
        <v>3</v>
      </c>
    </row>
    <row r="408" spans="1:18" x14ac:dyDescent="0.25">
      <c r="A408">
        <v>407</v>
      </c>
      <c r="B408" t="s">
        <v>889</v>
      </c>
      <c r="E408" t="str">
        <f t="shared" si="14"/>
        <v>LUGR</v>
      </c>
      <c r="F408">
        <v>2</v>
      </c>
      <c r="G408" s="3">
        <v>42934</v>
      </c>
      <c r="H408">
        <v>2.76</v>
      </c>
      <c r="I408">
        <v>2.63</v>
      </c>
      <c r="J408">
        <v>360</v>
      </c>
      <c r="K408">
        <v>240</v>
      </c>
      <c r="L408">
        <v>2.81</v>
      </c>
      <c r="M408">
        <v>3.19</v>
      </c>
      <c r="N408">
        <v>2.83</v>
      </c>
      <c r="Q408">
        <v>3</v>
      </c>
    </row>
    <row r="409" spans="1:18" x14ac:dyDescent="0.25">
      <c r="A409">
        <v>408</v>
      </c>
      <c r="B409" t="s">
        <v>887</v>
      </c>
      <c r="E409" t="str">
        <f t="shared" si="14"/>
        <v>ZEMO</v>
      </c>
      <c r="F409">
        <v>4</v>
      </c>
      <c r="G409" s="3">
        <v>42934</v>
      </c>
      <c r="H409">
        <v>1.1599999999999999</v>
      </c>
      <c r="I409" t="s">
        <v>135</v>
      </c>
      <c r="J409">
        <v>110</v>
      </c>
      <c r="K409">
        <v>20</v>
      </c>
      <c r="L409">
        <v>1.18</v>
      </c>
      <c r="M409" t="s">
        <v>135</v>
      </c>
      <c r="N409" t="s">
        <v>135</v>
      </c>
      <c r="Q409">
        <v>4</v>
      </c>
    </row>
    <row r="410" spans="1:18" x14ac:dyDescent="0.25">
      <c r="A410">
        <v>409</v>
      </c>
      <c r="B410" t="s">
        <v>892</v>
      </c>
      <c r="E410" t="str">
        <f t="shared" si="14"/>
        <v>STAD</v>
      </c>
      <c r="F410">
        <v>4</v>
      </c>
      <c r="G410" s="3">
        <v>42934</v>
      </c>
      <c r="H410">
        <v>1.53</v>
      </c>
      <c r="I410">
        <v>0.4</v>
      </c>
      <c r="J410">
        <v>140</v>
      </c>
      <c r="K410">
        <v>30</v>
      </c>
      <c r="L410">
        <v>1.82</v>
      </c>
      <c r="M410" t="s">
        <v>135</v>
      </c>
      <c r="N410" t="s">
        <v>135</v>
      </c>
      <c r="Q410">
        <v>3</v>
      </c>
    </row>
    <row r="411" spans="1:18" x14ac:dyDescent="0.25">
      <c r="A411">
        <v>410</v>
      </c>
      <c r="B411" t="s">
        <v>893</v>
      </c>
      <c r="E411" t="str">
        <f t="shared" ref="E411:E442" si="15">LEFT(B411,4)</f>
        <v>BADR</v>
      </c>
      <c r="F411">
        <v>2</v>
      </c>
      <c r="G411" s="3">
        <v>42934</v>
      </c>
      <c r="H411">
        <v>1.72</v>
      </c>
      <c r="I411">
        <v>0.33</v>
      </c>
      <c r="J411">
        <v>170</v>
      </c>
      <c r="K411">
        <v>40</v>
      </c>
      <c r="L411">
        <v>1.01</v>
      </c>
      <c r="M411" t="s">
        <v>135</v>
      </c>
      <c r="N411" t="s">
        <v>135</v>
      </c>
      <c r="Q411">
        <v>4</v>
      </c>
    </row>
    <row r="412" spans="1:18" x14ac:dyDescent="0.25">
      <c r="A412">
        <v>411</v>
      </c>
      <c r="B412" t="s">
        <v>890</v>
      </c>
      <c r="E412" t="str">
        <f t="shared" si="15"/>
        <v>BADR</v>
      </c>
      <c r="F412">
        <v>3</v>
      </c>
      <c r="G412" s="3">
        <v>42934</v>
      </c>
      <c r="H412">
        <v>1.26</v>
      </c>
      <c r="I412">
        <v>0.6</v>
      </c>
      <c r="J412">
        <v>220</v>
      </c>
      <c r="K412">
        <v>130</v>
      </c>
      <c r="L412">
        <v>0.61</v>
      </c>
      <c r="M412" t="s">
        <v>135</v>
      </c>
      <c r="N412" t="s">
        <v>135</v>
      </c>
      <c r="Q412">
        <v>3</v>
      </c>
    </row>
    <row r="413" spans="1:18" x14ac:dyDescent="0.25">
      <c r="A413">
        <v>412</v>
      </c>
      <c r="B413" t="s">
        <v>888</v>
      </c>
      <c r="E413" t="str">
        <f t="shared" si="15"/>
        <v>BADR</v>
      </c>
      <c r="F413">
        <v>4</v>
      </c>
      <c r="G413" s="3">
        <v>42934</v>
      </c>
      <c r="H413">
        <v>0.63</v>
      </c>
      <c r="I413">
        <v>0.38</v>
      </c>
      <c r="J413">
        <v>170</v>
      </c>
      <c r="K413">
        <v>70</v>
      </c>
      <c r="L413">
        <v>0.4</v>
      </c>
      <c r="M413" t="s">
        <v>135</v>
      </c>
      <c r="N413" t="s">
        <v>135</v>
      </c>
      <c r="Q413">
        <v>4</v>
      </c>
    </row>
    <row r="414" spans="1:18" x14ac:dyDescent="0.25">
      <c r="A414">
        <v>413</v>
      </c>
      <c r="B414" t="s">
        <v>894</v>
      </c>
      <c r="E414" t="str">
        <f t="shared" si="15"/>
        <v>BADR</v>
      </c>
      <c r="F414">
        <v>5</v>
      </c>
      <c r="G414" s="3">
        <v>42934</v>
      </c>
      <c r="H414">
        <v>0.9</v>
      </c>
      <c r="I414">
        <v>0.34</v>
      </c>
      <c r="J414">
        <v>180</v>
      </c>
      <c r="K414">
        <v>110</v>
      </c>
      <c r="L414">
        <v>7.2999999999999995E-2</v>
      </c>
      <c r="M414" t="s">
        <v>135</v>
      </c>
      <c r="N414" t="s">
        <v>135</v>
      </c>
      <c r="Q414">
        <v>4</v>
      </c>
    </row>
    <row r="415" spans="1:18" x14ac:dyDescent="0.25">
      <c r="A415">
        <v>414</v>
      </c>
      <c r="B415" t="s">
        <v>891</v>
      </c>
      <c r="E415" t="str">
        <f t="shared" si="15"/>
        <v>LUGR</v>
      </c>
      <c r="F415">
        <v>3</v>
      </c>
      <c r="G415" s="3">
        <v>42934</v>
      </c>
      <c r="H415">
        <v>1.57</v>
      </c>
      <c r="I415">
        <v>0.85</v>
      </c>
      <c r="J415">
        <v>230</v>
      </c>
      <c r="K415">
        <v>60</v>
      </c>
      <c r="L415">
        <v>0.94</v>
      </c>
      <c r="M415" t="s">
        <v>135</v>
      </c>
      <c r="N415" t="s">
        <v>135</v>
      </c>
      <c r="Q415">
        <v>3</v>
      </c>
    </row>
    <row r="416" spans="1:18" x14ac:dyDescent="0.25">
      <c r="A416">
        <v>415</v>
      </c>
      <c r="B416" t="s">
        <v>896</v>
      </c>
      <c r="E416" t="str">
        <f t="shared" si="15"/>
        <v>DIMO</v>
      </c>
      <c r="F416">
        <v>4</v>
      </c>
      <c r="G416" s="3">
        <v>42934</v>
      </c>
      <c r="H416">
        <v>8</v>
      </c>
      <c r="I416" t="s">
        <v>982</v>
      </c>
      <c r="J416">
        <v>250</v>
      </c>
      <c r="K416">
        <v>110</v>
      </c>
      <c r="L416">
        <v>12.4</v>
      </c>
      <c r="M416">
        <v>13.19</v>
      </c>
      <c r="N416">
        <v>9.93</v>
      </c>
      <c r="Q416">
        <v>4</v>
      </c>
    </row>
    <row r="417" spans="1:18" x14ac:dyDescent="0.25">
      <c r="A417">
        <v>416</v>
      </c>
      <c r="B417" t="s">
        <v>895</v>
      </c>
      <c r="E417" t="str">
        <f t="shared" si="15"/>
        <v>DIMO</v>
      </c>
      <c r="F417">
        <v>5</v>
      </c>
      <c r="G417" s="3">
        <v>42934</v>
      </c>
      <c r="H417">
        <v>9.5</v>
      </c>
      <c r="I417">
        <v>7.2</v>
      </c>
      <c r="J417">
        <v>420</v>
      </c>
      <c r="K417">
        <v>130</v>
      </c>
      <c r="L417">
        <v>16.13</v>
      </c>
      <c r="M417">
        <v>17.7</v>
      </c>
      <c r="N417">
        <v>19.61</v>
      </c>
      <c r="Q417">
        <v>5</v>
      </c>
    </row>
    <row r="418" spans="1:18" x14ac:dyDescent="0.25">
      <c r="A418">
        <v>417</v>
      </c>
      <c r="B418" t="s">
        <v>996</v>
      </c>
      <c r="E418" t="str">
        <f t="shared" si="15"/>
        <v>PLEL</v>
      </c>
      <c r="F418">
        <v>2</v>
      </c>
      <c r="G418" s="3">
        <v>42942</v>
      </c>
      <c r="H418">
        <v>1.17</v>
      </c>
      <c r="I418">
        <v>0.8</v>
      </c>
      <c r="J418">
        <v>170</v>
      </c>
      <c r="K418">
        <v>140</v>
      </c>
      <c r="L418">
        <v>0.65</v>
      </c>
      <c r="M418" t="s">
        <v>135</v>
      </c>
      <c r="N418" t="s">
        <v>135</v>
      </c>
      <c r="Q418">
        <v>3</v>
      </c>
    </row>
    <row r="419" spans="1:18" x14ac:dyDescent="0.25">
      <c r="A419">
        <v>418</v>
      </c>
      <c r="B419" t="s">
        <v>998</v>
      </c>
      <c r="E419" t="str">
        <f t="shared" si="15"/>
        <v>PLEL</v>
      </c>
      <c r="F419">
        <v>3</v>
      </c>
      <c r="G419" s="3">
        <v>42942</v>
      </c>
      <c r="H419">
        <v>3.89</v>
      </c>
      <c r="I419">
        <v>2.5</v>
      </c>
      <c r="J419">
        <v>280</v>
      </c>
      <c r="K419">
        <v>180</v>
      </c>
      <c r="L419">
        <v>6.28</v>
      </c>
      <c r="M419">
        <v>6.28</v>
      </c>
      <c r="N419">
        <v>5.87</v>
      </c>
      <c r="Q419">
        <v>3</v>
      </c>
    </row>
    <row r="420" spans="1:18" x14ac:dyDescent="0.25">
      <c r="A420">
        <v>419</v>
      </c>
      <c r="B420" t="s">
        <v>999</v>
      </c>
      <c r="E420" t="str">
        <f t="shared" si="15"/>
        <v>TEGL</v>
      </c>
      <c r="F420">
        <v>5</v>
      </c>
      <c r="G420" s="3">
        <v>42942</v>
      </c>
      <c r="H420">
        <v>14.6</v>
      </c>
      <c r="I420">
        <v>13.7</v>
      </c>
      <c r="J420">
        <v>530</v>
      </c>
      <c r="K420">
        <v>337</v>
      </c>
      <c r="L420">
        <v>8.11</v>
      </c>
      <c r="M420">
        <v>8.86</v>
      </c>
      <c r="N420">
        <v>8.57</v>
      </c>
      <c r="Q420">
        <v>3</v>
      </c>
    </row>
    <row r="421" spans="1:18" x14ac:dyDescent="0.25">
      <c r="A421">
        <v>420</v>
      </c>
      <c r="B421" t="s">
        <v>994</v>
      </c>
      <c r="E421" t="str">
        <f t="shared" si="15"/>
        <v>LUCA</v>
      </c>
      <c r="F421">
        <v>4</v>
      </c>
      <c r="G421" s="3">
        <v>42942</v>
      </c>
      <c r="H421" t="s">
        <v>1021</v>
      </c>
      <c r="I421" t="s">
        <v>1025</v>
      </c>
      <c r="J421">
        <v>455</v>
      </c>
      <c r="K421">
        <v>272</v>
      </c>
      <c r="L421">
        <v>1.6</v>
      </c>
      <c r="M421">
        <v>1.63</v>
      </c>
      <c r="N421">
        <v>1.87</v>
      </c>
      <c r="Q421">
        <v>4</v>
      </c>
    </row>
    <row r="422" spans="1:18" x14ac:dyDescent="0.25">
      <c r="A422">
        <v>421</v>
      </c>
      <c r="B422" t="s">
        <v>1000</v>
      </c>
      <c r="E422" t="str">
        <f t="shared" si="15"/>
        <v>GOBA</v>
      </c>
      <c r="F422">
        <v>3</v>
      </c>
      <c r="G422" s="3">
        <v>42942</v>
      </c>
      <c r="H422">
        <v>2.23</v>
      </c>
      <c r="I422" t="s">
        <v>1026</v>
      </c>
      <c r="J422">
        <v>160</v>
      </c>
      <c r="K422">
        <v>40</v>
      </c>
      <c r="L422">
        <v>1.74</v>
      </c>
      <c r="M422">
        <v>1.61</v>
      </c>
      <c r="N422">
        <v>1.3</v>
      </c>
      <c r="Q422">
        <v>4</v>
      </c>
    </row>
    <row r="423" spans="1:18" x14ac:dyDescent="0.25">
      <c r="A423">
        <v>422</v>
      </c>
      <c r="B423" t="s">
        <v>992</v>
      </c>
      <c r="E423" t="str">
        <f t="shared" si="15"/>
        <v>GOBA</v>
      </c>
      <c r="F423">
        <v>4</v>
      </c>
      <c r="G423" s="3">
        <v>42942</v>
      </c>
      <c r="H423" t="s">
        <v>1022</v>
      </c>
      <c r="I423" t="s">
        <v>1027</v>
      </c>
      <c r="J423">
        <v>220</v>
      </c>
      <c r="K423">
        <v>130</v>
      </c>
      <c r="L423">
        <v>0.77</v>
      </c>
      <c r="M423" t="s">
        <v>135</v>
      </c>
      <c r="N423" t="s">
        <v>135</v>
      </c>
      <c r="Q423">
        <v>4</v>
      </c>
    </row>
    <row r="424" spans="1:18" x14ac:dyDescent="0.25">
      <c r="A424">
        <v>423</v>
      </c>
      <c r="B424" t="s">
        <v>995</v>
      </c>
      <c r="E424" t="str">
        <f t="shared" si="15"/>
        <v>GOBA</v>
      </c>
      <c r="F424">
        <v>5</v>
      </c>
      <c r="G424" s="3">
        <v>42942</v>
      </c>
      <c r="H424" t="s">
        <v>1023</v>
      </c>
      <c r="I424" t="s">
        <v>1028</v>
      </c>
      <c r="J424">
        <v>357</v>
      </c>
      <c r="K424">
        <v>60</v>
      </c>
      <c r="L424">
        <v>4.37</v>
      </c>
      <c r="M424">
        <v>3.69</v>
      </c>
      <c r="N424">
        <v>2.91</v>
      </c>
      <c r="Q424">
        <v>4</v>
      </c>
    </row>
    <row r="425" spans="1:18" x14ac:dyDescent="0.25">
      <c r="A425">
        <v>424</v>
      </c>
      <c r="B425" t="s">
        <v>997</v>
      </c>
      <c r="E425" t="str">
        <f t="shared" si="15"/>
        <v>ANDI</v>
      </c>
      <c r="F425">
        <v>4</v>
      </c>
      <c r="G425" s="3">
        <v>42942</v>
      </c>
      <c r="H425" t="s">
        <v>1024</v>
      </c>
      <c r="I425" t="s">
        <v>1029</v>
      </c>
      <c r="J425">
        <v>170</v>
      </c>
      <c r="K425">
        <v>40</v>
      </c>
      <c r="L425">
        <v>2.57</v>
      </c>
      <c r="M425" t="s">
        <v>135</v>
      </c>
      <c r="N425" t="s">
        <v>135</v>
      </c>
      <c r="Q425">
        <v>4</v>
      </c>
    </row>
    <row r="426" spans="1:18" x14ac:dyDescent="0.25">
      <c r="A426">
        <v>425</v>
      </c>
      <c r="B426" t="s">
        <v>1258</v>
      </c>
      <c r="C426" t="s">
        <v>1002</v>
      </c>
      <c r="E426" t="str">
        <f t="shared" si="15"/>
        <v>TAOC</v>
      </c>
      <c r="F426">
        <v>3</v>
      </c>
      <c r="G426" s="3">
        <v>42942</v>
      </c>
      <c r="H426">
        <v>3.23</v>
      </c>
      <c r="I426" t="s">
        <v>135</v>
      </c>
      <c r="J426">
        <v>120</v>
      </c>
      <c r="K426">
        <v>80</v>
      </c>
      <c r="L426">
        <v>10.38</v>
      </c>
      <c r="M426" t="s">
        <v>135</v>
      </c>
      <c r="N426" t="s">
        <v>135</v>
      </c>
      <c r="Q426">
        <v>4</v>
      </c>
    </row>
    <row r="427" spans="1:18" x14ac:dyDescent="0.25">
      <c r="A427">
        <v>426</v>
      </c>
      <c r="B427" t="s">
        <v>1013</v>
      </c>
      <c r="E427" t="str">
        <f t="shared" si="15"/>
        <v>LISA</v>
      </c>
      <c r="F427">
        <v>1</v>
      </c>
      <c r="G427" s="3">
        <v>42942</v>
      </c>
      <c r="H427">
        <v>0.8</v>
      </c>
      <c r="I427">
        <v>0.31</v>
      </c>
      <c r="J427">
        <v>172</v>
      </c>
      <c r="K427">
        <v>30</v>
      </c>
      <c r="L427">
        <v>0.67</v>
      </c>
      <c r="M427" t="s">
        <v>135</v>
      </c>
      <c r="N427" t="s">
        <v>135</v>
      </c>
      <c r="Q427">
        <v>4</v>
      </c>
    </row>
    <row r="428" spans="1:18" x14ac:dyDescent="0.25">
      <c r="A428">
        <v>427</v>
      </c>
      <c r="B428" t="s">
        <v>993</v>
      </c>
      <c r="E428" t="str">
        <f t="shared" si="15"/>
        <v>BADR</v>
      </c>
      <c r="F428">
        <v>6</v>
      </c>
      <c r="G428" s="3">
        <v>42942</v>
      </c>
      <c r="H428">
        <v>3.25</v>
      </c>
      <c r="I428" t="s">
        <v>1030</v>
      </c>
      <c r="J428">
        <v>304</v>
      </c>
      <c r="K428">
        <v>207</v>
      </c>
      <c r="L428">
        <v>2.8</v>
      </c>
      <c r="M428">
        <v>2.73</v>
      </c>
      <c r="N428">
        <v>2.15</v>
      </c>
      <c r="Q428">
        <v>5</v>
      </c>
    </row>
    <row r="429" spans="1:18" x14ac:dyDescent="0.25">
      <c r="A429">
        <v>428</v>
      </c>
      <c r="B429" t="s">
        <v>1004</v>
      </c>
      <c r="E429" t="str">
        <f t="shared" si="15"/>
        <v>LISA</v>
      </c>
      <c r="F429">
        <v>2</v>
      </c>
      <c r="G429" s="3">
        <v>42942</v>
      </c>
      <c r="H429">
        <v>0.73799999999999999</v>
      </c>
      <c r="I429" t="s">
        <v>135</v>
      </c>
      <c r="J429">
        <v>90</v>
      </c>
      <c r="K429">
        <v>40</v>
      </c>
      <c r="L429">
        <v>0.55000000000000004</v>
      </c>
      <c r="M429" t="s">
        <v>135</v>
      </c>
      <c r="N429" t="s">
        <v>135</v>
      </c>
      <c r="Q429">
        <v>4</v>
      </c>
    </row>
    <row r="430" spans="1:18" x14ac:dyDescent="0.25">
      <c r="A430">
        <v>429</v>
      </c>
      <c r="B430" t="s">
        <v>1001</v>
      </c>
      <c r="E430" t="str">
        <f t="shared" si="15"/>
        <v>KICO</v>
      </c>
      <c r="F430">
        <v>5</v>
      </c>
      <c r="G430" s="3">
        <v>42942</v>
      </c>
      <c r="H430">
        <v>4.9000000000000004</v>
      </c>
      <c r="I430" t="s">
        <v>1031</v>
      </c>
      <c r="J430">
        <v>190</v>
      </c>
      <c r="K430">
        <v>120</v>
      </c>
      <c r="L430">
        <v>12.88</v>
      </c>
      <c r="M430">
        <v>12.83</v>
      </c>
      <c r="N430">
        <v>12.8</v>
      </c>
      <c r="Q430">
        <v>3</v>
      </c>
    </row>
    <row r="431" spans="1:18" x14ac:dyDescent="0.25">
      <c r="A431">
        <v>430</v>
      </c>
      <c r="B431" t="s">
        <v>864</v>
      </c>
      <c r="E431" t="str">
        <f t="shared" si="15"/>
        <v>LUCA</v>
      </c>
      <c r="F431">
        <v>1</v>
      </c>
      <c r="G431" s="3">
        <v>42943</v>
      </c>
      <c r="H431">
        <v>6.8</v>
      </c>
      <c r="I431">
        <v>6</v>
      </c>
      <c r="J431">
        <v>810</v>
      </c>
      <c r="K431">
        <v>330</v>
      </c>
      <c r="L431">
        <v>3.3</v>
      </c>
      <c r="M431">
        <v>2.91</v>
      </c>
      <c r="N431">
        <v>3.88</v>
      </c>
      <c r="Q431">
        <v>3</v>
      </c>
      <c r="R431" t="s">
        <v>1036</v>
      </c>
    </row>
    <row r="432" spans="1:18" x14ac:dyDescent="0.25">
      <c r="A432">
        <v>431</v>
      </c>
      <c r="B432" t="s">
        <v>857</v>
      </c>
      <c r="E432" t="str">
        <f t="shared" si="15"/>
        <v>BALO</v>
      </c>
      <c r="F432">
        <v>1</v>
      </c>
      <c r="G432" s="3">
        <v>42943</v>
      </c>
      <c r="H432">
        <v>12.4</v>
      </c>
      <c r="I432" t="s">
        <v>1032</v>
      </c>
      <c r="J432">
        <v>680</v>
      </c>
      <c r="K432">
        <v>450</v>
      </c>
      <c r="L432">
        <v>6.96</v>
      </c>
      <c r="M432">
        <v>4.5999999999999996</v>
      </c>
      <c r="N432">
        <v>4.46</v>
      </c>
      <c r="Q432">
        <v>3</v>
      </c>
    </row>
    <row r="433" spans="1:18" x14ac:dyDescent="0.25">
      <c r="A433">
        <v>432</v>
      </c>
      <c r="B433" t="s">
        <v>869</v>
      </c>
      <c r="E433" t="str">
        <f t="shared" si="15"/>
        <v>EUMY</v>
      </c>
      <c r="F433">
        <v>2</v>
      </c>
      <c r="G433" s="3">
        <v>42943</v>
      </c>
      <c r="H433">
        <v>18.600000000000001</v>
      </c>
      <c r="I433" t="s">
        <v>1033</v>
      </c>
      <c r="J433">
        <v>900</v>
      </c>
      <c r="K433">
        <v>528</v>
      </c>
      <c r="L433">
        <v>6.37</v>
      </c>
      <c r="M433">
        <v>6.29</v>
      </c>
      <c r="N433">
        <v>5.42</v>
      </c>
      <c r="Q433">
        <v>3</v>
      </c>
      <c r="R433">
        <v>2863</v>
      </c>
    </row>
    <row r="434" spans="1:18" x14ac:dyDescent="0.25">
      <c r="A434">
        <v>433</v>
      </c>
      <c r="B434" t="s">
        <v>1012</v>
      </c>
      <c r="E434" t="str">
        <f t="shared" si="15"/>
        <v>ALED</v>
      </c>
      <c r="F434">
        <v>5</v>
      </c>
      <c r="G434" s="3">
        <v>42943</v>
      </c>
      <c r="H434">
        <v>5.8</v>
      </c>
      <c r="I434">
        <v>5.3</v>
      </c>
      <c r="J434">
        <v>618</v>
      </c>
      <c r="K434">
        <v>177</v>
      </c>
      <c r="L434">
        <v>3.7</v>
      </c>
      <c r="M434">
        <v>3.93</v>
      </c>
      <c r="N434">
        <v>4.93</v>
      </c>
      <c r="Q434">
        <v>3</v>
      </c>
      <c r="R434">
        <v>4947</v>
      </c>
    </row>
    <row r="435" spans="1:18" x14ac:dyDescent="0.25">
      <c r="A435">
        <v>434</v>
      </c>
      <c r="B435" t="s">
        <v>1008</v>
      </c>
      <c r="E435" t="str">
        <f t="shared" si="15"/>
        <v>EUMY</v>
      </c>
      <c r="F435">
        <v>3</v>
      </c>
      <c r="G435" s="3">
        <v>42943</v>
      </c>
      <c r="H435">
        <v>6.4</v>
      </c>
      <c r="I435">
        <v>5.5</v>
      </c>
      <c r="J435">
        <v>910</v>
      </c>
      <c r="K435">
        <v>615</v>
      </c>
      <c r="L435">
        <v>4.34</v>
      </c>
      <c r="M435">
        <v>4.67</v>
      </c>
      <c r="N435">
        <v>4.9400000000000004</v>
      </c>
      <c r="Q435">
        <v>3</v>
      </c>
      <c r="R435">
        <v>5009</v>
      </c>
    </row>
    <row r="436" spans="1:18" x14ac:dyDescent="0.25">
      <c r="A436">
        <v>435</v>
      </c>
      <c r="B436" t="s">
        <v>1014</v>
      </c>
      <c r="E436" t="str">
        <f t="shared" si="15"/>
        <v>ANCA</v>
      </c>
      <c r="F436">
        <v>2</v>
      </c>
      <c r="G436" s="3">
        <v>42943</v>
      </c>
      <c r="H436">
        <v>9.1</v>
      </c>
      <c r="I436">
        <v>8.6999999999999993</v>
      </c>
      <c r="J436">
        <v>1300</v>
      </c>
      <c r="K436">
        <v>900</v>
      </c>
      <c r="L436">
        <v>7.99</v>
      </c>
      <c r="M436">
        <v>9.2799999999999994</v>
      </c>
      <c r="N436">
        <v>8.56</v>
      </c>
      <c r="Q436">
        <v>4</v>
      </c>
      <c r="R436">
        <v>4739</v>
      </c>
    </row>
    <row r="437" spans="1:18" x14ac:dyDescent="0.25">
      <c r="A437">
        <v>436</v>
      </c>
      <c r="B437" t="s">
        <v>1009</v>
      </c>
      <c r="E437" t="str">
        <f t="shared" si="15"/>
        <v>CUVE</v>
      </c>
      <c r="F437">
        <v>5</v>
      </c>
      <c r="G437" s="3">
        <v>42943</v>
      </c>
      <c r="H437">
        <v>4.4000000000000004</v>
      </c>
      <c r="I437">
        <v>4</v>
      </c>
      <c r="J437">
        <v>586</v>
      </c>
      <c r="K437">
        <v>463</v>
      </c>
      <c r="L437">
        <v>2.1</v>
      </c>
      <c r="M437">
        <v>2.44</v>
      </c>
      <c r="N437">
        <v>2.33</v>
      </c>
      <c r="Q437">
        <v>2</v>
      </c>
      <c r="R437">
        <v>4756</v>
      </c>
    </row>
    <row r="438" spans="1:18" x14ac:dyDescent="0.25">
      <c r="A438">
        <v>437</v>
      </c>
      <c r="B438" t="s">
        <v>1007</v>
      </c>
      <c r="E438" t="str">
        <f t="shared" si="15"/>
        <v>EUMY</v>
      </c>
      <c r="F438">
        <v>5</v>
      </c>
      <c r="G438" s="3">
        <v>42943</v>
      </c>
      <c r="H438">
        <v>6.7</v>
      </c>
      <c r="I438">
        <v>5.8</v>
      </c>
      <c r="J438">
        <v>657</v>
      </c>
      <c r="K438">
        <v>456</v>
      </c>
      <c r="L438">
        <v>3.28</v>
      </c>
      <c r="M438">
        <v>4.1399999999999997</v>
      </c>
      <c r="N438">
        <v>3.25</v>
      </c>
      <c r="Q438">
        <v>2</v>
      </c>
      <c r="R438">
        <v>4800</v>
      </c>
    </row>
    <row r="439" spans="1:18" x14ac:dyDescent="0.25">
      <c r="A439">
        <v>438</v>
      </c>
      <c r="B439" t="s">
        <v>1011</v>
      </c>
      <c r="E439" t="str">
        <f t="shared" si="15"/>
        <v>LUCA</v>
      </c>
      <c r="F439">
        <v>2</v>
      </c>
      <c r="G439" s="3">
        <v>42943</v>
      </c>
      <c r="H439">
        <v>4.9000000000000004</v>
      </c>
      <c r="I439">
        <v>4.5</v>
      </c>
      <c r="J439">
        <v>505</v>
      </c>
      <c r="K439">
        <v>270</v>
      </c>
      <c r="L439">
        <v>2.61</v>
      </c>
      <c r="M439">
        <v>2.15</v>
      </c>
      <c r="N439">
        <v>2.02</v>
      </c>
      <c r="Q439">
        <v>2</v>
      </c>
    </row>
    <row r="440" spans="1:18" x14ac:dyDescent="0.25">
      <c r="A440">
        <v>439</v>
      </c>
      <c r="B440" t="s">
        <v>1010</v>
      </c>
      <c r="E440" t="str">
        <f t="shared" si="15"/>
        <v>LUCA</v>
      </c>
      <c r="F440">
        <v>3</v>
      </c>
      <c r="G440" s="3">
        <v>42943</v>
      </c>
      <c r="H440">
        <v>3.8</v>
      </c>
      <c r="I440">
        <v>3.8</v>
      </c>
      <c r="J440">
        <v>1200</v>
      </c>
      <c r="K440">
        <v>700</v>
      </c>
      <c r="L440">
        <v>1.61</v>
      </c>
      <c r="M440">
        <v>2.25</v>
      </c>
      <c r="N440">
        <v>3.84</v>
      </c>
      <c r="Q440">
        <v>3</v>
      </c>
    </row>
    <row r="441" spans="1:18" x14ac:dyDescent="0.25">
      <c r="A441">
        <v>440</v>
      </c>
      <c r="B441" t="s">
        <v>1071</v>
      </c>
      <c r="E441" t="str">
        <f t="shared" si="15"/>
        <v>BALO</v>
      </c>
      <c r="F441">
        <v>3</v>
      </c>
      <c r="G441" s="3">
        <v>42951</v>
      </c>
      <c r="H441">
        <v>4.5</v>
      </c>
      <c r="I441">
        <v>5.0999999999999996</v>
      </c>
      <c r="J441">
        <v>493</v>
      </c>
      <c r="K441">
        <v>319</v>
      </c>
      <c r="L441">
        <v>3.86</v>
      </c>
      <c r="M441">
        <v>3.14</v>
      </c>
      <c r="N441">
        <v>2.77</v>
      </c>
      <c r="Q441">
        <v>4</v>
      </c>
    </row>
    <row r="442" spans="1:18" x14ac:dyDescent="0.25">
      <c r="A442">
        <v>441</v>
      </c>
      <c r="B442" t="s">
        <v>1074</v>
      </c>
      <c r="E442" t="str">
        <f t="shared" si="15"/>
        <v>BALO</v>
      </c>
      <c r="F442">
        <v>4</v>
      </c>
      <c r="G442" s="3">
        <v>42951</v>
      </c>
      <c r="H442">
        <v>4.5</v>
      </c>
      <c r="I442">
        <v>3.5</v>
      </c>
      <c r="J442">
        <v>400</v>
      </c>
      <c r="K442">
        <v>290</v>
      </c>
      <c r="L442">
        <v>4.4400000000000004</v>
      </c>
      <c r="M442">
        <v>3.43</v>
      </c>
      <c r="N442">
        <v>2.99</v>
      </c>
      <c r="Q442">
        <v>4</v>
      </c>
    </row>
    <row r="443" spans="1:18" x14ac:dyDescent="0.25">
      <c r="A443">
        <v>442</v>
      </c>
      <c r="B443" t="s">
        <v>1078</v>
      </c>
      <c r="E443" t="str">
        <f t="shared" ref="E443:E451" si="16">LEFT(B443,4)</f>
        <v>LUCA</v>
      </c>
      <c r="F443">
        <v>5</v>
      </c>
      <c r="G443" s="3">
        <v>42951</v>
      </c>
      <c r="H443">
        <v>13.7</v>
      </c>
      <c r="I443">
        <v>9.3000000000000007</v>
      </c>
      <c r="J443">
        <v>765</v>
      </c>
      <c r="K443">
        <v>400</v>
      </c>
      <c r="L443">
        <v>13.71</v>
      </c>
      <c r="M443">
        <v>13.25</v>
      </c>
      <c r="N443">
        <v>15.46</v>
      </c>
      <c r="Q443">
        <v>4</v>
      </c>
    </row>
    <row r="444" spans="1:18" x14ac:dyDescent="0.25">
      <c r="A444">
        <v>443</v>
      </c>
      <c r="B444" t="s">
        <v>1075</v>
      </c>
      <c r="E444" t="str">
        <f t="shared" si="16"/>
        <v>DAEL</v>
      </c>
      <c r="F444">
        <v>4</v>
      </c>
      <c r="G444" s="3">
        <v>42951</v>
      </c>
      <c r="H444">
        <v>1.94</v>
      </c>
      <c r="I444" t="s">
        <v>135</v>
      </c>
      <c r="J444">
        <v>85</v>
      </c>
      <c r="K444">
        <v>10</v>
      </c>
      <c r="L444">
        <v>3.94</v>
      </c>
      <c r="M444" t="s">
        <v>135</v>
      </c>
      <c r="N444" t="s">
        <v>135</v>
      </c>
      <c r="Q444">
        <v>3</v>
      </c>
    </row>
    <row r="445" spans="1:18" x14ac:dyDescent="0.25">
      <c r="A445">
        <v>444</v>
      </c>
      <c r="B445" t="s">
        <v>1076</v>
      </c>
      <c r="E445" t="str">
        <f t="shared" si="16"/>
        <v>DAEL</v>
      </c>
      <c r="F445">
        <v>5</v>
      </c>
      <c r="G445" s="3">
        <v>42951</v>
      </c>
      <c r="H445">
        <v>1.04</v>
      </c>
      <c r="I445" t="s">
        <v>135</v>
      </c>
      <c r="J445">
        <v>80</v>
      </c>
      <c r="K445">
        <v>15</v>
      </c>
      <c r="L445">
        <v>0.8</v>
      </c>
      <c r="M445" t="s">
        <v>135</v>
      </c>
      <c r="N445" t="s">
        <v>135</v>
      </c>
      <c r="Q445">
        <v>3</v>
      </c>
    </row>
    <row r="446" spans="1:18" x14ac:dyDescent="0.25">
      <c r="A446">
        <v>445</v>
      </c>
      <c r="B446" t="s">
        <v>1079</v>
      </c>
      <c r="E446" t="str">
        <f t="shared" si="16"/>
        <v>BALO</v>
      </c>
      <c r="F446">
        <v>5</v>
      </c>
      <c r="G446" s="3">
        <v>42951</v>
      </c>
      <c r="H446">
        <v>7</v>
      </c>
      <c r="I446">
        <v>6</v>
      </c>
      <c r="J446">
        <v>646</v>
      </c>
      <c r="K446">
        <v>275</v>
      </c>
      <c r="L446">
        <v>4.46</v>
      </c>
      <c r="M446">
        <v>5.89</v>
      </c>
      <c r="N446">
        <v>5.31</v>
      </c>
      <c r="Q446">
        <v>4</v>
      </c>
    </row>
    <row r="447" spans="1:18" x14ac:dyDescent="0.25">
      <c r="A447">
        <v>446</v>
      </c>
      <c r="B447" t="s">
        <v>1077</v>
      </c>
      <c r="E447" t="str">
        <f t="shared" si="16"/>
        <v>ANDI</v>
      </c>
      <c r="F447">
        <v>5</v>
      </c>
      <c r="G447" s="3">
        <v>42951</v>
      </c>
      <c r="H447" t="s">
        <v>1091</v>
      </c>
      <c r="I447" t="s">
        <v>1092</v>
      </c>
      <c r="J447">
        <v>180</v>
      </c>
      <c r="K447">
        <v>110</v>
      </c>
      <c r="L447">
        <v>1.45</v>
      </c>
      <c r="M447" t="s">
        <v>135</v>
      </c>
      <c r="N447" t="s">
        <v>135</v>
      </c>
      <c r="Q447">
        <v>4</v>
      </c>
    </row>
    <row r="448" spans="1:18" x14ac:dyDescent="0.25">
      <c r="A448">
        <v>447</v>
      </c>
      <c r="B448" t="s">
        <v>1072</v>
      </c>
      <c r="E448" t="str">
        <f t="shared" si="16"/>
        <v>LISA</v>
      </c>
      <c r="F448">
        <v>3</v>
      </c>
      <c r="G448" s="3">
        <v>42951</v>
      </c>
      <c r="H448">
        <v>0.75</v>
      </c>
      <c r="I448">
        <v>0.68</v>
      </c>
      <c r="J448">
        <v>220</v>
      </c>
      <c r="K448">
        <v>100</v>
      </c>
      <c r="L448">
        <v>0.42</v>
      </c>
      <c r="M448" t="s">
        <v>135</v>
      </c>
      <c r="N448" t="s">
        <v>135</v>
      </c>
      <c r="Q448">
        <v>3</v>
      </c>
    </row>
    <row r="449" spans="1:18" x14ac:dyDescent="0.25">
      <c r="A449">
        <v>448</v>
      </c>
      <c r="B449" t="s">
        <v>1080</v>
      </c>
      <c r="E449" t="str">
        <f t="shared" si="16"/>
        <v>LISA</v>
      </c>
      <c r="F449">
        <v>4</v>
      </c>
      <c r="G449" s="3">
        <v>42951</v>
      </c>
      <c r="H449">
        <v>1.2</v>
      </c>
      <c r="I449">
        <v>0.8</v>
      </c>
      <c r="J449">
        <v>240</v>
      </c>
      <c r="K449">
        <v>150</v>
      </c>
      <c r="L449">
        <v>0.34</v>
      </c>
      <c r="M449" t="s">
        <v>135</v>
      </c>
      <c r="N449" t="s">
        <v>135</v>
      </c>
      <c r="Q449">
        <v>4</v>
      </c>
    </row>
    <row r="450" spans="1:18" x14ac:dyDescent="0.25">
      <c r="A450">
        <v>449</v>
      </c>
      <c r="B450" t="s">
        <v>1081</v>
      </c>
      <c r="E450" t="str">
        <f t="shared" si="16"/>
        <v>LISA</v>
      </c>
      <c r="F450">
        <v>5</v>
      </c>
      <c r="G450" s="3">
        <v>42951</v>
      </c>
      <c r="H450">
        <v>1.96</v>
      </c>
      <c r="I450">
        <v>1.66</v>
      </c>
      <c r="J450">
        <v>385</v>
      </c>
      <c r="K450">
        <v>245</v>
      </c>
      <c r="L450">
        <v>0.5</v>
      </c>
      <c r="M450" t="s">
        <v>135</v>
      </c>
      <c r="N450" t="s">
        <v>135</v>
      </c>
      <c r="Q450">
        <v>4</v>
      </c>
    </row>
    <row r="451" spans="1:18" x14ac:dyDescent="0.25">
      <c r="A451">
        <v>450</v>
      </c>
      <c r="B451" t="s">
        <v>1070</v>
      </c>
      <c r="E451" t="str">
        <f t="shared" si="16"/>
        <v>MIAL</v>
      </c>
      <c r="F451">
        <v>5</v>
      </c>
      <c r="G451" s="3">
        <v>42951</v>
      </c>
      <c r="H451">
        <v>4.4000000000000004</v>
      </c>
      <c r="I451">
        <v>2.2999999999999998</v>
      </c>
      <c r="J451">
        <v>290</v>
      </c>
      <c r="K451">
        <v>110</v>
      </c>
      <c r="L451">
        <v>7.38</v>
      </c>
      <c r="M451" t="s">
        <v>135</v>
      </c>
      <c r="N451" t="s">
        <v>135</v>
      </c>
      <c r="Q451">
        <v>3</v>
      </c>
    </row>
    <row r="452" spans="1:18" x14ac:dyDescent="0.25">
      <c r="A452">
        <v>451</v>
      </c>
      <c r="B452" t="s">
        <v>102</v>
      </c>
      <c r="E452" t="s">
        <v>357</v>
      </c>
      <c r="F452">
        <v>2</v>
      </c>
      <c r="G452" s="3">
        <v>42952</v>
      </c>
      <c r="H452">
        <v>7.1</v>
      </c>
      <c r="I452">
        <v>6</v>
      </c>
      <c r="J452">
        <v>290</v>
      </c>
      <c r="K452">
        <v>200</v>
      </c>
      <c r="L452">
        <v>13.87</v>
      </c>
      <c r="M452">
        <v>13.99</v>
      </c>
      <c r="N452">
        <v>15.85</v>
      </c>
      <c r="Q452">
        <v>4</v>
      </c>
    </row>
    <row r="453" spans="1:18" x14ac:dyDescent="0.25">
      <c r="A453">
        <v>452</v>
      </c>
      <c r="B453" t="s">
        <v>1082</v>
      </c>
      <c r="E453" t="s">
        <v>1083</v>
      </c>
      <c r="F453">
        <v>1</v>
      </c>
      <c r="G453" s="3">
        <v>42952</v>
      </c>
      <c r="H453">
        <v>6.4</v>
      </c>
      <c r="I453">
        <v>4.5</v>
      </c>
      <c r="J453">
        <v>353</v>
      </c>
      <c r="K453">
        <v>145</v>
      </c>
      <c r="L453">
        <v>6.51</v>
      </c>
      <c r="M453">
        <v>7.43</v>
      </c>
      <c r="N453">
        <v>6.11</v>
      </c>
      <c r="Q453">
        <v>4</v>
      </c>
    </row>
    <row r="454" spans="1:18" x14ac:dyDescent="0.25">
      <c r="A454">
        <v>453</v>
      </c>
      <c r="B454" t="s">
        <v>1085</v>
      </c>
      <c r="E454" t="s">
        <v>1083</v>
      </c>
      <c r="F454">
        <v>2</v>
      </c>
      <c r="G454" s="3">
        <v>42952</v>
      </c>
      <c r="H454">
        <v>8.1</v>
      </c>
      <c r="I454">
        <v>7.3</v>
      </c>
      <c r="J454">
        <v>577</v>
      </c>
      <c r="K454">
        <v>327</v>
      </c>
      <c r="L454">
        <v>7.53</v>
      </c>
      <c r="M454">
        <v>8.76</v>
      </c>
      <c r="N454">
        <v>8.59</v>
      </c>
      <c r="Q454">
        <v>4</v>
      </c>
    </row>
    <row r="455" spans="1:18" x14ac:dyDescent="0.25">
      <c r="A455">
        <v>454</v>
      </c>
      <c r="B455" t="s">
        <v>1086</v>
      </c>
      <c r="E455" t="s">
        <v>1083</v>
      </c>
      <c r="F455">
        <v>3</v>
      </c>
      <c r="G455" s="3">
        <v>42952</v>
      </c>
      <c r="H455">
        <v>9.6999999999999993</v>
      </c>
      <c r="I455">
        <v>6.7</v>
      </c>
      <c r="J455">
        <v>564</v>
      </c>
      <c r="K455">
        <v>184</v>
      </c>
      <c r="L455">
        <v>11.34</v>
      </c>
      <c r="M455">
        <v>12</v>
      </c>
      <c r="N455">
        <v>10.16</v>
      </c>
      <c r="Q455">
        <v>3</v>
      </c>
    </row>
    <row r="456" spans="1:18" x14ac:dyDescent="0.25">
      <c r="A456">
        <v>455</v>
      </c>
      <c r="B456" t="s">
        <v>1087</v>
      </c>
      <c r="E456" t="s">
        <v>1083</v>
      </c>
      <c r="F456">
        <v>4</v>
      </c>
      <c r="G456" s="3">
        <v>42952</v>
      </c>
      <c r="H456">
        <v>2</v>
      </c>
      <c r="I456" t="s">
        <v>135</v>
      </c>
      <c r="J456">
        <v>127</v>
      </c>
      <c r="K456">
        <v>40</v>
      </c>
      <c r="L456">
        <v>2.52</v>
      </c>
      <c r="M456" t="s">
        <v>135</v>
      </c>
      <c r="N456" t="s">
        <v>135</v>
      </c>
      <c r="Q456">
        <v>4</v>
      </c>
    </row>
    <row r="457" spans="1:18" x14ac:dyDescent="0.25">
      <c r="A457">
        <v>456</v>
      </c>
      <c r="B457" t="s">
        <v>1088</v>
      </c>
      <c r="E457" t="s">
        <v>1083</v>
      </c>
      <c r="F457">
        <v>5</v>
      </c>
      <c r="G457" s="3">
        <v>42952</v>
      </c>
      <c r="H457">
        <v>11.7</v>
      </c>
      <c r="I457">
        <v>10.3</v>
      </c>
      <c r="J457">
        <v>725</v>
      </c>
      <c r="K457">
        <v>263</v>
      </c>
      <c r="L457">
        <v>11.71</v>
      </c>
      <c r="M457">
        <v>9.61</v>
      </c>
      <c r="N457">
        <v>12.77</v>
      </c>
      <c r="Q457">
        <v>4</v>
      </c>
    </row>
    <row r="458" spans="1:18" x14ac:dyDescent="0.25">
      <c r="A458">
        <v>457</v>
      </c>
      <c r="B458" t="s">
        <v>1090</v>
      </c>
      <c r="E458" t="s">
        <v>575</v>
      </c>
      <c r="F458">
        <v>4</v>
      </c>
      <c r="G458" s="3">
        <v>42952</v>
      </c>
      <c r="H458">
        <v>0.77</v>
      </c>
      <c r="I458">
        <v>0.26</v>
      </c>
      <c r="J458">
        <v>150</v>
      </c>
      <c r="K458">
        <v>10</v>
      </c>
      <c r="L458">
        <v>0.22</v>
      </c>
      <c r="M458" t="s">
        <v>135</v>
      </c>
      <c r="N458" t="s">
        <v>135</v>
      </c>
      <c r="Q458">
        <v>2</v>
      </c>
    </row>
    <row r="459" spans="1:18" x14ac:dyDescent="0.25">
      <c r="A459">
        <v>458</v>
      </c>
      <c r="B459" t="s">
        <v>1089</v>
      </c>
      <c r="E459" t="s">
        <v>575</v>
      </c>
      <c r="F459">
        <v>5</v>
      </c>
      <c r="G459" s="3">
        <v>42952</v>
      </c>
      <c r="H459">
        <v>0.37</v>
      </c>
      <c r="I459" t="s">
        <v>135</v>
      </c>
      <c r="J459">
        <v>50</v>
      </c>
      <c r="K459">
        <v>5</v>
      </c>
      <c r="L459">
        <v>0.15</v>
      </c>
      <c r="M459" t="s">
        <v>135</v>
      </c>
      <c r="N459" t="s">
        <v>135</v>
      </c>
      <c r="Q459">
        <v>2</v>
      </c>
    </row>
    <row r="460" spans="1:18" x14ac:dyDescent="0.25">
      <c r="A460">
        <v>459</v>
      </c>
      <c r="B460" t="s">
        <v>1058</v>
      </c>
      <c r="E460" t="s">
        <v>356</v>
      </c>
      <c r="F460">
        <v>4</v>
      </c>
      <c r="G460" s="3">
        <v>42950</v>
      </c>
      <c r="H460">
        <v>18</v>
      </c>
      <c r="I460">
        <v>15.6</v>
      </c>
      <c r="J460">
        <v>1400</v>
      </c>
      <c r="K460">
        <v>724</v>
      </c>
      <c r="L460">
        <v>4.78</v>
      </c>
      <c r="M460">
        <v>3.8</v>
      </c>
      <c r="N460">
        <v>4.0199999999999996</v>
      </c>
      <c r="Q460">
        <v>4</v>
      </c>
    </row>
    <row r="461" spans="1:18" x14ac:dyDescent="0.25">
      <c r="A461">
        <v>460</v>
      </c>
      <c r="B461" t="s">
        <v>1059</v>
      </c>
      <c r="E461" t="s">
        <v>809</v>
      </c>
      <c r="F461">
        <v>4</v>
      </c>
      <c r="G461" s="3">
        <v>42950</v>
      </c>
      <c r="H461">
        <v>15.4</v>
      </c>
      <c r="I461">
        <v>11.7</v>
      </c>
      <c r="J461">
        <v>1010</v>
      </c>
      <c r="K461">
        <v>700</v>
      </c>
      <c r="L461">
        <v>17.2</v>
      </c>
      <c r="M461">
        <v>20.45</v>
      </c>
      <c r="N461">
        <v>23.87</v>
      </c>
      <c r="Q461">
        <v>3</v>
      </c>
      <c r="R461">
        <v>1394</v>
      </c>
    </row>
    <row r="462" spans="1:18" x14ac:dyDescent="0.25">
      <c r="A462">
        <v>461</v>
      </c>
      <c r="B462" t="s">
        <v>1148</v>
      </c>
      <c r="D462" t="s">
        <v>1099</v>
      </c>
      <c r="E462" t="s">
        <v>809</v>
      </c>
      <c r="G462" s="3">
        <v>42950</v>
      </c>
      <c r="H462">
        <v>16.2</v>
      </c>
      <c r="I462">
        <v>18.399999999999999</v>
      </c>
      <c r="J462">
        <v>1300</v>
      </c>
      <c r="K462">
        <v>1000</v>
      </c>
      <c r="L462">
        <v>30.72</v>
      </c>
      <c r="M462">
        <v>29.88</v>
      </c>
      <c r="N462">
        <v>30.36</v>
      </c>
      <c r="Q462">
        <v>4</v>
      </c>
      <c r="R462">
        <v>1375</v>
      </c>
    </row>
    <row r="463" spans="1:18" x14ac:dyDescent="0.25">
      <c r="A463">
        <v>462</v>
      </c>
      <c r="B463" t="s">
        <v>1093</v>
      </c>
      <c r="D463" t="s">
        <v>1099</v>
      </c>
      <c r="E463" t="s">
        <v>488</v>
      </c>
      <c r="G463" s="3">
        <v>42950</v>
      </c>
      <c r="H463">
        <v>76</v>
      </c>
      <c r="I463" t="s">
        <v>1095</v>
      </c>
      <c r="J463">
        <v>1300</v>
      </c>
      <c r="K463">
        <v>340</v>
      </c>
      <c r="L463">
        <v>19.55</v>
      </c>
      <c r="M463">
        <v>10.82</v>
      </c>
      <c r="N463">
        <v>13.79</v>
      </c>
      <c r="Q463">
        <v>5</v>
      </c>
      <c r="R463">
        <v>1372</v>
      </c>
    </row>
    <row r="464" spans="1:18" x14ac:dyDescent="0.25">
      <c r="A464">
        <v>463</v>
      </c>
      <c r="B464" t="s">
        <v>1060</v>
      </c>
      <c r="E464" t="s">
        <v>874</v>
      </c>
      <c r="F464">
        <v>5</v>
      </c>
      <c r="G464" s="3">
        <v>42950</v>
      </c>
      <c r="H464" t="s">
        <v>1096</v>
      </c>
      <c r="I464" t="s">
        <v>1097</v>
      </c>
      <c r="J464">
        <v>580</v>
      </c>
      <c r="K464">
        <v>303</v>
      </c>
      <c r="L464">
        <v>2.2999999999999998</v>
      </c>
      <c r="M464">
        <v>2.42</v>
      </c>
      <c r="N464">
        <v>2.37</v>
      </c>
      <c r="Q464">
        <v>3</v>
      </c>
      <c r="R464">
        <v>1350</v>
      </c>
    </row>
    <row r="465" spans="1:18" x14ac:dyDescent="0.25">
      <c r="A465">
        <v>464</v>
      </c>
      <c r="B465" t="s">
        <v>1069</v>
      </c>
      <c r="E465" t="s">
        <v>800</v>
      </c>
      <c r="F465">
        <v>5</v>
      </c>
      <c r="G465" s="3">
        <v>42950</v>
      </c>
      <c r="H465">
        <v>30.5</v>
      </c>
      <c r="I465" t="s">
        <v>1098</v>
      </c>
      <c r="J465">
        <v>660</v>
      </c>
      <c r="K465">
        <v>302</v>
      </c>
      <c r="L465">
        <v>13.06</v>
      </c>
      <c r="M465">
        <v>15.23</v>
      </c>
      <c r="N465">
        <v>9.5299999999999994</v>
      </c>
      <c r="Q465">
        <v>3</v>
      </c>
      <c r="R465">
        <v>1356</v>
      </c>
    </row>
    <row r="466" spans="1:18" x14ac:dyDescent="0.25">
      <c r="A466">
        <v>465</v>
      </c>
      <c r="B466" t="s">
        <v>1057</v>
      </c>
      <c r="E466" t="s">
        <v>800</v>
      </c>
      <c r="F466">
        <v>4</v>
      </c>
      <c r="G466" s="3">
        <v>42950</v>
      </c>
      <c r="H466">
        <v>21</v>
      </c>
      <c r="I466">
        <v>15.2</v>
      </c>
      <c r="J466">
        <v>635</v>
      </c>
      <c r="K466">
        <v>435</v>
      </c>
      <c r="L466">
        <v>23.21</v>
      </c>
      <c r="M466">
        <v>15.74</v>
      </c>
      <c r="N466">
        <v>14.27</v>
      </c>
      <c r="Q466">
        <v>3</v>
      </c>
      <c r="R466">
        <v>2074</v>
      </c>
    </row>
    <row r="467" spans="1:18" x14ac:dyDescent="0.25">
      <c r="A467">
        <v>466</v>
      </c>
      <c r="B467" t="s">
        <v>1094</v>
      </c>
      <c r="D467" t="s">
        <v>1099</v>
      </c>
      <c r="E467" t="s">
        <v>858</v>
      </c>
      <c r="G467" s="3">
        <v>42950</v>
      </c>
      <c r="H467">
        <v>18.5</v>
      </c>
      <c r="I467">
        <v>17.2</v>
      </c>
      <c r="J467">
        <v>1500</v>
      </c>
      <c r="K467">
        <v>900</v>
      </c>
      <c r="L467">
        <v>4.08</v>
      </c>
      <c r="M467">
        <v>4.95</v>
      </c>
      <c r="N467">
        <v>4.88</v>
      </c>
      <c r="Q467">
        <v>5</v>
      </c>
      <c r="R467">
        <v>2077</v>
      </c>
    </row>
    <row r="468" spans="1:18" x14ac:dyDescent="0.25">
      <c r="A468">
        <v>467</v>
      </c>
      <c r="B468" t="s">
        <v>1065</v>
      </c>
      <c r="E468" t="s">
        <v>356</v>
      </c>
      <c r="F468">
        <v>5</v>
      </c>
      <c r="G468" s="3">
        <v>42950</v>
      </c>
      <c r="H468">
        <v>12</v>
      </c>
      <c r="I468">
        <v>10.1</v>
      </c>
      <c r="J468">
        <v>910</v>
      </c>
      <c r="K468">
        <v>415</v>
      </c>
      <c r="L468">
        <v>4.5</v>
      </c>
      <c r="M468">
        <v>4.33</v>
      </c>
      <c r="N468">
        <v>2.65</v>
      </c>
      <c r="Q468">
        <v>4</v>
      </c>
      <c r="R468">
        <v>2058</v>
      </c>
    </row>
    <row r="469" spans="1:18" x14ac:dyDescent="0.25">
      <c r="A469">
        <v>468</v>
      </c>
      <c r="B469" t="s">
        <v>1066</v>
      </c>
      <c r="E469" t="s">
        <v>858</v>
      </c>
      <c r="F469">
        <v>2</v>
      </c>
      <c r="G469" s="3">
        <v>42950</v>
      </c>
      <c r="H469">
        <v>5.5</v>
      </c>
      <c r="I469">
        <v>4.5999999999999996</v>
      </c>
      <c r="J469">
        <v>451</v>
      </c>
      <c r="K469">
        <v>278</v>
      </c>
      <c r="L469">
        <v>2.68</v>
      </c>
      <c r="M469">
        <v>4.0199999999999996</v>
      </c>
      <c r="N469">
        <v>4.08</v>
      </c>
      <c r="Q469">
        <v>3</v>
      </c>
    </row>
    <row r="470" spans="1:18" x14ac:dyDescent="0.25">
      <c r="A470">
        <v>469</v>
      </c>
      <c r="B470" t="s">
        <v>1061</v>
      </c>
      <c r="E470" t="s">
        <v>510</v>
      </c>
      <c r="F470">
        <v>5</v>
      </c>
      <c r="G470" s="3">
        <v>42950</v>
      </c>
      <c r="H470">
        <v>1.1000000000000001</v>
      </c>
      <c r="I470" t="s">
        <v>135</v>
      </c>
      <c r="J470">
        <v>65</v>
      </c>
      <c r="K470">
        <v>25</v>
      </c>
      <c r="L470">
        <v>0.8</v>
      </c>
      <c r="M470" t="s">
        <v>135</v>
      </c>
      <c r="N470" t="s">
        <v>135</v>
      </c>
      <c r="Q470">
        <v>4</v>
      </c>
    </row>
    <row r="471" spans="1:18" x14ac:dyDescent="0.25">
      <c r="A471">
        <v>470</v>
      </c>
      <c r="B471" t="s">
        <v>1056</v>
      </c>
      <c r="E471" t="s">
        <v>357</v>
      </c>
      <c r="F471">
        <v>6</v>
      </c>
      <c r="G471" s="3">
        <v>42950</v>
      </c>
      <c r="H471">
        <v>7</v>
      </c>
      <c r="I471">
        <v>6.7</v>
      </c>
      <c r="J471">
        <v>477</v>
      </c>
      <c r="K471">
        <v>327</v>
      </c>
      <c r="L471">
        <v>7.52</v>
      </c>
      <c r="M471">
        <v>6.77</v>
      </c>
      <c r="N471">
        <v>7.6</v>
      </c>
      <c r="Q471">
        <v>4</v>
      </c>
    </row>
    <row r="472" spans="1:18" x14ac:dyDescent="0.25">
      <c r="A472">
        <v>471</v>
      </c>
      <c r="B472" t="s">
        <v>1062</v>
      </c>
      <c r="E472" t="s">
        <v>809</v>
      </c>
      <c r="F472">
        <v>5</v>
      </c>
      <c r="G472" s="3">
        <v>42950</v>
      </c>
      <c r="H472">
        <v>13.5</v>
      </c>
      <c r="I472">
        <v>8.9</v>
      </c>
      <c r="J472">
        <v>615</v>
      </c>
      <c r="K472">
        <v>372</v>
      </c>
      <c r="L472">
        <v>13.98</v>
      </c>
      <c r="M472">
        <v>9.5399999999999991</v>
      </c>
      <c r="N472">
        <v>9.3699999999999992</v>
      </c>
      <c r="Q472">
        <v>4</v>
      </c>
    </row>
    <row r="473" spans="1:18" x14ac:dyDescent="0.25">
      <c r="A473">
        <v>472</v>
      </c>
      <c r="B473" t="s">
        <v>1067</v>
      </c>
      <c r="E473" t="s">
        <v>385</v>
      </c>
      <c r="F473">
        <v>5</v>
      </c>
      <c r="G473" s="3">
        <v>42950</v>
      </c>
      <c r="H473">
        <v>1.26</v>
      </c>
      <c r="I473">
        <v>0.69</v>
      </c>
      <c r="J473">
        <v>190</v>
      </c>
      <c r="K473">
        <v>20</v>
      </c>
      <c r="L473">
        <v>2.06</v>
      </c>
      <c r="M473" t="s">
        <v>135</v>
      </c>
      <c r="N473" t="s">
        <v>135</v>
      </c>
      <c r="Q473">
        <v>4</v>
      </c>
    </row>
    <row r="474" spans="1:18" x14ac:dyDescent="0.25">
      <c r="A474">
        <v>473</v>
      </c>
      <c r="B474" t="s">
        <v>1068</v>
      </c>
      <c r="E474" t="s">
        <v>735</v>
      </c>
      <c r="F474">
        <v>2</v>
      </c>
      <c r="G474" s="3">
        <v>42950</v>
      </c>
      <c r="H474">
        <v>0.75</v>
      </c>
      <c r="I474" t="s">
        <v>135</v>
      </c>
      <c r="J474">
        <v>120</v>
      </c>
      <c r="K474">
        <v>5</v>
      </c>
      <c r="L474">
        <v>0.46</v>
      </c>
      <c r="M474" t="s">
        <v>135</v>
      </c>
      <c r="N474" t="s">
        <v>135</v>
      </c>
      <c r="Q474">
        <v>3</v>
      </c>
    </row>
    <row r="475" spans="1:18" x14ac:dyDescent="0.25">
      <c r="A475">
        <v>474</v>
      </c>
      <c r="B475" t="s">
        <v>1063</v>
      </c>
      <c r="E475" t="s">
        <v>735</v>
      </c>
      <c r="F475">
        <v>3</v>
      </c>
      <c r="G475" s="3">
        <v>42950</v>
      </c>
      <c r="H475">
        <v>0.74</v>
      </c>
      <c r="I475" t="s">
        <v>135</v>
      </c>
      <c r="J475">
        <v>110</v>
      </c>
      <c r="K475">
        <v>5</v>
      </c>
      <c r="L475">
        <v>0.53</v>
      </c>
      <c r="M475" t="s">
        <v>135</v>
      </c>
      <c r="N475" t="s">
        <v>135</v>
      </c>
      <c r="Q475">
        <v>3</v>
      </c>
    </row>
    <row r="476" spans="1:18" x14ac:dyDescent="0.25">
      <c r="A476">
        <v>475</v>
      </c>
      <c r="B476" t="s">
        <v>1108</v>
      </c>
      <c r="E476" t="s">
        <v>426</v>
      </c>
      <c r="F476">
        <v>4</v>
      </c>
      <c r="G476" s="3">
        <v>42954</v>
      </c>
      <c r="H476">
        <v>14.8</v>
      </c>
      <c r="I476">
        <v>12.2</v>
      </c>
      <c r="J476">
        <v>1200</v>
      </c>
      <c r="K476">
        <v>565</v>
      </c>
      <c r="L476">
        <v>4.07</v>
      </c>
      <c r="M476">
        <v>3.62</v>
      </c>
      <c r="N476">
        <v>3.22</v>
      </c>
      <c r="Q476">
        <v>4</v>
      </c>
    </row>
    <row r="477" spans="1:18" x14ac:dyDescent="0.25">
      <c r="A477">
        <v>476</v>
      </c>
      <c r="B477" t="s">
        <v>1109</v>
      </c>
      <c r="E477" t="s">
        <v>426</v>
      </c>
      <c r="F477">
        <v>5</v>
      </c>
      <c r="G477" s="3">
        <v>42954</v>
      </c>
      <c r="H477">
        <v>14.4</v>
      </c>
      <c r="I477">
        <v>13.2</v>
      </c>
      <c r="J477">
        <v>1100</v>
      </c>
      <c r="K477">
        <v>545</v>
      </c>
      <c r="L477">
        <v>4.55</v>
      </c>
      <c r="M477">
        <v>5.14</v>
      </c>
      <c r="N477">
        <v>4.91</v>
      </c>
      <c r="Q477">
        <v>3</v>
      </c>
    </row>
    <row r="478" spans="1:18" x14ac:dyDescent="0.25">
      <c r="A478">
        <v>477</v>
      </c>
      <c r="B478" t="s">
        <v>1110</v>
      </c>
      <c r="D478" t="s">
        <v>1099</v>
      </c>
      <c r="E478" t="s">
        <v>389</v>
      </c>
      <c r="G478" s="3">
        <v>42954</v>
      </c>
      <c r="H478">
        <v>26.3</v>
      </c>
      <c r="I478">
        <v>25.7</v>
      </c>
      <c r="J478" t="s">
        <v>135</v>
      </c>
      <c r="K478" t="s">
        <v>135</v>
      </c>
      <c r="L478">
        <v>13.48</v>
      </c>
      <c r="M478">
        <v>15.32</v>
      </c>
      <c r="N478">
        <v>20.66</v>
      </c>
      <c r="Q478" t="s">
        <v>135</v>
      </c>
      <c r="R478">
        <v>4183</v>
      </c>
    </row>
    <row r="479" spans="1:18" x14ac:dyDescent="0.25">
      <c r="A479">
        <v>478</v>
      </c>
      <c r="B479" t="s">
        <v>1111</v>
      </c>
      <c r="D479" t="s">
        <v>1099</v>
      </c>
      <c r="E479" t="s">
        <v>521</v>
      </c>
      <c r="G479" s="3">
        <v>42954</v>
      </c>
      <c r="H479">
        <v>25.7</v>
      </c>
      <c r="I479">
        <v>16</v>
      </c>
      <c r="J479" t="s">
        <v>135</v>
      </c>
      <c r="K479" t="s">
        <v>135</v>
      </c>
      <c r="L479">
        <v>11.63</v>
      </c>
      <c r="M479">
        <v>14.14</v>
      </c>
      <c r="N479">
        <v>9.07</v>
      </c>
      <c r="Q479" t="s">
        <v>135</v>
      </c>
      <c r="R479">
        <v>4141</v>
      </c>
    </row>
    <row r="480" spans="1:18" x14ac:dyDescent="0.25">
      <c r="A480">
        <v>479</v>
      </c>
      <c r="B480" t="s">
        <v>1112</v>
      </c>
      <c r="D480" t="s">
        <v>1099</v>
      </c>
      <c r="E480" t="s">
        <v>416</v>
      </c>
      <c r="G480" s="3">
        <v>42954</v>
      </c>
      <c r="H480">
        <v>15.5</v>
      </c>
      <c r="I480" t="s">
        <v>135</v>
      </c>
      <c r="J480" t="s">
        <v>135</v>
      </c>
      <c r="K480" t="s">
        <v>135</v>
      </c>
      <c r="L480">
        <v>4.4400000000000004</v>
      </c>
      <c r="M480">
        <v>5.77</v>
      </c>
      <c r="N480">
        <v>6.4</v>
      </c>
      <c r="Q480" t="s">
        <v>135</v>
      </c>
      <c r="R480">
        <v>4188</v>
      </c>
    </row>
    <row r="481" spans="1:18" x14ac:dyDescent="0.25">
      <c r="A481">
        <v>480</v>
      </c>
      <c r="B481" t="s">
        <v>1113</v>
      </c>
      <c r="D481" t="s">
        <v>1099</v>
      </c>
      <c r="E481" t="s">
        <v>909</v>
      </c>
      <c r="G481" s="3">
        <v>42954</v>
      </c>
      <c r="H481">
        <v>26</v>
      </c>
      <c r="I481" t="s">
        <v>135</v>
      </c>
      <c r="J481" t="s">
        <v>135</v>
      </c>
      <c r="K481" t="s">
        <v>135</v>
      </c>
      <c r="L481">
        <v>54.25</v>
      </c>
      <c r="M481">
        <v>56</v>
      </c>
      <c r="N481">
        <v>46.91</v>
      </c>
      <c r="Q481" t="s">
        <v>135</v>
      </c>
      <c r="R481">
        <v>4174</v>
      </c>
    </row>
    <row r="482" spans="1:18" x14ac:dyDescent="0.25">
      <c r="A482">
        <v>481</v>
      </c>
      <c r="B482" t="s">
        <v>1114</v>
      </c>
      <c r="D482" t="s">
        <v>1099</v>
      </c>
      <c r="E482" t="s">
        <v>389</v>
      </c>
      <c r="G482" s="3">
        <v>42954</v>
      </c>
      <c r="H482">
        <v>37</v>
      </c>
      <c r="I482" t="s">
        <v>135</v>
      </c>
      <c r="J482" t="s">
        <v>135</v>
      </c>
      <c r="K482" t="s">
        <v>135</v>
      </c>
      <c r="L482">
        <v>21.13</v>
      </c>
      <c r="M482">
        <v>29.57</v>
      </c>
      <c r="N482">
        <v>29.29</v>
      </c>
      <c r="Q482" t="s">
        <v>135</v>
      </c>
      <c r="R482">
        <v>4263</v>
      </c>
    </row>
    <row r="483" spans="1:18" x14ac:dyDescent="0.25">
      <c r="A483">
        <v>482</v>
      </c>
      <c r="B483" t="s">
        <v>1115</v>
      </c>
      <c r="D483" t="s">
        <v>1099</v>
      </c>
      <c r="E483" t="s">
        <v>389</v>
      </c>
      <c r="G483" s="3">
        <v>42954</v>
      </c>
      <c r="H483">
        <v>29</v>
      </c>
      <c r="I483" t="s">
        <v>135</v>
      </c>
      <c r="J483" t="s">
        <v>135</v>
      </c>
      <c r="K483" t="s">
        <v>135</v>
      </c>
      <c r="L483">
        <v>21.22</v>
      </c>
      <c r="M483">
        <v>14.6</v>
      </c>
      <c r="N483">
        <v>16.760000000000002</v>
      </c>
      <c r="Q483" t="s">
        <v>135</v>
      </c>
      <c r="R483">
        <v>4269</v>
      </c>
    </row>
    <row r="484" spans="1:18" x14ac:dyDescent="0.25">
      <c r="A484">
        <v>483</v>
      </c>
      <c r="B484" t="s">
        <v>1116</v>
      </c>
      <c r="D484" t="s">
        <v>1099</v>
      </c>
      <c r="E484" t="s">
        <v>521</v>
      </c>
      <c r="G484" s="3">
        <v>42954</v>
      </c>
      <c r="H484">
        <v>10.8</v>
      </c>
      <c r="I484" t="s">
        <v>135</v>
      </c>
      <c r="J484" t="s">
        <v>135</v>
      </c>
      <c r="K484" t="s">
        <v>135</v>
      </c>
      <c r="L484">
        <v>6.65</v>
      </c>
      <c r="M484">
        <v>10.01</v>
      </c>
      <c r="N484">
        <v>7.73</v>
      </c>
      <c r="Q484" t="s">
        <v>135</v>
      </c>
      <c r="R484">
        <v>4143</v>
      </c>
    </row>
    <row r="485" spans="1:18" x14ac:dyDescent="0.25">
      <c r="A485">
        <v>484</v>
      </c>
      <c r="B485" t="s">
        <v>1117</v>
      </c>
      <c r="D485" t="s">
        <v>1099</v>
      </c>
      <c r="E485" t="s">
        <v>389</v>
      </c>
      <c r="G485" s="3">
        <v>42954</v>
      </c>
      <c r="H485">
        <v>20</v>
      </c>
      <c r="I485" t="s">
        <v>135</v>
      </c>
      <c r="J485" t="s">
        <v>135</v>
      </c>
      <c r="K485" t="s">
        <v>135</v>
      </c>
      <c r="L485">
        <v>10.11</v>
      </c>
      <c r="M485">
        <v>9.25</v>
      </c>
      <c r="N485">
        <v>6.25</v>
      </c>
      <c r="Q485" t="s">
        <v>135</v>
      </c>
      <c r="R485">
        <v>4413</v>
      </c>
    </row>
    <row r="486" spans="1:18" x14ac:dyDescent="0.25">
      <c r="A486">
        <v>485</v>
      </c>
      <c r="B486" t="s">
        <v>1118</v>
      </c>
      <c r="D486" t="s">
        <v>1099</v>
      </c>
      <c r="E486" t="s">
        <v>1083</v>
      </c>
      <c r="G486" s="3">
        <v>42954</v>
      </c>
      <c r="H486">
        <v>28</v>
      </c>
      <c r="I486" t="s">
        <v>135</v>
      </c>
      <c r="J486" t="s">
        <v>135</v>
      </c>
      <c r="K486" t="s">
        <v>135</v>
      </c>
      <c r="L486">
        <v>19.13</v>
      </c>
      <c r="M486">
        <v>14.87</v>
      </c>
      <c r="N486">
        <v>17.59</v>
      </c>
      <c r="Q486" t="s">
        <v>135</v>
      </c>
    </row>
    <row r="487" spans="1:18" x14ac:dyDescent="0.25">
      <c r="A487">
        <v>486</v>
      </c>
      <c r="B487" t="s">
        <v>1119</v>
      </c>
      <c r="D487" t="s">
        <v>1099</v>
      </c>
      <c r="E487" t="s">
        <v>416</v>
      </c>
      <c r="G487" s="3">
        <v>42954</v>
      </c>
      <c r="H487">
        <v>9</v>
      </c>
      <c r="I487" t="s">
        <v>135</v>
      </c>
      <c r="J487" t="s">
        <v>135</v>
      </c>
      <c r="K487" t="s">
        <v>135</v>
      </c>
      <c r="L487">
        <v>4.93</v>
      </c>
      <c r="M487">
        <v>4.51</v>
      </c>
      <c r="N487">
        <v>3.35</v>
      </c>
      <c r="Q487" t="s">
        <v>135</v>
      </c>
    </row>
    <row r="488" spans="1:18" x14ac:dyDescent="0.25">
      <c r="A488">
        <v>487</v>
      </c>
      <c r="B488" t="s">
        <v>1120</v>
      </c>
      <c r="D488" t="s">
        <v>1099</v>
      </c>
      <c r="E488" t="s">
        <v>1083</v>
      </c>
      <c r="G488" s="3">
        <v>42954</v>
      </c>
      <c r="H488">
        <v>29</v>
      </c>
      <c r="I488" t="s">
        <v>135</v>
      </c>
      <c r="J488" t="s">
        <v>135</v>
      </c>
      <c r="K488" t="s">
        <v>135</v>
      </c>
      <c r="L488">
        <v>18.329999999999998</v>
      </c>
      <c r="M488">
        <v>22.34</v>
      </c>
      <c r="N488">
        <v>17.43</v>
      </c>
      <c r="Q488" t="s">
        <v>135</v>
      </c>
    </row>
    <row r="489" spans="1:18" x14ac:dyDescent="0.25">
      <c r="A489">
        <v>488</v>
      </c>
      <c r="B489" t="s">
        <v>1121</v>
      </c>
      <c r="D489" t="s">
        <v>1099</v>
      </c>
      <c r="E489" t="s">
        <v>377</v>
      </c>
      <c r="G489" s="3">
        <v>42956</v>
      </c>
      <c r="H489">
        <v>27.1</v>
      </c>
      <c r="I489" t="s">
        <v>1137</v>
      </c>
      <c r="J489">
        <v>750</v>
      </c>
      <c r="K489">
        <v>110</v>
      </c>
      <c r="L489">
        <v>15.62</v>
      </c>
      <c r="M489">
        <v>12.39</v>
      </c>
      <c r="N489">
        <v>13.36</v>
      </c>
      <c r="Q489">
        <v>5</v>
      </c>
      <c r="R489" t="s">
        <v>1140</v>
      </c>
    </row>
    <row r="490" spans="1:18" x14ac:dyDescent="0.25">
      <c r="A490">
        <v>489</v>
      </c>
      <c r="B490" t="s">
        <v>1122</v>
      </c>
      <c r="D490" t="s">
        <v>1099</v>
      </c>
      <c r="E490" t="s">
        <v>332</v>
      </c>
      <c r="G490" s="3">
        <v>42956</v>
      </c>
      <c r="H490">
        <v>23.7</v>
      </c>
      <c r="I490">
        <v>24</v>
      </c>
      <c r="J490">
        <v>647</v>
      </c>
      <c r="K490">
        <v>253</v>
      </c>
      <c r="L490">
        <v>28.75</v>
      </c>
      <c r="M490">
        <v>20.079999999999998</v>
      </c>
      <c r="N490">
        <v>24.45</v>
      </c>
      <c r="Q490">
        <v>5</v>
      </c>
      <c r="R490" t="s">
        <v>1140</v>
      </c>
    </row>
    <row r="491" spans="1:18" x14ac:dyDescent="0.25">
      <c r="A491">
        <v>490</v>
      </c>
      <c r="B491" t="s">
        <v>1123</v>
      </c>
      <c r="D491" t="s">
        <v>1099</v>
      </c>
      <c r="E491" t="s">
        <v>332</v>
      </c>
      <c r="G491" s="3">
        <v>42956</v>
      </c>
      <c r="H491">
        <v>25.5</v>
      </c>
      <c r="I491">
        <v>25</v>
      </c>
      <c r="J491">
        <v>478</v>
      </c>
      <c r="K491">
        <v>45</v>
      </c>
      <c r="L491">
        <v>26.71</v>
      </c>
      <c r="M491">
        <v>38.5</v>
      </c>
      <c r="N491">
        <v>36.75</v>
      </c>
      <c r="Q491">
        <v>5</v>
      </c>
      <c r="R491" t="s">
        <v>1140</v>
      </c>
    </row>
    <row r="492" spans="1:18" x14ac:dyDescent="0.25">
      <c r="A492">
        <v>491</v>
      </c>
      <c r="B492" t="s">
        <v>1124</v>
      </c>
      <c r="D492" t="s">
        <v>1099</v>
      </c>
      <c r="E492" t="s">
        <v>340</v>
      </c>
      <c r="G492" s="3">
        <v>42956</v>
      </c>
      <c r="H492">
        <v>20.3</v>
      </c>
      <c r="I492">
        <v>19.7</v>
      </c>
      <c r="J492">
        <v>563</v>
      </c>
      <c r="K492">
        <v>210</v>
      </c>
      <c r="L492">
        <v>23.79</v>
      </c>
      <c r="M492">
        <v>22.62</v>
      </c>
      <c r="N492">
        <v>21.24</v>
      </c>
      <c r="Q492">
        <v>5</v>
      </c>
      <c r="R492" t="s">
        <v>1141</v>
      </c>
    </row>
    <row r="493" spans="1:18" x14ac:dyDescent="0.25">
      <c r="A493">
        <v>492</v>
      </c>
      <c r="B493" t="s">
        <v>1125</v>
      </c>
      <c r="D493" t="s">
        <v>1099</v>
      </c>
      <c r="E493" t="s">
        <v>352</v>
      </c>
      <c r="G493" s="3">
        <v>42956</v>
      </c>
      <c r="H493">
        <v>30.5</v>
      </c>
      <c r="I493">
        <v>27.9</v>
      </c>
      <c r="J493">
        <v>781</v>
      </c>
      <c r="K493">
        <v>343</v>
      </c>
      <c r="L493">
        <v>16.5</v>
      </c>
      <c r="M493">
        <v>16.600000000000001</v>
      </c>
      <c r="N493">
        <v>15.06</v>
      </c>
      <c r="Q493">
        <v>5</v>
      </c>
      <c r="R493" t="s">
        <v>1141</v>
      </c>
    </row>
    <row r="494" spans="1:18" x14ac:dyDescent="0.25">
      <c r="A494">
        <v>493</v>
      </c>
      <c r="B494" t="s">
        <v>1126</v>
      </c>
      <c r="D494" t="s">
        <v>1099</v>
      </c>
      <c r="E494" t="s">
        <v>352</v>
      </c>
      <c r="G494" s="3">
        <v>42956</v>
      </c>
      <c r="H494">
        <v>33.5</v>
      </c>
      <c r="I494">
        <v>27.2</v>
      </c>
      <c r="J494">
        <v>1060</v>
      </c>
      <c r="K494">
        <v>510</v>
      </c>
      <c r="L494">
        <v>13.14</v>
      </c>
      <c r="M494">
        <v>16.170000000000002</v>
      </c>
      <c r="N494">
        <v>15.05</v>
      </c>
      <c r="Q494">
        <v>5</v>
      </c>
      <c r="R494" t="s">
        <v>1140</v>
      </c>
    </row>
    <row r="495" spans="1:18" x14ac:dyDescent="0.25">
      <c r="A495">
        <v>494</v>
      </c>
      <c r="B495" t="s">
        <v>1127</v>
      </c>
      <c r="D495" t="s">
        <v>1099</v>
      </c>
      <c r="E495" t="s">
        <v>352</v>
      </c>
      <c r="G495" s="3">
        <v>42956</v>
      </c>
      <c r="H495">
        <v>52</v>
      </c>
      <c r="I495">
        <v>31</v>
      </c>
      <c r="J495">
        <v>900</v>
      </c>
      <c r="K495">
        <v>420</v>
      </c>
      <c r="L495">
        <v>19.16</v>
      </c>
      <c r="M495">
        <v>20.440000000000001</v>
      </c>
      <c r="N495">
        <v>14.15</v>
      </c>
      <c r="Q495">
        <v>5</v>
      </c>
      <c r="R495" t="s">
        <v>1141</v>
      </c>
    </row>
    <row r="496" spans="1:18" x14ac:dyDescent="0.25">
      <c r="A496">
        <v>495</v>
      </c>
      <c r="B496" t="s">
        <v>1128</v>
      </c>
      <c r="D496" t="s">
        <v>1099</v>
      </c>
      <c r="E496" t="s">
        <v>331</v>
      </c>
      <c r="G496" s="3">
        <v>42956</v>
      </c>
      <c r="H496">
        <v>30</v>
      </c>
      <c r="I496" t="s">
        <v>1138</v>
      </c>
      <c r="J496">
        <v>870</v>
      </c>
      <c r="K496">
        <v>253</v>
      </c>
      <c r="L496">
        <v>7.23</v>
      </c>
      <c r="M496">
        <v>5.79</v>
      </c>
      <c r="N496">
        <v>5.4</v>
      </c>
      <c r="Q496">
        <v>4</v>
      </c>
      <c r="R496" t="s">
        <v>1141</v>
      </c>
    </row>
    <row r="497" spans="1:18" x14ac:dyDescent="0.25">
      <c r="A497">
        <v>496</v>
      </c>
      <c r="B497" t="s">
        <v>1129</v>
      </c>
      <c r="D497" t="s">
        <v>1099</v>
      </c>
      <c r="E497" t="s">
        <v>344</v>
      </c>
      <c r="G497" s="3">
        <v>42956</v>
      </c>
      <c r="H497">
        <v>35.5</v>
      </c>
      <c r="I497">
        <v>29.7</v>
      </c>
      <c r="J497">
        <v>820</v>
      </c>
      <c r="K497">
        <v>456</v>
      </c>
      <c r="L497">
        <v>22.41</v>
      </c>
      <c r="M497">
        <v>20.47</v>
      </c>
      <c r="N497">
        <v>22.56</v>
      </c>
      <c r="Q497">
        <v>5</v>
      </c>
      <c r="R497" t="s">
        <v>1140</v>
      </c>
    </row>
    <row r="498" spans="1:18" x14ac:dyDescent="0.25">
      <c r="A498">
        <v>497</v>
      </c>
      <c r="B498" t="s">
        <v>1130</v>
      </c>
      <c r="D498" t="s">
        <v>1099</v>
      </c>
      <c r="E498" t="s">
        <v>346</v>
      </c>
      <c r="G498" s="3">
        <v>42956</v>
      </c>
      <c r="H498">
        <v>40.9</v>
      </c>
      <c r="I498">
        <v>37.9</v>
      </c>
      <c r="J498">
        <v>1200</v>
      </c>
      <c r="K498">
        <v>582</v>
      </c>
      <c r="L498">
        <v>42.09</v>
      </c>
      <c r="M498">
        <v>33.72</v>
      </c>
      <c r="N498">
        <v>44.21</v>
      </c>
      <c r="Q498">
        <v>4</v>
      </c>
      <c r="R498" t="s">
        <v>1141</v>
      </c>
    </row>
    <row r="499" spans="1:18" x14ac:dyDescent="0.25">
      <c r="A499">
        <v>498</v>
      </c>
      <c r="B499" t="s">
        <v>1131</v>
      </c>
      <c r="D499" t="s">
        <v>1099</v>
      </c>
      <c r="E499" t="s">
        <v>331</v>
      </c>
      <c r="G499" s="3">
        <v>42956</v>
      </c>
      <c r="H499">
        <v>23.1</v>
      </c>
      <c r="I499" t="s">
        <v>1139</v>
      </c>
      <c r="J499">
        <v>910</v>
      </c>
      <c r="K499">
        <v>632</v>
      </c>
      <c r="L499">
        <v>7.55</v>
      </c>
      <c r="M499">
        <v>7.64</v>
      </c>
      <c r="N499">
        <v>6.76</v>
      </c>
      <c r="Q499">
        <v>4</v>
      </c>
      <c r="R499" t="s">
        <v>1140</v>
      </c>
    </row>
    <row r="500" spans="1:18" x14ac:dyDescent="0.25">
      <c r="A500">
        <v>499</v>
      </c>
      <c r="B500" t="s">
        <v>1136</v>
      </c>
      <c r="D500" t="s">
        <v>1099</v>
      </c>
      <c r="E500" t="s">
        <v>331</v>
      </c>
      <c r="G500" s="3">
        <v>42956</v>
      </c>
      <c r="H500">
        <v>28.5</v>
      </c>
      <c r="I500">
        <v>27.9</v>
      </c>
      <c r="J500">
        <v>880</v>
      </c>
      <c r="K500">
        <v>245</v>
      </c>
      <c r="L500">
        <v>7.23</v>
      </c>
      <c r="M500">
        <v>8.23</v>
      </c>
      <c r="N500">
        <v>6.79</v>
      </c>
      <c r="Q500">
        <v>4</v>
      </c>
      <c r="R500" t="s">
        <v>1140</v>
      </c>
    </row>
    <row r="501" spans="1:18" x14ac:dyDescent="0.25">
      <c r="A501">
        <v>500</v>
      </c>
      <c r="B501" t="s">
        <v>1132</v>
      </c>
      <c r="D501" t="s">
        <v>1099</v>
      </c>
      <c r="E501" t="s">
        <v>346</v>
      </c>
      <c r="G501" s="3">
        <v>42956</v>
      </c>
      <c r="H501">
        <v>42.2</v>
      </c>
      <c r="I501">
        <v>36.1</v>
      </c>
      <c r="J501">
        <v>1100</v>
      </c>
      <c r="K501">
        <v>373</v>
      </c>
      <c r="L501">
        <v>56.88</v>
      </c>
      <c r="M501">
        <v>44.03</v>
      </c>
      <c r="N501">
        <v>46.6</v>
      </c>
      <c r="Q501">
        <v>5</v>
      </c>
      <c r="R501" t="s">
        <v>1141</v>
      </c>
    </row>
    <row r="502" spans="1:18" x14ac:dyDescent="0.25">
      <c r="A502">
        <v>501</v>
      </c>
      <c r="B502" t="s">
        <v>1133</v>
      </c>
      <c r="D502" t="s">
        <v>1099</v>
      </c>
      <c r="E502" t="s">
        <v>344</v>
      </c>
      <c r="G502" s="3">
        <v>42956</v>
      </c>
      <c r="H502">
        <v>45.5</v>
      </c>
      <c r="I502">
        <v>47.5</v>
      </c>
      <c r="J502">
        <v>1050</v>
      </c>
      <c r="K502">
        <v>309</v>
      </c>
      <c r="L502">
        <v>21.09</v>
      </c>
      <c r="M502">
        <v>29.08</v>
      </c>
      <c r="N502">
        <v>30.06</v>
      </c>
      <c r="Q502">
        <v>4</v>
      </c>
      <c r="R502" t="s">
        <v>1141</v>
      </c>
    </row>
    <row r="503" spans="1:18" x14ac:dyDescent="0.25">
      <c r="A503">
        <v>502</v>
      </c>
      <c r="B503" t="s">
        <v>1134</v>
      </c>
      <c r="D503" t="s">
        <v>1099</v>
      </c>
      <c r="E503" t="s">
        <v>874</v>
      </c>
      <c r="G503" s="3">
        <v>42956</v>
      </c>
      <c r="H503">
        <v>12</v>
      </c>
      <c r="I503">
        <v>12.3</v>
      </c>
      <c r="J503">
        <v>555</v>
      </c>
      <c r="K503">
        <v>245</v>
      </c>
      <c r="L503">
        <v>4.7</v>
      </c>
      <c r="M503">
        <v>4.2</v>
      </c>
      <c r="N503">
        <v>4.68</v>
      </c>
      <c r="Q503">
        <v>3</v>
      </c>
      <c r="R503" t="s">
        <v>1141</v>
      </c>
    </row>
    <row r="504" spans="1:18" x14ac:dyDescent="0.25">
      <c r="A504">
        <v>503</v>
      </c>
      <c r="B504" t="s">
        <v>1135</v>
      </c>
      <c r="D504" t="s">
        <v>1099</v>
      </c>
      <c r="E504" t="s">
        <v>376</v>
      </c>
      <c r="G504" s="3">
        <v>42956</v>
      </c>
      <c r="H504">
        <v>31.9</v>
      </c>
      <c r="I504">
        <v>28.4</v>
      </c>
      <c r="J504">
        <v>1050</v>
      </c>
      <c r="K504">
        <v>540</v>
      </c>
      <c r="L504">
        <v>8.1999999999999993</v>
      </c>
      <c r="M504">
        <v>8.68</v>
      </c>
      <c r="N504">
        <v>7.5</v>
      </c>
      <c r="Q504">
        <v>5</v>
      </c>
      <c r="R504" t="s">
        <v>1141</v>
      </c>
    </row>
    <row r="505" spans="1:18" x14ac:dyDescent="0.25">
      <c r="A505">
        <v>504</v>
      </c>
      <c r="B505" t="s">
        <v>1142</v>
      </c>
      <c r="D505" t="s">
        <v>1099</v>
      </c>
      <c r="E505" t="s">
        <v>331</v>
      </c>
      <c r="G505" s="3">
        <v>42957</v>
      </c>
      <c r="H505">
        <v>27.5</v>
      </c>
      <c r="I505">
        <v>24.5</v>
      </c>
      <c r="J505" t="s">
        <v>135</v>
      </c>
      <c r="K505" t="s">
        <v>135</v>
      </c>
      <c r="L505">
        <v>10.07</v>
      </c>
      <c r="M505">
        <v>9.4499999999999993</v>
      </c>
      <c r="N505">
        <v>6.6</v>
      </c>
      <c r="Q505">
        <v>3</v>
      </c>
      <c r="R505" t="s">
        <v>1140</v>
      </c>
    </row>
    <row r="506" spans="1:18" x14ac:dyDescent="0.25">
      <c r="A506">
        <v>505</v>
      </c>
      <c r="B506" t="s">
        <v>1143</v>
      </c>
      <c r="D506" t="s">
        <v>1099</v>
      </c>
      <c r="E506" t="s">
        <v>344</v>
      </c>
      <c r="G506" s="3">
        <v>42957</v>
      </c>
      <c r="H506">
        <v>48.8</v>
      </c>
      <c r="I506">
        <v>45.5</v>
      </c>
      <c r="J506" t="s">
        <v>135</v>
      </c>
      <c r="K506" t="s">
        <v>135</v>
      </c>
      <c r="L506">
        <v>28.48</v>
      </c>
      <c r="M506">
        <v>29.06</v>
      </c>
      <c r="N506">
        <v>31.25</v>
      </c>
      <c r="Q506">
        <v>4</v>
      </c>
    </row>
    <row r="507" spans="1:18" x14ac:dyDescent="0.25">
      <c r="A507">
        <v>506</v>
      </c>
      <c r="B507" t="s">
        <v>1144</v>
      </c>
      <c r="D507" t="s">
        <v>1099</v>
      </c>
      <c r="E507" t="s">
        <v>344</v>
      </c>
      <c r="G507" s="3">
        <v>42957</v>
      </c>
      <c r="H507">
        <v>26.5</v>
      </c>
      <c r="I507">
        <v>25.6</v>
      </c>
      <c r="J507" t="s">
        <v>135</v>
      </c>
      <c r="K507" t="s">
        <v>135</v>
      </c>
      <c r="L507">
        <v>21.12</v>
      </c>
      <c r="M507">
        <v>21.43</v>
      </c>
      <c r="N507">
        <v>21.98</v>
      </c>
      <c r="Q507">
        <v>4</v>
      </c>
      <c r="R507" t="s">
        <v>1140</v>
      </c>
    </row>
    <row r="508" spans="1:18" x14ac:dyDescent="0.25">
      <c r="A508">
        <v>507</v>
      </c>
      <c r="B508" t="s">
        <v>1145</v>
      </c>
      <c r="D508" t="s">
        <v>1099</v>
      </c>
      <c r="E508" t="s">
        <v>383</v>
      </c>
      <c r="G508" s="3">
        <v>42957</v>
      </c>
      <c r="H508">
        <v>14.5</v>
      </c>
      <c r="I508">
        <v>12.8</v>
      </c>
      <c r="J508" t="s">
        <v>135</v>
      </c>
      <c r="K508" t="s">
        <v>135</v>
      </c>
      <c r="L508">
        <v>8.49</v>
      </c>
      <c r="M508">
        <v>6.93</v>
      </c>
      <c r="N508">
        <v>6.61</v>
      </c>
      <c r="Q508">
        <v>4</v>
      </c>
      <c r="R508">
        <v>881</v>
      </c>
    </row>
    <row r="509" spans="1:18" x14ac:dyDescent="0.25">
      <c r="A509">
        <v>508</v>
      </c>
      <c r="B509" t="s">
        <v>1146</v>
      </c>
      <c r="D509" t="s">
        <v>1099</v>
      </c>
      <c r="E509" t="s">
        <v>581</v>
      </c>
      <c r="G509" s="3">
        <v>42957</v>
      </c>
      <c r="H509">
        <v>12.4</v>
      </c>
      <c r="I509">
        <v>12.3</v>
      </c>
      <c r="J509" t="s">
        <v>135</v>
      </c>
      <c r="K509" t="s">
        <v>135</v>
      </c>
      <c r="L509">
        <v>7.97</v>
      </c>
      <c r="M509">
        <v>6.64</v>
      </c>
      <c r="N509">
        <v>8.06</v>
      </c>
      <c r="Q509">
        <v>3</v>
      </c>
      <c r="R509">
        <v>887</v>
      </c>
    </row>
    <row r="510" spans="1:18" x14ac:dyDescent="0.25">
      <c r="A510">
        <v>509</v>
      </c>
      <c r="B510" t="s">
        <v>1147</v>
      </c>
      <c r="D510" t="s">
        <v>1099</v>
      </c>
      <c r="E510" t="s">
        <v>346</v>
      </c>
      <c r="G510" s="3">
        <v>42957</v>
      </c>
      <c r="H510">
        <v>26</v>
      </c>
      <c r="I510">
        <v>27</v>
      </c>
      <c r="J510" t="s">
        <v>135</v>
      </c>
      <c r="K510" t="s">
        <v>135</v>
      </c>
      <c r="L510">
        <v>27.41</v>
      </c>
      <c r="M510">
        <v>36.93</v>
      </c>
      <c r="N510">
        <v>35.49</v>
      </c>
      <c r="Q510">
        <v>4</v>
      </c>
    </row>
    <row r="511" spans="1:18" x14ac:dyDescent="0.25">
      <c r="A511">
        <v>510</v>
      </c>
      <c r="B511" t="s">
        <v>1148</v>
      </c>
      <c r="D511" t="s">
        <v>1099</v>
      </c>
      <c r="E511" t="s">
        <v>809</v>
      </c>
      <c r="G511" s="3">
        <v>42957</v>
      </c>
      <c r="H511">
        <v>34.799999999999997</v>
      </c>
      <c r="I511">
        <v>33.200000000000003</v>
      </c>
      <c r="J511" t="s">
        <v>135</v>
      </c>
      <c r="K511" t="s">
        <v>135</v>
      </c>
      <c r="L511">
        <v>42.36</v>
      </c>
      <c r="M511">
        <v>35.43</v>
      </c>
      <c r="N511">
        <v>32.409999999999997</v>
      </c>
      <c r="Q511">
        <v>4</v>
      </c>
      <c r="R511">
        <v>996</v>
      </c>
    </row>
    <row r="512" spans="1:18" x14ac:dyDescent="0.25">
      <c r="A512">
        <v>511</v>
      </c>
      <c r="B512" t="s">
        <v>1149</v>
      </c>
      <c r="D512" t="s">
        <v>1099</v>
      </c>
      <c r="E512" t="s">
        <v>809</v>
      </c>
      <c r="G512" s="3">
        <v>42957</v>
      </c>
      <c r="H512">
        <v>25.5</v>
      </c>
      <c r="I512">
        <v>23.8</v>
      </c>
      <c r="J512" t="s">
        <v>135</v>
      </c>
      <c r="K512" t="s">
        <v>135</v>
      </c>
      <c r="L512">
        <v>16.87</v>
      </c>
      <c r="M512">
        <v>30.12</v>
      </c>
      <c r="N512">
        <v>16.149999999999999</v>
      </c>
      <c r="Q512">
        <v>3</v>
      </c>
      <c r="R512">
        <v>997</v>
      </c>
    </row>
    <row r="513" spans="1:18" x14ac:dyDescent="0.25">
      <c r="A513">
        <v>512</v>
      </c>
      <c r="B513" t="s">
        <v>1150</v>
      </c>
      <c r="D513" t="s">
        <v>1099</v>
      </c>
      <c r="E513" t="s">
        <v>387</v>
      </c>
      <c r="G513" s="3">
        <v>42957</v>
      </c>
      <c r="H513">
        <v>7.6</v>
      </c>
      <c r="I513">
        <v>7.3</v>
      </c>
      <c r="J513" t="s">
        <v>135</v>
      </c>
      <c r="K513" t="s">
        <v>135</v>
      </c>
      <c r="L513">
        <v>0.79</v>
      </c>
      <c r="M513">
        <v>0.8</v>
      </c>
      <c r="N513">
        <v>0.88</v>
      </c>
      <c r="Q513">
        <v>2</v>
      </c>
      <c r="R513">
        <v>1010</v>
      </c>
    </row>
    <row r="514" spans="1:18" x14ac:dyDescent="0.25">
      <c r="A514">
        <v>513</v>
      </c>
      <c r="B514" t="s">
        <v>1151</v>
      </c>
      <c r="D514" t="s">
        <v>1099</v>
      </c>
      <c r="E514" t="s">
        <v>812</v>
      </c>
      <c r="G514" s="3">
        <v>42957</v>
      </c>
      <c r="H514">
        <v>9.3000000000000007</v>
      </c>
      <c r="I514">
        <v>7.1</v>
      </c>
      <c r="J514" t="s">
        <v>135</v>
      </c>
      <c r="K514" t="s">
        <v>135</v>
      </c>
      <c r="L514">
        <v>10.46</v>
      </c>
      <c r="M514">
        <v>6.31</v>
      </c>
      <c r="N514">
        <v>14.39</v>
      </c>
      <c r="Q514">
        <v>3</v>
      </c>
      <c r="R514">
        <v>1011</v>
      </c>
    </row>
    <row r="515" spans="1:18" x14ac:dyDescent="0.25">
      <c r="A515">
        <v>514</v>
      </c>
      <c r="B515" t="s">
        <v>1152</v>
      </c>
      <c r="D515" t="s">
        <v>1099</v>
      </c>
      <c r="E515" t="s">
        <v>335</v>
      </c>
      <c r="G515" s="3">
        <v>42957</v>
      </c>
      <c r="H515">
        <v>11</v>
      </c>
      <c r="I515">
        <v>6.8</v>
      </c>
      <c r="J515" t="s">
        <v>135</v>
      </c>
      <c r="K515" t="s">
        <v>135</v>
      </c>
      <c r="L515">
        <v>5.56</v>
      </c>
      <c r="M515">
        <v>5.0199999999999996</v>
      </c>
      <c r="N515">
        <v>5.09</v>
      </c>
      <c r="Q515">
        <v>3</v>
      </c>
    </row>
    <row r="516" spans="1:18" x14ac:dyDescent="0.25">
      <c r="A516">
        <v>515</v>
      </c>
      <c r="B516" t="s">
        <v>1153</v>
      </c>
      <c r="D516" t="s">
        <v>1099</v>
      </c>
      <c r="E516" t="s">
        <v>332</v>
      </c>
      <c r="G516" s="3">
        <v>42957</v>
      </c>
      <c r="H516">
        <v>42.1</v>
      </c>
      <c r="I516">
        <v>40.200000000000003</v>
      </c>
      <c r="J516" t="s">
        <v>135</v>
      </c>
      <c r="K516" t="s">
        <v>135</v>
      </c>
      <c r="L516">
        <v>42.93</v>
      </c>
      <c r="M516">
        <v>50.36</v>
      </c>
      <c r="N516">
        <v>49.38</v>
      </c>
      <c r="Q516">
        <v>5</v>
      </c>
      <c r="R516">
        <v>2011</v>
      </c>
    </row>
    <row r="517" spans="1:18" x14ac:dyDescent="0.25">
      <c r="A517">
        <v>516</v>
      </c>
      <c r="B517" t="s">
        <v>1154</v>
      </c>
      <c r="D517" t="s">
        <v>1099</v>
      </c>
      <c r="E517" t="s">
        <v>344</v>
      </c>
      <c r="G517" s="3">
        <v>42957</v>
      </c>
      <c r="H517">
        <v>56</v>
      </c>
      <c r="I517">
        <v>53.4</v>
      </c>
      <c r="J517" t="s">
        <v>135</v>
      </c>
      <c r="K517" t="s">
        <v>135</v>
      </c>
      <c r="L517">
        <v>26.93</v>
      </c>
      <c r="M517">
        <v>32.61</v>
      </c>
      <c r="N517">
        <v>27.91</v>
      </c>
      <c r="Q517">
        <v>5</v>
      </c>
      <c r="R517">
        <v>2016</v>
      </c>
    </row>
    <row r="518" spans="1:18" x14ac:dyDescent="0.25">
      <c r="A518">
        <v>517</v>
      </c>
      <c r="B518" t="s">
        <v>1155</v>
      </c>
      <c r="D518" t="s">
        <v>1099</v>
      </c>
      <c r="E518" t="s">
        <v>833</v>
      </c>
      <c r="G518" s="3">
        <v>42957</v>
      </c>
      <c r="H518">
        <v>34</v>
      </c>
      <c r="I518">
        <v>32.5</v>
      </c>
      <c r="J518" t="s">
        <v>135</v>
      </c>
      <c r="K518" t="s">
        <v>135</v>
      </c>
      <c r="L518">
        <v>27.85</v>
      </c>
      <c r="M518">
        <v>26.23</v>
      </c>
      <c r="N518">
        <v>27.42</v>
      </c>
      <c r="Q518">
        <v>5</v>
      </c>
      <c r="R518">
        <v>2038</v>
      </c>
    </row>
    <row r="519" spans="1:18" x14ac:dyDescent="0.25">
      <c r="A519">
        <v>518</v>
      </c>
      <c r="B519" t="s">
        <v>1156</v>
      </c>
      <c r="D519" t="s">
        <v>1099</v>
      </c>
      <c r="E519" t="s">
        <v>359</v>
      </c>
      <c r="G519" s="3">
        <v>42957</v>
      </c>
      <c r="H519">
        <v>13.1</v>
      </c>
      <c r="I519">
        <v>11.8</v>
      </c>
      <c r="J519" t="s">
        <v>135</v>
      </c>
      <c r="K519" t="s">
        <v>135</v>
      </c>
      <c r="L519">
        <v>6.63</v>
      </c>
      <c r="M519">
        <v>6.38</v>
      </c>
      <c r="N519">
        <v>4.75</v>
      </c>
      <c r="Q519">
        <v>2</v>
      </c>
      <c r="R519">
        <v>2031</v>
      </c>
    </row>
    <row r="520" spans="1:18" x14ac:dyDescent="0.25">
      <c r="A520">
        <v>519</v>
      </c>
      <c r="B520" t="s">
        <v>1157</v>
      </c>
      <c r="D520" t="s">
        <v>1099</v>
      </c>
      <c r="E520" t="s">
        <v>359</v>
      </c>
      <c r="G520" s="3">
        <v>42957</v>
      </c>
      <c r="H520">
        <v>7</v>
      </c>
      <c r="I520">
        <v>6.4</v>
      </c>
      <c r="J520" t="s">
        <v>135</v>
      </c>
      <c r="K520" t="s">
        <v>135</v>
      </c>
      <c r="L520">
        <v>4.09</v>
      </c>
      <c r="M520">
        <v>3.22</v>
      </c>
      <c r="N520">
        <v>4.97</v>
      </c>
      <c r="Q520">
        <v>2</v>
      </c>
      <c r="R520">
        <v>1408</v>
      </c>
    </row>
    <row r="521" spans="1:18" x14ac:dyDescent="0.25">
      <c r="A521">
        <v>520</v>
      </c>
      <c r="B521" t="s">
        <v>1158</v>
      </c>
      <c r="D521" t="s">
        <v>1099</v>
      </c>
      <c r="E521" t="s">
        <v>358</v>
      </c>
      <c r="G521" s="3">
        <v>42957</v>
      </c>
      <c r="H521">
        <v>10</v>
      </c>
      <c r="I521">
        <v>8.1999999999999993</v>
      </c>
      <c r="J521" t="s">
        <v>135</v>
      </c>
      <c r="K521" t="s">
        <v>135</v>
      </c>
      <c r="L521">
        <v>17.09</v>
      </c>
      <c r="M521">
        <v>10.130000000000001</v>
      </c>
      <c r="N521">
        <v>10.31</v>
      </c>
      <c r="Q521">
        <v>4</v>
      </c>
    </row>
    <row r="522" spans="1:18" x14ac:dyDescent="0.25">
      <c r="A522">
        <v>521</v>
      </c>
      <c r="B522" t="s">
        <v>1159</v>
      </c>
      <c r="D522" t="s">
        <v>1099</v>
      </c>
      <c r="E522" t="s">
        <v>331</v>
      </c>
      <c r="G522" s="3">
        <v>42957</v>
      </c>
      <c r="H522">
        <v>14.4</v>
      </c>
      <c r="I522">
        <v>12.9</v>
      </c>
      <c r="J522" t="s">
        <v>135</v>
      </c>
      <c r="K522" t="s">
        <v>135</v>
      </c>
      <c r="L522">
        <v>4.1500000000000004</v>
      </c>
      <c r="M522">
        <v>4.74</v>
      </c>
      <c r="N522">
        <v>3.65</v>
      </c>
      <c r="Q522">
        <v>4</v>
      </c>
      <c r="R522" t="s">
        <v>1168</v>
      </c>
    </row>
    <row r="523" spans="1:18" x14ac:dyDescent="0.25">
      <c r="A523">
        <v>522</v>
      </c>
      <c r="B523" t="s">
        <v>1160</v>
      </c>
      <c r="D523" t="s">
        <v>1099</v>
      </c>
      <c r="E523" t="s">
        <v>332</v>
      </c>
      <c r="G523" s="3">
        <v>42957</v>
      </c>
      <c r="H523">
        <v>27.9</v>
      </c>
      <c r="I523">
        <v>26.1</v>
      </c>
      <c r="J523" t="s">
        <v>135</v>
      </c>
      <c r="K523" t="s">
        <v>135</v>
      </c>
      <c r="L523">
        <v>34.82</v>
      </c>
      <c r="M523">
        <v>30.5</v>
      </c>
      <c r="N523">
        <v>30.91</v>
      </c>
      <c r="Q523">
        <v>5</v>
      </c>
      <c r="R523" t="s">
        <v>1168</v>
      </c>
    </row>
    <row r="524" spans="1:18" x14ac:dyDescent="0.25">
      <c r="A524">
        <v>523</v>
      </c>
      <c r="B524" t="s">
        <v>1161</v>
      </c>
      <c r="D524" t="s">
        <v>1099</v>
      </c>
      <c r="E524" t="s">
        <v>366</v>
      </c>
      <c r="G524" s="3">
        <v>42957</v>
      </c>
      <c r="H524">
        <v>14.1</v>
      </c>
      <c r="I524">
        <v>13</v>
      </c>
      <c r="J524" t="s">
        <v>135</v>
      </c>
      <c r="K524" t="s">
        <v>135</v>
      </c>
      <c r="L524">
        <v>5.4</v>
      </c>
      <c r="M524">
        <v>4.9800000000000004</v>
      </c>
      <c r="N524">
        <v>3.51</v>
      </c>
      <c r="Q524">
        <v>4</v>
      </c>
      <c r="R524">
        <v>2690</v>
      </c>
    </row>
    <row r="525" spans="1:18" x14ac:dyDescent="0.25">
      <c r="A525">
        <v>524</v>
      </c>
      <c r="B525" t="s">
        <v>1162</v>
      </c>
      <c r="D525" t="s">
        <v>1099</v>
      </c>
      <c r="E525" t="s">
        <v>366</v>
      </c>
      <c r="G525" s="3">
        <v>42957</v>
      </c>
      <c r="H525">
        <v>29.4</v>
      </c>
      <c r="I525">
        <v>26.2</v>
      </c>
      <c r="J525" t="s">
        <v>135</v>
      </c>
      <c r="K525" t="s">
        <v>135</v>
      </c>
      <c r="L525">
        <v>7.3</v>
      </c>
      <c r="M525">
        <v>6.54</v>
      </c>
      <c r="N525">
        <v>5.81</v>
      </c>
      <c r="Q525">
        <v>4</v>
      </c>
      <c r="R525">
        <v>2695</v>
      </c>
    </row>
    <row r="526" spans="1:18" x14ac:dyDescent="0.25">
      <c r="A526">
        <v>525</v>
      </c>
      <c r="B526" t="s">
        <v>1163</v>
      </c>
      <c r="D526" t="s">
        <v>1099</v>
      </c>
      <c r="E526" t="s">
        <v>836</v>
      </c>
      <c r="G526" s="3">
        <v>42957</v>
      </c>
      <c r="H526">
        <v>25.8</v>
      </c>
      <c r="I526">
        <v>24</v>
      </c>
      <c r="J526" t="s">
        <v>135</v>
      </c>
      <c r="K526" t="s">
        <v>135</v>
      </c>
      <c r="L526">
        <v>18.77</v>
      </c>
      <c r="M526">
        <v>15.43</v>
      </c>
      <c r="N526">
        <v>17.23</v>
      </c>
      <c r="Q526">
        <v>4</v>
      </c>
      <c r="R526">
        <v>2740</v>
      </c>
    </row>
    <row r="527" spans="1:18" x14ac:dyDescent="0.25">
      <c r="A527">
        <v>526</v>
      </c>
      <c r="B527" t="s">
        <v>1164</v>
      </c>
      <c r="D527" t="s">
        <v>1099</v>
      </c>
      <c r="E527" t="s">
        <v>836</v>
      </c>
      <c r="G527" s="3">
        <v>42957</v>
      </c>
      <c r="H527">
        <v>16.8</v>
      </c>
      <c r="I527">
        <v>14</v>
      </c>
      <c r="J527" t="s">
        <v>135</v>
      </c>
      <c r="K527" t="s">
        <v>135</v>
      </c>
      <c r="L527">
        <v>12.19</v>
      </c>
      <c r="M527">
        <v>13.62</v>
      </c>
      <c r="N527">
        <v>11.49</v>
      </c>
      <c r="Q527">
        <v>3</v>
      </c>
      <c r="R527">
        <v>2744</v>
      </c>
    </row>
    <row r="528" spans="1:18" x14ac:dyDescent="0.25">
      <c r="A528">
        <v>527</v>
      </c>
      <c r="B528" t="s">
        <v>1167</v>
      </c>
      <c r="D528" t="s">
        <v>1099</v>
      </c>
      <c r="E528" t="s">
        <v>335</v>
      </c>
      <c r="G528" s="3">
        <v>42957</v>
      </c>
      <c r="H528">
        <v>20.9</v>
      </c>
      <c r="I528">
        <v>15.7</v>
      </c>
      <c r="J528" t="s">
        <v>135</v>
      </c>
      <c r="K528" t="s">
        <v>135</v>
      </c>
      <c r="L528">
        <v>8.3000000000000007</v>
      </c>
      <c r="M528">
        <v>7.62</v>
      </c>
      <c r="N528">
        <v>6.25</v>
      </c>
      <c r="Q528">
        <v>3</v>
      </c>
      <c r="R528">
        <v>2763</v>
      </c>
    </row>
    <row r="529" spans="1:18" x14ac:dyDescent="0.25">
      <c r="A529">
        <v>528</v>
      </c>
      <c r="B529" t="s">
        <v>1165</v>
      </c>
      <c r="D529" t="s">
        <v>1099</v>
      </c>
      <c r="E529" t="s">
        <v>502</v>
      </c>
      <c r="G529" s="3">
        <v>42957</v>
      </c>
      <c r="H529">
        <v>8.4</v>
      </c>
      <c r="I529">
        <v>7.5</v>
      </c>
      <c r="J529" t="s">
        <v>135</v>
      </c>
      <c r="K529" t="s">
        <v>135</v>
      </c>
      <c r="L529">
        <v>2.63</v>
      </c>
      <c r="M529">
        <v>2.13</v>
      </c>
      <c r="N529">
        <v>2.2799999999999998</v>
      </c>
      <c r="Q529">
        <v>2</v>
      </c>
      <c r="R529">
        <v>4841</v>
      </c>
    </row>
    <row r="530" spans="1:18" x14ac:dyDescent="0.25">
      <c r="A530">
        <v>529</v>
      </c>
      <c r="B530" t="s">
        <v>1166</v>
      </c>
      <c r="D530" t="s">
        <v>1099</v>
      </c>
      <c r="E530" t="s">
        <v>369</v>
      </c>
      <c r="G530" s="3">
        <v>42957</v>
      </c>
      <c r="H530">
        <v>8.8000000000000007</v>
      </c>
      <c r="I530">
        <v>7.5</v>
      </c>
      <c r="J530" t="s">
        <v>135</v>
      </c>
      <c r="K530" t="s">
        <v>135</v>
      </c>
      <c r="L530">
        <v>3.3</v>
      </c>
      <c r="M530">
        <v>2.89</v>
      </c>
      <c r="N530">
        <v>3.1</v>
      </c>
      <c r="Q530">
        <v>2</v>
      </c>
      <c r="R530">
        <v>4894</v>
      </c>
    </row>
    <row r="531" spans="1:18" x14ac:dyDescent="0.25">
      <c r="A531">
        <v>530</v>
      </c>
      <c r="B531" t="s">
        <v>1169</v>
      </c>
      <c r="D531" t="s">
        <v>1099</v>
      </c>
      <c r="E531" t="s">
        <v>382</v>
      </c>
      <c r="G531" s="3">
        <v>42957</v>
      </c>
      <c r="H531">
        <v>8.8000000000000007</v>
      </c>
      <c r="I531">
        <v>6.5</v>
      </c>
      <c r="J531" t="s">
        <v>135</v>
      </c>
      <c r="K531" t="s">
        <v>135</v>
      </c>
      <c r="L531">
        <v>3.9</v>
      </c>
      <c r="M531">
        <v>3.76</v>
      </c>
      <c r="N531">
        <v>3.52</v>
      </c>
      <c r="Q531">
        <v>3</v>
      </c>
      <c r="R531">
        <v>4898</v>
      </c>
    </row>
    <row r="532" spans="1:18" x14ac:dyDescent="0.25">
      <c r="A532">
        <v>531</v>
      </c>
      <c r="B532" t="s">
        <v>1156</v>
      </c>
      <c r="D532" t="s">
        <v>1099</v>
      </c>
      <c r="E532" t="s">
        <v>359</v>
      </c>
      <c r="G532" s="3">
        <v>42957</v>
      </c>
      <c r="H532">
        <v>8.6</v>
      </c>
      <c r="I532">
        <v>8.1999999999999993</v>
      </c>
      <c r="J532" t="s">
        <v>135</v>
      </c>
      <c r="K532" t="s">
        <v>135</v>
      </c>
      <c r="L532">
        <v>3.66</v>
      </c>
      <c r="M532">
        <v>4.4400000000000004</v>
      </c>
      <c r="N532">
        <v>4.92</v>
      </c>
      <c r="Q532">
        <v>2</v>
      </c>
      <c r="R532">
        <v>4922</v>
      </c>
    </row>
    <row r="533" spans="1:18" x14ac:dyDescent="0.25">
      <c r="A533">
        <v>532</v>
      </c>
      <c r="B533" t="s">
        <v>1157</v>
      </c>
      <c r="D533" t="s">
        <v>1099</v>
      </c>
      <c r="E533" t="s">
        <v>359</v>
      </c>
      <c r="G533" s="3">
        <v>42957</v>
      </c>
      <c r="H533">
        <v>17.399999999999999</v>
      </c>
      <c r="I533">
        <v>16</v>
      </c>
      <c r="J533" t="s">
        <v>135</v>
      </c>
      <c r="K533" t="s">
        <v>135</v>
      </c>
      <c r="L533">
        <v>6.25</v>
      </c>
      <c r="M533">
        <v>6.23</v>
      </c>
      <c r="N533">
        <v>5.26</v>
      </c>
      <c r="Q533">
        <v>3</v>
      </c>
      <c r="R533">
        <v>4931</v>
      </c>
    </row>
    <row r="534" spans="1:18" x14ac:dyDescent="0.25">
      <c r="A534">
        <v>533</v>
      </c>
      <c r="B534" t="s">
        <v>1170</v>
      </c>
      <c r="D534" t="s">
        <v>1099</v>
      </c>
      <c r="E534" t="s">
        <v>332</v>
      </c>
      <c r="G534" s="3">
        <v>42957</v>
      </c>
      <c r="H534">
        <v>20.8</v>
      </c>
      <c r="I534">
        <v>18.899999999999999</v>
      </c>
      <c r="J534" t="s">
        <v>135</v>
      </c>
      <c r="K534" t="s">
        <v>135</v>
      </c>
      <c r="L534">
        <v>27.29</v>
      </c>
      <c r="M534">
        <v>29.29</v>
      </c>
      <c r="N534">
        <v>27.06</v>
      </c>
      <c r="Q534">
        <v>3</v>
      </c>
      <c r="R534" t="s">
        <v>1168</v>
      </c>
    </row>
    <row r="535" spans="1:18" x14ac:dyDescent="0.25">
      <c r="A535">
        <v>534</v>
      </c>
      <c r="B535" t="s">
        <v>1181</v>
      </c>
      <c r="D535" t="s">
        <v>1099</v>
      </c>
      <c r="E535" t="s">
        <v>344</v>
      </c>
      <c r="G535" s="3">
        <v>42957</v>
      </c>
      <c r="H535">
        <v>18</v>
      </c>
      <c r="I535">
        <v>16.100000000000001</v>
      </c>
      <c r="J535" t="s">
        <v>135</v>
      </c>
      <c r="K535" t="s">
        <v>135</v>
      </c>
      <c r="L535">
        <v>13.59</v>
      </c>
      <c r="M535">
        <v>14.14</v>
      </c>
      <c r="N535">
        <v>13.37</v>
      </c>
      <c r="Q535">
        <v>4</v>
      </c>
      <c r="R535" t="s">
        <v>1168</v>
      </c>
    </row>
    <row r="536" spans="1:18" x14ac:dyDescent="0.25">
      <c r="A536">
        <v>535</v>
      </c>
      <c r="B536" t="s">
        <v>1171</v>
      </c>
      <c r="D536" t="s">
        <v>1099</v>
      </c>
      <c r="E536" t="s">
        <v>909</v>
      </c>
      <c r="G536" s="3">
        <v>42957</v>
      </c>
      <c r="H536">
        <v>46.5</v>
      </c>
      <c r="I536">
        <v>44.8</v>
      </c>
      <c r="J536" t="s">
        <v>135</v>
      </c>
      <c r="K536" t="s">
        <v>135</v>
      </c>
      <c r="L536">
        <v>41.09</v>
      </c>
      <c r="M536">
        <v>46.62</v>
      </c>
      <c r="N536" t="s">
        <v>135</v>
      </c>
      <c r="Q536">
        <v>5</v>
      </c>
    </row>
    <row r="537" spans="1:18" x14ac:dyDescent="0.25">
      <c r="A537">
        <v>536</v>
      </c>
      <c r="B537" t="s">
        <v>1172</v>
      </c>
      <c r="D537" t="s">
        <v>1099</v>
      </c>
      <c r="E537" t="s">
        <v>352</v>
      </c>
      <c r="G537" s="3">
        <v>42957</v>
      </c>
      <c r="H537">
        <v>22.1</v>
      </c>
      <c r="I537">
        <v>24.2</v>
      </c>
      <c r="J537" t="s">
        <v>135</v>
      </c>
      <c r="K537" t="s">
        <v>135</v>
      </c>
      <c r="L537">
        <v>23.31</v>
      </c>
      <c r="M537">
        <v>17.98</v>
      </c>
      <c r="N537">
        <v>18.55</v>
      </c>
      <c r="Q537">
        <v>4</v>
      </c>
      <c r="R537" t="s">
        <v>1168</v>
      </c>
    </row>
    <row r="538" spans="1:18" x14ac:dyDescent="0.25">
      <c r="A538">
        <v>537</v>
      </c>
      <c r="B538" t="s">
        <v>1173</v>
      </c>
      <c r="D538" t="s">
        <v>1099</v>
      </c>
      <c r="E538" t="s">
        <v>352</v>
      </c>
      <c r="G538" s="3">
        <v>42957</v>
      </c>
      <c r="H538">
        <v>20.5</v>
      </c>
      <c r="I538">
        <v>19.5</v>
      </c>
      <c r="J538" t="s">
        <v>135</v>
      </c>
      <c r="K538" t="s">
        <v>135</v>
      </c>
      <c r="L538">
        <v>7.14</v>
      </c>
      <c r="M538">
        <v>7.15</v>
      </c>
      <c r="N538">
        <v>7.3</v>
      </c>
      <c r="Q538">
        <v>4</v>
      </c>
      <c r="R538" t="s">
        <v>1168</v>
      </c>
    </row>
    <row r="539" spans="1:18" x14ac:dyDescent="0.25">
      <c r="A539">
        <v>538</v>
      </c>
      <c r="B539" t="s">
        <v>1174</v>
      </c>
      <c r="D539" t="s">
        <v>1099</v>
      </c>
      <c r="E539" t="s">
        <v>352</v>
      </c>
      <c r="G539" s="3">
        <v>42957</v>
      </c>
      <c r="H539">
        <v>17</v>
      </c>
      <c r="I539">
        <v>15.5</v>
      </c>
      <c r="J539" t="s">
        <v>135</v>
      </c>
      <c r="K539" t="s">
        <v>135</v>
      </c>
      <c r="L539">
        <v>7.34</v>
      </c>
      <c r="M539">
        <v>7.3</v>
      </c>
      <c r="N539">
        <v>7.62</v>
      </c>
      <c r="Q539">
        <v>3</v>
      </c>
      <c r="R539" t="s">
        <v>1168</v>
      </c>
    </row>
    <row r="540" spans="1:18" x14ac:dyDescent="0.25">
      <c r="A540">
        <v>539</v>
      </c>
      <c r="B540" t="s">
        <v>1175</v>
      </c>
      <c r="D540" t="s">
        <v>1099</v>
      </c>
      <c r="E540" t="s">
        <v>331</v>
      </c>
      <c r="G540" s="3">
        <v>42957</v>
      </c>
      <c r="H540">
        <v>38</v>
      </c>
      <c r="I540" t="s">
        <v>1182</v>
      </c>
      <c r="J540" t="s">
        <v>135</v>
      </c>
      <c r="K540" t="s">
        <v>135</v>
      </c>
      <c r="L540">
        <v>10.220000000000001</v>
      </c>
      <c r="M540">
        <v>9.93</v>
      </c>
      <c r="N540">
        <v>7.49</v>
      </c>
      <c r="Q540">
        <v>5</v>
      </c>
      <c r="R540" t="s">
        <v>1168</v>
      </c>
    </row>
    <row r="541" spans="1:18" x14ac:dyDescent="0.25">
      <c r="A541">
        <v>540</v>
      </c>
      <c r="B541" t="s">
        <v>1176</v>
      </c>
      <c r="D541" t="s">
        <v>1099</v>
      </c>
      <c r="E541" t="s">
        <v>332</v>
      </c>
      <c r="G541" s="3">
        <v>42957</v>
      </c>
      <c r="H541">
        <v>39.1</v>
      </c>
      <c r="I541">
        <v>38.1</v>
      </c>
      <c r="J541" t="s">
        <v>135</v>
      </c>
      <c r="K541" t="s">
        <v>135</v>
      </c>
      <c r="L541">
        <v>50.31</v>
      </c>
      <c r="M541">
        <v>52</v>
      </c>
      <c r="N541" t="s">
        <v>135</v>
      </c>
      <c r="Q541">
        <v>4</v>
      </c>
      <c r="R541" t="s">
        <v>1168</v>
      </c>
    </row>
    <row r="542" spans="1:18" x14ac:dyDescent="0.25">
      <c r="A542">
        <v>541</v>
      </c>
      <c r="B542" t="s">
        <v>1177</v>
      </c>
      <c r="D542" t="s">
        <v>1099</v>
      </c>
      <c r="E542" t="s">
        <v>352</v>
      </c>
      <c r="G542" s="3">
        <v>42957</v>
      </c>
      <c r="H542">
        <v>15.2</v>
      </c>
      <c r="I542">
        <v>13.8</v>
      </c>
      <c r="J542" t="s">
        <v>135</v>
      </c>
      <c r="K542" t="s">
        <v>135</v>
      </c>
      <c r="L542">
        <v>6.03</v>
      </c>
      <c r="M542">
        <v>6.94</v>
      </c>
      <c r="N542">
        <v>5.33</v>
      </c>
      <c r="Q542">
        <v>4</v>
      </c>
      <c r="R542" t="s">
        <v>1168</v>
      </c>
    </row>
    <row r="543" spans="1:18" x14ac:dyDescent="0.25">
      <c r="A543">
        <v>542</v>
      </c>
      <c r="B543" t="s">
        <v>1178</v>
      </c>
      <c r="D543" t="s">
        <v>1099</v>
      </c>
      <c r="E543" t="s">
        <v>338</v>
      </c>
      <c r="G543" s="3">
        <v>42957</v>
      </c>
      <c r="H543">
        <v>20.2</v>
      </c>
      <c r="I543">
        <v>19.399999999999999</v>
      </c>
      <c r="J543" t="s">
        <v>135</v>
      </c>
      <c r="K543" t="s">
        <v>135</v>
      </c>
      <c r="L543">
        <v>21.51</v>
      </c>
      <c r="M543">
        <v>18.78</v>
      </c>
      <c r="N543">
        <v>17.61</v>
      </c>
      <c r="Q543">
        <v>4</v>
      </c>
    </row>
    <row r="544" spans="1:18" x14ac:dyDescent="0.25">
      <c r="A544">
        <v>543</v>
      </c>
      <c r="B544" t="s">
        <v>1179</v>
      </c>
      <c r="D544" t="s">
        <v>1099</v>
      </c>
      <c r="E544" t="s">
        <v>344</v>
      </c>
      <c r="G544" s="3">
        <v>42957</v>
      </c>
      <c r="H544">
        <v>26.8</v>
      </c>
      <c r="I544">
        <v>22.4</v>
      </c>
      <c r="J544" t="s">
        <v>135</v>
      </c>
      <c r="K544" t="s">
        <v>135</v>
      </c>
      <c r="L544">
        <v>16.690000000000001</v>
      </c>
      <c r="M544">
        <v>19.88</v>
      </c>
      <c r="N544">
        <v>16.22</v>
      </c>
      <c r="Q544">
        <v>3</v>
      </c>
      <c r="R544" t="s">
        <v>1168</v>
      </c>
    </row>
    <row r="545" spans="1:18" x14ac:dyDescent="0.25">
      <c r="A545">
        <v>544</v>
      </c>
      <c r="B545" t="s">
        <v>1180</v>
      </c>
      <c r="D545" t="s">
        <v>1099</v>
      </c>
      <c r="E545" t="s">
        <v>344</v>
      </c>
      <c r="G545" s="3">
        <v>42957</v>
      </c>
      <c r="H545">
        <v>15.2</v>
      </c>
      <c r="I545">
        <v>14</v>
      </c>
      <c r="J545" t="s">
        <v>135</v>
      </c>
      <c r="K545" t="s">
        <v>135</v>
      </c>
      <c r="L545">
        <v>16.64</v>
      </c>
      <c r="M545">
        <v>21.09</v>
      </c>
      <c r="N545">
        <v>17.649999999999999</v>
      </c>
      <c r="Q545">
        <v>3</v>
      </c>
      <c r="R545" t="s">
        <v>1168</v>
      </c>
    </row>
    <row r="546" spans="1:18" x14ac:dyDescent="0.25">
      <c r="A546">
        <v>546</v>
      </c>
      <c r="B546" t="s">
        <v>1302</v>
      </c>
      <c r="D546" t="s">
        <v>1099</v>
      </c>
      <c r="E546" t="s">
        <v>357</v>
      </c>
      <c r="F546">
        <v>1</v>
      </c>
      <c r="G546" s="3">
        <v>43255</v>
      </c>
      <c r="H546">
        <v>3.6</v>
      </c>
      <c r="I546">
        <v>2.1</v>
      </c>
      <c r="J546">
        <v>266</v>
      </c>
      <c r="K546">
        <v>180</v>
      </c>
      <c r="L546" t="s">
        <v>135</v>
      </c>
      <c r="M546" t="s">
        <v>135</v>
      </c>
      <c r="N546" t="s">
        <v>135</v>
      </c>
      <c r="Q546">
        <v>4</v>
      </c>
      <c r="R546" t="s">
        <v>1607</v>
      </c>
    </row>
    <row r="547" spans="1:18" x14ac:dyDescent="0.25">
      <c r="A547">
        <v>547</v>
      </c>
      <c r="B547" t="s">
        <v>1304</v>
      </c>
      <c r="D547" t="s">
        <v>1099</v>
      </c>
      <c r="E547" t="s">
        <v>357</v>
      </c>
      <c r="F547">
        <v>2</v>
      </c>
      <c r="G547" s="3">
        <v>43255</v>
      </c>
      <c r="H547">
        <v>3.7</v>
      </c>
      <c r="I547">
        <v>3.2</v>
      </c>
      <c r="J547">
        <v>302</v>
      </c>
      <c r="K547">
        <v>129</v>
      </c>
      <c r="L547" t="s">
        <v>135</v>
      </c>
      <c r="M547" t="s">
        <v>135</v>
      </c>
      <c r="N547" t="s">
        <v>135</v>
      </c>
      <c r="Q547">
        <v>4</v>
      </c>
      <c r="R547" t="s">
        <v>1607</v>
      </c>
    </row>
    <row r="548" spans="1:18" x14ac:dyDescent="0.25">
      <c r="A548">
        <v>548</v>
      </c>
      <c r="B548" t="s">
        <v>1305</v>
      </c>
      <c r="D548" t="s">
        <v>1099</v>
      </c>
      <c r="E548" t="s">
        <v>357</v>
      </c>
      <c r="F548">
        <v>3</v>
      </c>
      <c r="G548" s="3">
        <v>43255</v>
      </c>
      <c r="H548">
        <v>3</v>
      </c>
      <c r="I548">
        <v>2.2000000000000002</v>
      </c>
      <c r="J548">
        <v>262</v>
      </c>
      <c r="K548">
        <v>160</v>
      </c>
      <c r="L548" t="s">
        <v>135</v>
      </c>
      <c r="M548" t="s">
        <v>135</v>
      </c>
      <c r="N548" t="s">
        <v>135</v>
      </c>
      <c r="Q548">
        <v>4</v>
      </c>
      <c r="R548" t="s">
        <v>1607</v>
      </c>
    </row>
    <row r="549" spans="1:18" x14ac:dyDescent="0.25">
      <c r="A549">
        <v>549</v>
      </c>
      <c r="B549" t="s">
        <v>1306</v>
      </c>
      <c r="D549" t="s">
        <v>1099</v>
      </c>
      <c r="E549" t="s">
        <v>357</v>
      </c>
      <c r="F549">
        <v>4</v>
      </c>
      <c r="G549" s="3">
        <v>43255</v>
      </c>
      <c r="H549">
        <v>3.4</v>
      </c>
      <c r="I549">
        <v>2</v>
      </c>
      <c r="J549">
        <v>248</v>
      </c>
      <c r="K549">
        <v>182</v>
      </c>
      <c r="L549" t="s">
        <v>135</v>
      </c>
      <c r="M549" t="s">
        <v>135</v>
      </c>
      <c r="N549" t="s">
        <v>135</v>
      </c>
      <c r="Q549">
        <v>5</v>
      </c>
      <c r="R549" t="s">
        <v>1607</v>
      </c>
    </row>
    <row r="550" spans="1:18" x14ac:dyDescent="0.25">
      <c r="A550">
        <v>550</v>
      </c>
      <c r="B550" t="s">
        <v>1307</v>
      </c>
      <c r="D550" t="s">
        <v>1099</v>
      </c>
      <c r="E550" t="s">
        <v>357</v>
      </c>
      <c r="F550">
        <v>5</v>
      </c>
      <c r="G550" s="3">
        <v>43255</v>
      </c>
      <c r="H550">
        <v>2</v>
      </c>
      <c r="I550">
        <v>2.7</v>
      </c>
      <c r="J550">
        <v>167</v>
      </c>
      <c r="K550">
        <v>72</v>
      </c>
      <c r="L550" t="s">
        <v>135</v>
      </c>
      <c r="M550" t="s">
        <v>135</v>
      </c>
      <c r="N550" t="s">
        <v>135</v>
      </c>
      <c r="Q550">
        <v>5</v>
      </c>
      <c r="R550" t="s">
        <v>1607</v>
      </c>
    </row>
    <row r="551" spans="1:18" x14ac:dyDescent="0.25">
      <c r="A551">
        <v>551</v>
      </c>
      <c r="B551" t="s">
        <v>1308</v>
      </c>
      <c r="D551" t="s">
        <v>1099</v>
      </c>
      <c r="E551" t="s">
        <v>357</v>
      </c>
      <c r="F551">
        <v>6</v>
      </c>
      <c r="G551" s="3">
        <v>43270</v>
      </c>
      <c r="H551">
        <v>4.7</v>
      </c>
      <c r="I551">
        <v>3.5</v>
      </c>
      <c r="J551">
        <v>300</v>
      </c>
      <c r="K551">
        <v>140</v>
      </c>
      <c r="L551" t="s">
        <v>135</v>
      </c>
      <c r="M551" t="s">
        <v>135</v>
      </c>
      <c r="N551" t="s">
        <v>135</v>
      </c>
      <c r="Q551">
        <v>4</v>
      </c>
      <c r="R551" t="s">
        <v>1607</v>
      </c>
    </row>
    <row r="552" spans="1:18" x14ac:dyDescent="0.25">
      <c r="A552">
        <v>552</v>
      </c>
      <c r="B552" t="s">
        <v>1309</v>
      </c>
      <c r="D552" t="s">
        <v>1099</v>
      </c>
      <c r="E552" t="s">
        <v>416</v>
      </c>
      <c r="F552">
        <v>1</v>
      </c>
      <c r="G552" s="3">
        <v>43276</v>
      </c>
      <c r="H552">
        <v>8.8000000000000007</v>
      </c>
      <c r="I552" t="s">
        <v>1608</v>
      </c>
      <c r="J552">
        <v>517</v>
      </c>
      <c r="K552">
        <v>90</v>
      </c>
      <c r="L552">
        <v>4.05</v>
      </c>
      <c r="M552">
        <v>3.21</v>
      </c>
      <c r="N552">
        <v>4.46</v>
      </c>
      <c r="Q552">
        <v>3</v>
      </c>
      <c r="R552" t="s">
        <v>1607</v>
      </c>
    </row>
    <row r="553" spans="1:18" x14ac:dyDescent="0.25">
      <c r="A553">
        <v>553</v>
      </c>
      <c r="B553" t="s">
        <v>1311</v>
      </c>
      <c r="D553" t="s">
        <v>1099</v>
      </c>
      <c r="E553" t="s">
        <v>416</v>
      </c>
      <c r="F553">
        <v>2</v>
      </c>
      <c r="G553" s="3">
        <v>43292</v>
      </c>
      <c r="H553">
        <v>4.5</v>
      </c>
      <c r="I553" t="s">
        <v>1609</v>
      </c>
      <c r="J553">
        <v>485</v>
      </c>
      <c r="K553">
        <v>197</v>
      </c>
      <c r="L553">
        <v>2.93</v>
      </c>
      <c r="M553">
        <v>2.31</v>
      </c>
      <c r="N553">
        <v>2.46</v>
      </c>
      <c r="Q553">
        <v>3</v>
      </c>
      <c r="R553" t="s">
        <v>1607</v>
      </c>
    </row>
    <row r="554" spans="1:18" x14ac:dyDescent="0.25">
      <c r="A554">
        <v>554</v>
      </c>
      <c r="B554" t="s">
        <v>1312</v>
      </c>
      <c r="D554" t="s">
        <v>1099</v>
      </c>
      <c r="E554" t="s">
        <v>416</v>
      </c>
      <c r="F554">
        <v>3</v>
      </c>
      <c r="G554" s="3">
        <v>43292</v>
      </c>
      <c r="H554">
        <v>6.5</v>
      </c>
      <c r="I554">
        <v>5.6</v>
      </c>
      <c r="J554">
        <v>682</v>
      </c>
      <c r="K554">
        <v>330</v>
      </c>
      <c r="L554">
        <v>3.09</v>
      </c>
      <c r="M554">
        <v>3.28</v>
      </c>
      <c r="N554">
        <v>2.98</v>
      </c>
      <c r="Q554">
        <v>3</v>
      </c>
      <c r="R554" t="s">
        <v>1607</v>
      </c>
    </row>
    <row r="555" spans="1:18" x14ac:dyDescent="0.25">
      <c r="A555">
        <v>555</v>
      </c>
      <c r="B555" t="s">
        <v>1313</v>
      </c>
      <c r="D555" t="s">
        <v>1099</v>
      </c>
      <c r="E555" t="s">
        <v>416</v>
      </c>
      <c r="F555">
        <v>4</v>
      </c>
      <c r="G555" s="3">
        <v>43292</v>
      </c>
      <c r="H555">
        <v>4.2</v>
      </c>
      <c r="I555">
        <v>3.5</v>
      </c>
      <c r="J555">
        <v>401</v>
      </c>
      <c r="K555">
        <v>253</v>
      </c>
      <c r="L555">
        <v>2.4300000000000002</v>
      </c>
      <c r="M555">
        <v>2.78</v>
      </c>
      <c r="N555">
        <v>2.08</v>
      </c>
      <c r="Q555">
        <v>3</v>
      </c>
      <c r="R555" t="s">
        <v>1607</v>
      </c>
    </row>
    <row r="556" spans="1:18" x14ac:dyDescent="0.25">
      <c r="A556">
        <v>556</v>
      </c>
      <c r="B556" t="s">
        <v>1314</v>
      </c>
      <c r="D556" t="s">
        <v>1099</v>
      </c>
      <c r="E556" t="s">
        <v>416</v>
      </c>
      <c r="F556">
        <v>5</v>
      </c>
      <c r="G556" s="3">
        <v>43292</v>
      </c>
      <c r="H556">
        <v>7.8</v>
      </c>
      <c r="I556" t="s">
        <v>1610</v>
      </c>
      <c r="J556">
        <v>504</v>
      </c>
      <c r="K556">
        <v>160</v>
      </c>
      <c r="L556">
        <v>3.08</v>
      </c>
      <c r="M556">
        <v>3.58</v>
      </c>
      <c r="N556">
        <v>5.35</v>
      </c>
      <c r="Q556">
        <v>4</v>
      </c>
      <c r="R556" t="s">
        <v>1607</v>
      </c>
    </row>
    <row r="557" spans="1:18" x14ac:dyDescent="0.25">
      <c r="A557">
        <v>557</v>
      </c>
      <c r="B557" t="s">
        <v>1315</v>
      </c>
      <c r="D557" t="s">
        <v>1099</v>
      </c>
      <c r="E557" t="s">
        <v>384</v>
      </c>
      <c r="F557">
        <v>1</v>
      </c>
      <c r="G557" s="3">
        <v>43271</v>
      </c>
      <c r="H557">
        <v>11.8</v>
      </c>
      <c r="I557">
        <v>10.4</v>
      </c>
      <c r="J557">
        <v>464</v>
      </c>
      <c r="K557">
        <v>170</v>
      </c>
      <c r="L557" t="s">
        <v>135</v>
      </c>
      <c r="M557" t="s">
        <v>135</v>
      </c>
      <c r="N557" t="s">
        <v>135</v>
      </c>
      <c r="Q557">
        <v>5</v>
      </c>
      <c r="R557" t="s">
        <v>1607</v>
      </c>
    </row>
    <row r="558" spans="1:18" x14ac:dyDescent="0.25">
      <c r="A558">
        <v>558</v>
      </c>
      <c r="B558" t="s">
        <v>1316</v>
      </c>
      <c r="D558" t="s">
        <v>1099</v>
      </c>
      <c r="E558" t="s">
        <v>384</v>
      </c>
      <c r="F558">
        <v>2</v>
      </c>
      <c r="G558" s="3">
        <v>43271</v>
      </c>
      <c r="H558">
        <v>15</v>
      </c>
      <c r="I558">
        <v>12.5</v>
      </c>
      <c r="J558">
        <v>542</v>
      </c>
      <c r="K558">
        <v>240</v>
      </c>
      <c r="L558" t="s">
        <v>135</v>
      </c>
      <c r="M558" t="s">
        <v>135</v>
      </c>
      <c r="N558" t="s">
        <v>135</v>
      </c>
      <c r="Q558">
        <v>5</v>
      </c>
      <c r="R558" t="s">
        <v>1607</v>
      </c>
    </row>
    <row r="559" spans="1:18" x14ac:dyDescent="0.25">
      <c r="A559">
        <v>559</v>
      </c>
      <c r="B559" t="s">
        <v>1317</v>
      </c>
      <c r="D559" t="s">
        <v>1099</v>
      </c>
      <c r="E559" t="s">
        <v>384</v>
      </c>
      <c r="F559">
        <v>3</v>
      </c>
      <c r="G559" s="3">
        <v>43272</v>
      </c>
      <c r="H559">
        <v>9.9</v>
      </c>
      <c r="I559">
        <v>8</v>
      </c>
      <c r="J559">
        <v>444</v>
      </c>
      <c r="K559">
        <v>40</v>
      </c>
      <c r="L559" t="s">
        <v>135</v>
      </c>
      <c r="M559" t="s">
        <v>135</v>
      </c>
      <c r="N559" t="s">
        <v>135</v>
      </c>
      <c r="Q559">
        <v>4</v>
      </c>
      <c r="R559" t="s">
        <v>1607</v>
      </c>
    </row>
    <row r="560" spans="1:18" x14ac:dyDescent="0.25">
      <c r="A560">
        <v>560</v>
      </c>
      <c r="B560" t="s">
        <v>1318</v>
      </c>
      <c r="D560" t="s">
        <v>1099</v>
      </c>
      <c r="E560" t="s">
        <v>384</v>
      </c>
      <c r="F560">
        <v>4</v>
      </c>
      <c r="G560" s="3">
        <v>43270</v>
      </c>
      <c r="H560">
        <v>17.2</v>
      </c>
      <c r="I560">
        <v>16.2</v>
      </c>
      <c r="J560">
        <v>539</v>
      </c>
      <c r="K560">
        <v>130</v>
      </c>
      <c r="L560" t="s">
        <v>135</v>
      </c>
      <c r="M560" t="s">
        <v>135</v>
      </c>
      <c r="N560" t="s">
        <v>135</v>
      </c>
      <c r="Q560">
        <v>5</v>
      </c>
      <c r="R560" t="s">
        <v>1607</v>
      </c>
    </row>
    <row r="561" spans="1:18" x14ac:dyDescent="0.25">
      <c r="A561">
        <v>561</v>
      </c>
      <c r="B561" t="s">
        <v>1319</v>
      </c>
      <c r="D561" t="s">
        <v>1099</v>
      </c>
      <c r="E561" t="s">
        <v>384</v>
      </c>
      <c r="F561">
        <v>5</v>
      </c>
      <c r="G561" s="3">
        <v>43270</v>
      </c>
      <c r="H561">
        <v>14.6</v>
      </c>
      <c r="I561">
        <v>13.8</v>
      </c>
      <c r="J561">
        <v>404</v>
      </c>
      <c r="K561">
        <v>130</v>
      </c>
      <c r="L561" t="s">
        <v>135</v>
      </c>
      <c r="M561" t="s">
        <v>135</v>
      </c>
      <c r="N561" t="s">
        <v>135</v>
      </c>
      <c r="Q561">
        <v>5</v>
      </c>
      <c r="R561" t="s">
        <v>1607</v>
      </c>
    </row>
    <row r="562" spans="1:18" x14ac:dyDescent="0.25">
      <c r="A562">
        <v>562</v>
      </c>
      <c r="B562" t="s">
        <v>1320</v>
      </c>
      <c r="D562" t="s">
        <v>1099</v>
      </c>
      <c r="E562" t="s">
        <v>909</v>
      </c>
      <c r="F562">
        <v>1</v>
      </c>
      <c r="G562" s="3">
        <v>43301</v>
      </c>
      <c r="H562">
        <v>33.5</v>
      </c>
      <c r="I562">
        <v>32.1</v>
      </c>
      <c r="J562">
        <v>1600</v>
      </c>
      <c r="K562">
        <v>650</v>
      </c>
      <c r="L562">
        <v>50.5</v>
      </c>
      <c r="M562">
        <v>52.33</v>
      </c>
      <c r="N562">
        <v>70.180000000000007</v>
      </c>
      <c r="Q562">
        <v>4</v>
      </c>
      <c r="R562" t="s">
        <v>1607</v>
      </c>
    </row>
    <row r="563" spans="1:18" x14ac:dyDescent="0.25">
      <c r="A563">
        <v>563</v>
      </c>
      <c r="B563" t="s">
        <v>1321</v>
      </c>
      <c r="D563" t="s">
        <v>1099</v>
      </c>
      <c r="E563" t="s">
        <v>909</v>
      </c>
      <c r="F563">
        <v>10</v>
      </c>
      <c r="G563" s="3">
        <v>43292</v>
      </c>
      <c r="H563">
        <v>16.7</v>
      </c>
      <c r="I563">
        <v>15.7</v>
      </c>
      <c r="J563">
        <v>617</v>
      </c>
      <c r="K563">
        <v>467</v>
      </c>
      <c r="L563" t="s">
        <v>135</v>
      </c>
      <c r="M563" t="s">
        <v>135</v>
      </c>
      <c r="N563" t="s">
        <v>135</v>
      </c>
      <c r="Q563">
        <v>4</v>
      </c>
      <c r="R563" t="s">
        <v>1607</v>
      </c>
    </row>
    <row r="564" spans="1:18" x14ac:dyDescent="0.25">
      <c r="A564">
        <v>564</v>
      </c>
      <c r="B564" t="s">
        <v>1323</v>
      </c>
      <c r="D564" t="s">
        <v>1099</v>
      </c>
      <c r="E564" t="s">
        <v>909</v>
      </c>
      <c r="F564">
        <v>2</v>
      </c>
      <c r="G564" s="3">
        <v>43280</v>
      </c>
      <c r="H564">
        <v>8</v>
      </c>
      <c r="I564">
        <v>6.6</v>
      </c>
      <c r="J564">
        <v>401</v>
      </c>
      <c r="K564">
        <v>20</v>
      </c>
      <c r="L564">
        <v>15.53</v>
      </c>
      <c r="M564">
        <v>15.3</v>
      </c>
      <c r="N564">
        <v>19.61</v>
      </c>
      <c r="Q564">
        <v>4</v>
      </c>
      <c r="R564" t="s">
        <v>1607</v>
      </c>
    </row>
    <row r="565" spans="1:18" x14ac:dyDescent="0.25">
      <c r="A565">
        <v>565</v>
      </c>
      <c r="B565" t="s">
        <v>1324</v>
      </c>
      <c r="D565" t="s">
        <v>1099</v>
      </c>
      <c r="E565" t="s">
        <v>909</v>
      </c>
      <c r="F565">
        <v>3</v>
      </c>
      <c r="G565" s="3">
        <v>43280</v>
      </c>
      <c r="H565">
        <v>11.6</v>
      </c>
      <c r="I565">
        <v>9.6</v>
      </c>
      <c r="J565">
        <v>415</v>
      </c>
      <c r="K565">
        <v>130</v>
      </c>
      <c r="L565">
        <v>22.44</v>
      </c>
      <c r="M565">
        <v>23.54</v>
      </c>
      <c r="N565">
        <v>23.18</v>
      </c>
      <c r="Q565">
        <v>4</v>
      </c>
      <c r="R565" t="s">
        <v>1607</v>
      </c>
    </row>
    <row r="566" spans="1:18" x14ac:dyDescent="0.25">
      <c r="A566">
        <v>566</v>
      </c>
      <c r="B566" t="s">
        <v>1325</v>
      </c>
      <c r="D566" t="s">
        <v>1099</v>
      </c>
      <c r="E566" t="s">
        <v>909</v>
      </c>
      <c r="F566">
        <v>4</v>
      </c>
      <c r="G566" s="3">
        <v>43280</v>
      </c>
      <c r="H566">
        <v>9.6999999999999993</v>
      </c>
      <c r="I566">
        <v>8</v>
      </c>
      <c r="J566">
        <v>445</v>
      </c>
      <c r="K566">
        <v>80</v>
      </c>
      <c r="L566">
        <v>18.059999999999999</v>
      </c>
      <c r="M566">
        <v>21.55</v>
      </c>
      <c r="N566">
        <v>22.7</v>
      </c>
      <c r="Q566">
        <v>4</v>
      </c>
      <c r="R566" t="s">
        <v>1607</v>
      </c>
    </row>
    <row r="567" spans="1:18" x14ac:dyDescent="0.25">
      <c r="A567">
        <v>567</v>
      </c>
      <c r="B567" t="s">
        <v>1326</v>
      </c>
      <c r="D567" t="s">
        <v>1099</v>
      </c>
      <c r="E567" t="s">
        <v>909</v>
      </c>
      <c r="F567">
        <v>5</v>
      </c>
      <c r="G567" s="3">
        <v>43280</v>
      </c>
      <c r="H567">
        <v>11.2</v>
      </c>
      <c r="I567">
        <v>10</v>
      </c>
      <c r="J567">
        <v>556</v>
      </c>
      <c r="K567">
        <v>235</v>
      </c>
      <c r="L567">
        <v>23.3</v>
      </c>
      <c r="M567">
        <v>21.19</v>
      </c>
      <c r="N567">
        <v>23.98</v>
      </c>
      <c r="Q567">
        <v>4</v>
      </c>
      <c r="R567" t="s">
        <v>1607</v>
      </c>
    </row>
    <row r="568" spans="1:18" x14ac:dyDescent="0.25">
      <c r="A568">
        <v>568</v>
      </c>
      <c r="B568" t="s">
        <v>1327</v>
      </c>
      <c r="D568" t="s">
        <v>1099</v>
      </c>
      <c r="E568" t="s">
        <v>909</v>
      </c>
      <c r="F568">
        <v>6</v>
      </c>
      <c r="G568" s="3">
        <v>43280</v>
      </c>
      <c r="H568">
        <v>9.5</v>
      </c>
      <c r="I568">
        <v>8.9</v>
      </c>
      <c r="J568">
        <v>475</v>
      </c>
      <c r="K568">
        <v>215</v>
      </c>
      <c r="L568">
        <v>14.92</v>
      </c>
      <c r="M568">
        <v>19.649999999999999</v>
      </c>
      <c r="N568">
        <v>14.06</v>
      </c>
      <c r="Q568">
        <v>4</v>
      </c>
      <c r="R568" t="s">
        <v>1607</v>
      </c>
    </row>
    <row r="569" spans="1:18" x14ac:dyDescent="0.25">
      <c r="A569">
        <v>569</v>
      </c>
      <c r="B569" t="s">
        <v>1329</v>
      </c>
      <c r="D569" t="s">
        <v>1099</v>
      </c>
      <c r="E569" t="s">
        <v>909</v>
      </c>
      <c r="F569">
        <v>7</v>
      </c>
      <c r="G569" s="3">
        <v>43280</v>
      </c>
      <c r="H569">
        <v>16.399999999999999</v>
      </c>
      <c r="I569">
        <v>14.7</v>
      </c>
      <c r="J569">
        <v>544</v>
      </c>
      <c r="K569">
        <v>175</v>
      </c>
      <c r="L569">
        <v>36.549999999999997</v>
      </c>
      <c r="M569">
        <v>38.869999999999997</v>
      </c>
      <c r="N569">
        <v>41.29</v>
      </c>
      <c r="Q569">
        <v>5</v>
      </c>
      <c r="R569" t="s">
        <v>1607</v>
      </c>
    </row>
    <row r="570" spans="1:18" x14ac:dyDescent="0.25">
      <c r="A570">
        <v>570</v>
      </c>
      <c r="B570" t="s">
        <v>1331</v>
      </c>
      <c r="D570" t="s">
        <v>1099</v>
      </c>
      <c r="E570" t="s">
        <v>909</v>
      </c>
      <c r="F570">
        <v>8</v>
      </c>
      <c r="G570" s="3">
        <v>43280</v>
      </c>
      <c r="H570">
        <v>7.5</v>
      </c>
      <c r="I570">
        <v>6.2</v>
      </c>
      <c r="J570">
        <v>402</v>
      </c>
      <c r="K570">
        <v>90</v>
      </c>
      <c r="L570">
        <v>12.06</v>
      </c>
      <c r="M570">
        <v>16.02</v>
      </c>
      <c r="N570">
        <v>15.98</v>
      </c>
      <c r="Q570">
        <v>4</v>
      </c>
      <c r="R570" t="s">
        <v>1607</v>
      </c>
    </row>
    <row r="571" spans="1:18" x14ac:dyDescent="0.25">
      <c r="A571">
        <v>571</v>
      </c>
      <c r="B571" t="s">
        <v>1333</v>
      </c>
      <c r="D571" t="s">
        <v>1099</v>
      </c>
      <c r="E571" t="s">
        <v>909</v>
      </c>
      <c r="F571">
        <v>9</v>
      </c>
      <c r="G571" s="3">
        <v>43280</v>
      </c>
      <c r="H571">
        <v>5.8</v>
      </c>
      <c r="I571">
        <v>5.2</v>
      </c>
      <c r="J571">
        <v>283</v>
      </c>
      <c r="K571">
        <v>109</v>
      </c>
      <c r="L571">
        <v>12.33</v>
      </c>
      <c r="M571">
        <v>12.25</v>
      </c>
      <c r="N571">
        <v>12.77</v>
      </c>
      <c r="Q571">
        <v>4</v>
      </c>
      <c r="R571" t="s">
        <v>1607</v>
      </c>
    </row>
    <row r="572" spans="1:18" x14ac:dyDescent="0.25">
      <c r="A572">
        <v>572</v>
      </c>
      <c r="B572" t="s">
        <v>1335</v>
      </c>
      <c r="D572" t="s">
        <v>1099</v>
      </c>
      <c r="E572" t="s">
        <v>373</v>
      </c>
      <c r="F572">
        <v>1</v>
      </c>
      <c r="G572" s="3">
        <v>43289</v>
      </c>
      <c r="H572">
        <v>2</v>
      </c>
      <c r="I572" t="s">
        <v>1611</v>
      </c>
      <c r="J572">
        <v>211</v>
      </c>
      <c r="K572">
        <v>126</v>
      </c>
      <c r="L572">
        <v>1.75</v>
      </c>
      <c r="M572" t="s">
        <v>135</v>
      </c>
      <c r="N572" t="s">
        <v>135</v>
      </c>
      <c r="Q572">
        <v>4</v>
      </c>
      <c r="R572" t="s">
        <v>1607</v>
      </c>
    </row>
    <row r="573" spans="1:18" x14ac:dyDescent="0.25">
      <c r="A573">
        <v>573</v>
      </c>
      <c r="B573" t="s">
        <v>1336</v>
      </c>
      <c r="D573" t="s">
        <v>1099</v>
      </c>
      <c r="E573" t="s">
        <v>373</v>
      </c>
      <c r="F573">
        <v>2</v>
      </c>
      <c r="G573" s="3">
        <v>43289</v>
      </c>
      <c r="H573">
        <v>2.9</v>
      </c>
      <c r="I573">
        <v>1.9</v>
      </c>
      <c r="J573">
        <v>232</v>
      </c>
      <c r="K573">
        <v>110</v>
      </c>
      <c r="L573">
        <v>3.06</v>
      </c>
      <c r="M573" t="s">
        <v>135</v>
      </c>
      <c r="N573" t="s">
        <v>135</v>
      </c>
      <c r="Q573">
        <v>4</v>
      </c>
      <c r="R573" t="s">
        <v>1607</v>
      </c>
    </row>
    <row r="574" spans="1:18" x14ac:dyDescent="0.25">
      <c r="A574">
        <v>574</v>
      </c>
      <c r="B574" t="s">
        <v>1337</v>
      </c>
      <c r="D574" t="s">
        <v>1099</v>
      </c>
      <c r="E574" t="s">
        <v>373</v>
      </c>
      <c r="F574">
        <v>3</v>
      </c>
      <c r="G574" s="3">
        <v>43289</v>
      </c>
      <c r="H574">
        <v>2.1</v>
      </c>
      <c r="I574" t="s">
        <v>1612</v>
      </c>
      <c r="J574">
        <v>181</v>
      </c>
      <c r="K574">
        <v>90</v>
      </c>
      <c r="L574">
        <v>1.88</v>
      </c>
      <c r="M574" t="s">
        <v>135</v>
      </c>
      <c r="N574" t="s">
        <v>135</v>
      </c>
      <c r="Q574">
        <v>4</v>
      </c>
      <c r="R574" t="s">
        <v>1607</v>
      </c>
    </row>
    <row r="575" spans="1:18" x14ac:dyDescent="0.25">
      <c r="A575">
        <v>575</v>
      </c>
      <c r="B575" t="s">
        <v>1338</v>
      </c>
      <c r="D575" t="s">
        <v>1099</v>
      </c>
      <c r="E575" t="s">
        <v>373</v>
      </c>
      <c r="F575">
        <v>4</v>
      </c>
      <c r="G575" s="3">
        <v>43289</v>
      </c>
      <c r="H575">
        <v>2.7</v>
      </c>
      <c r="I575" t="s">
        <v>1613</v>
      </c>
      <c r="J575">
        <v>190</v>
      </c>
      <c r="K575">
        <v>80</v>
      </c>
      <c r="L575">
        <v>1.98</v>
      </c>
      <c r="M575" t="s">
        <v>135</v>
      </c>
      <c r="N575" t="s">
        <v>135</v>
      </c>
      <c r="Q575">
        <v>4</v>
      </c>
      <c r="R575" t="s">
        <v>1607</v>
      </c>
    </row>
    <row r="576" spans="1:18" x14ac:dyDescent="0.25">
      <c r="A576">
        <v>576</v>
      </c>
      <c r="B576" t="s">
        <v>1339</v>
      </c>
      <c r="D576" t="s">
        <v>1099</v>
      </c>
      <c r="E576" t="s">
        <v>373</v>
      </c>
      <c r="F576">
        <v>5</v>
      </c>
      <c r="G576" s="3">
        <v>43289</v>
      </c>
      <c r="H576">
        <v>4.0999999999999996</v>
      </c>
      <c r="I576" t="s">
        <v>1614</v>
      </c>
      <c r="J576">
        <v>191</v>
      </c>
      <c r="K576">
        <v>140</v>
      </c>
      <c r="L576">
        <v>2.8</v>
      </c>
      <c r="M576" t="s">
        <v>135</v>
      </c>
      <c r="N576" t="s">
        <v>135</v>
      </c>
      <c r="Q576">
        <v>4</v>
      </c>
      <c r="R576" t="s">
        <v>1607</v>
      </c>
    </row>
    <row r="577" spans="1:18" x14ac:dyDescent="0.25">
      <c r="A577">
        <v>577</v>
      </c>
      <c r="B577" t="s">
        <v>1340</v>
      </c>
      <c r="D577" t="s">
        <v>1099</v>
      </c>
      <c r="E577" t="s">
        <v>359</v>
      </c>
      <c r="F577">
        <v>1</v>
      </c>
      <c r="G577" s="3">
        <v>43307</v>
      </c>
      <c r="H577">
        <v>2.4</v>
      </c>
      <c r="I577">
        <v>1</v>
      </c>
      <c r="J577">
        <v>205</v>
      </c>
      <c r="K577">
        <v>90</v>
      </c>
      <c r="L577" t="s">
        <v>135</v>
      </c>
      <c r="M577" t="s">
        <v>135</v>
      </c>
      <c r="N577" t="s">
        <v>135</v>
      </c>
      <c r="Q577">
        <v>4</v>
      </c>
      <c r="R577" t="s">
        <v>1607</v>
      </c>
    </row>
    <row r="578" spans="1:18" x14ac:dyDescent="0.25">
      <c r="A578">
        <v>578</v>
      </c>
      <c r="B578" t="s">
        <v>1341</v>
      </c>
      <c r="D578" t="s">
        <v>1099</v>
      </c>
      <c r="E578" t="s">
        <v>359</v>
      </c>
      <c r="F578">
        <v>2</v>
      </c>
      <c r="G578" s="3">
        <v>43307</v>
      </c>
      <c r="H578">
        <v>4</v>
      </c>
      <c r="I578">
        <v>2</v>
      </c>
      <c r="J578">
        <v>250</v>
      </c>
      <c r="K578">
        <v>100</v>
      </c>
      <c r="L578" t="s">
        <v>135</v>
      </c>
      <c r="M578" t="s">
        <v>135</v>
      </c>
      <c r="N578" t="s">
        <v>135</v>
      </c>
      <c r="Q578">
        <v>4</v>
      </c>
      <c r="R578" t="s">
        <v>1607</v>
      </c>
    </row>
    <row r="579" spans="1:18" x14ac:dyDescent="0.25">
      <c r="A579">
        <v>579</v>
      </c>
      <c r="B579" t="s">
        <v>1342</v>
      </c>
      <c r="D579" t="s">
        <v>1099</v>
      </c>
      <c r="E579" t="s">
        <v>359</v>
      </c>
      <c r="F579">
        <v>3</v>
      </c>
      <c r="G579" s="3">
        <v>43307</v>
      </c>
      <c r="H579">
        <v>5.5</v>
      </c>
      <c r="I579">
        <v>2</v>
      </c>
      <c r="J579">
        <v>217</v>
      </c>
      <c r="K579">
        <v>135</v>
      </c>
      <c r="L579" t="s">
        <v>135</v>
      </c>
      <c r="M579" t="s">
        <v>135</v>
      </c>
      <c r="N579" t="s">
        <v>135</v>
      </c>
      <c r="Q579">
        <v>4</v>
      </c>
      <c r="R579" t="s">
        <v>1607</v>
      </c>
    </row>
    <row r="580" spans="1:18" x14ac:dyDescent="0.25">
      <c r="A580">
        <v>580</v>
      </c>
      <c r="B580" t="s">
        <v>1343</v>
      </c>
      <c r="D580" t="s">
        <v>1099</v>
      </c>
      <c r="E580" t="s">
        <v>359</v>
      </c>
      <c r="F580">
        <v>4</v>
      </c>
      <c r="G580" s="3">
        <v>43307</v>
      </c>
      <c r="H580">
        <v>2.8</v>
      </c>
      <c r="I580">
        <v>1.7</v>
      </c>
      <c r="J580">
        <v>198</v>
      </c>
      <c r="K580">
        <v>100</v>
      </c>
      <c r="L580">
        <v>6.87</v>
      </c>
      <c r="M580">
        <v>6.34</v>
      </c>
      <c r="N580" t="s">
        <v>135</v>
      </c>
      <c r="Q580">
        <v>4</v>
      </c>
      <c r="R580" t="s">
        <v>1607</v>
      </c>
    </row>
    <row r="581" spans="1:18" x14ac:dyDescent="0.25">
      <c r="A581">
        <v>581</v>
      </c>
      <c r="B581" t="s">
        <v>1344</v>
      </c>
      <c r="D581" t="s">
        <v>1099</v>
      </c>
      <c r="E581" t="s">
        <v>359</v>
      </c>
      <c r="F581">
        <v>5</v>
      </c>
      <c r="G581" s="3">
        <v>43307</v>
      </c>
      <c r="H581">
        <v>1.6</v>
      </c>
      <c r="I581">
        <v>1</v>
      </c>
      <c r="J581">
        <v>162</v>
      </c>
      <c r="K581">
        <v>115</v>
      </c>
      <c r="L581">
        <v>2.66</v>
      </c>
      <c r="M581" t="s">
        <v>135</v>
      </c>
      <c r="N581" t="s">
        <v>135</v>
      </c>
      <c r="Q581">
        <v>4</v>
      </c>
      <c r="R581" t="s">
        <v>1607</v>
      </c>
    </row>
    <row r="582" spans="1:18" x14ac:dyDescent="0.25">
      <c r="A582">
        <v>582</v>
      </c>
      <c r="B582" t="s">
        <v>1345</v>
      </c>
      <c r="D582" t="s">
        <v>1099</v>
      </c>
      <c r="E582" t="s">
        <v>389</v>
      </c>
      <c r="F582">
        <v>1</v>
      </c>
      <c r="G582" s="3">
        <v>43284</v>
      </c>
      <c r="H582">
        <v>13.5</v>
      </c>
      <c r="I582">
        <v>9.9</v>
      </c>
      <c r="J582">
        <v>722</v>
      </c>
      <c r="K582">
        <v>270</v>
      </c>
      <c r="L582">
        <v>18.68</v>
      </c>
      <c r="M582">
        <v>11.88</v>
      </c>
      <c r="N582">
        <v>10.38</v>
      </c>
      <c r="Q582">
        <v>4</v>
      </c>
      <c r="R582" t="s">
        <v>1607</v>
      </c>
    </row>
    <row r="583" spans="1:18" x14ac:dyDescent="0.25">
      <c r="A583">
        <v>583</v>
      </c>
      <c r="B583" t="s">
        <v>1346</v>
      </c>
      <c r="D583" t="s">
        <v>1099</v>
      </c>
      <c r="E583" t="s">
        <v>389</v>
      </c>
      <c r="F583">
        <v>2</v>
      </c>
      <c r="G583" s="3">
        <v>43280</v>
      </c>
      <c r="H583">
        <v>25.5</v>
      </c>
      <c r="I583">
        <v>21.6</v>
      </c>
      <c r="J583">
        <v>1200</v>
      </c>
      <c r="K583">
        <v>320</v>
      </c>
      <c r="L583">
        <v>18.989999999999998</v>
      </c>
      <c r="M583">
        <v>15.42</v>
      </c>
      <c r="N583">
        <v>17.75</v>
      </c>
      <c r="Q583">
        <v>4</v>
      </c>
      <c r="R583" t="s">
        <v>1607</v>
      </c>
    </row>
    <row r="584" spans="1:18" x14ac:dyDescent="0.25">
      <c r="A584">
        <v>584</v>
      </c>
      <c r="B584" t="s">
        <v>1347</v>
      </c>
      <c r="D584" t="s">
        <v>1099</v>
      </c>
      <c r="E584" t="s">
        <v>389</v>
      </c>
      <c r="F584">
        <v>3</v>
      </c>
      <c r="G584" s="3">
        <v>43284</v>
      </c>
      <c r="H584">
        <v>15.7</v>
      </c>
      <c r="I584">
        <v>12.8</v>
      </c>
      <c r="J584">
        <v>900</v>
      </c>
      <c r="K584">
        <v>400</v>
      </c>
      <c r="L584">
        <v>16.07</v>
      </c>
      <c r="M584">
        <v>12.83</v>
      </c>
      <c r="N584">
        <v>10.55</v>
      </c>
      <c r="Q584">
        <v>4</v>
      </c>
      <c r="R584" t="s">
        <v>1607</v>
      </c>
    </row>
    <row r="585" spans="1:18" x14ac:dyDescent="0.25">
      <c r="A585">
        <v>585</v>
      </c>
      <c r="B585" t="s">
        <v>1348</v>
      </c>
      <c r="D585" t="s">
        <v>1099</v>
      </c>
      <c r="E585" t="s">
        <v>389</v>
      </c>
      <c r="F585">
        <v>4</v>
      </c>
      <c r="G585" s="3">
        <v>43284</v>
      </c>
      <c r="H585">
        <v>8</v>
      </c>
      <c r="I585">
        <v>4.8</v>
      </c>
      <c r="J585">
        <v>389</v>
      </c>
      <c r="K585">
        <v>130</v>
      </c>
      <c r="L585">
        <v>9.59</v>
      </c>
      <c r="M585">
        <v>8.07</v>
      </c>
      <c r="N585">
        <v>10.55</v>
      </c>
      <c r="Q585">
        <v>3</v>
      </c>
      <c r="R585" t="s">
        <v>1607</v>
      </c>
    </row>
    <row r="586" spans="1:18" x14ac:dyDescent="0.25">
      <c r="A586">
        <v>586</v>
      </c>
      <c r="B586" t="s">
        <v>1349</v>
      </c>
      <c r="D586" t="s">
        <v>1099</v>
      </c>
      <c r="E586" t="s">
        <v>389</v>
      </c>
      <c r="F586">
        <v>5</v>
      </c>
      <c r="G586" s="3">
        <v>43291</v>
      </c>
      <c r="H586">
        <v>26.6</v>
      </c>
      <c r="I586">
        <v>24.8</v>
      </c>
      <c r="J586">
        <v>1040</v>
      </c>
      <c r="K586">
        <v>550</v>
      </c>
      <c r="L586">
        <v>27.67</v>
      </c>
      <c r="M586">
        <v>21.28</v>
      </c>
      <c r="N586">
        <v>18.73</v>
      </c>
      <c r="Q586">
        <v>5</v>
      </c>
      <c r="R586" t="s">
        <v>1607</v>
      </c>
    </row>
    <row r="587" spans="1:18" x14ac:dyDescent="0.25">
      <c r="A587">
        <v>587</v>
      </c>
      <c r="B587" t="s">
        <v>1350</v>
      </c>
      <c r="D587" t="s">
        <v>1099</v>
      </c>
      <c r="E587" t="s">
        <v>340</v>
      </c>
      <c r="F587">
        <v>1</v>
      </c>
      <c r="G587" s="3">
        <v>43307</v>
      </c>
      <c r="H587">
        <v>11</v>
      </c>
      <c r="I587">
        <v>8.6</v>
      </c>
      <c r="J587">
        <v>451</v>
      </c>
      <c r="K587">
        <v>150</v>
      </c>
      <c r="L587" t="s">
        <v>135</v>
      </c>
      <c r="M587" t="s">
        <v>135</v>
      </c>
      <c r="N587" t="s">
        <v>135</v>
      </c>
      <c r="Q587">
        <v>5</v>
      </c>
      <c r="R587" t="s">
        <v>1607</v>
      </c>
    </row>
    <row r="588" spans="1:18" x14ac:dyDescent="0.25">
      <c r="A588">
        <v>588</v>
      </c>
      <c r="B588" t="s">
        <v>1351</v>
      </c>
      <c r="D588" t="s">
        <v>1099</v>
      </c>
      <c r="E588" t="s">
        <v>340</v>
      </c>
      <c r="F588">
        <v>2</v>
      </c>
      <c r="G588" s="3">
        <v>43307</v>
      </c>
      <c r="H588">
        <v>6.2</v>
      </c>
      <c r="I588">
        <v>5.4</v>
      </c>
      <c r="J588">
        <v>356</v>
      </c>
      <c r="K588">
        <v>150</v>
      </c>
      <c r="L588">
        <v>9.32</v>
      </c>
      <c r="M588" t="s">
        <v>135</v>
      </c>
      <c r="N588" t="s">
        <v>135</v>
      </c>
      <c r="Q588">
        <v>5</v>
      </c>
      <c r="R588" t="s">
        <v>1607</v>
      </c>
    </row>
    <row r="589" spans="1:18" x14ac:dyDescent="0.25">
      <c r="A589">
        <v>589</v>
      </c>
      <c r="B589" t="s">
        <v>1352</v>
      </c>
      <c r="D589" t="s">
        <v>1099</v>
      </c>
      <c r="E589" t="s">
        <v>340</v>
      </c>
      <c r="F589">
        <v>3</v>
      </c>
      <c r="G589" s="3">
        <v>43307</v>
      </c>
      <c r="H589">
        <v>10.8</v>
      </c>
      <c r="I589" t="s">
        <v>1615</v>
      </c>
      <c r="J589">
        <v>370</v>
      </c>
      <c r="K589">
        <v>110</v>
      </c>
      <c r="L589">
        <v>17.670000000000002</v>
      </c>
      <c r="M589" t="s">
        <v>135</v>
      </c>
      <c r="N589" t="s">
        <v>135</v>
      </c>
      <c r="Q589">
        <v>5</v>
      </c>
      <c r="R589" t="s">
        <v>1607</v>
      </c>
    </row>
    <row r="590" spans="1:18" x14ac:dyDescent="0.25">
      <c r="A590">
        <v>590</v>
      </c>
      <c r="B590" t="s">
        <v>1353</v>
      </c>
      <c r="D590" t="s">
        <v>1099</v>
      </c>
      <c r="E590" t="s">
        <v>340</v>
      </c>
      <c r="F590">
        <v>4</v>
      </c>
      <c r="G590" s="3">
        <v>43307</v>
      </c>
      <c r="H590">
        <v>8.1999999999999993</v>
      </c>
      <c r="I590">
        <v>5.9</v>
      </c>
      <c r="J590">
        <v>365</v>
      </c>
      <c r="K590">
        <v>130</v>
      </c>
      <c r="L590" t="s">
        <v>135</v>
      </c>
      <c r="M590" t="s">
        <v>135</v>
      </c>
      <c r="N590" t="s">
        <v>135</v>
      </c>
      <c r="Q590">
        <v>5</v>
      </c>
      <c r="R590" t="s">
        <v>1607</v>
      </c>
    </row>
    <row r="591" spans="1:18" x14ac:dyDescent="0.25">
      <c r="A591">
        <v>591</v>
      </c>
      <c r="B591" t="s">
        <v>1354</v>
      </c>
      <c r="D591" t="s">
        <v>1099</v>
      </c>
      <c r="E591" t="s">
        <v>340</v>
      </c>
      <c r="F591">
        <v>5</v>
      </c>
      <c r="G591" s="3">
        <v>43307</v>
      </c>
      <c r="H591">
        <v>4.8</v>
      </c>
      <c r="I591">
        <v>3.2</v>
      </c>
      <c r="J591">
        <v>240</v>
      </c>
      <c r="K591">
        <v>90</v>
      </c>
      <c r="L591">
        <v>11.32</v>
      </c>
      <c r="M591" t="s">
        <v>135</v>
      </c>
      <c r="N591" t="s">
        <v>135</v>
      </c>
      <c r="Q591">
        <v>5</v>
      </c>
      <c r="R591" t="s">
        <v>1607</v>
      </c>
    </row>
    <row r="592" spans="1:18" x14ac:dyDescent="0.25">
      <c r="A592">
        <v>592</v>
      </c>
      <c r="B592" t="s">
        <v>1355</v>
      </c>
      <c r="D592" t="s">
        <v>1099</v>
      </c>
      <c r="E592" t="s">
        <v>593</v>
      </c>
      <c r="F592">
        <v>1</v>
      </c>
      <c r="G592" s="3">
        <v>43308</v>
      </c>
      <c r="H592">
        <v>13.5</v>
      </c>
      <c r="I592">
        <v>10.5</v>
      </c>
      <c r="J592">
        <v>392</v>
      </c>
      <c r="K592">
        <v>80</v>
      </c>
      <c r="L592">
        <v>17.84</v>
      </c>
      <c r="M592">
        <v>20.5</v>
      </c>
      <c r="N592">
        <v>17.89</v>
      </c>
      <c r="Q592">
        <v>5</v>
      </c>
      <c r="R592" t="s">
        <v>1607</v>
      </c>
    </row>
    <row r="593" spans="1:18" x14ac:dyDescent="0.25">
      <c r="A593">
        <v>593</v>
      </c>
      <c r="B593" t="s">
        <v>1357</v>
      </c>
      <c r="D593" t="s">
        <v>1099</v>
      </c>
      <c r="E593" t="s">
        <v>593</v>
      </c>
      <c r="F593">
        <v>2</v>
      </c>
      <c r="G593" s="3">
        <v>43308</v>
      </c>
      <c r="H593">
        <v>12</v>
      </c>
      <c r="I593">
        <v>9.8000000000000007</v>
      </c>
      <c r="J593">
        <v>382</v>
      </c>
      <c r="K593">
        <v>185</v>
      </c>
      <c r="L593">
        <v>17.100000000000001</v>
      </c>
      <c r="M593">
        <v>21.19</v>
      </c>
      <c r="N593">
        <v>20.39</v>
      </c>
      <c r="Q593">
        <v>5</v>
      </c>
      <c r="R593" t="s">
        <v>1607</v>
      </c>
    </row>
    <row r="594" spans="1:18" x14ac:dyDescent="0.25">
      <c r="A594">
        <v>594</v>
      </c>
      <c r="B594" t="s">
        <v>1358</v>
      </c>
      <c r="D594" t="s">
        <v>1099</v>
      </c>
      <c r="E594" t="s">
        <v>593</v>
      </c>
      <c r="F594">
        <v>3</v>
      </c>
      <c r="G594" s="3">
        <v>43308</v>
      </c>
      <c r="H594">
        <v>12</v>
      </c>
      <c r="I594">
        <v>11</v>
      </c>
      <c r="J594">
        <v>382</v>
      </c>
      <c r="K594">
        <v>70</v>
      </c>
      <c r="L594">
        <v>20.190000000000001</v>
      </c>
      <c r="M594">
        <v>22.57</v>
      </c>
      <c r="N594">
        <v>19.28</v>
      </c>
      <c r="Q594">
        <v>5</v>
      </c>
      <c r="R594" t="s">
        <v>1607</v>
      </c>
    </row>
    <row r="595" spans="1:18" x14ac:dyDescent="0.25">
      <c r="A595">
        <v>595</v>
      </c>
      <c r="B595" t="s">
        <v>1359</v>
      </c>
      <c r="D595" t="s">
        <v>1099</v>
      </c>
      <c r="E595" t="s">
        <v>593</v>
      </c>
      <c r="F595">
        <v>4</v>
      </c>
      <c r="G595" s="3">
        <v>43308</v>
      </c>
      <c r="H595">
        <v>11.7</v>
      </c>
      <c r="I595">
        <v>8.8000000000000007</v>
      </c>
      <c r="J595">
        <v>364</v>
      </c>
      <c r="K595">
        <v>90</v>
      </c>
      <c r="L595">
        <v>14.39</v>
      </c>
      <c r="M595">
        <v>18.66</v>
      </c>
      <c r="N595">
        <v>20.48</v>
      </c>
      <c r="Q595">
        <v>5</v>
      </c>
      <c r="R595" t="s">
        <v>1607</v>
      </c>
    </row>
    <row r="596" spans="1:18" x14ac:dyDescent="0.25">
      <c r="A596">
        <v>596</v>
      </c>
      <c r="B596" t="s">
        <v>1360</v>
      </c>
      <c r="D596" t="s">
        <v>1099</v>
      </c>
      <c r="E596" t="s">
        <v>593</v>
      </c>
      <c r="F596">
        <v>5</v>
      </c>
      <c r="G596" s="3">
        <v>43308</v>
      </c>
      <c r="H596">
        <v>8.8000000000000007</v>
      </c>
      <c r="I596">
        <v>7</v>
      </c>
      <c r="J596">
        <v>277</v>
      </c>
      <c r="K596">
        <v>120</v>
      </c>
      <c r="L596">
        <v>15.88</v>
      </c>
      <c r="M596">
        <v>17.010000000000002</v>
      </c>
      <c r="N596">
        <v>14.1</v>
      </c>
      <c r="Q596">
        <v>5</v>
      </c>
      <c r="R596" t="s">
        <v>1607</v>
      </c>
    </row>
    <row r="597" spans="1:18" x14ac:dyDescent="0.25">
      <c r="A597">
        <v>597</v>
      </c>
      <c r="B597" t="s">
        <v>1361</v>
      </c>
      <c r="D597" t="s">
        <v>1099</v>
      </c>
      <c r="E597" t="s">
        <v>339</v>
      </c>
      <c r="F597">
        <v>1</v>
      </c>
      <c r="G597" s="3">
        <v>43288</v>
      </c>
      <c r="H597">
        <v>5</v>
      </c>
      <c r="I597" t="s">
        <v>1616</v>
      </c>
      <c r="J597">
        <v>230</v>
      </c>
      <c r="K597">
        <v>115</v>
      </c>
      <c r="L597">
        <v>2.31</v>
      </c>
      <c r="M597" t="s">
        <v>135</v>
      </c>
      <c r="N597" t="s">
        <v>135</v>
      </c>
      <c r="Q597">
        <v>4</v>
      </c>
      <c r="R597" t="s">
        <v>1607</v>
      </c>
    </row>
    <row r="598" spans="1:18" x14ac:dyDescent="0.25">
      <c r="A598">
        <v>598</v>
      </c>
      <c r="B598" t="s">
        <v>1362</v>
      </c>
      <c r="D598" t="s">
        <v>1099</v>
      </c>
      <c r="E598" t="s">
        <v>339</v>
      </c>
      <c r="F598">
        <v>2</v>
      </c>
      <c r="G598" s="3">
        <v>43288</v>
      </c>
      <c r="H598">
        <v>2.5</v>
      </c>
      <c r="I598" t="s">
        <v>1617</v>
      </c>
      <c r="J598">
        <v>277</v>
      </c>
      <c r="K598">
        <v>105</v>
      </c>
      <c r="L598">
        <v>2.0099999999999998</v>
      </c>
      <c r="M598" t="s">
        <v>135</v>
      </c>
      <c r="N598" t="s">
        <v>135</v>
      </c>
      <c r="Q598">
        <v>5</v>
      </c>
      <c r="R598" t="s">
        <v>1607</v>
      </c>
    </row>
    <row r="599" spans="1:18" x14ac:dyDescent="0.25">
      <c r="A599">
        <v>599</v>
      </c>
      <c r="B599" t="s">
        <v>1363</v>
      </c>
      <c r="D599" t="s">
        <v>1099</v>
      </c>
      <c r="E599" t="s">
        <v>339</v>
      </c>
      <c r="F599">
        <v>3</v>
      </c>
      <c r="G599" s="3">
        <v>43288</v>
      </c>
      <c r="H599">
        <v>2.6</v>
      </c>
      <c r="I599">
        <v>2</v>
      </c>
      <c r="J599">
        <v>237</v>
      </c>
      <c r="K599">
        <v>90</v>
      </c>
      <c r="L599">
        <v>2</v>
      </c>
      <c r="M599" t="s">
        <v>135</v>
      </c>
      <c r="N599" t="s">
        <v>135</v>
      </c>
      <c r="Q599">
        <v>5</v>
      </c>
      <c r="R599" t="s">
        <v>1607</v>
      </c>
    </row>
    <row r="600" spans="1:18" x14ac:dyDescent="0.25">
      <c r="A600">
        <v>600</v>
      </c>
      <c r="B600" t="s">
        <v>1364</v>
      </c>
      <c r="D600" t="s">
        <v>1099</v>
      </c>
      <c r="E600" t="s">
        <v>339</v>
      </c>
      <c r="F600">
        <v>4</v>
      </c>
      <c r="G600" s="3">
        <v>43288</v>
      </c>
      <c r="H600">
        <v>3</v>
      </c>
      <c r="I600" t="s">
        <v>1618</v>
      </c>
      <c r="J600">
        <v>238</v>
      </c>
      <c r="K600">
        <v>120</v>
      </c>
      <c r="L600">
        <v>2.19</v>
      </c>
      <c r="M600" t="s">
        <v>135</v>
      </c>
      <c r="N600" t="s">
        <v>135</v>
      </c>
      <c r="Q600">
        <v>5</v>
      </c>
      <c r="R600" t="s">
        <v>1607</v>
      </c>
    </row>
    <row r="601" spans="1:18" x14ac:dyDescent="0.25">
      <c r="A601">
        <v>601</v>
      </c>
      <c r="B601" t="s">
        <v>1365</v>
      </c>
      <c r="D601" t="s">
        <v>1099</v>
      </c>
      <c r="E601" t="s">
        <v>339</v>
      </c>
      <c r="F601">
        <v>5</v>
      </c>
      <c r="G601" s="3">
        <v>43288</v>
      </c>
      <c r="H601">
        <v>2</v>
      </c>
      <c r="I601" t="s">
        <v>1619</v>
      </c>
      <c r="J601">
        <v>182</v>
      </c>
      <c r="K601">
        <v>80</v>
      </c>
      <c r="L601">
        <v>1.45</v>
      </c>
      <c r="M601" t="s">
        <v>135</v>
      </c>
      <c r="N601" t="s">
        <v>135</v>
      </c>
      <c r="Q601">
        <v>5</v>
      </c>
      <c r="R601" t="s">
        <v>1607</v>
      </c>
    </row>
    <row r="602" spans="1:18" x14ac:dyDescent="0.25">
      <c r="A602">
        <v>602</v>
      </c>
      <c r="B602" t="s">
        <v>1366</v>
      </c>
      <c r="D602" t="s">
        <v>1099</v>
      </c>
      <c r="E602" t="s">
        <v>332</v>
      </c>
      <c r="F602">
        <v>1</v>
      </c>
      <c r="G602" s="3">
        <v>43244</v>
      </c>
      <c r="H602">
        <v>17</v>
      </c>
      <c r="I602">
        <v>16.399999999999999</v>
      </c>
      <c r="J602">
        <v>420</v>
      </c>
      <c r="K602">
        <v>40</v>
      </c>
      <c r="L602" t="s">
        <v>135</v>
      </c>
      <c r="M602" t="s">
        <v>135</v>
      </c>
      <c r="N602" t="s">
        <v>135</v>
      </c>
      <c r="Q602">
        <v>5</v>
      </c>
      <c r="R602" t="s">
        <v>1607</v>
      </c>
    </row>
    <row r="603" spans="1:18" x14ac:dyDescent="0.25">
      <c r="A603">
        <v>603</v>
      </c>
      <c r="B603" t="s">
        <v>1368</v>
      </c>
      <c r="D603" t="s">
        <v>1099</v>
      </c>
      <c r="E603" t="s">
        <v>332</v>
      </c>
      <c r="F603">
        <v>10</v>
      </c>
      <c r="G603" s="3">
        <v>43251</v>
      </c>
      <c r="H603">
        <v>6.2</v>
      </c>
      <c r="I603">
        <v>5.4</v>
      </c>
      <c r="J603">
        <v>301</v>
      </c>
      <c r="K603">
        <v>60</v>
      </c>
      <c r="L603" t="s">
        <v>135</v>
      </c>
      <c r="M603" t="s">
        <v>135</v>
      </c>
      <c r="N603" t="s">
        <v>135</v>
      </c>
      <c r="Q603">
        <v>5</v>
      </c>
      <c r="R603" t="s">
        <v>1607</v>
      </c>
    </row>
    <row r="604" spans="1:18" x14ac:dyDescent="0.25">
      <c r="A604">
        <v>604</v>
      </c>
      <c r="B604" t="s">
        <v>1370</v>
      </c>
      <c r="D604" t="s">
        <v>1099</v>
      </c>
      <c r="E604" t="s">
        <v>332</v>
      </c>
      <c r="F604">
        <v>11</v>
      </c>
      <c r="G604" s="3">
        <v>43251</v>
      </c>
      <c r="H604">
        <v>6.8</v>
      </c>
      <c r="I604" t="s">
        <v>1620</v>
      </c>
      <c r="J604">
        <v>325</v>
      </c>
      <c r="K604">
        <v>60</v>
      </c>
      <c r="L604" t="s">
        <v>135</v>
      </c>
      <c r="M604" t="s">
        <v>135</v>
      </c>
      <c r="N604" t="s">
        <v>135</v>
      </c>
      <c r="Q604">
        <v>5</v>
      </c>
      <c r="R604" t="s">
        <v>1607</v>
      </c>
    </row>
    <row r="605" spans="1:18" x14ac:dyDescent="0.25">
      <c r="A605">
        <v>605</v>
      </c>
      <c r="B605" t="s">
        <v>1372</v>
      </c>
      <c r="D605" t="s">
        <v>1099</v>
      </c>
      <c r="E605" t="s">
        <v>332</v>
      </c>
      <c r="F605">
        <v>12</v>
      </c>
      <c r="G605" s="3">
        <v>43251</v>
      </c>
      <c r="H605">
        <v>7.2</v>
      </c>
      <c r="I605">
        <v>4.5</v>
      </c>
      <c r="J605">
        <v>322</v>
      </c>
      <c r="K605">
        <v>75</v>
      </c>
      <c r="L605" t="s">
        <v>135</v>
      </c>
      <c r="M605" t="s">
        <v>135</v>
      </c>
      <c r="N605" t="s">
        <v>135</v>
      </c>
      <c r="Q605">
        <v>5</v>
      </c>
      <c r="R605" t="s">
        <v>1607</v>
      </c>
    </row>
    <row r="606" spans="1:18" x14ac:dyDescent="0.25">
      <c r="A606">
        <v>606</v>
      </c>
      <c r="B606" t="s">
        <v>1374</v>
      </c>
      <c r="D606" t="s">
        <v>1099</v>
      </c>
      <c r="E606" t="s">
        <v>332</v>
      </c>
      <c r="F606">
        <v>13</v>
      </c>
      <c r="G606" s="3">
        <v>43251</v>
      </c>
      <c r="H606">
        <v>6</v>
      </c>
      <c r="I606">
        <v>5.4</v>
      </c>
      <c r="J606">
        <v>361</v>
      </c>
      <c r="K606">
        <v>153</v>
      </c>
      <c r="L606" t="s">
        <v>135</v>
      </c>
      <c r="M606" t="s">
        <v>135</v>
      </c>
      <c r="N606" t="s">
        <v>135</v>
      </c>
      <c r="Q606">
        <v>5</v>
      </c>
      <c r="R606" t="s">
        <v>1607</v>
      </c>
    </row>
    <row r="607" spans="1:18" x14ac:dyDescent="0.25">
      <c r="A607">
        <v>607</v>
      </c>
      <c r="B607" t="s">
        <v>1376</v>
      </c>
      <c r="D607" t="s">
        <v>1099</v>
      </c>
      <c r="E607" t="s">
        <v>332</v>
      </c>
      <c r="F607">
        <v>14</v>
      </c>
      <c r="G607" s="3">
        <v>43251</v>
      </c>
      <c r="H607">
        <v>16</v>
      </c>
      <c r="I607">
        <v>12.3</v>
      </c>
      <c r="J607">
        <v>476</v>
      </c>
      <c r="K607">
        <v>55</v>
      </c>
      <c r="L607" t="s">
        <v>135</v>
      </c>
      <c r="M607" t="s">
        <v>135</v>
      </c>
      <c r="N607" t="s">
        <v>135</v>
      </c>
      <c r="Q607">
        <v>5</v>
      </c>
      <c r="R607" t="s">
        <v>1607</v>
      </c>
    </row>
    <row r="608" spans="1:18" x14ac:dyDescent="0.25">
      <c r="A608">
        <v>608</v>
      </c>
      <c r="B608" t="s">
        <v>1378</v>
      </c>
      <c r="D608" t="s">
        <v>1099</v>
      </c>
      <c r="E608" t="s">
        <v>332</v>
      </c>
      <c r="F608">
        <v>15</v>
      </c>
      <c r="G608" s="3">
        <v>43270</v>
      </c>
      <c r="H608">
        <v>37.5</v>
      </c>
      <c r="I608" t="s">
        <v>1621</v>
      </c>
      <c r="J608">
        <v>630</v>
      </c>
      <c r="K608">
        <v>50</v>
      </c>
      <c r="L608" t="s">
        <v>135</v>
      </c>
      <c r="M608" t="s">
        <v>135</v>
      </c>
      <c r="N608" t="s">
        <v>135</v>
      </c>
      <c r="Q608">
        <v>5</v>
      </c>
      <c r="R608" t="s">
        <v>1607</v>
      </c>
    </row>
    <row r="609" spans="1:18" x14ac:dyDescent="0.25">
      <c r="A609">
        <v>609</v>
      </c>
      <c r="B609" t="s">
        <v>1380</v>
      </c>
      <c r="D609" t="s">
        <v>1099</v>
      </c>
      <c r="E609" t="s">
        <v>332</v>
      </c>
      <c r="F609">
        <v>2</v>
      </c>
      <c r="G609" s="3">
        <v>43248</v>
      </c>
      <c r="H609">
        <v>7.7</v>
      </c>
      <c r="I609">
        <v>3.4</v>
      </c>
      <c r="J609">
        <v>340</v>
      </c>
      <c r="K609">
        <v>120</v>
      </c>
      <c r="L609" t="s">
        <v>135</v>
      </c>
      <c r="M609" t="s">
        <v>135</v>
      </c>
      <c r="N609" t="s">
        <v>135</v>
      </c>
      <c r="Q609">
        <v>5</v>
      </c>
      <c r="R609" t="s">
        <v>1607</v>
      </c>
    </row>
    <row r="610" spans="1:18" x14ac:dyDescent="0.25">
      <c r="A610">
        <v>610</v>
      </c>
      <c r="B610" t="s">
        <v>1381</v>
      </c>
      <c r="D610" t="s">
        <v>1099</v>
      </c>
      <c r="E610" t="s">
        <v>332</v>
      </c>
      <c r="F610">
        <v>3</v>
      </c>
      <c r="G610" s="3">
        <v>43249</v>
      </c>
      <c r="H610">
        <v>10.5</v>
      </c>
      <c r="I610" t="s">
        <v>1622</v>
      </c>
      <c r="J610">
        <v>230</v>
      </c>
      <c r="K610">
        <v>120</v>
      </c>
      <c r="L610" t="s">
        <v>135</v>
      </c>
      <c r="M610" t="s">
        <v>135</v>
      </c>
      <c r="N610" t="s">
        <v>135</v>
      </c>
      <c r="Q610">
        <v>5</v>
      </c>
      <c r="R610" t="s">
        <v>1607</v>
      </c>
    </row>
    <row r="611" spans="1:18" x14ac:dyDescent="0.25">
      <c r="A611">
        <v>611</v>
      </c>
      <c r="B611" t="s">
        <v>1382</v>
      </c>
      <c r="D611" t="s">
        <v>1099</v>
      </c>
      <c r="E611" t="s">
        <v>332</v>
      </c>
      <c r="F611">
        <v>4</v>
      </c>
      <c r="G611" s="3">
        <v>43249</v>
      </c>
      <c r="H611">
        <v>7.8</v>
      </c>
      <c r="I611">
        <v>7</v>
      </c>
      <c r="J611">
        <v>315</v>
      </c>
      <c r="K611">
        <v>110</v>
      </c>
      <c r="L611" t="s">
        <v>135</v>
      </c>
      <c r="M611" t="s">
        <v>135</v>
      </c>
      <c r="N611" t="s">
        <v>135</v>
      </c>
      <c r="Q611">
        <v>5</v>
      </c>
      <c r="R611" t="s">
        <v>1607</v>
      </c>
    </row>
    <row r="612" spans="1:18" x14ac:dyDescent="0.25">
      <c r="A612">
        <v>612</v>
      </c>
      <c r="B612" t="s">
        <v>1383</v>
      </c>
      <c r="D612" t="s">
        <v>1099</v>
      </c>
      <c r="E612" t="s">
        <v>332</v>
      </c>
      <c r="F612">
        <v>5</v>
      </c>
      <c r="G612" s="3">
        <v>43249</v>
      </c>
      <c r="H612" t="s">
        <v>1623</v>
      </c>
      <c r="I612" t="s">
        <v>1624</v>
      </c>
      <c r="J612">
        <v>355</v>
      </c>
      <c r="K612">
        <v>120</v>
      </c>
      <c r="L612" t="s">
        <v>135</v>
      </c>
      <c r="M612" t="s">
        <v>135</v>
      </c>
      <c r="N612" t="s">
        <v>135</v>
      </c>
      <c r="Q612">
        <v>5</v>
      </c>
      <c r="R612" t="s">
        <v>1607</v>
      </c>
    </row>
    <row r="613" spans="1:18" x14ac:dyDescent="0.25">
      <c r="A613">
        <v>613</v>
      </c>
      <c r="B613" t="s">
        <v>1384</v>
      </c>
      <c r="D613" t="s">
        <v>1099</v>
      </c>
      <c r="E613" t="s">
        <v>332</v>
      </c>
      <c r="F613">
        <v>6</v>
      </c>
      <c r="G613" s="3">
        <v>43249</v>
      </c>
      <c r="H613">
        <v>6.8</v>
      </c>
      <c r="I613">
        <v>4.0999999999999996</v>
      </c>
      <c r="J613">
        <v>280</v>
      </c>
      <c r="K613">
        <v>111</v>
      </c>
      <c r="L613" t="s">
        <v>135</v>
      </c>
      <c r="M613" t="s">
        <v>135</v>
      </c>
      <c r="N613" t="s">
        <v>135</v>
      </c>
      <c r="Q613">
        <v>5</v>
      </c>
      <c r="R613" t="s">
        <v>1607</v>
      </c>
    </row>
    <row r="614" spans="1:18" x14ac:dyDescent="0.25">
      <c r="A614">
        <v>614</v>
      </c>
      <c r="B614" t="s">
        <v>1385</v>
      </c>
      <c r="D614" t="s">
        <v>1099</v>
      </c>
      <c r="E614" t="s">
        <v>332</v>
      </c>
      <c r="F614">
        <v>7</v>
      </c>
      <c r="G614" s="3">
        <v>43249</v>
      </c>
      <c r="H614">
        <v>9.5</v>
      </c>
      <c r="I614" t="s">
        <v>1625</v>
      </c>
      <c r="J614">
        <v>230</v>
      </c>
      <c r="K614">
        <v>40</v>
      </c>
      <c r="L614" t="s">
        <v>135</v>
      </c>
      <c r="M614" t="s">
        <v>135</v>
      </c>
      <c r="N614" t="s">
        <v>135</v>
      </c>
      <c r="Q614">
        <v>5</v>
      </c>
      <c r="R614" t="s">
        <v>1607</v>
      </c>
    </row>
    <row r="615" spans="1:18" x14ac:dyDescent="0.25">
      <c r="A615">
        <v>615</v>
      </c>
      <c r="B615" t="s">
        <v>1387</v>
      </c>
      <c r="D615" t="s">
        <v>1099</v>
      </c>
      <c r="E615" t="s">
        <v>332</v>
      </c>
      <c r="F615">
        <v>8</v>
      </c>
      <c r="G615" s="3">
        <v>43251</v>
      </c>
      <c r="H615">
        <v>2</v>
      </c>
      <c r="I615">
        <v>1.1000000000000001</v>
      </c>
      <c r="J615">
        <v>225</v>
      </c>
      <c r="K615">
        <v>67</v>
      </c>
      <c r="L615" t="s">
        <v>135</v>
      </c>
      <c r="M615" t="s">
        <v>135</v>
      </c>
      <c r="N615" t="s">
        <v>135</v>
      </c>
      <c r="Q615">
        <v>5</v>
      </c>
      <c r="R615" t="s">
        <v>1607</v>
      </c>
    </row>
    <row r="616" spans="1:18" x14ac:dyDescent="0.25">
      <c r="A616">
        <v>616</v>
      </c>
      <c r="B616" t="s">
        <v>1389</v>
      </c>
      <c r="D616" t="s">
        <v>1099</v>
      </c>
      <c r="E616" t="s">
        <v>332</v>
      </c>
      <c r="F616">
        <v>9</v>
      </c>
      <c r="G616" s="3">
        <v>43251</v>
      </c>
      <c r="H616">
        <v>2.8</v>
      </c>
      <c r="I616">
        <v>1.5</v>
      </c>
      <c r="J616">
        <v>230</v>
      </c>
      <c r="K616">
        <v>77</v>
      </c>
      <c r="L616" t="s">
        <v>135</v>
      </c>
      <c r="M616" t="s">
        <v>135</v>
      </c>
      <c r="N616" t="s">
        <v>135</v>
      </c>
      <c r="Q616">
        <v>5</v>
      </c>
      <c r="R616" t="s">
        <v>1607</v>
      </c>
    </row>
    <row r="617" spans="1:18" x14ac:dyDescent="0.25">
      <c r="A617">
        <v>617</v>
      </c>
      <c r="B617" t="s">
        <v>1391</v>
      </c>
      <c r="D617" t="s">
        <v>1099</v>
      </c>
      <c r="E617" t="s">
        <v>502</v>
      </c>
      <c r="F617">
        <v>1</v>
      </c>
      <c r="G617" s="3">
        <v>43248</v>
      </c>
      <c r="H617">
        <v>2</v>
      </c>
      <c r="I617">
        <v>1.5</v>
      </c>
      <c r="J617">
        <v>170</v>
      </c>
      <c r="K617">
        <v>16</v>
      </c>
      <c r="L617" t="s">
        <v>135</v>
      </c>
      <c r="M617" t="s">
        <v>135</v>
      </c>
      <c r="N617" t="s">
        <v>135</v>
      </c>
      <c r="Q617">
        <v>2</v>
      </c>
      <c r="R617" t="s">
        <v>1607</v>
      </c>
    </row>
    <row r="618" spans="1:18" x14ac:dyDescent="0.25">
      <c r="A618">
        <v>618</v>
      </c>
      <c r="B618" t="s">
        <v>1393</v>
      </c>
      <c r="D618" t="s">
        <v>1099</v>
      </c>
      <c r="E618" t="s">
        <v>351</v>
      </c>
      <c r="F618">
        <v>1</v>
      </c>
      <c r="G618" s="3">
        <v>43267</v>
      </c>
      <c r="H618">
        <v>5.2</v>
      </c>
      <c r="I618">
        <v>3.7</v>
      </c>
      <c r="J618">
        <v>231</v>
      </c>
      <c r="K618">
        <v>100</v>
      </c>
      <c r="L618" t="s">
        <v>135</v>
      </c>
      <c r="M618" t="s">
        <v>135</v>
      </c>
      <c r="N618" t="s">
        <v>135</v>
      </c>
      <c r="Q618">
        <v>4</v>
      </c>
      <c r="R618" t="s">
        <v>1607</v>
      </c>
    </row>
    <row r="619" spans="1:18" x14ac:dyDescent="0.25">
      <c r="A619">
        <v>619</v>
      </c>
      <c r="B619" t="s">
        <v>1394</v>
      </c>
      <c r="D619" t="s">
        <v>1099</v>
      </c>
      <c r="E619" t="s">
        <v>351</v>
      </c>
      <c r="F619">
        <v>10</v>
      </c>
      <c r="G619" s="3">
        <v>43268</v>
      </c>
      <c r="H619">
        <v>8.3000000000000007</v>
      </c>
      <c r="I619" t="s">
        <v>1626</v>
      </c>
      <c r="J619">
        <v>260</v>
      </c>
      <c r="K619">
        <v>136</v>
      </c>
      <c r="L619">
        <v>22.14</v>
      </c>
      <c r="M619">
        <v>24.63</v>
      </c>
      <c r="N619">
        <v>22.9</v>
      </c>
      <c r="Q619">
        <v>3</v>
      </c>
      <c r="R619" t="s">
        <v>1607</v>
      </c>
    </row>
    <row r="620" spans="1:18" x14ac:dyDescent="0.25">
      <c r="A620">
        <v>620</v>
      </c>
      <c r="B620" t="s">
        <v>1396</v>
      </c>
      <c r="D620" t="s">
        <v>1099</v>
      </c>
      <c r="E620" t="s">
        <v>351</v>
      </c>
      <c r="F620">
        <v>2</v>
      </c>
      <c r="G620" s="3">
        <v>43267</v>
      </c>
      <c r="H620">
        <v>4.7</v>
      </c>
      <c r="I620">
        <v>3.5</v>
      </c>
      <c r="J620">
        <v>242</v>
      </c>
      <c r="K620">
        <v>100</v>
      </c>
      <c r="L620" t="s">
        <v>135</v>
      </c>
      <c r="M620" t="s">
        <v>135</v>
      </c>
      <c r="N620" t="s">
        <v>135</v>
      </c>
      <c r="Q620">
        <v>3</v>
      </c>
      <c r="R620" t="s">
        <v>1607</v>
      </c>
    </row>
    <row r="621" spans="1:18" x14ac:dyDescent="0.25">
      <c r="A621">
        <v>621</v>
      </c>
      <c r="B621" t="s">
        <v>1397</v>
      </c>
      <c r="D621" t="s">
        <v>1099</v>
      </c>
      <c r="E621" t="s">
        <v>351</v>
      </c>
      <c r="F621">
        <v>3</v>
      </c>
      <c r="G621" s="3">
        <v>43267</v>
      </c>
      <c r="H621">
        <v>5.6</v>
      </c>
      <c r="I621" t="s">
        <v>1627</v>
      </c>
      <c r="J621">
        <v>242</v>
      </c>
      <c r="K621">
        <v>80</v>
      </c>
      <c r="L621" t="s">
        <v>135</v>
      </c>
      <c r="M621" t="s">
        <v>135</v>
      </c>
      <c r="N621" t="s">
        <v>135</v>
      </c>
      <c r="Q621">
        <v>3</v>
      </c>
      <c r="R621" t="s">
        <v>1607</v>
      </c>
    </row>
    <row r="622" spans="1:18" x14ac:dyDescent="0.25">
      <c r="A622">
        <v>622</v>
      </c>
      <c r="B622" t="s">
        <v>1398</v>
      </c>
      <c r="D622" t="s">
        <v>1099</v>
      </c>
      <c r="E622" t="s">
        <v>351</v>
      </c>
      <c r="F622">
        <v>4</v>
      </c>
      <c r="G622" s="3">
        <v>43267</v>
      </c>
      <c r="H622">
        <v>7</v>
      </c>
      <c r="I622">
        <v>6.4</v>
      </c>
      <c r="J622">
        <v>311</v>
      </c>
      <c r="K622">
        <v>130</v>
      </c>
      <c r="L622" t="s">
        <v>135</v>
      </c>
      <c r="M622" t="s">
        <v>135</v>
      </c>
      <c r="N622" t="s">
        <v>135</v>
      </c>
      <c r="Q622">
        <v>3</v>
      </c>
      <c r="R622" t="s">
        <v>1607</v>
      </c>
    </row>
    <row r="623" spans="1:18" x14ac:dyDescent="0.25">
      <c r="A623">
        <v>623</v>
      </c>
      <c r="B623" t="s">
        <v>1399</v>
      </c>
      <c r="D623" t="s">
        <v>1099</v>
      </c>
      <c r="E623" t="s">
        <v>351</v>
      </c>
      <c r="F623">
        <v>5</v>
      </c>
      <c r="G623" s="3">
        <v>43268</v>
      </c>
      <c r="H623">
        <v>7.9</v>
      </c>
      <c r="I623">
        <v>7.3</v>
      </c>
      <c r="J623">
        <v>335</v>
      </c>
      <c r="K623">
        <v>170</v>
      </c>
      <c r="L623">
        <v>20.93</v>
      </c>
      <c r="M623">
        <v>24.68</v>
      </c>
      <c r="N623">
        <v>22.44</v>
      </c>
      <c r="Q623">
        <v>4</v>
      </c>
      <c r="R623" t="s">
        <v>1607</v>
      </c>
    </row>
    <row r="624" spans="1:18" x14ac:dyDescent="0.25">
      <c r="A624">
        <v>624</v>
      </c>
      <c r="B624" t="s">
        <v>1400</v>
      </c>
      <c r="D624" t="s">
        <v>1099</v>
      </c>
      <c r="E624" t="s">
        <v>351</v>
      </c>
      <c r="F624">
        <v>6</v>
      </c>
      <c r="G624" s="3">
        <v>43268</v>
      </c>
      <c r="H624">
        <v>8</v>
      </c>
      <c r="I624">
        <v>6.8</v>
      </c>
      <c r="J624">
        <v>332</v>
      </c>
      <c r="K624">
        <v>127</v>
      </c>
      <c r="L624">
        <v>17.899999999999999</v>
      </c>
      <c r="M624">
        <v>17.55</v>
      </c>
      <c r="N624">
        <v>20.7</v>
      </c>
      <c r="Q624">
        <v>4</v>
      </c>
      <c r="R624" t="s">
        <v>1607</v>
      </c>
    </row>
    <row r="625" spans="1:18" x14ac:dyDescent="0.25">
      <c r="A625">
        <v>625</v>
      </c>
      <c r="B625" t="s">
        <v>1402</v>
      </c>
      <c r="D625" t="s">
        <v>1099</v>
      </c>
      <c r="E625" t="s">
        <v>351</v>
      </c>
      <c r="F625">
        <v>7</v>
      </c>
      <c r="G625" s="3">
        <v>43268</v>
      </c>
      <c r="H625">
        <v>6.4</v>
      </c>
      <c r="I625" t="s">
        <v>1628</v>
      </c>
      <c r="J625">
        <v>160</v>
      </c>
      <c r="K625">
        <v>80</v>
      </c>
      <c r="L625">
        <v>14.01</v>
      </c>
      <c r="M625">
        <v>16.420000000000002</v>
      </c>
      <c r="N625">
        <v>14.44</v>
      </c>
      <c r="Q625">
        <v>4</v>
      </c>
      <c r="R625" t="s">
        <v>1607</v>
      </c>
    </row>
    <row r="626" spans="1:18" x14ac:dyDescent="0.25">
      <c r="A626">
        <v>626</v>
      </c>
      <c r="B626" t="s">
        <v>1404</v>
      </c>
      <c r="D626" t="s">
        <v>1099</v>
      </c>
      <c r="E626" t="s">
        <v>351</v>
      </c>
      <c r="F626">
        <v>8</v>
      </c>
      <c r="G626" s="3">
        <v>43268</v>
      </c>
      <c r="H626">
        <v>6.5</v>
      </c>
      <c r="I626" t="s">
        <v>1629</v>
      </c>
      <c r="J626">
        <v>188</v>
      </c>
      <c r="K626">
        <v>70</v>
      </c>
      <c r="L626">
        <v>16.72</v>
      </c>
      <c r="M626">
        <v>18.71</v>
      </c>
      <c r="N626">
        <v>22.72</v>
      </c>
      <c r="Q626">
        <v>4</v>
      </c>
      <c r="R626" t="s">
        <v>1607</v>
      </c>
    </row>
    <row r="627" spans="1:18" x14ac:dyDescent="0.25">
      <c r="A627">
        <v>627</v>
      </c>
      <c r="B627" t="s">
        <v>1406</v>
      </c>
      <c r="D627" t="s">
        <v>1099</v>
      </c>
      <c r="E627" t="s">
        <v>351</v>
      </c>
      <c r="F627">
        <v>9</v>
      </c>
      <c r="G627" s="3">
        <v>43268</v>
      </c>
      <c r="H627">
        <v>7.6</v>
      </c>
      <c r="I627">
        <v>6</v>
      </c>
      <c r="J627">
        <v>254</v>
      </c>
      <c r="K627">
        <v>120</v>
      </c>
      <c r="L627">
        <v>23.73</v>
      </c>
      <c r="M627">
        <v>25</v>
      </c>
      <c r="N627">
        <v>21.62</v>
      </c>
      <c r="Q627">
        <v>3</v>
      </c>
      <c r="R627" t="s">
        <v>1607</v>
      </c>
    </row>
    <row r="628" spans="1:18" x14ac:dyDescent="0.25">
      <c r="A628">
        <v>628</v>
      </c>
      <c r="B628" t="s">
        <v>1408</v>
      </c>
      <c r="D628" t="s">
        <v>1099</v>
      </c>
      <c r="E628" t="s">
        <v>346</v>
      </c>
      <c r="F628">
        <v>1</v>
      </c>
      <c r="G628" s="3">
        <v>43253</v>
      </c>
      <c r="H628">
        <v>5</v>
      </c>
      <c r="I628">
        <v>2.7</v>
      </c>
      <c r="J628">
        <v>265</v>
      </c>
      <c r="K628">
        <v>110</v>
      </c>
      <c r="L628" t="s">
        <v>135</v>
      </c>
      <c r="M628" t="s">
        <v>135</v>
      </c>
      <c r="N628" t="s">
        <v>135</v>
      </c>
      <c r="Q628">
        <v>5</v>
      </c>
      <c r="R628" t="s">
        <v>1607</v>
      </c>
    </row>
    <row r="629" spans="1:18" x14ac:dyDescent="0.25">
      <c r="A629">
        <v>629</v>
      </c>
      <c r="B629" t="s">
        <v>1409</v>
      </c>
      <c r="D629" t="s">
        <v>1099</v>
      </c>
      <c r="E629" t="s">
        <v>346</v>
      </c>
      <c r="F629">
        <v>10</v>
      </c>
      <c r="G629" s="3">
        <v>43268</v>
      </c>
      <c r="H629">
        <v>7.9</v>
      </c>
      <c r="I629" t="s">
        <v>1630</v>
      </c>
      <c r="J629">
        <v>398</v>
      </c>
      <c r="K629">
        <v>170</v>
      </c>
      <c r="L629" t="s">
        <v>135</v>
      </c>
      <c r="M629" t="s">
        <v>135</v>
      </c>
      <c r="N629" t="s">
        <v>135</v>
      </c>
      <c r="Q629">
        <v>4</v>
      </c>
      <c r="R629" t="s">
        <v>1607</v>
      </c>
    </row>
    <row r="630" spans="1:18" x14ac:dyDescent="0.25">
      <c r="A630">
        <v>630</v>
      </c>
      <c r="B630" t="s">
        <v>1411</v>
      </c>
      <c r="D630" t="s">
        <v>1099</v>
      </c>
      <c r="E630" t="s">
        <v>346</v>
      </c>
      <c r="F630">
        <v>2</v>
      </c>
      <c r="G630" s="3">
        <v>43253</v>
      </c>
      <c r="H630">
        <v>2.6</v>
      </c>
      <c r="I630">
        <v>1</v>
      </c>
      <c r="J630">
        <v>177</v>
      </c>
      <c r="K630">
        <v>80</v>
      </c>
      <c r="L630" t="s">
        <v>135</v>
      </c>
      <c r="M630" t="s">
        <v>135</v>
      </c>
      <c r="N630" t="s">
        <v>135</v>
      </c>
      <c r="Q630">
        <v>5</v>
      </c>
      <c r="R630" t="s">
        <v>1607</v>
      </c>
    </row>
    <row r="631" spans="1:18" x14ac:dyDescent="0.25">
      <c r="A631">
        <v>631</v>
      </c>
      <c r="B631" t="s">
        <v>1412</v>
      </c>
      <c r="D631" t="s">
        <v>1099</v>
      </c>
      <c r="E631" t="s">
        <v>346</v>
      </c>
      <c r="F631">
        <v>3</v>
      </c>
      <c r="G631" s="3">
        <v>43253</v>
      </c>
      <c r="H631" t="s">
        <v>1631</v>
      </c>
      <c r="I631" t="s">
        <v>1632</v>
      </c>
      <c r="J631">
        <v>195</v>
      </c>
      <c r="K631">
        <v>100</v>
      </c>
      <c r="L631" t="s">
        <v>135</v>
      </c>
      <c r="M631" t="s">
        <v>135</v>
      </c>
      <c r="N631" t="s">
        <v>135</v>
      </c>
      <c r="Q631">
        <v>5</v>
      </c>
      <c r="R631" t="s">
        <v>1607</v>
      </c>
    </row>
    <row r="632" spans="1:18" x14ac:dyDescent="0.25">
      <c r="A632">
        <v>632</v>
      </c>
      <c r="B632" t="s">
        <v>1413</v>
      </c>
      <c r="D632" t="s">
        <v>1099</v>
      </c>
      <c r="E632" t="s">
        <v>346</v>
      </c>
      <c r="F632">
        <v>4</v>
      </c>
      <c r="G632" s="3">
        <v>43253</v>
      </c>
      <c r="H632">
        <v>1.8</v>
      </c>
      <c r="I632">
        <v>0.8</v>
      </c>
      <c r="J632">
        <v>172</v>
      </c>
      <c r="K632">
        <v>70</v>
      </c>
      <c r="L632" t="s">
        <v>135</v>
      </c>
      <c r="M632" t="s">
        <v>135</v>
      </c>
      <c r="N632" t="s">
        <v>135</v>
      </c>
      <c r="Q632">
        <v>5</v>
      </c>
      <c r="R632" t="s">
        <v>1607</v>
      </c>
    </row>
    <row r="633" spans="1:18" x14ac:dyDescent="0.25">
      <c r="A633">
        <v>633</v>
      </c>
      <c r="B633" t="s">
        <v>1414</v>
      </c>
      <c r="D633" t="s">
        <v>1099</v>
      </c>
      <c r="E633" t="s">
        <v>346</v>
      </c>
      <c r="F633">
        <v>5</v>
      </c>
      <c r="G633" s="3">
        <v>43253</v>
      </c>
      <c r="H633" t="s">
        <v>1633</v>
      </c>
      <c r="I633" t="s">
        <v>1634</v>
      </c>
      <c r="J633">
        <v>487</v>
      </c>
      <c r="K633">
        <v>200</v>
      </c>
      <c r="L633" t="s">
        <v>135</v>
      </c>
      <c r="M633" t="s">
        <v>135</v>
      </c>
      <c r="N633" t="s">
        <v>135</v>
      </c>
      <c r="Q633">
        <v>5</v>
      </c>
      <c r="R633" t="s">
        <v>1607</v>
      </c>
    </row>
    <row r="634" spans="1:18" x14ac:dyDescent="0.25">
      <c r="A634">
        <v>634</v>
      </c>
      <c r="B634" t="s">
        <v>1415</v>
      </c>
      <c r="D634" t="s">
        <v>1099</v>
      </c>
      <c r="E634" t="s">
        <v>346</v>
      </c>
      <c r="F634">
        <v>6</v>
      </c>
      <c r="G634" s="3">
        <v>43269</v>
      </c>
      <c r="H634">
        <v>20.9</v>
      </c>
      <c r="I634">
        <v>21.2</v>
      </c>
      <c r="J634">
        <v>740</v>
      </c>
      <c r="K634">
        <v>460</v>
      </c>
      <c r="L634" t="s">
        <v>135</v>
      </c>
      <c r="M634" t="s">
        <v>135</v>
      </c>
      <c r="N634" t="s">
        <v>135</v>
      </c>
      <c r="Q634">
        <v>5</v>
      </c>
      <c r="R634" t="s">
        <v>1607</v>
      </c>
    </row>
    <row r="635" spans="1:18" x14ac:dyDescent="0.25">
      <c r="A635">
        <v>635</v>
      </c>
      <c r="B635" t="s">
        <v>1417</v>
      </c>
      <c r="D635" t="s">
        <v>1099</v>
      </c>
      <c r="E635" t="s">
        <v>346</v>
      </c>
      <c r="F635">
        <v>7</v>
      </c>
      <c r="G635" s="3">
        <v>43269</v>
      </c>
      <c r="H635">
        <v>12.5</v>
      </c>
      <c r="I635">
        <v>12</v>
      </c>
      <c r="J635">
        <v>546</v>
      </c>
      <c r="K635">
        <v>252</v>
      </c>
      <c r="L635" t="s">
        <v>135</v>
      </c>
      <c r="M635" t="s">
        <v>135</v>
      </c>
      <c r="N635" t="s">
        <v>135</v>
      </c>
      <c r="Q635">
        <v>4</v>
      </c>
      <c r="R635" t="s">
        <v>1607</v>
      </c>
    </row>
    <row r="636" spans="1:18" x14ac:dyDescent="0.25">
      <c r="A636">
        <v>636</v>
      </c>
      <c r="B636" t="s">
        <v>1419</v>
      </c>
      <c r="D636" t="s">
        <v>1099</v>
      </c>
      <c r="E636" t="s">
        <v>346</v>
      </c>
      <c r="F636">
        <v>8</v>
      </c>
      <c r="G636" s="3">
        <v>43267</v>
      </c>
      <c r="H636">
        <v>5</v>
      </c>
      <c r="I636">
        <v>3.8</v>
      </c>
      <c r="J636">
        <v>342</v>
      </c>
      <c r="K636">
        <v>145</v>
      </c>
      <c r="L636" t="s">
        <v>135</v>
      </c>
      <c r="M636" t="s">
        <v>135</v>
      </c>
      <c r="N636" t="s">
        <v>135</v>
      </c>
      <c r="Q636">
        <v>4</v>
      </c>
      <c r="R636" t="s">
        <v>1607</v>
      </c>
    </row>
    <row r="637" spans="1:18" x14ac:dyDescent="0.25">
      <c r="A637">
        <v>637</v>
      </c>
      <c r="B637" t="s">
        <v>1421</v>
      </c>
      <c r="D637" t="s">
        <v>1099</v>
      </c>
      <c r="E637" t="s">
        <v>346</v>
      </c>
      <c r="F637">
        <v>9</v>
      </c>
      <c r="G637" s="3">
        <v>43276</v>
      </c>
      <c r="H637">
        <v>10.199999999999999</v>
      </c>
      <c r="I637">
        <v>9.5</v>
      </c>
      <c r="J637">
        <v>383</v>
      </c>
      <c r="K637">
        <v>120</v>
      </c>
      <c r="L637" t="s">
        <v>135</v>
      </c>
      <c r="M637" t="s">
        <v>135</v>
      </c>
      <c r="N637" t="s">
        <v>135</v>
      </c>
      <c r="Q637">
        <v>4</v>
      </c>
      <c r="R637" t="s">
        <v>1607</v>
      </c>
    </row>
    <row r="638" spans="1:18" x14ac:dyDescent="0.25">
      <c r="A638">
        <v>638</v>
      </c>
      <c r="B638" t="s">
        <v>1423</v>
      </c>
      <c r="D638" t="s">
        <v>1099</v>
      </c>
      <c r="E638" t="s">
        <v>368</v>
      </c>
      <c r="F638">
        <v>1</v>
      </c>
      <c r="G638" s="3">
        <v>43287</v>
      </c>
      <c r="H638">
        <v>9.4</v>
      </c>
      <c r="I638">
        <v>8</v>
      </c>
      <c r="J638">
        <v>686</v>
      </c>
      <c r="K638">
        <v>170</v>
      </c>
      <c r="L638">
        <v>4.4000000000000004</v>
      </c>
      <c r="M638">
        <v>4.41</v>
      </c>
      <c r="N638">
        <v>2.76</v>
      </c>
      <c r="Q638">
        <v>4</v>
      </c>
      <c r="R638" t="s">
        <v>1607</v>
      </c>
    </row>
    <row r="639" spans="1:18" x14ac:dyDescent="0.25">
      <c r="A639">
        <v>639</v>
      </c>
      <c r="B639" t="s">
        <v>1424</v>
      </c>
      <c r="D639" t="s">
        <v>1099</v>
      </c>
      <c r="E639" t="s">
        <v>368</v>
      </c>
      <c r="F639">
        <v>2</v>
      </c>
      <c r="G639" s="3">
        <v>43287</v>
      </c>
      <c r="H639">
        <v>32.200000000000003</v>
      </c>
      <c r="I639">
        <v>27.8</v>
      </c>
      <c r="J639">
        <v>1300</v>
      </c>
      <c r="K639">
        <v>570</v>
      </c>
      <c r="L639">
        <v>8.4600000000000009</v>
      </c>
      <c r="M639">
        <v>8.8000000000000007</v>
      </c>
      <c r="N639">
        <v>9.8800000000000008</v>
      </c>
      <c r="Q639">
        <v>5</v>
      </c>
      <c r="R639" t="s">
        <v>1607</v>
      </c>
    </row>
    <row r="640" spans="1:18" x14ac:dyDescent="0.25">
      <c r="A640">
        <v>640</v>
      </c>
      <c r="B640" t="s">
        <v>1425</v>
      </c>
      <c r="D640" t="s">
        <v>1099</v>
      </c>
      <c r="E640" t="s">
        <v>368</v>
      </c>
      <c r="F640">
        <v>3</v>
      </c>
      <c r="G640" s="3">
        <v>43287</v>
      </c>
      <c r="H640">
        <v>14.5</v>
      </c>
      <c r="I640">
        <v>10.7</v>
      </c>
      <c r="J640">
        <v>741</v>
      </c>
      <c r="K640">
        <v>224</v>
      </c>
      <c r="L640">
        <v>4.7300000000000004</v>
      </c>
      <c r="M640">
        <v>7.11</v>
      </c>
      <c r="N640">
        <v>4.62</v>
      </c>
      <c r="Q640">
        <v>5</v>
      </c>
      <c r="R640" t="s">
        <v>1607</v>
      </c>
    </row>
    <row r="641" spans="1:18" x14ac:dyDescent="0.25">
      <c r="A641">
        <v>641</v>
      </c>
      <c r="B641" t="s">
        <v>1426</v>
      </c>
      <c r="D641" t="s">
        <v>1099</v>
      </c>
      <c r="E641" t="s">
        <v>368</v>
      </c>
      <c r="F641">
        <v>4</v>
      </c>
      <c r="G641" s="3">
        <v>43287</v>
      </c>
      <c r="H641">
        <v>14</v>
      </c>
      <c r="I641">
        <v>12.5</v>
      </c>
      <c r="J641">
        <v>850</v>
      </c>
      <c r="K641">
        <v>296</v>
      </c>
      <c r="L641">
        <v>5.48</v>
      </c>
      <c r="M641">
        <v>6.44</v>
      </c>
      <c r="N641">
        <v>4.8600000000000003</v>
      </c>
      <c r="Q641">
        <v>5</v>
      </c>
      <c r="R641" t="s">
        <v>1607</v>
      </c>
    </row>
    <row r="642" spans="1:18" x14ac:dyDescent="0.25">
      <c r="A642">
        <v>642</v>
      </c>
      <c r="B642" t="s">
        <v>1427</v>
      </c>
      <c r="D642" t="s">
        <v>1099</v>
      </c>
      <c r="E642" t="s">
        <v>368</v>
      </c>
      <c r="F642">
        <v>5</v>
      </c>
      <c r="G642" s="3">
        <v>43287</v>
      </c>
      <c r="H642">
        <v>10</v>
      </c>
      <c r="I642">
        <v>9.1999999999999993</v>
      </c>
      <c r="J642">
        <v>757</v>
      </c>
      <c r="K642">
        <v>460</v>
      </c>
      <c r="L642">
        <v>4.16</v>
      </c>
      <c r="M642">
        <v>3.25</v>
      </c>
      <c r="N642">
        <v>3.31</v>
      </c>
      <c r="Q642">
        <v>5</v>
      </c>
      <c r="R642" t="s">
        <v>1607</v>
      </c>
    </row>
    <row r="643" spans="1:18" x14ac:dyDescent="0.25">
      <c r="A643">
        <v>643</v>
      </c>
      <c r="B643" t="s">
        <v>1428</v>
      </c>
      <c r="D643" t="s">
        <v>1099</v>
      </c>
      <c r="E643" t="s">
        <v>366</v>
      </c>
      <c r="F643">
        <v>1</v>
      </c>
      <c r="G643" s="3">
        <v>43270</v>
      </c>
      <c r="H643">
        <v>2.5</v>
      </c>
      <c r="I643">
        <v>1.5</v>
      </c>
      <c r="J643">
        <v>219</v>
      </c>
      <c r="K643">
        <v>55</v>
      </c>
      <c r="L643">
        <v>2.1800000000000002</v>
      </c>
      <c r="M643" t="s">
        <v>135</v>
      </c>
      <c r="N643" t="s">
        <v>135</v>
      </c>
      <c r="Q643">
        <v>4</v>
      </c>
      <c r="R643" t="s">
        <v>1607</v>
      </c>
    </row>
    <row r="644" spans="1:18" x14ac:dyDescent="0.25">
      <c r="A644">
        <v>644</v>
      </c>
      <c r="B644" t="s">
        <v>1429</v>
      </c>
      <c r="D644" t="s">
        <v>1099</v>
      </c>
      <c r="E644" t="s">
        <v>366</v>
      </c>
      <c r="F644">
        <v>2</v>
      </c>
      <c r="G644" s="3">
        <v>43286</v>
      </c>
      <c r="H644" t="s">
        <v>1635</v>
      </c>
      <c r="I644" t="s">
        <v>1636</v>
      </c>
      <c r="J644">
        <v>713</v>
      </c>
      <c r="K644">
        <v>210</v>
      </c>
      <c r="L644">
        <v>6.65</v>
      </c>
      <c r="M644">
        <v>5.88</v>
      </c>
      <c r="N644">
        <v>5.99</v>
      </c>
      <c r="Q644">
        <v>5</v>
      </c>
      <c r="R644" t="s">
        <v>1607</v>
      </c>
    </row>
    <row r="645" spans="1:18" x14ac:dyDescent="0.25">
      <c r="A645">
        <v>645</v>
      </c>
      <c r="B645" t="s">
        <v>1430</v>
      </c>
      <c r="D645" t="s">
        <v>1099</v>
      </c>
      <c r="E645" t="s">
        <v>366</v>
      </c>
      <c r="F645">
        <v>3</v>
      </c>
      <c r="G645" s="3">
        <v>43288</v>
      </c>
      <c r="H645">
        <v>8.5</v>
      </c>
      <c r="I645">
        <v>6.5</v>
      </c>
      <c r="J645">
        <v>335</v>
      </c>
      <c r="K645">
        <v>125</v>
      </c>
      <c r="L645">
        <v>5.05</v>
      </c>
      <c r="M645">
        <v>5.25</v>
      </c>
      <c r="N645">
        <v>4.1900000000000004</v>
      </c>
      <c r="Q645">
        <v>5</v>
      </c>
      <c r="R645" t="s">
        <v>1607</v>
      </c>
    </row>
    <row r="646" spans="1:18" x14ac:dyDescent="0.25">
      <c r="A646">
        <v>646</v>
      </c>
      <c r="B646" t="s">
        <v>1431</v>
      </c>
      <c r="D646" t="s">
        <v>1099</v>
      </c>
      <c r="E646" t="s">
        <v>366</v>
      </c>
      <c r="F646">
        <v>4</v>
      </c>
      <c r="G646" s="3">
        <v>43295</v>
      </c>
      <c r="H646">
        <v>4.2</v>
      </c>
      <c r="I646" t="s">
        <v>1637</v>
      </c>
      <c r="J646">
        <v>379</v>
      </c>
      <c r="K646">
        <v>110</v>
      </c>
      <c r="L646">
        <v>2.2000000000000002</v>
      </c>
      <c r="M646">
        <v>2.1</v>
      </c>
      <c r="N646">
        <v>2.06</v>
      </c>
      <c r="Q646">
        <v>4</v>
      </c>
      <c r="R646" t="s">
        <v>1607</v>
      </c>
    </row>
    <row r="647" spans="1:18" x14ac:dyDescent="0.25">
      <c r="A647">
        <v>647</v>
      </c>
      <c r="B647" t="s">
        <v>1432</v>
      </c>
      <c r="D647" t="s">
        <v>1099</v>
      </c>
      <c r="E647" t="s">
        <v>366</v>
      </c>
      <c r="F647">
        <v>5</v>
      </c>
      <c r="G647" s="3">
        <v>43295</v>
      </c>
      <c r="H647">
        <v>3.5</v>
      </c>
      <c r="I647">
        <v>2.1</v>
      </c>
      <c r="J647">
        <v>296</v>
      </c>
      <c r="K647">
        <v>90</v>
      </c>
      <c r="L647">
        <v>3.06</v>
      </c>
      <c r="M647">
        <v>2.35</v>
      </c>
      <c r="N647">
        <v>2.69</v>
      </c>
      <c r="Q647">
        <v>5</v>
      </c>
      <c r="R647" t="s">
        <v>1607</v>
      </c>
    </row>
    <row r="648" spans="1:18" x14ac:dyDescent="0.25">
      <c r="A648">
        <v>648</v>
      </c>
      <c r="B648" t="s">
        <v>1433</v>
      </c>
      <c r="D648" t="s">
        <v>1099</v>
      </c>
      <c r="E648" t="s">
        <v>343</v>
      </c>
      <c r="F648">
        <v>1</v>
      </c>
      <c r="G648" s="3">
        <v>43293</v>
      </c>
      <c r="H648">
        <v>4.8</v>
      </c>
      <c r="I648" t="s">
        <v>1638</v>
      </c>
      <c r="J648">
        <v>276</v>
      </c>
      <c r="K648">
        <v>40</v>
      </c>
      <c r="L648">
        <v>4.33</v>
      </c>
      <c r="M648">
        <v>5.28</v>
      </c>
      <c r="N648">
        <v>4.5</v>
      </c>
      <c r="Q648">
        <v>4</v>
      </c>
      <c r="R648" t="s">
        <v>1607</v>
      </c>
    </row>
    <row r="649" spans="1:18" x14ac:dyDescent="0.25">
      <c r="A649">
        <v>649</v>
      </c>
      <c r="B649" t="s">
        <v>1434</v>
      </c>
      <c r="D649" t="s">
        <v>1099</v>
      </c>
      <c r="E649" t="s">
        <v>343</v>
      </c>
      <c r="F649">
        <v>2</v>
      </c>
      <c r="G649" s="3">
        <v>43293</v>
      </c>
      <c r="H649">
        <v>4.5</v>
      </c>
      <c r="I649" t="s">
        <v>1639</v>
      </c>
      <c r="J649">
        <v>259</v>
      </c>
      <c r="K649">
        <v>30</v>
      </c>
      <c r="L649">
        <v>4.45</v>
      </c>
      <c r="M649">
        <v>5.12</v>
      </c>
      <c r="N649">
        <v>4.25</v>
      </c>
      <c r="Q649">
        <v>4</v>
      </c>
      <c r="R649" t="s">
        <v>1607</v>
      </c>
    </row>
    <row r="650" spans="1:18" x14ac:dyDescent="0.25">
      <c r="A650">
        <v>650</v>
      </c>
      <c r="B650" t="s">
        <v>1435</v>
      </c>
      <c r="D650" t="s">
        <v>1099</v>
      </c>
      <c r="E650" t="s">
        <v>343</v>
      </c>
      <c r="F650">
        <v>3</v>
      </c>
      <c r="G650" s="3">
        <v>43293</v>
      </c>
      <c r="H650">
        <v>6.1</v>
      </c>
      <c r="I650" t="s">
        <v>1640</v>
      </c>
      <c r="J650">
        <v>337</v>
      </c>
      <c r="K650">
        <v>10</v>
      </c>
      <c r="L650">
        <v>6.36</v>
      </c>
      <c r="M650">
        <v>6.68</v>
      </c>
      <c r="N650">
        <v>6.79</v>
      </c>
      <c r="Q650">
        <v>5</v>
      </c>
      <c r="R650" t="s">
        <v>1607</v>
      </c>
    </row>
    <row r="651" spans="1:18" x14ac:dyDescent="0.25">
      <c r="A651">
        <v>651</v>
      </c>
      <c r="B651" t="s">
        <v>1437</v>
      </c>
      <c r="D651" t="s">
        <v>1099</v>
      </c>
      <c r="E651" t="s">
        <v>343</v>
      </c>
      <c r="F651">
        <v>4</v>
      </c>
      <c r="G651" s="3">
        <v>43294</v>
      </c>
      <c r="H651" t="s">
        <v>1641</v>
      </c>
      <c r="I651" t="s">
        <v>1642</v>
      </c>
      <c r="J651">
        <v>272</v>
      </c>
      <c r="K651">
        <v>30</v>
      </c>
      <c r="L651">
        <v>4.0999999999999996</v>
      </c>
      <c r="M651">
        <v>7.55</v>
      </c>
      <c r="N651">
        <v>6.6</v>
      </c>
      <c r="Q651">
        <v>4</v>
      </c>
      <c r="R651" t="s">
        <v>1607</v>
      </c>
    </row>
    <row r="652" spans="1:18" x14ac:dyDescent="0.25">
      <c r="A652">
        <v>652</v>
      </c>
      <c r="B652" t="s">
        <v>1438</v>
      </c>
      <c r="D652" t="s">
        <v>1099</v>
      </c>
      <c r="E652" t="s">
        <v>343</v>
      </c>
      <c r="F652">
        <v>5</v>
      </c>
      <c r="G652" s="3">
        <v>43294</v>
      </c>
      <c r="H652" t="s">
        <v>1643</v>
      </c>
      <c r="I652" t="s">
        <v>1644</v>
      </c>
      <c r="J652">
        <v>170</v>
      </c>
      <c r="K652">
        <v>10</v>
      </c>
      <c r="L652">
        <v>2.13</v>
      </c>
      <c r="M652">
        <v>1.82</v>
      </c>
      <c r="N652">
        <v>2.3199999999999998</v>
      </c>
      <c r="Q652">
        <v>4</v>
      </c>
      <c r="R652" t="s">
        <v>1607</v>
      </c>
    </row>
    <row r="653" spans="1:18" x14ac:dyDescent="0.25">
      <c r="A653">
        <v>653</v>
      </c>
      <c r="B653" t="s">
        <v>1439</v>
      </c>
      <c r="D653" t="s">
        <v>1099</v>
      </c>
      <c r="E653" t="s">
        <v>379</v>
      </c>
      <c r="F653">
        <v>1</v>
      </c>
      <c r="G653" s="3">
        <v>43269</v>
      </c>
      <c r="H653">
        <v>27</v>
      </c>
      <c r="I653" t="s">
        <v>1645</v>
      </c>
      <c r="J653">
        <v>673</v>
      </c>
      <c r="K653">
        <v>100</v>
      </c>
      <c r="L653" t="s">
        <v>135</v>
      </c>
      <c r="M653" t="s">
        <v>135</v>
      </c>
      <c r="N653" t="s">
        <v>135</v>
      </c>
      <c r="Q653">
        <v>5</v>
      </c>
      <c r="R653" t="s">
        <v>1607</v>
      </c>
    </row>
    <row r="654" spans="1:18" x14ac:dyDescent="0.25">
      <c r="A654">
        <v>654</v>
      </c>
      <c r="B654" t="s">
        <v>1440</v>
      </c>
      <c r="D654" t="s">
        <v>1099</v>
      </c>
      <c r="E654" t="s">
        <v>379</v>
      </c>
      <c r="F654">
        <v>2</v>
      </c>
      <c r="G654" s="3">
        <v>43281</v>
      </c>
      <c r="H654">
        <v>9.5</v>
      </c>
      <c r="I654">
        <v>8</v>
      </c>
      <c r="J654">
        <v>541</v>
      </c>
      <c r="K654">
        <v>165</v>
      </c>
      <c r="L654">
        <v>6.7</v>
      </c>
      <c r="M654">
        <v>6.53</v>
      </c>
      <c r="N654">
        <v>7.56</v>
      </c>
      <c r="Q654">
        <v>4</v>
      </c>
      <c r="R654" t="s">
        <v>1607</v>
      </c>
    </row>
    <row r="655" spans="1:18" x14ac:dyDescent="0.25">
      <c r="A655">
        <v>655</v>
      </c>
      <c r="B655" t="s">
        <v>1441</v>
      </c>
      <c r="D655" t="s">
        <v>1099</v>
      </c>
      <c r="E655" t="s">
        <v>379</v>
      </c>
      <c r="F655">
        <v>3</v>
      </c>
      <c r="G655" s="3">
        <v>43281</v>
      </c>
      <c r="H655" t="s">
        <v>1646</v>
      </c>
      <c r="I655" t="s">
        <v>1647</v>
      </c>
      <c r="J655">
        <v>388</v>
      </c>
      <c r="K655">
        <v>140</v>
      </c>
      <c r="L655">
        <v>7.44</v>
      </c>
      <c r="M655">
        <v>8.15</v>
      </c>
      <c r="N655">
        <v>7.68</v>
      </c>
      <c r="Q655">
        <v>4</v>
      </c>
      <c r="R655" t="s">
        <v>1607</v>
      </c>
    </row>
    <row r="656" spans="1:18" x14ac:dyDescent="0.25">
      <c r="A656">
        <v>656</v>
      </c>
      <c r="B656" t="s">
        <v>1442</v>
      </c>
      <c r="D656" t="s">
        <v>1099</v>
      </c>
      <c r="E656" t="s">
        <v>379</v>
      </c>
      <c r="F656">
        <v>4</v>
      </c>
      <c r="G656" s="3">
        <v>43281</v>
      </c>
      <c r="H656">
        <v>8.1999999999999993</v>
      </c>
      <c r="I656" t="s">
        <v>1648</v>
      </c>
      <c r="J656">
        <v>405</v>
      </c>
      <c r="K656">
        <v>155</v>
      </c>
      <c r="L656">
        <v>6.02</v>
      </c>
      <c r="M656">
        <v>6.87</v>
      </c>
      <c r="N656">
        <v>5.83</v>
      </c>
      <c r="Q656">
        <v>4</v>
      </c>
      <c r="R656" t="s">
        <v>1607</v>
      </c>
    </row>
    <row r="657" spans="1:18" x14ac:dyDescent="0.25">
      <c r="A657">
        <v>657</v>
      </c>
      <c r="B657" t="s">
        <v>1443</v>
      </c>
      <c r="D657" t="s">
        <v>1099</v>
      </c>
      <c r="E657" t="s">
        <v>379</v>
      </c>
      <c r="F657">
        <v>5</v>
      </c>
      <c r="G657" s="3">
        <v>43287</v>
      </c>
      <c r="H657">
        <v>6.1</v>
      </c>
      <c r="I657">
        <v>4.3</v>
      </c>
      <c r="J657">
        <v>412</v>
      </c>
      <c r="K657">
        <v>105</v>
      </c>
      <c r="L657">
        <v>3.16</v>
      </c>
      <c r="M657">
        <v>3.26</v>
      </c>
      <c r="N657">
        <v>2.92</v>
      </c>
      <c r="Q657">
        <v>4</v>
      </c>
      <c r="R657" t="s">
        <v>1607</v>
      </c>
    </row>
    <row r="658" spans="1:18" x14ac:dyDescent="0.25">
      <c r="A658">
        <v>658</v>
      </c>
      <c r="B658" t="s">
        <v>1444</v>
      </c>
      <c r="D658" t="s">
        <v>1099</v>
      </c>
      <c r="E658" t="s">
        <v>358</v>
      </c>
      <c r="F658">
        <v>1</v>
      </c>
      <c r="G658" s="3">
        <v>43251</v>
      </c>
      <c r="H658">
        <v>3.9</v>
      </c>
      <c r="I658">
        <v>2.6</v>
      </c>
      <c r="J658">
        <v>275</v>
      </c>
      <c r="K658">
        <v>40</v>
      </c>
      <c r="L658" t="s">
        <v>135</v>
      </c>
      <c r="M658" t="s">
        <v>135</v>
      </c>
      <c r="N658" t="s">
        <v>135</v>
      </c>
      <c r="Q658">
        <v>5</v>
      </c>
      <c r="R658" t="s">
        <v>1607</v>
      </c>
    </row>
    <row r="659" spans="1:18" x14ac:dyDescent="0.25">
      <c r="A659">
        <v>659</v>
      </c>
      <c r="B659" t="s">
        <v>1445</v>
      </c>
      <c r="D659" t="s">
        <v>1099</v>
      </c>
      <c r="E659" t="s">
        <v>358</v>
      </c>
      <c r="F659">
        <v>10</v>
      </c>
      <c r="G659" s="3">
        <v>43294</v>
      </c>
      <c r="H659">
        <v>13</v>
      </c>
      <c r="I659" t="s">
        <v>1649</v>
      </c>
      <c r="J659">
        <v>440</v>
      </c>
      <c r="K659">
        <v>220</v>
      </c>
      <c r="L659">
        <v>20.73</v>
      </c>
      <c r="M659">
        <v>19.71</v>
      </c>
      <c r="N659">
        <v>20.43</v>
      </c>
      <c r="Q659">
        <v>5</v>
      </c>
      <c r="R659" t="s">
        <v>1607</v>
      </c>
    </row>
    <row r="660" spans="1:18" x14ac:dyDescent="0.25">
      <c r="A660">
        <v>660</v>
      </c>
      <c r="B660" t="s">
        <v>1447</v>
      </c>
      <c r="D660" t="s">
        <v>1099</v>
      </c>
      <c r="E660" t="s">
        <v>358</v>
      </c>
      <c r="F660">
        <v>11</v>
      </c>
      <c r="G660" s="3">
        <v>43301</v>
      </c>
      <c r="H660" t="s">
        <v>1650</v>
      </c>
      <c r="I660" t="s">
        <v>1651</v>
      </c>
      <c r="J660">
        <v>292</v>
      </c>
      <c r="K660">
        <v>130</v>
      </c>
      <c r="L660" t="s">
        <v>135</v>
      </c>
      <c r="M660" t="s">
        <v>135</v>
      </c>
      <c r="N660" t="s">
        <v>135</v>
      </c>
      <c r="Q660">
        <v>5</v>
      </c>
      <c r="R660" t="s">
        <v>1607</v>
      </c>
    </row>
    <row r="661" spans="1:18" x14ac:dyDescent="0.25">
      <c r="A661">
        <v>661</v>
      </c>
      <c r="B661" t="s">
        <v>1449</v>
      </c>
      <c r="D661" t="s">
        <v>1099</v>
      </c>
      <c r="E661" t="s">
        <v>358</v>
      </c>
      <c r="F661">
        <v>2</v>
      </c>
      <c r="G661" s="3">
        <v>43271</v>
      </c>
      <c r="H661">
        <v>4.8</v>
      </c>
      <c r="I661">
        <v>2.5</v>
      </c>
      <c r="J661">
        <v>254</v>
      </c>
      <c r="K661">
        <v>105</v>
      </c>
      <c r="L661">
        <v>1.04</v>
      </c>
      <c r="M661" t="s">
        <v>135</v>
      </c>
      <c r="N661" t="s">
        <v>135</v>
      </c>
      <c r="Q661">
        <v>4</v>
      </c>
      <c r="R661" t="s">
        <v>1607</v>
      </c>
    </row>
    <row r="662" spans="1:18" x14ac:dyDescent="0.25">
      <c r="A662">
        <v>662</v>
      </c>
      <c r="B662" t="s">
        <v>1450</v>
      </c>
      <c r="D662" t="s">
        <v>1099</v>
      </c>
      <c r="E662" t="s">
        <v>358</v>
      </c>
      <c r="F662">
        <v>3</v>
      </c>
      <c r="G662" s="3">
        <v>43271</v>
      </c>
      <c r="H662">
        <v>4</v>
      </c>
      <c r="I662">
        <v>2.6</v>
      </c>
      <c r="J662">
        <v>257</v>
      </c>
      <c r="K662">
        <v>60</v>
      </c>
      <c r="L662">
        <v>1.64</v>
      </c>
      <c r="M662" t="s">
        <v>135</v>
      </c>
      <c r="N662" t="s">
        <v>135</v>
      </c>
      <c r="Q662">
        <v>4</v>
      </c>
      <c r="R662" t="s">
        <v>1607</v>
      </c>
    </row>
    <row r="663" spans="1:18" x14ac:dyDescent="0.25">
      <c r="A663">
        <v>663</v>
      </c>
      <c r="B663" t="s">
        <v>1451</v>
      </c>
      <c r="D663" t="s">
        <v>1099</v>
      </c>
      <c r="E663" t="s">
        <v>358</v>
      </c>
      <c r="F663">
        <v>4</v>
      </c>
      <c r="G663" s="3">
        <v>43281</v>
      </c>
      <c r="H663">
        <v>6</v>
      </c>
      <c r="I663" t="s">
        <v>1652</v>
      </c>
      <c r="J663">
        <v>322</v>
      </c>
      <c r="K663">
        <v>70</v>
      </c>
      <c r="L663">
        <v>8.6999999999999993</v>
      </c>
      <c r="M663">
        <v>7.53</v>
      </c>
      <c r="N663">
        <v>9.73</v>
      </c>
      <c r="Q663">
        <v>4</v>
      </c>
      <c r="R663" t="s">
        <v>1607</v>
      </c>
    </row>
    <row r="664" spans="1:18" x14ac:dyDescent="0.25">
      <c r="A664">
        <v>664</v>
      </c>
      <c r="B664" t="s">
        <v>1452</v>
      </c>
      <c r="D664" t="s">
        <v>1099</v>
      </c>
      <c r="E664" t="s">
        <v>358</v>
      </c>
      <c r="F664">
        <v>5</v>
      </c>
      <c r="G664" s="3">
        <v>43285</v>
      </c>
      <c r="H664">
        <v>8.9</v>
      </c>
      <c r="I664">
        <v>7</v>
      </c>
      <c r="J664">
        <v>506</v>
      </c>
      <c r="K664">
        <v>140</v>
      </c>
      <c r="L664">
        <v>9.07</v>
      </c>
      <c r="M664">
        <v>10.17</v>
      </c>
      <c r="N664">
        <v>10.5</v>
      </c>
      <c r="Q664">
        <v>5</v>
      </c>
      <c r="R664" t="s">
        <v>1607</v>
      </c>
    </row>
    <row r="665" spans="1:18" x14ac:dyDescent="0.25">
      <c r="A665">
        <v>665</v>
      </c>
      <c r="B665" t="s">
        <v>1453</v>
      </c>
      <c r="D665" t="s">
        <v>1099</v>
      </c>
      <c r="E665" t="s">
        <v>358</v>
      </c>
      <c r="F665">
        <v>6</v>
      </c>
      <c r="G665" s="3">
        <v>43285</v>
      </c>
      <c r="H665">
        <v>8.6999999999999993</v>
      </c>
      <c r="I665">
        <v>10</v>
      </c>
      <c r="J665">
        <v>377</v>
      </c>
      <c r="K665">
        <v>170</v>
      </c>
      <c r="L665">
        <v>0.81</v>
      </c>
      <c r="M665" t="s">
        <v>135</v>
      </c>
      <c r="N665" t="s">
        <v>135</v>
      </c>
      <c r="Q665">
        <v>4</v>
      </c>
      <c r="R665" t="s">
        <v>1607</v>
      </c>
    </row>
    <row r="666" spans="1:18" x14ac:dyDescent="0.25">
      <c r="A666">
        <v>666</v>
      </c>
      <c r="B666" t="s">
        <v>1454</v>
      </c>
      <c r="D666" t="s">
        <v>1099</v>
      </c>
      <c r="E666" t="s">
        <v>358</v>
      </c>
      <c r="F666">
        <v>7</v>
      </c>
      <c r="G666" s="3">
        <v>43285</v>
      </c>
      <c r="H666">
        <v>6</v>
      </c>
      <c r="I666">
        <v>3.5</v>
      </c>
      <c r="J666">
        <v>326</v>
      </c>
      <c r="K666">
        <v>140</v>
      </c>
      <c r="L666">
        <v>9.5500000000000007</v>
      </c>
      <c r="M666">
        <v>8.35</v>
      </c>
      <c r="N666">
        <v>7.22</v>
      </c>
      <c r="Q666">
        <v>4</v>
      </c>
      <c r="R666" t="s">
        <v>1607</v>
      </c>
    </row>
    <row r="667" spans="1:18" x14ac:dyDescent="0.25">
      <c r="A667">
        <v>667</v>
      </c>
      <c r="B667" t="s">
        <v>1456</v>
      </c>
      <c r="D667" t="s">
        <v>1099</v>
      </c>
      <c r="E667" t="s">
        <v>358</v>
      </c>
      <c r="F667">
        <v>8</v>
      </c>
      <c r="G667" s="3">
        <v>43285</v>
      </c>
      <c r="H667">
        <v>4.7</v>
      </c>
      <c r="I667">
        <v>2.9</v>
      </c>
      <c r="J667">
        <v>392</v>
      </c>
      <c r="K667">
        <v>188</v>
      </c>
      <c r="L667">
        <v>5.31</v>
      </c>
      <c r="M667">
        <v>5.14</v>
      </c>
      <c r="N667">
        <v>4.3899999999999997</v>
      </c>
      <c r="Q667">
        <v>4</v>
      </c>
      <c r="R667" t="s">
        <v>1607</v>
      </c>
    </row>
    <row r="668" spans="1:18" x14ac:dyDescent="0.25">
      <c r="A668">
        <v>668</v>
      </c>
      <c r="B668" t="s">
        <v>1458</v>
      </c>
      <c r="D668" t="s">
        <v>1099</v>
      </c>
      <c r="E668" t="s">
        <v>358</v>
      </c>
      <c r="F668">
        <v>9</v>
      </c>
      <c r="G668" t="s">
        <v>135</v>
      </c>
      <c r="H668">
        <v>3.2</v>
      </c>
      <c r="I668">
        <v>2</v>
      </c>
      <c r="J668">
        <v>224</v>
      </c>
      <c r="K668">
        <v>95</v>
      </c>
      <c r="L668" t="s">
        <v>135</v>
      </c>
      <c r="M668" t="s">
        <v>135</v>
      </c>
      <c r="N668" t="s">
        <v>135</v>
      </c>
      <c r="Q668">
        <v>3</v>
      </c>
      <c r="R668" t="s">
        <v>1607</v>
      </c>
    </row>
    <row r="669" spans="1:18" x14ac:dyDescent="0.25">
      <c r="A669">
        <v>669</v>
      </c>
      <c r="B669" t="s">
        <v>1460</v>
      </c>
      <c r="D669" t="s">
        <v>1099</v>
      </c>
      <c r="E669" t="s">
        <v>335</v>
      </c>
      <c r="F669">
        <v>1</v>
      </c>
      <c r="G669" s="3">
        <v>43267</v>
      </c>
      <c r="H669">
        <v>4.8</v>
      </c>
      <c r="I669">
        <v>2.7</v>
      </c>
      <c r="J669">
        <v>320</v>
      </c>
      <c r="K669">
        <v>115</v>
      </c>
      <c r="L669" t="s">
        <v>135</v>
      </c>
      <c r="M669" t="s">
        <v>135</v>
      </c>
      <c r="N669" t="s">
        <v>135</v>
      </c>
      <c r="Q669">
        <v>4</v>
      </c>
      <c r="R669" t="s">
        <v>1607</v>
      </c>
    </row>
    <row r="670" spans="1:18" x14ac:dyDescent="0.25">
      <c r="A670">
        <v>670</v>
      </c>
      <c r="B670" t="s">
        <v>1461</v>
      </c>
      <c r="D670" t="s">
        <v>1099</v>
      </c>
      <c r="E670" t="s">
        <v>335</v>
      </c>
      <c r="F670">
        <v>2</v>
      </c>
      <c r="G670" s="3">
        <v>43270</v>
      </c>
      <c r="H670">
        <v>3.1</v>
      </c>
      <c r="I670">
        <v>2.4</v>
      </c>
      <c r="J670">
        <v>236</v>
      </c>
      <c r="K670">
        <v>80</v>
      </c>
      <c r="L670" t="s">
        <v>135</v>
      </c>
      <c r="M670" t="s">
        <v>135</v>
      </c>
      <c r="N670" t="s">
        <v>135</v>
      </c>
      <c r="Q670">
        <v>4</v>
      </c>
      <c r="R670" t="s">
        <v>1607</v>
      </c>
    </row>
    <row r="671" spans="1:18" x14ac:dyDescent="0.25">
      <c r="A671">
        <v>671</v>
      </c>
      <c r="B671" t="s">
        <v>1462</v>
      </c>
      <c r="D671" t="s">
        <v>1099</v>
      </c>
      <c r="E671" t="s">
        <v>335</v>
      </c>
      <c r="F671">
        <v>3</v>
      </c>
      <c r="G671" s="3">
        <v>43286</v>
      </c>
      <c r="H671">
        <v>8.5</v>
      </c>
      <c r="I671" t="s">
        <v>1653</v>
      </c>
      <c r="J671">
        <v>374</v>
      </c>
      <c r="K671">
        <v>100</v>
      </c>
      <c r="L671" t="s">
        <v>135</v>
      </c>
      <c r="M671" t="s">
        <v>135</v>
      </c>
      <c r="N671" t="s">
        <v>135</v>
      </c>
      <c r="Q671">
        <v>4</v>
      </c>
      <c r="R671" t="s">
        <v>1607</v>
      </c>
    </row>
    <row r="672" spans="1:18" x14ac:dyDescent="0.25">
      <c r="A672">
        <v>672</v>
      </c>
      <c r="B672" t="s">
        <v>1463</v>
      </c>
      <c r="D672" t="s">
        <v>1099</v>
      </c>
      <c r="E672" t="s">
        <v>335</v>
      </c>
      <c r="F672">
        <v>4</v>
      </c>
      <c r="G672" s="3">
        <v>43286</v>
      </c>
      <c r="H672">
        <v>8.4</v>
      </c>
      <c r="I672" t="s">
        <v>1654</v>
      </c>
      <c r="J672">
        <v>421</v>
      </c>
      <c r="K672">
        <v>105</v>
      </c>
      <c r="L672">
        <v>7.43</v>
      </c>
      <c r="M672">
        <v>7.31</v>
      </c>
      <c r="N672">
        <v>7.5</v>
      </c>
      <c r="Q672">
        <v>4</v>
      </c>
      <c r="R672" t="s">
        <v>1607</v>
      </c>
    </row>
    <row r="673" spans="1:18" x14ac:dyDescent="0.25">
      <c r="A673">
        <v>673</v>
      </c>
      <c r="B673" t="s">
        <v>1464</v>
      </c>
      <c r="D673" t="s">
        <v>1099</v>
      </c>
      <c r="E673" t="s">
        <v>335</v>
      </c>
      <c r="F673">
        <v>5</v>
      </c>
      <c r="G673" s="3">
        <v>43297</v>
      </c>
      <c r="H673">
        <v>3.5</v>
      </c>
      <c r="I673" t="s">
        <v>1655</v>
      </c>
      <c r="J673">
        <v>282</v>
      </c>
      <c r="K673">
        <v>130</v>
      </c>
      <c r="L673">
        <v>4.84</v>
      </c>
      <c r="M673">
        <v>4.1500000000000004</v>
      </c>
      <c r="N673">
        <v>3.27</v>
      </c>
      <c r="Q673">
        <v>4</v>
      </c>
      <c r="R673" t="s">
        <v>1607</v>
      </c>
    </row>
    <row r="674" spans="1:18" x14ac:dyDescent="0.25">
      <c r="A674">
        <v>674</v>
      </c>
      <c r="B674" t="s">
        <v>1465</v>
      </c>
      <c r="D674" t="s">
        <v>1099</v>
      </c>
      <c r="E674" t="s">
        <v>352</v>
      </c>
      <c r="F674">
        <v>1</v>
      </c>
      <c r="G674" s="3">
        <v>43251</v>
      </c>
      <c r="H674">
        <v>4.0999999999999996</v>
      </c>
      <c r="I674">
        <v>2.5</v>
      </c>
      <c r="J674">
        <v>330</v>
      </c>
      <c r="K674">
        <v>60</v>
      </c>
      <c r="L674" t="s">
        <v>135</v>
      </c>
      <c r="M674" t="s">
        <v>135</v>
      </c>
      <c r="N674" t="s">
        <v>135</v>
      </c>
      <c r="Q674">
        <v>5</v>
      </c>
      <c r="R674" t="s">
        <v>1607</v>
      </c>
    </row>
    <row r="675" spans="1:18" x14ac:dyDescent="0.25">
      <c r="A675">
        <v>675</v>
      </c>
      <c r="B675" t="s">
        <v>1466</v>
      </c>
      <c r="D675" t="s">
        <v>1099</v>
      </c>
      <c r="E675" t="s">
        <v>352</v>
      </c>
      <c r="F675">
        <v>10</v>
      </c>
      <c r="G675" s="3">
        <v>43270</v>
      </c>
      <c r="H675">
        <v>5.8</v>
      </c>
      <c r="I675">
        <v>4.8</v>
      </c>
      <c r="J675">
        <v>387</v>
      </c>
      <c r="K675">
        <v>50</v>
      </c>
      <c r="L675" t="s">
        <v>135</v>
      </c>
      <c r="M675" t="s">
        <v>135</v>
      </c>
      <c r="N675" t="s">
        <v>135</v>
      </c>
      <c r="Q675">
        <v>5</v>
      </c>
      <c r="R675" t="s">
        <v>1607</v>
      </c>
    </row>
    <row r="676" spans="1:18" x14ac:dyDescent="0.25">
      <c r="A676">
        <v>676</v>
      </c>
      <c r="B676" t="s">
        <v>1468</v>
      </c>
      <c r="D676" t="s">
        <v>1099</v>
      </c>
      <c r="E676" t="s">
        <v>352</v>
      </c>
      <c r="F676">
        <v>11</v>
      </c>
      <c r="G676" s="3">
        <v>43287</v>
      </c>
      <c r="H676">
        <v>10.5</v>
      </c>
      <c r="I676">
        <v>10.4</v>
      </c>
      <c r="J676">
        <v>488</v>
      </c>
      <c r="K676">
        <v>178</v>
      </c>
      <c r="L676">
        <v>6.69</v>
      </c>
      <c r="M676">
        <v>6.8</v>
      </c>
      <c r="N676">
        <v>5.32</v>
      </c>
      <c r="Q676">
        <v>4</v>
      </c>
      <c r="R676" t="s">
        <v>1607</v>
      </c>
    </row>
    <row r="677" spans="1:18" x14ac:dyDescent="0.25">
      <c r="A677">
        <v>677</v>
      </c>
      <c r="B677" t="s">
        <v>1470</v>
      </c>
      <c r="D677" t="s">
        <v>1099</v>
      </c>
      <c r="E677" t="s">
        <v>352</v>
      </c>
      <c r="F677">
        <v>2</v>
      </c>
      <c r="G677" s="3">
        <v>43251</v>
      </c>
      <c r="H677">
        <v>4.5</v>
      </c>
      <c r="I677">
        <v>3.5</v>
      </c>
      <c r="J677">
        <v>394</v>
      </c>
      <c r="K677">
        <v>105</v>
      </c>
      <c r="L677" t="s">
        <v>135</v>
      </c>
      <c r="M677" t="s">
        <v>135</v>
      </c>
      <c r="N677" t="s">
        <v>135</v>
      </c>
      <c r="Q677">
        <v>5</v>
      </c>
      <c r="R677" t="s">
        <v>1607</v>
      </c>
    </row>
    <row r="678" spans="1:18" x14ac:dyDescent="0.25">
      <c r="A678">
        <v>678</v>
      </c>
      <c r="B678" t="s">
        <v>1471</v>
      </c>
      <c r="D678" t="s">
        <v>1099</v>
      </c>
      <c r="E678" t="s">
        <v>352</v>
      </c>
      <c r="F678">
        <v>3</v>
      </c>
      <c r="G678" s="3">
        <v>43252</v>
      </c>
      <c r="H678">
        <v>2</v>
      </c>
      <c r="I678" t="s">
        <v>1656</v>
      </c>
      <c r="J678">
        <v>217</v>
      </c>
      <c r="K678">
        <v>55</v>
      </c>
      <c r="L678" t="s">
        <v>135</v>
      </c>
      <c r="M678" t="s">
        <v>135</v>
      </c>
      <c r="N678" t="s">
        <v>135</v>
      </c>
      <c r="Q678">
        <v>5</v>
      </c>
      <c r="R678" t="s">
        <v>1607</v>
      </c>
    </row>
    <row r="679" spans="1:18" x14ac:dyDescent="0.25">
      <c r="A679">
        <v>679</v>
      </c>
      <c r="B679" t="s">
        <v>1472</v>
      </c>
      <c r="D679" t="s">
        <v>1099</v>
      </c>
      <c r="E679" t="s">
        <v>352</v>
      </c>
      <c r="F679">
        <v>4</v>
      </c>
      <c r="G679" s="3">
        <v>43252</v>
      </c>
      <c r="H679">
        <v>3</v>
      </c>
      <c r="I679">
        <v>2.2999999999999998</v>
      </c>
      <c r="J679">
        <v>280</v>
      </c>
      <c r="K679">
        <v>90</v>
      </c>
      <c r="L679" t="s">
        <v>135</v>
      </c>
      <c r="M679" t="s">
        <v>135</v>
      </c>
      <c r="N679" t="s">
        <v>135</v>
      </c>
      <c r="Q679">
        <v>5</v>
      </c>
      <c r="R679" t="s">
        <v>1607</v>
      </c>
    </row>
    <row r="680" spans="1:18" x14ac:dyDescent="0.25">
      <c r="A680">
        <v>680</v>
      </c>
      <c r="B680" t="s">
        <v>1473</v>
      </c>
      <c r="D680" t="s">
        <v>1099</v>
      </c>
      <c r="E680" t="s">
        <v>352</v>
      </c>
      <c r="F680">
        <v>5</v>
      </c>
      <c r="G680" s="3">
        <v>43253</v>
      </c>
      <c r="H680">
        <v>3.2</v>
      </c>
      <c r="I680">
        <v>1.8</v>
      </c>
      <c r="J680">
        <v>234</v>
      </c>
      <c r="K680">
        <v>65</v>
      </c>
      <c r="L680" t="s">
        <v>135</v>
      </c>
      <c r="M680" t="s">
        <v>135</v>
      </c>
      <c r="N680" t="s">
        <v>135</v>
      </c>
      <c r="Q680">
        <v>5</v>
      </c>
      <c r="R680" t="s">
        <v>1607</v>
      </c>
    </row>
    <row r="681" spans="1:18" x14ac:dyDescent="0.25">
      <c r="A681">
        <v>681</v>
      </c>
      <c r="B681" t="s">
        <v>1474</v>
      </c>
      <c r="D681" t="s">
        <v>1099</v>
      </c>
      <c r="E681" t="s">
        <v>352</v>
      </c>
      <c r="F681">
        <v>6</v>
      </c>
      <c r="G681" s="3">
        <v>43267</v>
      </c>
      <c r="H681">
        <v>18</v>
      </c>
      <c r="I681">
        <v>17.5</v>
      </c>
      <c r="J681">
        <v>621</v>
      </c>
      <c r="K681">
        <v>10</v>
      </c>
      <c r="L681" t="s">
        <v>135</v>
      </c>
      <c r="M681" t="s">
        <v>135</v>
      </c>
      <c r="N681" t="s">
        <v>135</v>
      </c>
      <c r="Q681">
        <v>4</v>
      </c>
      <c r="R681" t="s">
        <v>1607</v>
      </c>
    </row>
    <row r="682" spans="1:18" x14ac:dyDescent="0.25">
      <c r="A682">
        <v>682</v>
      </c>
      <c r="B682" t="s">
        <v>1475</v>
      </c>
      <c r="D682" t="s">
        <v>1099</v>
      </c>
      <c r="E682" t="s">
        <v>352</v>
      </c>
      <c r="F682">
        <v>7</v>
      </c>
      <c r="G682" s="3">
        <v>43267</v>
      </c>
      <c r="H682">
        <v>15.1</v>
      </c>
      <c r="I682" t="s">
        <v>1657</v>
      </c>
      <c r="J682">
        <v>473</v>
      </c>
      <c r="K682">
        <v>170</v>
      </c>
      <c r="L682" t="s">
        <v>135</v>
      </c>
      <c r="M682" t="s">
        <v>135</v>
      </c>
      <c r="N682" t="s">
        <v>135</v>
      </c>
      <c r="Q682">
        <v>4</v>
      </c>
      <c r="R682" t="s">
        <v>1607</v>
      </c>
    </row>
    <row r="683" spans="1:18" x14ac:dyDescent="0.25">
      <c r="A683">
        <v>683</v>
      </c>
      <c r="B683" t="s">
        <v>1477</v>
      </c>
      <c r="D683" t="s">
        <v>1099</v>
      </c>
      <c r="E683" t="s">
        <v>352</v>
      </c>
      <c r="F683">
        <v>8</v>
      </c>
      <c r="G683" s="3">
        <v>43271</v>
      </c>
      <c r="H683">
        <v>16.3</v>
      </c>
      <c r="I683">
        <v>14.2</v>
      </c>
      <c r="J683">
        <v>728</v>
      </c>
      <c r="K683">
        <v>204</v>
      </c>
      <c r="L683" t="s">
        <v>135</v>
      </c>
      <c r="M683" t="s">
        <v>135</v>
      </c>
      <c r="N683" t="s">
        <v>135</v>
      </c>
      <c r="Q683">
        <v>5</v>
      </c>
      <c r="R683" t="s">
        <v>1607</v>
      </c>
    </row>
    <row r="684" spans="1:18" x14ac:dyDescent="0.25">
      <c r="A684">
        <v>684</v>
      </c>
      <c r="B684" t="s">
        <v>1479</v>
      </c>
      <c r="D684" t="s">
        <v>1099</v>
      </c>
      <c r="E684" t="s">
        <v>352</v>
      </c>
      <c r="F684">
        <v>9</v>
      </c>
      <c r="G684" s="3">
        <v>43270</v>
      </c>
      <c r="H684" t="s">
        <v>1658</v>
      </c>
      <c r="I684">
        <v>14.1</v>
      </c>
      <c r="J684">
        <v>594</v>
      </c>
      <c r="K684">
        <v>110</v>
      </c>
      <c r="L684">
        <v>7.55</v>
      </c>
      <c r="M684">
        <v>7.29</v>
      </c>
      <c r="N684">
        <v>6.19</v>
      </c>
      <c r="Q684">
        <v>5</v>
      </c>
      <c r="R684" t="s">
        <v>1607</v>
      </c>
    </row>
    <row r="685" spans="1:18" x14ac:dyDescent="0.25">
      <c r="A685">
        <v>685</v>
      </c>
      <c r="B685" t="s">
        <v>1481</v>
      </c>
      <c r="D685" t="s">
        <v>1099</v>
      </c>
      <c r="E685" t="s">
        <v>378</v>
      </c>
      <c r="F685">
        <v>1</v>
      </c>
      <c r="G685" s="3">
        <v>43300</v>
      </c>
      <c r="H685">
        <v>6.1</v>
      </c>
      <c r="I685">
        <v>4</v>
      </c>
      <c r="J685">
        <v>323</v>
      </c>
      <c r="K685">
        <v>130</v>
      </c>
      <c r="L685">
        <v>2</v>
      </c>
      <c r="M685">
        <v>2.96</v>
      </c>
      <c r="N685">
        <v>1.81</v>
      </c>
      <c r="Q685">
        <v>4</v>
      </c>
      <c r="R685" t="s">
        <v>1607</v>
      </c>
    </row>
    <row r="686" spans="1:18" x14ac:dyDescent="0.25">
      <c r="A686">
        <v>686</v>
      </c>
      <c r="B686" t="s">
        <v>1482</v>
      </c>
      <c r="D686" t="s">
        <v>1099</v>
      </c>
      <c r="E686" t="s">
        <v>378</v>
      </c>
      <c r="F686">
        <v>2</v>
      </c>
      <c r="G686" s="3">
        <v>43300</v>
      </c>
      <c r="H686">
        <v>3.2</v>
      </c>
      <c r="I686">
        <v>1.8</v>
      </c>
      <c r="J686">
        <v>240</v>
      </c>
      <c r="K686">
        <v>80</v>
      </c>
      <c r="L686">
        <v>1.73</v>
      </c>
      <c r="M686" t="s">
        <v>135</v>
      </c>
      <c r="N686" t="s">
        <v>135</v>
      </c>
      <c r="Q686">
        <v>4</v>
      </c>
      <c r="R686" t="s">
        <v>1607</v>
      </c>
    </row>
    <row r="687" spans="1:18" x14ac:dyDescent="0.25">
      <c r="A687">
        <v>687</v>
      </c>
      <c r="B687" t="s">
        <v>1483</v>
      </c>
      <c r="D687" t="s">
        <v>1099</v>
      </c>
      <c r="E687" t="s">
        <v>378</v>
      </c>
      <c r="F687">
        <v>3</v>
      </c>
      <c r="G687" s="3">
        <v>43304</v>
      </c>
      <c r="H687">
        <v>15.1</v>
      </c>
      <c r="I687" t="s">
        <v>1659</v>
      </c>
      <c r="J687">
        <v>516</v>
      </c>
      <c r="K687">
        <v>130</v>
      </c>
      <c r="L687" t="s">
        <v>135</v>
      </c>
      <c r="M687" t="s">
        <v>135</v>
      </c>
      <c r="N687" t="s">
        <v>135</v>
      </c>
      <c r="Q687">
        <v>4</v>
      </c>
      <c r="R687" t="s">
        <v>1607</v>
      </c>
    </row>
    <row r="688" spans="1:18" x14ac:dyDescent="0.25">
      <c r="A688">
        <v>688</v>
      </c>
      <c r="B688" t="s">
        <v>1484</v>
      </c>
      <c r="D688" t="s">
        <v>1099</v>
      </c>
      <c r="E688" t="s">
        <v>378</v>
      </c>
      <c r="F688">
        <v>4</v>
      </c>
      <c r="G688" s="3">
        <v>43304</v>
      </c>
      <c r="H688" t="s">
        <v>1660</v>
      </c>
      <c r="I688" t="s">
        <v>1661</v>
      </c>
      <c r="J688">
        <v>317</v>
      </c>
      <c r="K688">
        <v>70</v>
      </c>
      <c r="L688" t="s">
        <v>135</v>
      </c>
      <c r="M688" t="s">
        <v>135</v>
      </c>
      <c r="N688" t="s">
        <v>135</v>
      </c>
      <c r="Q688">
        <v>4</v>
      </c>
      <c r="R688" t="s">
        <v>1607</v>
      </c>
    </row>
    <row r="689" spans="1:18" x14ac:dyDescent="0.25">
      <c r="A689">
        <v>689</v>
      </c>
      <c r="B689" t="s">
        <v>1485</v>
      </c>
      <c r="D689" t="s">
        <v>1099</v>
      </c>
      <c r="E689" t="s">
        <v>378</v>
      </c>
      <c r="F689">
        <v>5</v>
      </c>
      <c r="G689" s="3">
        <v>43304</v>
      </c>
      <c r="H689">
        <v>9</v>
      </c>
      <c r="I689">
        <v>6.9</v>
      </c>
      <c r="J689">
        <v>382</v>
      </c>
      <c r="K689">
        <v>115</v>
      </c>
      <c r="L689" t="s">
        <v>135</v>
      </c>
      <c r="M689" t="s">
        <v>135</v>
      </c>
      <c r="N689" t="s">
        <v>135</v>
      </c>
      <c r="Q689">
        <v>4</v>
      </c>
      <c r="R689" t="s">
        <v>1607</v>
      </c>
    </row>
    <row r="690" spans="1:18" x14ac:dyDescent="0.25">
      <c r="A690">
        <v>690</v>
      </c>
      <c r="B690" t="s">
        <v>1486</v>
      </c>
      <c r="D690" t="s">
        <v>1099</v>
      </c>
      <c r="E690" t="s">
        <v>342</v>
      </c>
      <c r="F690">
        <v>1</v>
      </c>
      <c r="G690" s="3">
        <v>43307</v>
      </c>
      <c r="H690">
        <v>7</v>
      </c>
      <c r="I690">
        <v>5.5</v>
      </c>
      <c r="J690">
        <v>222</v>
      </c>
      <c r="K690">
        <v>140</v>
      </c>
      <c r="L690">
        <v>11.7</v>
      </c>
      <c r="M690">
        <v>13.84</v>
      </c>
      <c r="N690">
        <v>13.91</v>
      </c>
      <c r="Q690">
        <v>5</v>
      </c>
      <c r="R690" t="s">
        <v>1607</v>
      </c>
    </row>
    <row r="691" spans="1:18" x14ac:dyDescent="0.25">
      <c r="A691">
        <v>691</v>
      </c>
      <c r="B691" t="s">
        <v>1487</v>
      </c>
      <c r="D691" t="s">
        <v>1099</v>
      </c>
      <c r="E691" t="s">
        <v>342</v>
      </c>
      <c r="F691">
        <v>2</v>
      </c>
      <c r="G691" s="3">
        <v>43307</v>
      </c>
      <c r="H691">
        <v>9.4</v>
      </c>
      <c r="I691">
        <v>7.5</v>
      </c>
      <c r="J691">
        <v>313</v>
      </c>
      <c r="K691">
        <v>85</v>
      </c>
      <c r="L691">
        <v>14.13</v>
      </c>
      <c r="M691">
        <v>15.85</v>
      </c>
      <c r="N691">
        <v>19.190000000000001</v>
      </c>
      <c r="Q691">
        <v>5</v>
      </c>
      <c r="R691" t="s">
        <v>1607</v>
      </c>
    </row>
    <row r="692" spans="1:18" x14ac:dyDescent="0.25">
      <c r="A692">
        <v>692</v>
      </c>
      <c r="B692" t="s">
        <v>1488</v>
      </c>
      <c r="D692" t="s">
        <v>1099</v>
      </c>
      <c r="E692" t="s">
        <v>342</v>
      </c>
      <c r="F692">
        <v>3</v>
      </c>
      <c r="G692" s="3">
        <v>43307</v>
      </c>
      <c r="H692">
        <v>7.8</v>
      </c>
      <c r="I692">
        <v>6.5</v>
      </c>
      <c r="J692">
        <v>414</v>
      </c>
      <c r="K692">
        <v>180</v>
      </c>
      <c r="L692">
        <v>17.649999999999999</v>
      </c>
      <c r="M692">
        <v>16.2</v>
      </c>
      <c r="N692">
        <v>18.559999999999999</v>
      </c>
      <c r="Q692">
        <v>5</v>
      </c>
      <c r="R692" t="s">
        <v>1607</v>
      </c>
    </row>
    <row r="693" spans="1:18" x14ac:dyDescent="0.25">
      <c r="A693">
        <v>693</v>
      </c>
      <c r="B693" t="s">
        <v>1489</v>
      </c>
      <c r="D693" t="s">
        <v>1099</v>
      </c>
      <c r="E693" t="s">
        <v>342</v>
      </c>
      <c r="F693">
        <v>4</v>
      </c>
      <c r="G693" s="3">
        <v>43307</v>
      </c>
      <c r="H693">
        <v>7</v>
      </c>
      <c r="I693">
        <v>5.6</v>
      </c>
      <c r="J693">
        <v>310</v>
      </c>
      <c r="K693">
        <v>220</v>
      </c>
      <c r="L693">
        <v>16.61</v>
      </c>
      <c r="M693">
        <v>18.579999999999998</v>
      </c>
      <c r="N693">
        <v>18.010000000000002</v>
      </c>
      <c r="Q693">
        <v>5</v>
      </c>
      <c r="R693" t="s">
        <v>1607</v>
      </c>
    </row>
    <row r="694" spans="1:18" x14ac:dyDescent="0.25">
      <c r="A694">
        <v>694</v>
      </c>
      <c r="B694" t="s">
        <v>1490</v>
      </c>
      <c r="D694" t="s">
        <v>1099</v>
      </c>
      <c r="E694" t="s">
        <v>342</v>
      </c>
      <c r="F694">
        <v>5</v>
      </c>
      <c r="G694" s="3">
        <v>43307</v>
      </c>
      <c r="H694">
        <v>7.5</v>
      </c>
      <c r="I694">
        <v>6</v>
      </c>
      <c r="J694">
        <v>255</v>
      </c>
      <c r="K694">
        <v>60</v>
      </c>
      <c r="L694">
        <v>17.260000000000002</v>
      </c>
      <c r="M694">
        <v>19.91</v>
      </c>
      <c r="N694">
        <v>17.53</v>
      </c>
      <c r="Q694">
        <v>5</v>
      </c>
      <c r="R694" t="s">
        <v>1607</v>
      </c>
    </row>
    <row r="695" spans="1:18" x14ac:dyDescent="0.25">
      <c r="A695">
        <v>695</v>
      </c>
      <c r="B695" t="s">
        <v>1491</v>
      </c>
      <c r="D695" t="s">
        <v>1099</v>
      </c>
      <c r="E695" t="s">
        <v>331</v>
      </c>
      <c r="F695">
        <v>1</v>
      </c>
      <c r="G695" s="3">
        <v>43281</v>
      </c>
      <c r="H695">
        <v>20.8</v>
      </c>
      <c r="I695">
        <v>17.8</v>
      </c>
      <c r="J695">
        <v>770</v>
      </c>
      <c r="K695">
        <v>150</v>
      </c>
      <c r="L695">
        <v>6.92</v>
      </c>
      <c r="M695">
        <v>7.14</v>
      </c>
      <c r="N695">
        <v>7.5</v>
      </c>
      <c r="Q695">
        <v>5</v>
      </c>
      <c r="R695" t="s">
        <v>1607</v>
      </c>
    </row>
    <row r="696" spans="1:18" x14ac:dyDescent="0.25">
      <c r="A696">
        <v>696</v>
      </c>
      <c r="B696" t="s">
        <v>1492</v>
      </c>
      <c r="D696" t="s">
        <v>1099</v>
      </c>
      <c r="E696" t="s">
        <v>331</v>
      </c>
      <c r="F696">
        <v>10</v>
      </c>
      <c r="G696" s="3">
        <v>43286</v>
      </c>
      <c r="H696">
        <v>6.1</v>
      </c>
      <c r="I696">
        <v>5.0999999999999996</v>
      </c>
      <c r="J696">
        <v>717</v>
      </c>
      <c r="K696">
        <v>317</v>
      </c>
      <c r="L696">
        <v>3.1</v>
      </c>
      <c r="M696">
        <v>3.05</v>
      </c>
      <c r="N696">
        <v>2.62</v>
      </c>
      <c r="Q696">
        <v>4</v>
      </c>
      <c r="R696" t="s">
        <v>1607</v>
      </c>
    </row>
    <row r="697" spans="1:18" x14ac:dyDescent="0.25">
      <c r="A697">
        <v>697</v>
      </c>
      <c r="B697" t="s">
        <v>1494</v>
      </c>
      <c r="D697" t="s">
        <v>1099</v>
      </c>
      <c r="E697" t="s">
        <v>331</v>
      </c>
      <c r="F697">
        <v>2</v>
      </c>
      <c r="G697" s="3">
        <v>43285</v>
      </c>
      <c r="H697">
        <v>2.1</v>
      </c>
      <c r="I697">
        <v>1.5</v>
      </c>
      <c r="J697">
        <v>263</v>
      </c>
      <c r="K697">
        <v>140</v>
      </c>
      <c r="L697" t="s">
        <v>135</v>
      </c>
      <c r="M697" t="s">
        <v>135</v>
      </c>
      <c r="N697" t="s">
        <v>135</v>
      </c>
      <c r="Q697">
        <v>3</v>
      </c>
      <c r="R697" t="s">
        <v>1607</v>
      </c>
    </row>
    <row r="698" spans="1:18" x14ac:dyDescent="0.25">
      <c r="A698">
        <v>698</v>
      </c>
      <c r="B698" t="s">
        <v>1495</v>
      </c>
      <c r="D698" t="s">
        <v>1099</v>
      </c>
      <c r="E698" t="s">
        <v>331</v>
      </c>
      <c r="F698">
        <v>3</v>
      </c>
      <c r="G698" s="3">
        <v>43285</v>
      </c>
      <c r="H698">
        <v>3.3</v>
      </c>
      <c r="I698">
        <v>1.9</v>
      </c>
      <c r="J698">
        <v>340</v>
      </c>
      <c r="K698">
        <v>105</v>
      </c>
      <c r="L698">
        <v>2.48</v>
      </c>
      <c r="M698">
        <v>2.94</v>
      </c>
      <c r="N698">
        <v>2.44</v>
      </c>
      <c r="Q698">
        <v>4</v>
      </c>
      <c r="R698" t="s">
        <v>1607</v>
      </c>
    </row>
    <row r="699" spans="1:18" x14ac:dyDescent="0.25">
      <c r="A699">
        <v>699</v>
      </c>
      <c r="B699" t="s">
        <v>1496</v>
      </c>
      <c r="D699" t="s">
        <v>1099</v>
      </c>
      <c r="E699" t="s">
        <v>331</v>
      </c>
      <c r="F699">
        <v>4</v>
      </c>
      <c r="G699" s="3">
        <v>43253</v>
      </c>
      <c r="H699">
        <v>4.8</v>
      </c>
      <c r="I699">
        <v>3.4</v>
      </c>
      <c r="J699">
        <v>313</v>
      </c>
      <c r="K699">
        <v>60</v>
      </c>
      <c r="L699" t="s">
        <v>135</v>
      </c>
      <c r="M699" t="s">
        <v>135</v>
      </c>
      <c r="N699" t="s">
        <v>135</v>
      </c>
      <c r="Q699">
        <v>4</v>
      </c>
      <c r="R699" t="s">
        <v>1607</v>
      </c>
    </row>
    <row r="700" spans="1:18" x14ac:dyDescent="0.25">
      <c r="A700">
        <v>700</v>
      </c>
      <c r="B700" t="s">
        <v>1497</v>
      </c>
      <c r="D700" t="s">
        <v>1099</v>
      </c>
      <c r="E700" t="s">
        <v>331</v>
      </c>
      <c r="F700">
        <v>5</v>
      </c>
      <c r="G700" s="3">
        <v>43253</v>
      </c>
      <c r="H700">
        <v>6</v>
      </c>
      <c r="I700">
        <v>4.5999999999999996</v>
      </c>
      <c r="J700">
        <v>430</v>
      </c>
      <c r="K700">
        <v>140</v>
      </c>
      <c r="L700" t="s">
        <v>135</v>
      </c>
      <c r="M700" t="s">
        <v>135</v>
      </c>
      <c r="N700" t="s">
        <v>135</v>
      </c>
      <c r="Q700">
        <v>5</v>
      </c>
      <c r="R700" t="s">
        <v>1607</v>
      </c>
    </row>
    <row r="701" spans="1:18" x14ac:dyDescent="0.25">
      <c r="A701">
        <v>701</v>
      </c>
      <c r="B701" t="s">
        <v>1498</v>
      </c>
      <c r="D701" t="s">
        <v>1099</v>
      </c>
      <c r="E701" t="s">
        <v>331</v>
      </c>
      <c r="F701">
        <v>6</v>
      </c>
      <c r="G701" s="3">
        <v>43253</v>
      </c>
      <c r="H701">
        <v>4.3</v>
      </c>
      <c r="I701" t="s">
        <v>1662</v>
      </c>
      <c r="J701">
        <v>257</v>
      </c>
      <c r="K701">
        <v>20</v>
      </c>
      <c r="L701" t="s">
        <v>135</v>
      </c>
      <c r="M701" t="s">
        <v>135</v>
      </c>
      <c r="N701" t="s">
        <v>135</v>
      </c>
      <c r="Q701">
        <v>5</v>
      </c>
      <c r="R701" t="s">
        <v>1607</v>
      </c>
    </row>
    <row r="702" spans="1:18" x14ac:dyDescent="0.25">
      <c r="A702">
        <v>702</v>
      </c>
      <c r="B702" t="s">
        <v>1500</v>
      </c>
      <c r="D702" t="s">
        <v>1099</v>
      </c>
      <c r="E702" t="s">
        <v>331</v>
      </c>
      <c r="F702">
        <v>7</v>
      </c>
      <c r="G702" s="3">
        <v>43272</v>
      </c>
      <c r="H702" t="s">
        <v>1663</v>
      </c>
      <c r="I702" t="s">
        <v>1664</v>
      </c>
      <c r="J702">
        <v>750</v>
      </c>
      <c r="K702">
        <v>40</v>
      </c>
      <c r="L702">
        <v>12.18</v>
      </c>
      <c r="M702">
        <v>9.33</v>
      </c>
      <c r="N702">
        <v>9.9600000000000009</v>
      </c>
      <c r="Q702">
        <v>5</v>
      </c>
      <c r="R702" t="s">
        <v>1607</v>
      </c>
    </row>
    <row r="703" spans="1:18" x14ac:dyDescent="0.25">
      <c r="A703">
        <v>703</v>
      </c>
      <c r="B703" t="s">
        <v>1502</v>
      </c>
      <c r="D703" t="s">
        <v>1099</v>
      </c>
      <c r="E703" t="s">
        <v>331</v>
      </c>
      <c r="F703">
        <v>8</v>
      </c>
      <c r="G703" s="3">
        <v>43272</v>
      </c>
      <c r="H703">
        <v>43</v>
      </c>
      <c r="I703" t="s">
        <v>1665</v>
      </c>
      <c r="J703">
        <v>800</v>
      </c>
      <c r="K703">
        <v>30</v>
      </c>
      <c r="L703">
        <v>12.03</v>
      </c>
      <c r="M703">
        <v>10.210000000000001</v>
      </c>
      <c r="N703">
        <v>8.41</v>
      </c>
      <c r="Q703">
        <v>5</v>
      </c>
      <c r="R703" t="s">
        <v>1607</v>
      </c>
    </row>
    <row r="704" spans="1:18" x14ac:dyDescent="0.25">
      <c r="A704">
        <v>704</v>
      </c>
      <c r="B704" t="s">
        <v>1504</v>
      </c>
      <c r="D704" t="s">
        <v>1099</v>
      </c>
      <c r="E704" t="s">
        <v>331</v>
      </c>
      <c r="F704">
        <v>9</v>
      </c>
      <c r="G704" s="3">
        <v>43285</v>
      </c>
      <c r="H704">
        <v>2.7</v>
      </c>
      <c r="I704">
        <v>1.8</v>
      </c>
      <c r="J704">
        <v>266</v>
      </c>
      <c r="K704">
        <v>50</v>
      </c>
      <c r="L704">
        <v>1.93</v>
      </c>
      <c r="M704">
        <v>2.08</v>
      </c>
      <c r="N704">
        <v>2.25</v>
      </c>
      <c r="Q704">
        <v>4</v>
      </c>
      <c r="R704" t="s">
        <v>1607</v>
      </c>
    </row>
    <row r="705" spans="1:18" x14ac:dyDescent="0.25">
      <c r="A705">
        <v>705</v>
      </c>
      <c r="B705" t="s">
        <v>1506</v>
      </c>
      <c r="D705" t="s">
        <v>1099</v>
      </c>
      <c r="E705" t="s">
        <v>1083</v>
      </c>
      <c r="F705">
        <v>1</v>
      </c>
      <c r="G705" s="3">
        <v>43291</v>
      </c>
      <c r="H705">
        <v>15.9</v>
      </c>
      <c r="I705">
        <v>14</v>
      </c>
      <c r="J705">
        <v>860</v>
      </c>
      <c r="K705">
        <v>231</v>
      </c>
      <c r="L705">
        <v>11.9</v>
      </c>
      <c r="M705">
        <v>12.79</v>
      </c>
      <c r="N705">
        <v>10.3</v>
      </c>
      <c r="Q705">
        <v>5</v>
      </c>
      <c r="R705" t="s">
        <v>1607</v>
      </c>
    </row>
    <row r="706" spans="1:18" x14ac:dyDescent="0.25">
      <c r="A706">
        <v>706</v>
      </c>
      <c r="B706" t="s">
        <v>1507</v>
      </c>
      <c r="D706" t="s">
        <v>1099</v>
      </c>
      <c r="E706" t="s">
        <v>1083</v>
      </c>
      <c r="F706">
        <v>2</v>
      </c>
      <c r="G706" s="3">
        <v>43291</v>
      </c>
      <c r="H706">
        <v>24.5</v>
      </c>
      <c r="I706">
        <v>23.2</v>
      </c>
      <c r="J706">
        <v>1100</v>
      </c>
      <c r="K706">
        <v>372</v>
      </c>
      <c r="L706">
        <v>21.14</v>
      </c>
      <c r="M706">
        <v>24.54</v>
      </c>
      <c r="N706">
        <v>16.989999999999998</v>
      </c>
      <c r="Q706">
        <v>5</v>
      </c>
      <c r="R706" t="s">
        <v>1607</v>
      </c>
    </row>
    <row r="707" spans="1:18" x14ac:dyDescent="0.25">
      <c r="A707">
        <v>707</v>
      </c>
      <c r="B707" t="s">
        <v>1508</v>
      </c>
      <c r="D707" t="s">
        <v>1099</v>
      </c>
      <c r="E707" t="s">
        <v>1083</v>
      </c>
      <c r="F707">
        <v>3</v>
      </c>
      <c r="G707" s="3">
        <v>43291</v>
      </c>
      <c r="H707">
        <v>19</v>
      </c>
      <c r="I707">
        <v>17.2</v>
      </c>
      <c r="J707">
        <v>850</v>
      </c>
      <c r="K707">
        <v>430</v>
      </c>
      <c r="L707">
        <v>16.829999999999998</v>
      </c>
      <c r="M707">
        <v>15.54</v>
      </c>
      <c r="N707">
        <v>14.09</v>
      </c>
      <c r="Q707">
        <v>4</v>
      </c>
      <c r="R707" t="s">
        <v>1607</v>
      </c>
    </row>
    <row r="708" spans="1:18" x14ac:dyDescent="0.25">
      <c r="A708">
        <v>708</v>
      </c>
      <c r="B708" t="s">
        <v>1509</v>
      </c>
      <c r="D708" t="s">
        <v>1099</v>
      </c>
      <c r="E708" t="s">
        <v>1083</v>
      </c>
      <c r="F708">
        <v>4</v>
      </c>
      <c r="G708" s="3">
        <v>43291</v>
      </c>
      <c r="H708">
        <v>26.2</v>
      </c>
      <c r="I708">
        <v>24.9</v>
      </c>
      <c r="J708">
        <v>800</v>
      </c>
      <c r="K708">
        <v>568</v>
      </c>
      <c r="L708">
        <v>18.670000000000002</v>
      </c>
      <c r="M708">
        <v>17.93</v>
      </c>
      <c r="N708">
        <v>15.3</v>
      </c>
      <c r="Q708">
        <v>4</v>
      </c>
      <c r="R708" t="s">
        <v>1607</v>
      </c>
    </row>
    <row r="709" spans="1:18" x14ac:dyDescent="0.25">
      <c r="A709">
        <v>709</v>
      </c>
      <c r="B709" t="s">
        <v>1510</v>
      </c>
      <c r="D709" t="s">
        <v>1099</v>
      </c>
      <c r="E709" t="s">
        <v>1083</v>
      </c>
      <c r="F709">
        <v>5</v>
      </c>
      <c r="G709" s="3">
        <v>43291</v>
      </c>
      <c r="H709">
        <v>26.2</v>
      </c>
      <c r="I709">
        <v>25</v>
      </c>
      <c r="J709">
        <v>1050</v>
      </c>
      <c r="K709">
        <v>700</v>
      </c>
      <c r="L709">
        <v>13.43</v>
      </c>
      <c r="M709">
        <v>21.71</v>
      </c>
      <c r="N709">
        <v>18.45</v>
      </c>
      <c r="Q709">
        <v>5</v>
      </c>
      <c r="R709" t="s">
        <v>1607</v>
      </c>
    </row>
    <row r="710" spans="1:18" x14ac:dyDescent="0.25">
      <c r="A710">
        <v>710</v>
      </c>
      <c r="B710" t="s">
        <v>1511</v>
      </c>
      <c r="D710" t="s">
        <v>1099</v>
      </c>
      <c r="E710" t="s">
        <v>809</v>
      </c>
      <c r="F710">
        <v>1</v>
      </c>
      <c r="G710" s="3">
        <v>43262</v>
      </c>
      <c r="H710">
        <v>11.4</v>
      </c>
      <c r="I710" t="s">
        <v>1666</v>
      </c>
      <c r="J710">
        <v>533</v>
      </c>
      <c r="K710">
        <v>270</v>
      </c>
      <c r="L710">
        <v>19.03</v>
      </c>
      <c r="M710">
        <v>14.3</v>
      </c>
      <c r="N710">
        <v>15.55</v>
      </c>
      <c r="Q710">
        <v>4</v>
      </c>
      <c r="R710" t="s">
        <v>1607</v>
      </c>
    </row>
    <row r="711" spans="1:18" x14ac:dyDescent="0.25">
      <c r="A711">
        <v>711</v>
      </c>
      <c r="B711" t="s">
        <v>1512</v>
      </c>
      <c r="D711" t="s">
        <v>1099</v>
      </c>
      <c r="E711" t="s">
        <v>377</v>
      </c>
      <c r="F711">
        <v>1</v>
      </c>
      <c r="G711" s="3">
        <v>43270</v>
      </c>
      <c r="H711">
        <v>10.8</v>
      </c>
      <c r="I711" t="s">
        <v>1667</v>
      </c>
      <c r="J711">
        <v>465</v>
      </c>
      <c r="K711">
        <v>60</v>
      </c>
      <c r="L711" t="s">
        <v>135</v>
      </c>
      <c r="M711" t="s">
        <v>135</v>
      </c>
      <c r="N711" t="s">
        <v>135</v>
      </c>
      <c r="Q711">
        <v>5</v>
      </c>
      <c r="R711" t="s">
        <v>1607</v>
      </c>
    </row>
    <row r="712" spans="1:18" x14ac:dyDescent="0.25">
      <c r="A712">
        <v>712</v>
      </c>
      <c r="B712" t="s">
        <v>1513</v>
      </c>
      <c r="D712" t="s">
        <v>1099</v>
      </c>
      <c r="E712" t="s">
        <v>377</v>
      </c>
      <c r="F712">
        <v>2</v>
      </c>
      <c r="G712" s="3">
        <v>43270</v>
      </c>
      <c r="H712">
        <v>11.2</v>
      </c>
      <c r="I712" t="s">
        <v>1668</v>
      </c>
      <c r="J712">
        <v>448</v>
      </c>
      <c r="K712">
        <v>140</v>
      </c>
      <c r="L712" t="s">
        <v>135</v>
      </c>
      <c r="M712" t="s">
        <v>135</v>
      </c>
      <c r="N712" t="s">
        <v>135</v>
      </c>
      <c r="Q712">
        <v>5</v>
      </c>
      <c r="R712" t="s">
        <v>1607</v>
      </c>
    </row>
    <row r="713" spans="1:18" x14ac:dyDescent="0.25">
      <c r="A713">
        <v>713</v>
      </c>
      <c r="B713" t="s">
        <v>1514</v>
      </c>
      <c r="D713" t="s">
        <v>1099</v>
      </c>
      <c r="E713" t="s">
        <v>377</v>
      </c>
      <c r="F713">
        <v>3</v>
      </c>
      <c r="G713" s="3">
        <v>43270</v>
      </c>
      <c r="H713">
        <v>8</v>
      </c>
      <c r="I713" t="s">
        <v>1669</v>
      </c>
      <c r="J713">
        <v>253</v>
      </c>
      <c r="K713">
        <v>55</v>
      </c>
      <c r="L713">
        <v>9.1999999999999993</v>
      </c>
      <c r="M713">
        <v>9.77</v>
      </c>
      <c r="N713">
        <v>9.9600000000000009</v>
      </c>
      <c r="Q713">
        <v>5</v>
      </c>
      <c r="R713" t="s">
        <v>1607</v>
      </c>
    </row>
    <row r="714" spans="1:18" x14ac:dyDescent="0.25">
      <c r="A714">
        <v>714</v>
      </c>
      <c r="B714" t="s">
        <v>1515</v>
      </c>
      <c r="D714" t="s">
        <v>1099</v>
      </c>
      <c r="E714" t="s">
        <v>377</v>
      </c>
      <c r="F714">
        <v>4</v>
      </c>
      <c r="G714" s="3">
        <v>43270</v>
      </c>
      <c r="H714">
        <v>9.1999999999999993</v>
      </c>
      <c r="I714">
        <v>7.8</v>
      </c>
      <c r="J714">
        <v>390</v>
      </c>
      <c r="K714">
        <v>181</v>
      </c>
      <c r="L714" t="s">
        <v>135</v>
      </c>
      <c r="M714" t="s">
        <v>135</v>
      </c>
      <c r="N714" t="s">
        <v>135</v>
      </c>
      <c r="Q714">
        <v>5</v>
      </c>
      <c r="R714" t="s">
        <v>1607</v>
      </c>
    </row>
    <row r="715" spans="1:18" x14ac:dyDescent="0.25">
      <c r="A715">
        <v>715</v>
      </c>
      <c r="B715" t="s">
        <v>1516</v>
      </c>
      <c r="D715" t="s">
        <v>1099</v>
      </c>
      <c r="E715" t="s">
        <v>377</v>
      </c>
      <c r="F715">
        <v>5</v>
      </c>
      <c r="G715" s="3">
        <v>43270</v>
      </c>
      <c r="H715">
        <v>18</v>
      </c>
      <c r="I715" t="s">
        <v>1670</v>
      </c>
      <c r="J715">
        <v>606</v>
      </c>
      <c r="K715">
        <v>67</v>
      </c>
      <c r="L715">
        <v>12.56</v>
      </c>
      <c r="M715">
        <v>13</v>
      </c>
      <c r="N715">
        <v>19.989999999999998</v>
      </c>
      <c r="Q715">
        <v>5</v>
      </c>
      <c r="R715" t="s">
        <v>1607</v>
      </c>
    </row>
    <row r="716" spans="1:18" x14ac:dyDescent="0.25">
      <c r="A716">
        <v>716</v>
      </c>
      <c r="B716" t="s">
        <v>1517</v>
      </c>
      <c r="D716" t="s">
        <v>1099</v>
      </c>
      <c r="E716" t="s">
        <v>426</v>
      </c>
      <c r="F716">
        <v>1</v>
      </c>
      <c r="G716" s="3">
        <v>43299</v>
      </c>
      <c r="H716">
        <v>4.9000000000000004</v>
      </c>
      <c r="I716">
        <v>4.5</v>
      </c>
      <c r="J716">
        <v>541</v>
      </c>
      <c r="K716">
        <v>150</v>
      </c>
      <c r="L716">
        <v>3.2</v>
      </c>
      <c r="M716">
        <v>3.53</v>
      </c>
      <c r="N716">
        <v>3.58</v>
      </c>
      <c r="Q716">
        <v>5</v>
      </c>
      <c r="R716" t="s">
        <v>1607</v>
      </c>
    </row>
    <row r="717" spans="1:18" x14ac:dyDescent="0.25">
      <c r="A717">
        <v>717</v>
      </c>
      <c r="B717" t="s">
        <v>1518</v>
      </c>
      <c r="D717" t="s">
        <v>1099</v>
      </c>
      <c r="E717" t="s">
        <v>426</v>
      </c>
      <c r="F717">
        <v>2</v>
      </c>
      <c r="G717" s="3">
        <v>43299</v>
      </c>
      <c r="H717">
        <v>5</v>
      </c>
      <c r="I717">
        <v>4.5999999999999996</v>
      </c>
      <c r="J717">
        <v>504</v>
      </c>
      <c r="K717">
        <v>254</v>
      </c>
      <c r="L717">
        <v>2.4900000000000002</v>
      </c>
      <c r="M717">
        <v>2.63</v>
      </c>
      <c r="N717">
        <v>2.34</v>
      </c>
      <c r="Q717">
        <v>4</v>
      </c>
      <c r="R717" t="s">
        <v>1607</v>
      </c>
    </row>
    <row r="718" spans="1:18" x14ac:dyDescent="0.25">
      <c r="A718">
        <v>718</v>
      </c>
      <c r="B718" t="s">
        <v>1519</v>
      </c>
      <c r="D718" t="s">
        <v>1099</v>
      </c>
      <c r="E718" t="s">
        <v>426</v>
      </c>
      <c r="F718">
        <v>3</v>
      </c>
      <c r="G718" s="3">
        <v>43299</v>
      </c>
      <c r="H718">
        <v>4.9000000000000004</v>
      </c>
      <c r="I718">
        <v>4</v>
      </c>
      <c r="J718">
        <v>470</v>
      </c>
      <c r="K718">
        <v>223</v>
      </c>
      <c r="L718">
        <v>2.93</v>
      </c>
      <c r="M718">
        <v>2.96</v>
      </c>
      <c r="N718">
        <v>3.4</v>
      </c>
      <c r="Q718">
        <v>4</v>
      </c>
      <c r="R718" t="s">
        <v>1607</v>
      </c>
    </row>
    <row r="719" spans="1:18" x14ac:dyDescent="0.25">
      <c r="A719">
        <v>719</v>
      </c>
      <c r="B719" t="s">
        <v>1520</v>
      </c>
      <c r="D719" t="s">
        <v>1099</v>
      </c>
      <c r="E719" t="s">
        <v>426</v>
      </c>
      <c r="F719">
        <v>4</v>
      </c>
      <c r="G719" s="3">
        <v>43299</v>
      </c>
      <c r="H719">
        <v>3.8</v>
      </c>
      <c r="I719">
        <v>3.3</v>
      </c>
      <c r="J719">
        <v>431</v>
      </c>
      <c r="K719">
        <v>155</v>
      </c>
      <c r="L719">
        <v>2</v>
      </c>
      <c r="M719">
        <v>2.23</v>
      </c>
      <c r="N719">
        <v>1.55</v>
      </c>
      <c r="Q719">
        <v>3</v>
      </c>
      <c r="R719" t="s">
        <v>1607</v>
      </c>
    </row>
    <row r="720" spans="1:18" x14ac:dyDescent="0.25">
      <c r="A720">
        <v>720</v>
      </c>
      <c r="B720" t="s">
        <v>1521</v>
      </c>
      <c r="D720" t="s">
        <v>1099</v>
      </c>
      <c r="E720" t="s">
        <v>426</v>
      </c>
      <c r="F720">
        <v>5</v>
      </c>
      <c r="G720" s="3">
        <v>43299</v>
      </c>
      <c r="H720">
        <v>5.9</v>
      </c>
      <c r="I720">
        <v>5.3</v>
      </c>
      <c r="J720">
        <v>572</v>
      </c>
      <c r="K720">
        <v>150</v>
      </c>
      <c r="L720">
        <v>2.77</v>
      </c>
      <c r="M720">
        <v>2.93</v>
      </c>
      <c r="N720">
        <v>2.2599999999999998</v>
      </c>
      <c r="Q720">
        <v>4</v>
      </c>
      <c r="R720" t="s">
        <v>1607</v>
      </c>
    </row>
    <row r="721" spans="1:18" x14ac:dyDescent="0.25">
      <c r="A721">
        <v>721</v>
      </c>
      <c r="B721" t="s">
        <v>1522</v>
      </c>
      <c r="D721" t="s">
        <v>1099</v>
      </c>
      <c r="E721" t="s">
        <v>383</v>
      </c>
      <c r="F721">
        <v>1</v>
      </c>
      <c r="G721" s="3">
        <v>43248</v>
      </c>
      <c r="H721">
        <v>3</v>
      </c>
      <c r="I721">
        <v>2</v>
      </c>
      <c r="J721">
        <v>311</v>
      </c>
      <c r="K721">
        <v>183</v>
      </c>
      <c r="L721" t="s">
        <v>135</v>
      </c>
      <c r="M721" t="s">
        <v>135</v>
      </c>
      <c r="N721" t="s">
        <v>135</v>
      </c>
      <c r="Q721">
        <v>2</v>
      </c>
      <c r="R721" t="s">
        <v>1607</v>
      </c>
    </row>
    <row r="722" spans="1:18" x14ac:dyDescent="0.25">
      <c r="A722">
        <v>722</v>
      </c>
      <c r="B722" t="s">
        <v>1524</v>
      </c>
      <c r="D722" t="s">
        <v>1099</v>
      </c>
      <c r="E722" t="s">
        <v>383</v>
      </c>
      <c r="F722">
        <v>11</v>
      </c>
      <c r="G722" s="3">
        <v>43281</v>
      </c>
      <c r="H722">
        <v>6.8</v>
      </c>
      <c r="I722">
        <v>5.4</v>
      </c>
      <c r="J722">
        <v>472</v>
      </c>
      <c r="K722">
        <v>130</v>
      </c>
      <c r="L722">
        <v>7.49</v>
      </c>
      <c r="M722">
        <v>5.73</v>
      </c>
      <c r="N722">
        <v>4.9400000000000004</v>
      </c>
      <c r="Q722">
        <v>4</v>
      </c>
      <c r="R722" t="s">
        <v>1607</v>
      </c>
    </row>
    <row r="723" spans="1:18" x14ac:dyDescent="0.25">
      <c r="A723">
        <v>723</v>
      </c>
      <c r="B723" t="s">
        <v>1525</v>
      </c>
      <c r="D723" t="s">
        <v>1099</v>
      </c>
      <c r="E723" t="s">
        <v>383</v>
      </c>
      <c r="F723">
        <v>10</v>
      </c>
      <c r="G723" s="3">
        <v>43295</v>
      </c>
      <c r="H723">
        <v>2.9</v>
      </c>
      <c r="I723">
        <v>2.2999999999999998</v>
      </c>
      <c r="J723">
        <v>317</v>
      </c>
      <c r="K723">
        <v>200</v>
      </c>
      <c r="L723" t="s">
        <v>135</v>
      </c>
      <c r="M723" t="s">
        <v>135</v>
      </c>
      <c r="N723" t="s">
        <v>135</v>
      </c>
      <c r="Q723">
        <v>4</v>
      </c>
      <c r="R723" t="s">
        <v>1607</v>
      </c>
    </row>
    <row r="724" spans="1:18" x14ac:dyDescent="0.25">
      <c r="A724">
        <v>724</v>
      </c>
      <c r="B724" t="s">
        <v>1527</v>
      </c>
      <c r="D724" t="s">
        <v>1099</v>
      </c>
      <c r="E724" t="s">
        <v>383</v>
      </c>
      <c r="F724">
        <v>2</v>
      </c>
      <c r="G724" s="3">
        <v>43281</v>
      </c>
      <c r="H724">
        <v>4</v>
      </c>
      <c r="I724">
        <v>3.6</v>
      </c>
      <c r="J724">
        <v>348</v>
      </c>
      <c r="K724">
        <v>150</v>
      </c>
      <c r="L724">
        <v>2.83</v>
      </c>
      <c r="M724">
        <v>2.52</v>
      </c>
      <c r="N724">
        <v>2.68</v>
      </c>
      <c r="Q724">
        <v>4</v>
      </c>
      <c r="R724" t="s">
        <v>1607</v>
      </c>
    </row>
    <row r="725" spans="1:18" x14ac:dyDescent="0.25">
      <c r="A725">
        <v>725</v>
      </c>
      <c r="B725" t="s">
        <v>1528</v>
      </c>
      <c r="D725" t="s">
        <v>1099</v>
      </c>
      <c r="E725" t="s">
        <v>383</v>
      </c>
      <c r="F725">
        <v>3</v>
      </c>
      <c r="G725" s="3">
        <v>43280</v>
      </c>
      <c r="H725">
        <v>5.8</v>
      </c>
      <c r="I725">
        <v>4.5</v>
      </c>
      <c r="J725">
        <v>371</v>
      </c>
      <c r="K725">
        <v>140</v>
      </c>
      <c r="L725">
        <v>5.48</v>
      </c>
      <c r="M725">
        <v>4.83</v>
      </c>
      <c r="N725">
        <v>3.04</v>
      </c>
      <c r="Q725">
        <v>5</v>
      </c>
      <c r="R725" t="s">
        <v>1607</v>
      </c>
    </row>
    <row r="726" spans="1:18" x14ac:dyDescent="0.25">
      <c r="A726">
        <v>726</v>
      </c>
      <c r="B726" t="s">
        <v>1529</v>
      </c>
      <c r="D726" t="s">
        <v>1099</v>
      </c>
      <c r="E726" t="s">
        <v>383</v>
      </c>
      <c r="F726">
        <v>4</v>
      </c>
      <c r="G726" s="3">
        <v>43280</v>
      </c>
      <c r="H726">
        <v>4</v>
      </c>
      <c r="I726">
        <v>3</v>
      </c>
      <c r="J726">
        <v>315</v>
      </c>
      <c r="K726">
        <v>115</v>
      </c>
      <c r="L726">
        <v>3.72</v>
      </c>
      <c r="M726">
        <v>3.58</v>
      </c>
      <c r="N726">
        <v>3.08</v>
      </c>
      <c r="Q726">
        <v>4</v>
      </c>
      <c r="R726" t="s">
        <v>1607</v>
      </c>
    </row>
    <row r="727" spans="1:18" x14ac:dyDescent="0.25">
      <c r="A727">
        <v>727</v>
      </c>
      <c r="B727" t="s">
        <v>1530</v>
      </c>
      <c r="D727" t="s">
        <v>1099</v>
      </c>
      <c r="E727" t="s">
        <v>383</v>
      </c>
      <c r="F727">
        <v>5</v>
      </c>
      <c r="G727" s="3">
        <v>43286</v>
      </c>
      <c r="H727">
        <v>3.7</v>
      </c>
      <c r="I727">
        <v>2.5</v>
      </c>
      <c r="J727">
        <v>277</v>
      </c>
      <c r="K727">
        <v>120</v>
      </c>
      <c r="L727">
        <v>3.1</v>
      </c>
      <c r="M727">
        <v>3.51</v>
      </c>
      <c r="N727">
        <v>3.31</v>
      </c>
      <c r="Q727">
        <v>4</v>
      </c>
      <c r="R727" t="s">
        <v>1607</v>
      </c>
    </row>
    <row r="728" spans="1:18" x14ac:dyDescent="0.25">
      <c r="A728">
        <v>728</v>
      </c>
      <c r="B728" t="s">
        <v>1531</v>
      </c>
      <c r="D728" t="s">
        <v>1099</v>
      </c>
      <c r="E728" t="s">
        <v>383</v>
      </c>
      <c r="F728">
        <v>6</v>
      </c>
      <c r="G728" s="3">
        <v>43295</v>
      </c>
      <c r="H728">
        <v>3.8</v>
      </c>
      <c r="I728">
        <v>3.2</v>
      </c>
      <c r="J728">
        <v>374</v>
      </c>
      <c r="K728">
        <v>202</v>
      </c>
      <c r="L728">
        <v>2.12</v>
      </c>
      <c r="M728">
        <v>1.78</v>
      </c>
      <c r="N728">
        <v>1.5</v>
      </c>
      <c r="Q728">
        <v>3</v>
      </c>
      <c r="R728" t="s">
        <v>1607</v>
      </c>
    </row>
    <row r="729" spans="1:18" x14ac:dyDescent="0.25">
      <c r="A729">
        <v>729</v>
      </c>
      <c r="B729" t="s">
        <v>1533</v>
      </c>
      <c r="D729" t="s">
        <v>1099</v>
      </c>
      <c r="E729" t="s">
        <v>383</v>
      </c>
      <c r="F729">
        <v>7</v>
      </c>
      <c r="G729" s="3">
        <v>43295</v>
      </c>
      <c r="H729">
        <v>3.4</v>
      </c>
      <c r="I729">
        <v>3</v>
      </c>
      <c r="J729">
        <v>377</v>
      </c>
      <c r="K729">
        <v>105</v>
      </c>
      <c r="L729">
        <v>2.36</v>
      </c>
      <c r="M729">
        <v>1.3</v>
      </c>
      <c r="N729">
        <v>1.57</v>
      </c>
      <c r="Q729">
        <v>4</v>
      </c>
      <c r="R729" t="s">
        <v>1607</v>
      </c>
    </row>
    <row r="730" spans="1:18" x14ac:dyDescent="0.25">
      <c r="A730">
        <v>730</v>
      </c>
      <c r="B730" t="s">
        <v>1535</v>
      </c>
      <c r="D730" t="s">
        <v>1099</v>
      </c>
      <c r="E730" t="s">
        <v>383</v>
      </c>
      <c r="F730">
        <v>8</v>
      </c>
      <c r="G730" s="3">
        <v>43295</v>
      </c>
      <c r="H730">
        <v>4.7</v>
      </c>
      <c r="I730">
        <v>4</v>
      </c>
      <c r="J730">
        <v>396</v>
      </c>
      <c r="K730">
        <v>65</v>
      </c>
      <c r="L730">
        <v>3.01</v>
      </c>
      <c r="M730">
        <v>2.94</v>
      </c>
      <c r="N730">
        <v>4.37</v>
      </c>
      <c r="Q730">
        <v>3</v>
      </c>
      <c r="R730" t="s">
        <v>1607</v>
      </c>
    </row>
    <row r="731" spans="1:18" x14ac:dyDescent="0.25">
      <c r="A731">
        <v>731</v>
      </c>
      <c r="B731" t="s">
        <v>1537</v>
      </c>
      <c r="D731" t="s">
        <v>1099</v>
      </c>
      <c r="E731" t="s">
        <v>383</v>
      </c>
      <c r="F731">
        <v>9</v>
      </c>
      <c r="G731" s="3">
        <v>43295</v>
      </c>
      <c r="H731">
        <v>5.3</v>
      </c>
      <c r="I731">
        <v>4.4000000000000004</v>
      </c>
      <c r="J731">
        <v>461</v>
      </c>
      <c r="K731">
        <v>145</v>
      </c>
      <c r="L731">
        <v>2.86</v>
      </c>
      <c r="M731">
        <v>1.79</v>
      </c>
      <c r="N731">
        <v>2.2599999999999998</v>
      </c>
      <c r="Q731">
        <v>3</v>
      </c>
      <c r="R731" t="s">
        <v>1607</v>
      </c>
    </row>
    <row r="732" spans="1:18" x14ac:dyDescent="0.25">
      <c r="A732">
        <v>732</v>
      </c>
      <c r="B732" t="s">
        <v>1539</v>
      </c>
      <c r="D732" t="s">
        <v>1099</v>
      </c>
      <c r="E732" t="s">
        <v>381</v>
      </c>
      <c r="G732" s="3">
        <v>43308</v>
      </c>
      <c r="H732">
        <v>1.7</v>
      </c>
      <c r="I732">
        <v>0.9</v>
      </c>
      <c r="J732">
        <v>170</v>
      </c>
      <c r="K732">
        <v>60</v>
      </c>
      <c r="L732">
        <v>1.1499999999999999</v>
      </c>
      <c r="M732" t="s">
        <v>135</v>
      </c>
      <c r="N732" t="s">
        <v>135</v>
      </c>
      <c r="Q732">
        <v>2</v>
      </c>
      <c r="R732" t="s">
        <v>1607</v>
      </c>
    </row>
    <row r="733" spans="1:18" x14ac:dyDescent="0.25">
      <c r="A733">
        <v>733</v>
      </c>
      <c r="B733" t="s">
        <v>1541</v>
      </c>
      <c r="D733" t="s">
        <v>1099</v>
      </c>
      <c r="E733" t="s">
        <v>381</v>
      </c>
      <c r="G733" s="3">
        <v>43308</v>
      </c>
      <c r="H733">
        <v>3.7</v>
      </c>
      <c r="I733" t="s">
        <v>1671</v>
      </c>
      <c r="J733">
        <v>306</v>
      </c>
      <c r="K733">
        <v>175</v>
      </c>
      <c r="L733">
        <v>1.94</v>
      </c>
      <c r="M733" t="s">
        <v>135</v>
      </c>
      <c r="N733" t="s">
        <v>135</v>
      </c>
      <c r="Q733">
        <v>2</v>
      </c>
      <c r="R733" t="s">
        <v>1607</v>
      </c>
    </row>
    <row r="734" spans="1:18" x14ac:dyDescent="0.25">
      <c r="A734">
        <v>734</v>
      </c>
      <c r="B734" t="s">
        <v>1543</v>
      </c>
      <c r="D734" t="s">
        <v>1099</v>
      </c>
      <c r="E734" t="s">
        <v>381</v>
      </c>
      <c r="G734" s="3">
        <v>43308</v>
      </c>
      <c r="H734">
        <v>2.9</v>
      </c>
      <c r="I734">
        <v>1.2</v>
      </c>
      <c r="J734">
        <v>249</v>
      </c>
      <c r="K734">
        <v>90</v>
      </c>
      <c r="L734">
        <v>2.17</v>
      </c>
      <c r="M734" t="s">
        <v>135</v>
      </c>
      <c r="N734" t="s">
        <v>135</v>
      </c>
      <c r="Q734">
        <v>2</v>
      </c>
      <c r="R734" t="s">
        <v>1607</v>
      </c>
    </row>
    <row r="735" spans="1:18" x14ac:dyDescent="0.25">
      <c r="A735">
        <v>735</v>
      </c>
      <c r="B735" t="s">
        <v>1545</v>
      </c>
      <c r="D735" t="s">
        <v>1099</v>
      </c>
      <c r="E735" t="s">
        <v>381</v>
      </c>
      <c r="G735" s="3">
        <v>43309</v>
      </c>
      <c r="H735">
        <v>2.4</v>
      </c>
      <c r="I735">
        <v>1.4</v>
      </c>
      <c r="J735">
        <v>294</v>
      </c>
      <c r="K735">
        <v>95</v>
      </c>
      <c r="L735">
        <v>1.93</v>
      </c>
      <c r="M735" t="s">
        <v>135</v>
      </c>
      <c r="N735" t="s">
        <v>135</v>
      </c>
      <c r="Q735">
        <v>2</v>
      </c>
      <c r="R735" t="s">
        <v>1607</v>
      </c>
    </row>
    <row r="736" spans="1:18" x14ac:dyDescent="0.25">
      <c r="A736">
        <v>736</v>
      </c>
      <c r="B736" t="s">
        <v>1547</v>
      </c>
      <c r="D736" t="s">
        <v>1099</v>
      </c>
      <c r="E736" t="s">
        <v>381</v>
      </c>
      <c r="G736" s="3">
        <v>43309</v>
      </c>
      <c r="H736" t="s">
        <v>1672</v>
      </c>
      <c r="I736" t="s">
        <v>1673</v>
      </c>
      <c r="J736">
        <v>364</v>
      </c>
      <c r="K736">
        <v>0</v>
      </c>
      <c r="L736">
        <v>2.02</v>
      </c>
      <c r="M736" t="s">
        <v>135</v>
      </c>
      <c r="N736" t="s">
        <v>135</v>
      </c>
      <c r="Q736">
        <v>2</v>
      </c>
      <c r="R736" t="s">
        <v>1607</v>
      </c>
    </row>
    <row r="737" spans="1:18" x14ac:dyDescent="0.25">
      <c r="A737">
        <v>737</v>
      </c>
      <c r="B737" t="s">
        <v>1549</v>
      </c>
      <c r="D737" t="s">
        <v>1099</v>
      </c>
      <c r="E737" t="s">
        <v>400</v>
      </c>
      <c r="G737" s="3">
        <v>43292</v>
      </c>
      <c r="H737">
        <v>6</v>
      </c>
      <c r="I737">
        <v>4.7</v>
      </c>
      <c r="J737">
        <v>555</v>
      </c>
      <c r="K737">
        <v>344</v>
      </c>
      <c r="L737">
        <v>3.18</v>
      </c>
      <c r="M737">
        <v>3.1</v>
      </c>
      <c r="N737">
        <v>2.93</v>
      </c>
      <c r="Q737">
        <v>4</v>
      </c>
      <c r="R737" t="s">
        <v>1607</v>
      </c>
    </row>
    <row r="738" spans="1:18" x14ac:dyDescent="0.25">
      <c r="A738">
        <v>738</v>
      </c>
      <c r="B738" t="s">
        <v>1550</v>
      </c>
      <c r="D738" t="s">
        <v>1099</v>
      </c>
      <c r="E738" t="s">
        <v>400</v>
      </c>
      <c r="G738" s="3">
        <v>43292</v>
      </c>
      <c r="H738">
        <v>7.2</v>
      </c>
      <c r="I738">
        <v>4.8</v>
      </c>
      <c r="J738">
        <v>567</v>
      </c>
      <c r="K738">
        <v>266</v>
      </c>
      <c r="L738">
        <v>2.88</v>
      </c>
      <c r="M738">
        <v>4</v>
      </c>
      <c r="N738">
        <v>3.38</v>
      </c>
      <c r="Q738">
        <v>4</v>
      </c>
      <c r="R738" t="s">
        <v>1607</v>
      </c>
    </row>
    <row r="739" spans="1:18" x14ac:dyDescent="0.25">
      <c r="A739">
        <v>739</v>
      </c>
      <c r="B739" t="s">
        <v>1551</v>
      </c>
      <c r="D739" t="s">
        <v>1099</v>
      </c>
      <c r="E739" t="s">
        <v>400</v>
      </c>
      <c r="G739" s="3">
        <v>43292</v>
      </c>
      <c r="H739">
        <v>5</v>
      </c>
      <c r="I739">
        <v>4.3</v>
      </c>
      <c r="J739">
        <v>492</v>
      </c>
      <c r="K739">
        <v>215</v>
      </c>
      <c r="L739">
        <v>1.94</v>
      </c>
      <c r="M739">
        <v>1.62</v>
      </c>
      <c r="N739">
        <v>1.83</v>
      </c>
      <c r="Q739">
        <v>3</v>
      </c>
      <c r="R739" t="s">
        <v>1607</v>
      </c>
    </row>
    <row r="740" spans="1:18" x14ac:dyDescent="0.25">
      <c r="A740">
        <v>740</v>
      </c>
      <c r="B740" t="s">
        <v>1552</v>
      </c>
      <c r="D740" t="s">
        <v>1099</v>
      </c>
      <c r="E740" t="s">
        <v>400</v>
      </c>
      <c r="G740" s="3">
        <v>43292</v>
      </c>
      <c r="H740">
        <v>5.3</v>
      </c>
      <c r="I740">
        <v>4.9000000000000004</v>
      </c>
      <c r="J740">
        <v>508</v>
      </c>
      <c r="K740">
        <v>334</v>
      </c>
      <c r="L740">
        <v>1.86</v>
      </c>
      <c r="M740">
        <v>1.88</v>
      </c>
      <c r="N740">
        <v>2.37</v>
      </c>
      <c r="Q740">
        <v>3</v>
      </c>
      <c r="R740" t="s">
        <v>1607</v>
      </c>
    </row>
    <row r="741" spans="1:18" x14ac:dyDescent="0.25">
      <c r="A741">
        <v>741</v>
      </c>
      <c r="B741" t="s">
        <v>1553</v>
      </c>
      <c r="D741" t="s">
        <v>1099</v>
      </c>
      <c r="E741" t="s">
        <v>400</v>
      </c>
      <c r="G741" s="3">
        <v>43292</v>
      </c>
      <c r="H741">
        <v>5.2</v>
      </c>
      <c r="I741">
        <v>3.8</v>
      </c>
      <c r="J741">
        <v>470</v>
      </c>
      <c r="K741">
        <v>245</v>
      </c>
      <c r="L741">
        <v>2.3199999999999998</v>
      </c>
      <c r="M741">
        <v>1.91</v>
      </c>
      <c r="N741">
        <v>2.65</v>
      </c>
      <c r="Q741">
        <v>4</v>
      </c>
      <c r="R741" t="s">
        <v>1607</v>
      </c>
    </row>
    <row r="742" spans="1:18" x14ac:dyDescent="0.25">
      <c r="A742">
        <v>742</v>
      </c>
      <c r="B742" t="s">
        <v>1554</v>
      </c>
      <c r="D742" t="s">
        <v>1099</v>
      </c>
      <c r="E742" t="s">
        <v>369</v>
      </c>
      <c r="G742" s="3">
        <v>43285</v>
      </c>
      <c r="H742">
        <v>5.5</v>
      </c>
      <c r="I742">
        <v>5.5</v>
      </c>
      <c r="J742">
        <v>422</v>
      </c>
      <c r="K742">
        <v>177</v>
      </c>
      <c r="L742">
        <v>2.93</v>
      </c>
      <c r="M742">
        <v>2.78</v>
      </c>
      <c r="N742">
        <v>2.91</v>
      </c>
      <c r="Q742">
        <v>3</v>
      </c>
      <c r="R742" t="s">
        <v>1607</v>
      </c>
    </row>
    <row r="743" spans="1:18" x14ac:dyDescent="0.25">
      <c r="A743">
        <v>743</v>
      </c>
      <c r="B743" t="s">
        <v>1555</v>
      </c>
      <c r="D743" t="s">
        <v>1099</v>
      </c>
      <c r="E743" t="s">
        <v>369</v>
      </c>
      <c r="G743" s="3">
        <v>43286</v>
      </c>
      <c r="H743">
        <v>4.8</v>
      </c>
      <c r="I743">
        <v>3</v>
      </c>
      <c r="J743">
        <v>300</v>
      </c>
      <c r="K743">
        <v>80</v>
      </c>
      <c r="L743">
        <v>2.5499999999999998</v>
      </c>
      <c r="M743">
        <v>2.42</v>
      </c>
      <c r="N743">
        <v>2.2599999999999998</v>
      </c>
      <c r="Q743">
        <v>4</v>
      </c>
      <c r="R743" t="s">
        <v>1607</v>
      </c>
    </row>
    <row r="744" spans="1:18" x14ac:dyDescent="0.25">
      <c r="A744">
        <v>744</v>
      </c>
      <c r="B744" t="s">
        <v>1556</v>
      </c>
      <c r="D744" t="s">
        <v>1099</v>
      </c>
      <c r="E744" t="s">
        <v>369</v>
      </c>
      <c r="G744" s="3">
        <v>43286</v>
      </c>
      <c r="H744">
        <v>3.8</v>
      </c>
      <c r="I744">
        <v>2.9</v>
      </c>
      <c r="J744">
        <v>337</v>
      </c>
      <c r="K744">
        <v>155</v>
      </c>
      <c r="L744">
        <v>2.48</v>
      </c>
      <c r="M744">
        <v>2.2200000000000002</v>
      </c>
      <c r="N744">
        <v>2.65</v>
      </c>
      <c r="Q744">
        <v>3</v>
      </c>
      <c r="R744" t="s">
        <v>1607</v>
      </c>
    </row>
    <row r="745" spans="1:18" x14ac:dyDescent="0.25">
      <c r="A745">
        <v>745</v>
      </c>
      <c r="B745" t="s">
        <v>1557</v>
      </c>
      <c r="D745" t="s">
        <v>1099</v>
      </c>
      <c r="E745" t="s">
        <v>369</v>
      </c>
      <c r="G745" s="3">
        <v>43295</v>
      </c>
      <c r="H745">
        <v>5.5</v>
      </c>
      <c r="I745">
        <v>3.8</v>
      </c>
      <c r="J745">
        <v>355</v>
      </c>
      <c r="K745">
        <v>30</v>
      </c>
      <c r="L745">
        <v>3.65</v>
      </c>
      <c r="M745">
        <v>2.95</v>
      </c>
      <c r="N745">
        <v>3.5</v>
      </c>
      <c r="Q745">
        <v>4</v>
      </c>
      <c r="R745" t="s">
        <v>1607</v>
      </c>
    </row>
    <row r="746" spans="1:18" x14ac:dyDescent="0.25">
      <c r="A746">
        <v>746</v>
      </c>
      <c r="B746" t="s">
        <v>1558</v>
      </c>
      <c r="D746" t="s">
        <v>1099</v>
      </c>
      <c r="E746" t="s">
        <v>369</v>
      </c>
      <c r="G746" s="3">
        <v>43295</v>
      </c>
      <c r="H746">
        <v>8</v>
      </c>
      <c r="I746">
        <v>5.5</v>
      </c>
      <c r="J746">
        <v>347</v>
      </c>
      <c r="K746">
        <v>90</v>
      </c>
      <c r="L746">
        <v>4.6500000000000004</v>
      </c>
      <c r="M746">
        <v>4.1399999999999997</v>
      </c>
      <c r="N746">
        <v>3.69</v>
      </c>
      <c r="Q746">
        <v>4</v>
      </c>
      <c r="R746" t="s">
        <v>1607</v>
      </c>
    </row>
    <row r="747" spans="1:18" x14ac:dyDescent="0.25">
      <c r="A747">
        <v>747</v>
      </c>
      <c r="B747" t="s">
        <v>1559</v>
      </c>
      <c r="D747" t="s">
        <v>1099</v>
      </c>
      <c r="E747" t="s">
        <v>338</v>
      </c>
      <c r="G747" s="3">
        <v>43246</v>
      </c>
      <c r="H747">
        <v>1.5</v>
      </c>
      <c r="I747">
        <v>1</v>
      </c>
      <c r="J747">
        <v>170</v>
      </c>
      <c r="K747">
        <v>60</v>
      </c>
      <c r="L747" t="s">
        <v>135</v>
      </c>
      <c r="M747" t="s">
        <v>135</v>
      </c>
      <c r="N747" t="s">
        <v>135</v>
      </c>
      <c r="Q747">
        <v>1</v>
      </c>
      <c r="R747" t="s">
        <v>1607</v>
      </c>
    </row>
    <row r="748" spans="1:18" x14ac:dyDescent="0.25">
      <c r="A748">
        <v>748</v>
      </c>
      <c r="B748" t="s">
        <v>1561</v>
      </c>
      <c r="D748" t="s">
        <v>1099</v>
      </c>
      <c r="E748" t="s">
        <v>338</v>
      </c>
      <c r="G748" s="3">
        <v>43271</v>
      </c>
      <c r="H748">
        <v>4.7</v>
      </c>
      <c r="I748" t="s">
        <v>1637</v>
      </c>
      <c r="J748">
        <v>257</v>
      </c>
      <c r="K748">
        <v>80</v>
      </c>
      <c r="L748" t="s">
        <v>135</v>
      </c>
      <c r="M748" t="s">
        <v>135</v>
      </c>
      <c r="N748" t="s">
        <v>135</v>
      </c>
      <c r="Q748">
        <v>4</v>
      </c>
      <c r="R748" t="s">
        <v>1607</v>
      </c>
    </row>
    <row r="749" spans="1:18" x14ac:dyDescent="0.25">
      <c r="A749">
        <v>749</v>
      </c>
      <c r="B749" t="s">
        <v>1563</v>
      </c>
      <c r="D749" t="s">
        <v>1099</v>
      </c>
      <c r="E749" t="s">
        <v>338</v>
      </c>
      <c r="G749" s="3">
        <v>43248</v>
      </c>
      <c r="H749">
        <v>6.2</v>
      </c>
      <c r="I749">
        <v>4.9000000000000004</v>
      </c>
      <c r="J749">
        <v>290</v>
      </c>
      <c r="K749">
        <v>80</v>
      </c>
      <c r="L749" t="s">
        <v>135</v>
      </c>
      <c r="M749" t="s">
        <v>135</v>
      </c>
      <c r="N749" t="s">
        <v>135</v>
      </c>
      <c r="Q749">
        <v>5</v>
      </c>
      <c r="R749" t="s">
        <v>1607</v>
      </c>
    </row>
    <row r="750" spans="1:18" x14ac:dyDescent="0.25">
      <c r="A750">
        <v>750</v>
      </c>
      <c r="B750" t="s">
        <v>1564</v>
      </c>
      <c r="D750" t="s">
        <v>1099</v>
      </c>
      <c r="E750" t="s">
        <v>338</v>
      </c>
      <c r="G750" s="3">
        <v>43251</v>
      </c>
      <c r="H750">
        <v>2.9</v>
      </c>
      <c r="I750" t="s">
        <v>1674</v>
      </c>
      <c r="J750">
        <v>185</v>
      </c>
      <c r="K750">
        <v>120</v>
      </c>
      <c r="L750" t="s">
        <v>135</v>
      </c>
      <c r="M750" t="s">
        <v>135</v>
      </c>
      <c r="N750" t="s">
        <v>135</v>
      </c>
      <c r="Q750">
        <v>5</v>
      </c>
      <c r="R750" t="s">
        <v>1607</v>
      </c>
    </row>
    <row r="751" spans="1:18" x14ac:dyDescent="0.25">
      <c r="A751">
        <v>751</v>
      </c>
      <c r="B751" t="s">
        <v>1565</v>
      </c>
      <c r="D751" t="s">
        <v>1099</v>
      </c>
      <c r="E751" t="s">
        <v>338</v>
      </c>
      <c r="G751" s="3">
        <v>43251</v>
      </c>
      <c r="H751">
        <v>7.4</v>
      </c>
      <c r="I751" t="s">
        <v>1675</v>
      </c>
      <c r="J751">
        <v>245</v>
      </c>
      <c r="K751">
        <v>105</v>
      </c>
      <c r="L751" t="s">
        <v>135</v>
      </c>
      <c r="M751" t="s">
        <v>135</v>
      </c>
      <c r="N751" t="s">
        <v>135</v>
      </c>
      <c r="Q751">
        <v>5</v>
      </c>
      <c r="R751" t="s">
        <v>1607</v>
      </c>
    </row>
    <row r="752" spans="1:18" x14ac:dyDescent="0.25">
      <c r="A752">
        <v>752</v>
      </c>
      <c r="B752" t="s">
        <v>1566</v>
      </c>
      <c r="D752" t="s">
        <v>1099</v>
      </c>
      <c r="E752" t="s">
        <v>338</v>
      </c>
      <c r="G752" s="3">
        <v>43251</v>
      </c>
      <c r="H752">
        <v>7.1</v>
      </c>
      <c r="I752">
        <v>5.0999999999999996</v>
      </c>
      <c r="J752">
        <v>277</v>
      </c>
      <c r="K752">
        <v>115</v>
      </c>
      <c r="L752" t="s">
        <v>135</v>
      </c>
      <c r="M752" t="s">
        <v>135</v>
      </c>
      <c r="N752" t="s">
        <v>135</v>
      </c>
      <c r="Q752">
        <v>5</v>
      </c>
      <c r="R752" t="s">
        <v>1607</v>
      </c>
    </row>
    <row r="753" spans="1:18" x14ac:dyDescent="0.25">
      <c r="A753">
        <v>753</v>
      </c>
      <c r="B753" t="s">
        <v>1567</v>
      </c>
      <c r="D753" t="s">
        <v>1099</v>
      </c>
      <c r="E753" t="s">
        <v>338</v>
      </c>
      <c r="G753" s="3">
        <v>43271</v>
      </c>
      <c r="H753">
        <v>7.8</v>
      </c>
      <c r="I753">
        <v>7.6</v>
      </c>
      <c r="J753">
        <v>344</v>
      </c>
      <c r="K753">
        <v>160</v>
      </c>
      <c r="L753" t="s">
        <v>135</v>
      </c>
      <c r="M753" t="s">
        <v>135</v>
      </c>
      <c r="N753" t="s">
        <v>135</v>
      </c>
      <c r="Q753">
        <v>5</v>
      </c>
      <c r="R753" t="s">
        <v>1607</v>
      </c>
    </row>
    <row r="754" spans="1:18" x14ac:dyDescent="0.25">
      <c r="A754">
        <v>754</v>
      </c>
      <c r="B754" t="s">
        <v>1568</v>
      </c>
      <c r="D754" t="s">
        <v>1099</v>
      </c>
      <c r="E754" t="s">
        <v>338</v>
      </c>
      <c r="G754" s="3">
        <v>43271</v>
      </c>
      <c r="H754">
        <v>10.9</v>
      </c>
      <c r="I754">
        <v>10.199999999999999</v>
      </c>
      <c r="J754">
        <v>342</v>
      </c>
      <c r="K754">
        <v>110</v>
      </c>
      <c r="L754" t="s">
        <v>135</v>
      </c>
      <c r="M754" t="s">
        <v>135</v>
      </c>
      <c r="N754" t="s">
        <v>135</v>
      </c>
      <c r="Q754">
        <v>5</v>
      </c>
      <c r="R754" t="s">
        <v>1607</v>
      </c>
    </row>
    <row r="755" spans="1:18" x14ac:dyDescent="0.25">
      <c r="A755">
        <v>755</v>
      </c>
      <c r="B755" t="s">
        <v>1569</v>
      </c>
      <c r="D755" t="s">
        <v>1099</v>
      </c>
      <c r="E755" t="s">
        <v>338</v>
      </c>
      <c r="G755" s="3">
        <v>43271</v>
      </c>
      <c r="H755">
        <v>7.8</v>
      </c>
      <c r="I755">
        <v>6.8</v>
      </c>
      <c r="J755">
        <v>456</v>
      </c>
      <c r="K755">
        <v>232</v>
      </c>
      <c r="L755" t="s">
        <v>135</v>
      </c>
      <c r="M755" t="s">
        <v>135</v>
      </c>
      <c r="N755" t="s">
        <v>135</v>
      </c>
      <c r="Q755">
        <v>4</v>
      </c>
      <c r="R755" t="s">
        <v>1607</v>
      </c>
    </row>
    <row r="756" spans="1:18" x14ac:dyDescent="0.25">
      <c r="A756">
        <v>756</v>
      </c>
      <c r="B756" t="s">
        <v>1571</v>
      </c>
      <c r="D756" t="s">
        <v>1099</v>
      </c>
      <c r="E756" t="s">
        <v>338</v>
      </c>
      <c r="G756" s="3">
        <v>43271</v>
      </c>
      <c r="H756">
        <v>10</v>
      </c>
      <c r="I756">
        <v>8.1</v>
      </c>
      <c r="J756">
        <v>359</v>
      </c>
      <c r="K756">
        <v>130</v>
      </c>
      <c r="L756" t="s">
        <v>135</v>
      </c>
      <c r="M756" t="s">
        <v>135</v>
      </c>
      <c r="N756" t="s">
        <v>135</v>
      </c>
      <c r="Q756">
        <v>4</v>
      </c>
      <c r="R756" t="s">
        <v>1607</v>
      </c>
    </row>
    <row r="757" spans="1:18" x14ac:dyDescent="0.25">
      <c r="A757">
        <v>757</v>
      </c>
      <c r="B757" t="s">
        <v>1573</v>
      </c>
      <c r="D757" t="s">
        <v>1099</v>
      </c>
      <c r="E757" t="s">
        <v>613</v>
      </c>
      <c r="G757" s="3">
        <v>43297</v>
      </c>
      <c r="H757">
        <v>1.5</v>
      </c>
      <c r="I757">
        <v>0.9</v>
      </c>
      <c r="J757">
        <v>185</v>
      </c>
      <c r="K757">
        <v>70</v>
      </c>
      <c r="L757">
        <v>1.56</v>
      </c>
      <c r="M757">
        <v>1.25</v>
      </c>
      <c r="N757">
        <v>1.82</v>
      </c>
      <c r="Q757">
        <v>4</v>
      </c>
      <c r="R757" t="s">
        <v>1607</v>
      </c>
    </row>
    <row r="758" spans="1:18" x14ac:dyDescent="0.25">
      <c r="A758">
        <v>758</v>
      </c>
      <c r="B758" t="s">
        <v>1574</v>
      </c>
      <c r="D758" t="s">
        <v>1099</v>
      </c>
      <c r="E758" t="s">
        <v>613</v>
      </c>
      <c r="G758" s="3">
        <v>43297</v>
      </c>
      <c r="H758">
        <v>2.7</v>
      </c>
      <c r="I758">
        <v>2.1</v>
      </c>
      <c r="J758">
        <v>343</v>
      </c>
      <c r="K758">
        <v>130</v>
      </c>
      <c r="L758">
        <v>2.1</v>
      </c>
      <c r="M758">
        <v>2.02</v>
      </c>
      <c r="N758">
        <v>2.2400000000000002</v>
      </c>
      <c r="Q758">
        <v>3</v>
      </c>
      <c r="R758" t="s">
        <v>1607</v>
      </c>
    </row>
    <row r="759" spans="1:18" x14ac:dyDescent="0.25">
      <c r="A759">
        <v>759</v>
      </c>
      <c r="B759" t="s">
        <v>1575</v>
      </c>
      <c r="D759" t="s">
        <v>1099</v>
      </c>
      <c r="E759" t="s">
        <v>613</v>
      </c>
      <c r="G759" s="3">
        <v>43298</v>
      </c>
      <c r="H759">
        <v>4.2</v>
      </c>
      <c r="I759">
        <v>3.6</v>
      </c>
      <c r="J759">
        <v>397</v>
      </c>
      <c r="K759">
        <v>236</v>
      </c>
      <c r="L759">
        <v>2.46</v>
      </c>
      <c r="M759">
        <v>2.71</v>
      </c>
      <c r="N759">
        <v>2.64</v>
      </c>
      <c r="Q759">
        <v>4</v>
      </c>
      <c r="R759" t="s">
        <v>1607</v>
      </c>
    </row>
    <row r="760" spans="1:18" x14ac:dyDescent="0.25">
      <c r="A760">
        <v>760</v>
      </c>
      <c r="B760" t="s">
        <v>1576</v>
      </c>
      <c r="D760" t="s">
        <v>1099</v>
      </c>
      <c r="E760" t="s">
        <v>613</v>
      </c>
      <c r="G760" s="3">
        <v>43298</v>
      </c>
      <c r="H760">
        <v>5.7</v>
      </c>
      <c r="I760">
        <v>4.3</v>
      </c>
      <c r="J760">
        <v>470</v>
      </c>
      <c r="K760">
        <v>188</v>
      </c>
      <c r="L760">
        <v>6.23</v>
      </c>
      <c r="M760">
        <v>6.47</v>
      </c>
      <c r="N760">
        <v>5.35</v>
      </c>
      <c r="Q760">
        <v>4</v>
      </c>
      <c r="R760" t="s">
        <v>1607</v>
      </c>
    </row>
    <row r="761" spans="1:18" x14ac:dyDescent="0.25">
      <c r="A761">
        <v>761</v>
      </c>
      <c r="B761" t="s">
        <v>1577</v>
      </c>
      <c r="D761" t="s">
        <v>1099</v>
      </c>
      <c r="E761" t="s">
        <v>613</v>
      </c>
      <c r="G761" s="3">
        <v>43298</v>
      </c>
      <c r="H761">
        <v>4.9000000000000004</v>
      </c>
      <c r="I761">
        <v>3.6</v>
      </c>
      <c r="J761">
        <v>491</v>
      </c>
      <c r="K761">
        <v>290</v>
      </c>
      <c r="L761">
        <v>3.84</v>
      </c>
      <c r="M761">
        <v>2.59</v>
      </c>
      <c r="N761">
        <v>3.02</v>
      </c>
      <c r="Q761">
        <v>4</v>
      </c>
      <c r="R761" t="s">
        <v>1607</v>
      </c>
    </row>
    <row r="762" spans="1:18" x14ac:dyDescent="0.25">
      <c r="A762">
        <v>762</v>
      </c>
      <c r="B762" t="s">
        <v>1578</v>
      </c>
      <c r="D762" t="s">
        <v>1099</v>
      </c>
      <c r="E762" t="s">
        <v>353</v>
      </c>
      <c r="G762" s="3">
        <v>43271</v>
      </c>
      <c r="H762" t="s">
        <v>1676</v>
      </c>
      <c r="I762" t="s">
        <v>1677</v>
      </c>
      <c r="J762">
        <v>239</v>
      </c>
      <c r="K762">
        <v>110</v>
      </c>
      <c r="L762" t="s">
        <v>135</v>
      </c>
      <c r="M762" t="s">
        <v>135</v>
      </c>
      <c r="N762" t="s">
        <v>135</v>
      </c>
      <c r="Q762">
        <v>4</v>
      </c>
      <c r="R762" t="s">
        <v>1607</v>
      </c>
    </row>
    <row r="763" spans="1:18" x14ac:dyDescent="0.25">
      <c r="A763">
        <v>763</v>
      </c>
      <c r="B763" t="s">
        <v>1579</v>
      </c>
      <c r="D763" t="s">
        <v>1099</v>
      </c>
      <c r="E763" t="s">
        <v>353</v>
      </c>
      <c r="G763" s="3">
        <v>43271</v>
      </c>
      <c r="H763" t="s">
        <v>1678</v>
      </c>
      <c r="I763" t="s">
        <v>1679</v>
      </c>
      <c r="J763">
        <v>358</v>
      </c>
      <c r="K763">
        <v>80</v>
      </c>
      <c r="L763" t="s">
        <v>135</v>
      </c>
      <c r="M763" t="s">
        <v>135</v>
      </c>
      <c r="N763" t="s">
        <v>135</v>
      </c>
      <c r="Q763">
        <v>4</v>
      </c>
      <c r="R763" t="s">
        <v>1607</v>
      </c>
    </row>
    <row r="764" spans="1:18" x14ac:dyDescent="0.25">
      <c r="A764">
        <v>764</v>
      </c>
      <c r="B764" t="s">
        <v>1580</v>
      </c>
      <c r="D764" t="s">
        <v>1099</v>
      </c>
      <c r="E764" t="s">
        <v>353</v>
      </c>
      <c r="G764" s="3">
        <v>43271</v>
      </c>
      <c r="H764">
        <v>7.7</v>
      </c>
      <c r="I764">
        <v>6.2</v>
      </c>
      <c r="J764">
        <v>323</v>
      </c>
      <c r="K764">
        <v>50</v>
      </c>
      <c r="L764" t="s">
        <v>135</v>
      </c>
      <c r="M764" t="s">
        <v>135</v>
      </c>
      <c r="N764" t="s">
        <v>135</v>
      </c>
      <c r="Q764">
        <v>4</v>
      </c>
      <c r="R764" t="s">
        <v>1607</v>
      </c>
    </row>
    <row r="765" spans="1:18" x14ac:dyDescent="0.25">
      <c r="A765">
        <v>765</v>
      </c>
      <c r="B765" t="s">
        <v>1581</v>
      </c>
      <c r="D765" t="s">
        <v>1099</v>
      </c>
      <c r="E765" t="s">
        <v>353</v>
      </c>
      <c r="G765" s="3">
        <v>43271</v>
      </c>
      <c r="H765">
        <v>11.5</v>
      </c>
      <c r="I765">
        <v>5.8</v>
      </c>
      <c r="J765">
        <v>344</v>
      </c>
      <c r="K765">
        <v>30</v>
      </c>
      <c r="L765" t="s">
        <v>135</v>
      </c>
      <c r="M765" t="s">
        <v>135</v>
      </c>
      <c r="N765" t="s">
        <v>135</v>
      </c>
      <c r="Q765">
        <v>4</v>
      </c>
      <c r="R765" t="s">
        <v>1607</v>
      </c>
    </row>
    <row r="766" spans="1:18" x14ac:dyDescent="0.25">
      <c r="A766">
        <v>766</v>
      </c>
      <c r="B766" t="s">
        <v>1582</v>
      </c>
      <c r="D766" t="s">
        <v>1099</v>
      </c>
      <c r="E766" t="s">
        <v>353</v>
      </c>
      <c r="G766" s="3">
        <v>43272</v>
      </c>
      <c r="H766">
        <v>13.5</v>
      </c>
      <c r="I766">
        <v>13.3</v>
      </c>
      <c r="J766">
        <v>461</v>
      </c>
      <c r="K766">
        <v>60</v>
      </c>
      <c r="L766">
        <v>7.98</v>
      </c>
      <c r="M766">
        <v>6.13</v>
      </c>
      <c r="N766">
        <v>7.33</v>
      </c>
      <c r="Q766">
        <v>5</v>
      </c>
      <c r="R766" t="s">
        <v>1607</v>
      </c>
    </row>
    <row r="767" spans="1:18" x14ac:dyDescent="0.25">
      <c r="A767">
        <v>767</v>
      </c>
      <c r="B767" t="s">
        <v>1583</v>
      </c>
      <c r="D767" t="s">
        <v>1099</v>
      </c>
      <c r="E767" t="s">
        <v>376</v>
      </c>
      <c r="G767" s="3">
        <v>43280</v>
      </c>
      <c r="H767" t="s">
        <v>1680</v>
      </c>
      <c r="I767" t="s">
        <v>1681</v>
      </c>
      <c r="J767">
        <v>515</v>
      </c>
      <c r="K767">
        <v>178</v>
      </c>
      <c r="L767">
        <v>3.85</v>
      </c>
      <c r="M767">
        <v>4.58</v>
      </c>
      <c r="N767">
        <v>4.32</v>
      </c>
      <c r="Q767">
        <v>4</v>
      </c>
      <c r="R767" t="s">
        <v>1607</v>
      </c>
    </row>
    <row r="768" spans="1:18" x14ac:dyDescent="0.25">
      <c r="A768">
        <v>768</v>
      </c>
      <c r="B768" t="s">
        <v>1584</v>
      </c>
      <c r="D768" t="s">
        <v>1099</v>
      </c>
      <c r="E768" t="s">
        <v>376</v>
      </c>
      <c r="G768" s="3">
        <v>43284</v>
      </c>
      <c r="H768">
        <v>3.8</v>
      </c>
      <c r="I768">
        <v>2.4</v>
      </c>
      <c r="J768">
        <v>308</v>
      </c>
      <c r="K768">
        <v>40</v>
      </c>
      <c r="L768">
        <v>2.02</v>
      </c>
      <c r="M768">
        <v>1.92</v>
      </c>
      <c r="N768">
        <v>1.84</v>
      </c>
      <c r="Q768">
        <v>4</v>
      </c>
      <c r="R768" t="s">
        <v>1607</v>
      </c>
    </row>
    <row r="769" spans="1:18" x14ac:dyDescent="0.25">
      <c r="A769">
        <v>769</v>
      </c>
      <c r="B769" t="s">
        <v>1585</v>
      </c>
      <c r="D769" t="s">
        <v>1099</v>
      </c>
      <c r="E769" t="s">
        <v>376</v>
      </c>
      <c r="G769" s="3">
        <v>43284</v>
      </c>
      <c r="H769">
        <v>2.4</v>
      </c>
      <c r="I769">
        <v>1.3</v>
      </c>
      <c r="J769">
        <v>218</v>
      </c>
      <c r="K769">
        <v>50</v>
      </c>
      <c r="L769" t="s">
        <v>135</v>
      </c>
      <c r="M769" t="s">
        <v>135</v>
      </c>
      <c r="N769" t="s">
        <v>135</v>
      </c>
      <c r="Q769">
        <v>5</v>
      </c>
      <c r="R769" t="s">
        <v>1607</v>
      </c>
    </row>
    <row r="770" spans="1:18" x14ac:dyDescent="0.25">
      <c r="A770">
        <v>770</v>
      </c>
      <c r="B770" t="s">
        <v>1586</v>
      </c>
      <c r="D770" t="s">
        <v>1099</v>
      </c>
      <c r="E770" t="s">
        <v>376</v>
      </c>
      <c r="G770" s="3">
        <v>43284</v>
      </c>
      <c r="H770">
        <v>4.5999999999999996</v>
      </c>
      <c r="I770">
        <v>4</v>
      </c>
      <c r="J770">
        <v>429</v>
      </c>
      <c r="K770">
        <v>50</v>
      </c>
      <c r="L770">
        <v>2.46</v>
      </c>
      <c r="M770">
        <v>2.0499999999999998</v>
      </c>
      <c r="N770">
        <v>2.2200000000000002</v>
      </c>
      <c r="Q770">
        <v>5</v>
      </c>
      <c r="R770" t="s">
        <v>1607</v>
      </c>
    </row>
    <row r="771" spans="1:18" x14ac:dyDescent="0.25">
      <c r="A771">
        <v>771</v>
      </c>
      <c r="B771" t="s">
        <v>1588</v>
      </c>
      <c r="D771" t="s">
        <v>1099</v>
      </c>
      <c r="E771" t="s">
        <v>376</v>
      </c>
      <c r="G771" s="3">
        <v>43284</v>
      </c>
      <c r="H771">
        <v>15.9</v>
      </c>
      <c r="I771">
        <v>14.5</v>
      </c>
      <c r="J771">
        <v>900</v>
      </c>
      <c r="K771">
        <v>182</v>
      </c>
      <c r="L771">
        <v>4.01</v>
      </c>
      <c r="M771">
        <v>4.8099999999999996</v>
      </c>
      <c r="N771">
        <v>4.57</v>
      </c>
      <c r="Q771">
        <v>5</v>
      </c>
      <c r="R771" t="s">
        <v>1607</v>
      </c>
    </row>
    <row r="772" spans="1:18" x14ac:dyDescent="0.25">
      <c r="A772">
        <v>772</v>
      </c>
      <c r="B772" t="s">
        <v>1589</v>
      </c>
      <c r="D772" t="s">
        <v>1099</v>
      </c>
      <c r="E772" t="s">
        <v>488</v>
      </c>
      <c r="G772" t="s">
        <v>135</v>
      </c>
      <c r="H772">
        <v>12.5</v>
      </c>
      <c r="I772">
        <v>12</v>
      </c>
      <c r="J772">
        <v>469</v>
      </c>
      <c r="K772">
        <v>165</v>
      </c>
      <c r="L772" t="s">
        <v>135</v>
      </c>
      <c r="M772" t="s">
        <v>135</v>
      </c>
      <c r="N772" t="s">
        <v>135</v>
      </c>
      <c r="Q772">
        <v>4</v>
      </c>
      <c r="R772" t="s">
        <v>1607</v>
      </c>
    </row>
    <row r="773" spans="1:18" x14ac:dyDescent="0.25">
      <c r="A773">
        <v>773</v>
      </c>
      <c r="B773" t="s">
        <v>1590</v>
      </c>
      <c r="D773" t="s">
        <v>1099</v>
      </c>
      <c r="E773" t="s">
        <v>488</v>
      </c>
      <c r="G773" s="3">
        <v>43286</v>
      </c>
      <c r="H773">
        <v>17.899999999999999</v>
      </c>
      <c r="I773">
        <v>13.5</v>
      </c>
      <c r="J773">
        <v>757</v>
      </c>
      <c r="K773">
        <v>145</v>
      </c>
      <c r="L773">
        <v>10.37</v>
      </c>
      <c r="M773">
        <v>10.32</v>
      </c>
      <c r="N773">
        <v>8.92</v>
      </c>
      <c r="Q773">
        <v>5</v>
      </c>
      <c r="R773" t="s">
        <v>1607</v>
      </c>
    </row>
    <row r="774" spans="1:18" x14ac:dyDescent="0.25">
      <c r="A774">
        <v>774</v>
      </c>
      <c r="B774" t="s">
        <v>1591</v>
      </c>
      <c r="D774" t="s">
        <v>1099</v>
      </c>
      <c r="E774" t="s">
        <v>488</v>
      </c>
      <c r="G774" s="3">
        <v>43286</v>
      </c>
      <c r="H774">
        <v>12</v>
      </c>
      <c r="I774">
        <v>10.8</v>
      </c>
      <c r="J774">
        <v>1050</v>
      </c>
      <c r="K774">
        <v>337</v>
      </c>
      <c r="L774">
        <v>8.86</v>
      </c>
      <c r="M774">
        <v>8.1</v>
      </c>
      <c r="N774">
        <v>7.35</v>
      </c>
      <c r="Q774">
        <v>5</v>
      </c>
      <c r="R774" t="s">
        <v>1607</v>
      </c>
    </row>
    <row r="775" spans="1:18" x14ac:dyDescent="0.25">
      <c r="A775">
        <v>775</v>
      </c>
      <c r="B775" t="s">
        <v>1592</v>
      </c>
      <c r="D775" t="s">
        <v>1099</v>
      </c>
      <c r="E775" t="s">
        <v>488</v>
      </c>
      <c r="G775" s="3">
        <v>43295</v>
      </c>
      <c r="H775">
        <v>29.4</v>
      </c>
      <c r="I775">
        <v>32.9</v>
      </c>
      <c r="J775">
        <v>1100</v>
      </c>
      <c r="K775">
        <v>110</v>
      </c>
      <c r="L775">
        <v>15.66</v>
      </c>
      <c r="M775">
        <v>15.89</v>
      </c>
      <c r="N775">
        <v>16.22</v>
      </c>
      <c r="Q775">
        <v>5</v>
      </c>
      <c r="R775" t="s">
        <v>1607</v>
      </c>
    </row>
    <row r="776" spans="1:18" x14ac:dyDescent="0.25">
      <c r="A776">
        <v>776</v>
      </c>
      <c r="B776" t="s">
        <v>1593</v>
      </c>
      <c r="D776" t="s">
        <v>1099</v>
      </c>
      <c r="E776" t="s">
        <v>344</v>
      </c>
      <c r="G776" s="3">
        <v>43248</v>
      </c>
      <c r="H776">
        <v>6.4</v>
      </c>
      <c r="I776">
        <v>2.5</v>
      </c>
      <c r="J776">
        <v>360</v>
      </c>
      <c r="K776">
        <v>143</v>
      </c>
      <c r="L776" t="s">
        <v>135</v>
      </c>
      <c r="M776" t="s">
        <v>135</v>
      </c>
      <c r="N776" t="s">
        <v>135</v>
      </c>
      <c r="Q776">
        <v>3</v>
      </c>
      <c r="R776" t="s">
        <v>1607</v>
      </c>
    </row>
    <row r="777" spans="1:18" x14ac:dyDescent="0.25">
      <c r="A777">
        <v>777</v>
      </c>
      <c r="B777" t="s">
        <v>1594</v>
      </c>
      <c r="D777" t="s">
        <v>1099</v>
      </c>
      <c r="E777" t="s">
        <v>344</v>
      </c>
      <c r="G777" s="3">
        <v>43281</v>
      </c>
      <c r="H777">
        <v>7.2</v>
      </c>
      <c r="I777">
        <v>6</v>
      </c>
      <c r="J777">
        <v>453</v>
      </c>
      <c r="K777">
        <v>115</v>
      </c>
      <c r="L777">
        <v>6.53</v>
      </c>
      <c r="M777">
        <v>7.24</v>
      </c>
      <c r="N777">
        <v>6.27</v>
      </c>
      <c r="Q777">
        <v>4</v>
      </c>
      <c r="R777" t="s">
        <v>1607</v>
      </c>
    </row>
    <row r="778" spans="1:18" x14ac:dyDescent="0.25">
      <c r="A778">
        <v>778</v>
      </c>
      <c r="B778" t="s">
        <v>1596</v>
      </c>
      <c r="D778" t="s">
        <v>1099</v>
      </c>
      <c r="E778" t="s">
        <v>344</v>
      </c>
      <c r="G778"/>
      <c r="H778">
        <v>10.1</v>
      </c>
      <c r="I778" t="s">
        <v>1682</v>
      </c>
      <c r="J778">
        <v>330</v>
      </c>
      <c r="K778">
        <v>30</v>
      </c>
      <c r="L778" t="s">
        <v>135</v>
      </c>
      <c r="M778" t="s">
        <v>135</v>
      </c>
      <c r="N778" t="s">
        <v>135</v>
      </c>
      <c r="Q778">
        <v>5</v>
      </c>
      <c r="R778" t="s">
        <v>1607</v>
      </c>
    </row>
    <row r="779" spans="1:18" x14ac:dyDescent="0.25">
      <c r="A779">
        <v>779</v>
      </c>
      <c r="B779" t="s">
        <v>1597</v>
      </c>
      <c r="D779" t="s">
        <v>1099</v>
      </c>
      <c r="E779" t="s">
        <v>344</v>
      </c>
      <c r="G779"/>
      <c r="H779">
        <v>8.1</v>
      </c>
      <c r="I779" t="s">
        <v>1683</v>
      </c>
      <c r="J779">
        <v>290</v>
      </c>
      <c r="K779">
        <v>50</v>
      </c>
      <c r="L779" t="s">
        <v>135</v>
      </c>
      <c r="M779" t="s">
        <v>135</v>
      </c>
      <c r="N779" t="s">
        <v>135</v>
      </c>
      <c r="Q779">
        <v>5</v>
      </c>
      <c r="R779" t="s">
        <v>1607</v>
      </c>
    </row>
    <row r="780" spans="1:18" x14ac:dyDescent="0.25">
      <c r="A780">
        <v>780</v>
      </c>
      <c r="B780" t="s">
        <v>1598</v>
      </c>
      <c r="D780" t="s">
        <v>1099</v>
      </c>
      <c r="E780" t="s">
        <v>344</v>
      </c>
      <c r="G780"/>
      <c r="H780">
        <v>4</v>
      </c>
      <c r="I780">
        <v>2.8</v>
      </c>
      <c r="J780">
        <v>280</v>
      </c>
      <c r="K780">
        <v>40</v>
      </c>
      <c r="L780" t="s">
        <v>135</v>
      </c>
      <c r="M780" t="s">
        <v>135</v>
      </c>
      <c r="N780" t="s">
        <v>135</v>
      </c>
      <c r="Q780">
        <v>5</v>
      </c>
      <c r="R780" t="s">
        <v>1607</v>
      </c>
    </row>
    <row r="781" spans="1:18" x14ac:dyDescent="0.25">
      <c r="A781">
        <v>781</v>
      </c>
      <c r="B781" t="s">
        <v>1599</v>
      </c>
      <c r="D781" t="s">
        <v>1099</v>
      </c>
      <c r="E781" t="s">
        <v>344</v>
      </c>
      <c r="G781"/>
      <c r="H781" t="s">
        <v>1684</v>
      </c>
      <c r="I781" t="s">
        <v>1685</v>
      </c>
      <c r="J781">
        <v>215</v>
      </c>
      <c r="K781">
        <v>30</v>
      </c>
      <c r="L781" t="s">
        <v>135</v>
      </c>
      <c r="M781" t="s">
        <v>135</v>
      </c>
      <c r="N781" t="s">
        <v>135</v>
      </c>
      <c r="Q781">
        <v>5</v>
      </c>
      <c r="R781" t="s">
        <v>1607</v>
      </c>
    </row>
    <row r="782" spans="1:18" x14ac:dyDescent="0.25">
      <c r="A782">
        <v>782</v>
      </c>
      <c r="B782" t="s">
        <v>1600</v>
      </c>
      <c r="D782" t="s">
        <v>1099</v>
      </c>
      <c r="E782" t="s">
        <v>344</v>
      </c>
      <c r="G782"/>
      <c r="H782">
        <v>47.4</v>
      </c>
      <c r="I782">
        <v>41.1</v>
      </c>
      <c r="J782">
        <v>1400</v>
      </c>
      <c r="K782">
        <v>626</v>
      </c>
      <c r="L782">
        <v>21.92</v>
      </c>
      <c r="M782">
        <v>25.17</v>
      </c>
      <c r="N782">
        <v>25.33</v>
      </c>
      <c r="Q782">
        <v>5</v>
      </c>
      <c r="R782" t="s">
        <v>1607</v>
      </c>
    </row>
    <row r="783" spans="1:18" x14ac:dyDescent="0.25">
      <c r="A783">
        <v>783</v>
      </c>
      <c r="B783" t="s">
        <v>1601</v>
      </c>
      <c r="D783" t="s">
        <v>1099</v>
      </c>
      <c r="E783" t="s">
        <v>344</v>
      </c>
      <c r="G783"/>
      <c r="H783" t="s">
        <v>1686</v>
      </c>
      <c r="I783" t="s">
        <v>1687</v>
      </c>
      <c r="J783">
        <v>687</v>
      </c>
      <c r="K783">
        <v>40</v>
      </c>
      <c r="L783" t="s">
        <v>135</v>
      </c>
      <c r="M783" t="s">
        <v>135</v>
      </c>
      <c r="N783" t="s">
        <v>135</v>
      </c>
      <c r="Q783">
        <v>5</v>
      </c>
      <c r="R783" t="s">
        <v>1607</v>
      </c>
    </row>
    <row r="784" spans="1:18" x14ac:dyDescent="0.25">
      <c r="A784">
        <v>784</v>
      </c>
      <c r="B784" t="s">
        <v>1603</v>
      </c>
      <c r="D784" t="s">
        <v>1099</v>
      </c>
      <c r="E784" t="s">
        <v>344</v>
      </c>
      <c r="G784"/>
      <c r="H784">
        <v>60.5</v>
      </c>
      <c r="I784" t="s">
        <v>1688</v>
      </c>
      <c r="J784">
        <v>950</v>
      </c>
      <c r="K784">
        <v>185</v>
      </c>
      <c r="L784" t="s">
        <v>135</v>
      </c>
      <c r="M784" t="s">
        <v>135</v>
      </c>
      <c r="N784" t="s">
        <v>135</v>
      </c>
      <c r="Q784">
        <v>5</v>
      </c>
      <c r="R784" t="s">
        <v>1607</v>
      </c>
    </row>
    <row r="785" spans="1:18" x14ac:dyDescent="0.25">
      <c r="A785">
        <v>785</v>
      </c>
      <c r="B785" t="s">
        <v>1605</v>
      </c>
      <c r="D785" t="s">
        <v>1099</v>
      </c>
      <c r="E785" t="s">
        <v>344</v>
      </c>
      <c r="G785"/>
      <c r="H785">
        <v>13.7</v>
      </c>
      <c r="I785">
        <v>11.6</v>
      </c>
      <c r="J785">
        <v>452</v>
      </c>
      <c r="K785">
        <v>70</v>
      </c>
      <c r="L785" t="s">
        <v>135</v>
      </c>
      <c r="M785" t="s">
        <v>135</v>
      </c>
      <c r="N785" t="s">
        <v>135</v>
      </c>
      <c r="Q785">
        <v>5</v>
      </c>
      <c r="R785" t="s">
        <v>1607</v>
      </c>
    </row>
    <row r="786" spans="1:18" x14ac:dyDescent="0.25">
      <c r="A786">
        <v>786</v>
      </c>
      <c r="B786" t="s">
        <v>1772</v>
      </c>
      <c r="D786" t="s">
        <v>1099</v>
      </c>
      <c r="E786" t="s">
        <v>1777</v>
      </c>
      <c r="F786">
        <v>1</v>
      </c>
      <c r="G786"/>
      <c r="H786">
        <v>17.8</v>
      </c>
      <c r="I786">
        <v>15</v>
      </c>
      <c r="J786">
        <v>1150</v>
      </c>
      <c r="K786">
        <v>950</v>
      </c>
      <c r="L786">
        <v>3.55</v>
      </c>
      <c r="M786">
        <v>3.8</v>
      </c>
      <c r="N786">
        <v>3.77</v>
      </c>
      <c r="O786">
        <v>300</v>
      </c>
      <c r="P786">
        <v>480</v>
      </c>
      <c r="Q786">
        <v>5</v>
      </c>
    </row>
    <row r="787" spans="1:18" x14ac:dyDescent="0.25">
      <c r="A787">
        <v>787</v>
      </c>
      <c r="B787" t="s">
        <v>1773</v>
      </c>
      <c r="D787" t="s">
        <v>1099</v>
      </c>
      <c r="E787" t="s">
        <v>1777</v>
      </c>
      <c r="F787">
        <v>2</v>
      </c>
      <c r="G787"/>
      <c r="H787">
        <v>3</v>
      </c>
      <c r="I787">
        <v>2.2999999999999998</v>
      </c>
      <c r="J787">
        <v>280</v>
      </c>
      <c r="K787">
        <v>255</v>
      </c>
      <c r="L787">
        <v>1.3</v>
      </c>
      <c r="M787">
        <v>1.36</v>
      </c>
      <c r="N787">
        <v>1.77</v>
      </c>
      <c r="O787">
        <v>91</v>
      </c>
      <c r="P787">
        <v>83</v>
      </c>
      <c r="Q787">
        <v>4</v>
      </c>
    </row>
    <row r="788" spans="1:18" x14ac:dyDescent="0.25">
      <c r="A788">
        <v>788</v>
      </c>
      <c r="B788" t="s">
        <v>1774</v>
      </c>
      <c r="D788" t="s">
        <v>1099</v>
      </c>
      <c r="E788" t="s">
        <v>1777</v>
      </c>
      <c r="F788">
        <v>3</v>
      </c>
      <c r="G788"/>
      <c r="H788">
        <v>5</v>
      </c>
      <c r="I788">
        <v>4.2</v>
      </c>
      <c r="J788">
        <v>381</v>
      </c>
      <c r="K788">
        <v>165</v>
      </c>
      <c r="L788">
        <v>2.7</v>
      </c>
      <c r="M788">
        <v>1.94</v>
      </c>
      <c r="N788">
        <v>2.33</v>
      </c>
      <c r="O788">
        <v>63</v>
      </c>
      <c r="P788">
        <v>52</v>
      </c>
      <c r="Q788">
        <v>4</v>
      </c>
    </row>
    <row r="789" spans="1:18" x14ac:dyDescent="0.25">
      <c r="A789">
        <v>789</v>
      </c>
      <c r="B789" t="s">
        <v>1775</v>
      </c>
      <c r="D789" t="s">
        <v>1099</v>
      </c>
      <c r="E789" t="s">
        <v>1777</v>
      </c>
      <c r="F789">
        <v>4</v>
      </c>
      <c r="G789"/>
      <c r="H789">
        <v>8.6999999999999993</v>
      </c>
      <c r="I789" t="s">
        <v>1689</v>
      </c>
      <c r="J789">
        <v>490</v>
      </c>
      <c r="K789">
        <v>291</v>
      </c>
      <c r="L789">
        <v>2.77</v>
      </c>
      <c r="M789">
        <v>2.76</v>
      </c>
      <c r="N789">
        <v>3.48</v>
      </c>
      <c r="O789">
        <v>312</v>
      </c>
      <c r="P789">
        <v>275</v>
      </c>
      <c r="Q789">
        <v>5</v>
      </c>
    </row>
    <row r="790" spans="1:18" x14ac:dyDescent="0.25">
      <c r="A790">
        <v>790</v>
      </c>
      <c r="B790" t="s">
        <v>1776</v>
      </c>
      <c r="D790" t="s">
        <v>1099</v>
      </c>
      <c r="E790" t="s">
        <v>1777</v>
      </c>
      <c r="F790">
        <v>5</v>
      </c>
      <c r="G790"/>
      <c r="H790">
        <v>11.6</v>
      </c>
      <c r="I790" t="s">
        <v>1690</v>
      </c>
      <c r="J790">
        <v>374</v>
      </c>
      <c r="K790">
        <v>293</v>
      </c>
      <c r="L790">
        <v>2.94</v>
      </c>
      <c r="M790">
        <v>3.89</v>
      </c>
      <c r="N790">
        <v>3.18</v>
      </c>
      <c r="O790">
        <v>135</v>
      </c>
      <c r="P790">
        <v>103</v>
      </c>
      <c r="Q790">
        <v>5</v>
      </c>
    </row>
    <row r="791" spans="1:18" x14ac:dyDescent="0.25">
      <c r="A791">
        <v>791</v>
      </c>
      <c r="B791" t="s">
        <v>1262</v>
      </c>
      <c r="E791" t="s">
        <v>508</v>
      </c>
      <c r="F791">
        <v>2</v>
      </c>
      <c r="G791" s="3">
        <v>43629</v>
      </c>
      <c r="H791">
        <v>11.7</v>
      </c>
      <c r="I791">
        <v>10.4</v>
      </c>
      <c r="J791">
        <v>375</v>
      </c>
      <c r="K791">
        <v>120</v>
      </c>
      <c r="L791">
        <v>19.89</v>
      </c>
      <c r="M791">
        <v>18.88</v>
      </c>
      <c r="N791">
        <v>18.100000000000001</v>
      </c>
      <c r="O791">
        <v>240</v>
      </c>
      <c r="P791">
        <v>180</v>
      </c>
      <c r="Q791">
        <v>5</v>
      </c>
    </row>
    <row r="792" spans="1:18" x14ac:dyDescent="0.25">
      <c r="A792">
        <v>792</v>
      </c>
      <c r="B792" t="s">
        <v>1264</v>
      </c>
      <c r="E792" t="s">
        <v>508</v>
      </c>
      <c r="F792">
        <v>3</v>
      </c>
      <c r="G792" s="3">
        <v>43629</v>
      </c>
      <c r="H792">
        <v>11</v>
      </c>
      <c r="I792">
        <v>8.6</v>
      </c>
      <c r="J792">
        <v>351</v>
      </c>
      <c r="K792">
        <v>100</v>
      </c>
      <c r="L792">
        <v>17.55</v>
      </c>
      <c r="M792">
        <v>16.07</v>
      </c>
      <c r="N792">
        <v>17.96</v>
      </c>
      <c r="O792">
        <v>190</v>
      </c>
      <c r="P792">
        <v>140</v>
      </c>
      <c r="Q792">
        <v>5</v>
      </c>
    </row>
    <row r="793" spans="1:18" x14ac:dyDescent="0.25">
      <c r="A793">
        <v>793</v>
      </c>
      <c r="B793" t="s">
        <v>1266</v>
      </c>
      <c r="E793" t="s">
        <v>508</v>
      </c>
      <c r="F793">
        <v>4</v>
      </c>
      <c r="G793" s="3">
        <v>43629</v>
      </c>
      <c r="H793">
        <v>7.5</v>
      </c>
      <c r="I793">
        <v>6.6</v>
      </c>
      <c r="J793">
        <v>255</v>
      </c>
      <c r="K793">
        <v>120</v>
      </c>
      <c r="L793">
        <v>13.88</v>
      </c>
      <c r="M793">
        <v>13.28</v>
      </c>
      <c r="N793">
        <v>13.84</v>
      </c>
      <c r="O793">
        <v>140</v>
      </c>
      <c r="P793">
        <v>120</v>
      </c>
      <c r="Q793">
        <v>5</v>
      </c>
    </row>
    <row r="794" spans="1:18" x14ac:dyDescent="0.25">
      <c r="A794">
        <v>794</v>
      </c>
      <c r="B794" t="s">
        <v>1268</v>
      </c>
      <c r="E794" t="s">
        <v>1269</v>
      </c>
      <c r="F794">
        <v>1</v>
      </c>
      <c r="G794" s="3">
        <v>43629</v>
      </c>
      <c r="H794" t="s">
        <v>1691</v>
      </c>
      <c r="I794" t="s">
        <v>1693</v>
      </c>
      <c r="J794">
        <v>675</v>
      </c>
      <c r="K794">
        <v>230</v>
      </c>
      <c r="L794">
        <v>33.770000000000003</v>
      </c>
      <c r="M794">
        <v>35.36</v>
      </c>
      <c r="N794">
        <v>31.72</v>
      </c>
      <c r="O794">
        <v>630</v>
      </c>
      <c r="P794">
        <v>530</v>
      </c>
      <c r="Q794">
        <v>5</v>
      </c>
    </row>
    <row r="795" spans="1:18" x14ac:dyDescent="0.25">
      <c r="A795">
        <v>795</v>
      </c>
      <c r="B795" t="s">
        <v>1271</v>
      </c>
      <c r="E795" t="s">
        <v>1272</v>
      </c>
      <c r="F795">
        <v>1</v>
      </c>
      <c r="G795" s="3">
        <v>43629</v>
      </c>
      <c r="H795">
        <v>7.5</v>
      </c>
      <c r="I795">
        <v>5.6</v>
      </c>
      <c r="J795">
        <v>281</v>
      </c>
      <c r="K795">
        <v>100</v>
      </c>
      <c r="L795">
        <v>18.11</v>
      </c>
      <c r="M795">
        <v>17.03</v>
      </c>
      <c r="N795">
        <v>15.94</v>
      </c>
      <c r="O795">
        <v>140</v>
      </c>
      <c r="P795">
        <v>90</v>
      </c>
      <c r="Q795">
        <v>4</v>
      </c>
    </row>
    <row r="796" spans="1:18" x14ac:dyDescent="0.25">
      <c r="A796">
        <v>796</v>
      </c>
      <c r="B796" t="s">
        <v>1274</v>
      </c>
      <c r="E796" t="s">
        <v>1275</v>
      </c>
      <c r="F796">
        <v>1</v>
      </c>
      <c r="G796" s="3">
        <v>43629</v>
      </c>
      <c r="H796">
        <v>9.5</v>
      </c>
      <c r="I796">
        <v>8.1999999999999993</v>
      </c>
      <c r="J796">
        <v>490</v>
      </c>
      <c r="K796">
        <v>210</v>
      </c>
      <c r="L796">
        <v>14.87</v>
      </c>
      <c r="M796">
        <v>14.76</v>
      </c>
      <c r="N796">
        <v>17.309999999999999</v>
      </c>
      <c r="O796">
        <v>180</v>
      </c>
      <c r="P796">
        <v>155</v>
      </c>
      <c r="Q796">
        <v>5</v>
      </c>
    </row>
    <row r="797" spans="1:18" x14ac:dyDescent="0.25">
      <c r="A797">
        <v>797</v>
      </c>
      <c r="B797" t="s">
        <v>1277</v>
      </c>
      <c r="E797" t="s">
        <v>1269</v>
      </c>
      <c r="F797">
        <v>2</v>
      </c>
      <c r="G797" s="3">
        <v>43629</v>
      </c>
      <c r="H797">
        <v>8.5</v>
      </c>
      <c r="I797">
        <v>6.7</v>
      </c>
      <c r="J797">
        <v>248</v>
      </c>
      <c r="K797">
        <v>170</v>
      </c>
      <c r="L797">
        <v>27.23</v>
      </c>
      <c r="M797">
        <v>26.86</v>
      </c>
      <c r="N797">
        <v>28.24</v>
      </c>
      <c r="O797">
        <v>205</v>
      </c>
      <c r="P797">
        <v>140</v>
      </c>
      <c r="Q797">
        <v>3</v>
      </c>
    </row>
    <row r="798" spans="1:18" x14ac:dyDescent="0.25">
      <c r="A798">
        <v>798</v>
      </c>
      <c r="B798" t="s">
        <v>1278</v>
      </c>
      <c r="E798" t="s">
        <v>1279</v>
      </c>
      <c r="F798">
        <v>1</v>
      </c>
      <c r="G798" s="3">
        <v>43629</v>
      </c>
      <c r="H798">
        <v>6</v>
      </c>
      <c r="I798">
        <v>4.7</v>
      </c>
      <c r="J798">
        <v>470</v>
      </c>
      <c r="K798">
        <v>410</v>
      </c>
      <c r="L798">
        <v>14.57</v>
      </c>
      <c r="M798">
        <v>11.65</v>
      </c>
      <c r="N798">
        <v>8.3699999999999992</v>
      </c>
      <c r="O798">
        <v>100</v>
      </c>
      <c r="P798">
        <v>90</v>
      </c>
      <c r="Q798">
        <v>1</v>
      </c>
    </row>
    <row r="799" spans="1:18" x14ac:dyDescent="0.25">
      <c r="A799">
        <v>799</v>
      </c>
      <c r="B799" t="s">
        <v>1281</v>
      </c>
      <c r="E799" t="s">
        <v>1279</v>
      </c>
      <c r="F799">
        <v>2</v>
      </c>
      <c r="G799" s="3">
        <v>43629</v>
      </c>
      <c r="H799">
        <v>4.2</v>
      </c>
      <c r="I799">
        <v>3.5</v>
      </c>
      <c r="J799">
        <v>345</v>
      </c>
      <c r="K799">
        <v>252</v>
      </c>
      <c r="L799">
        <v>6.08</v>
      </c>
      <c r="M799">
        <v>8.0299999999999994</v>
      </c>
      <c r="N799">
        <v>8.48</v>
      </c>
      <c r="O799">
        <v>140</v>
      </c>
      <c r="P799">
        <v>95</v>
      </c>
      <c r="Q799">
        <v>1</v>
      </c>
    </row>
    <row r="800" spans="1:18" x14ac:dyDescent="0.25">
      <c r="A800">
        <v>800</v>
      </c>
      <c r="B800" t="s">
        <v>1282</v>
      </c>
      <c r="E800" t="s">
        <v>1279</v>
      </c>
      <c r="F800">
        <v>3</v>
      </c>
      <c r="G800" s="3">
        <v>43629</v>
      </c>
      <c r="H800">
        <v>3.5</v>
      </c>
      <c r="I800">
        <v>2.2000000000000002</v>
      </c>
      <c r="J800">
        <v>285</v>
      </c>
      <c r="K800">
        <v>210</v>
      </c>
      <c r="L800">
        <v>7.22</v>
      </c>
      <c r="M800">
        <v>7.53</v>
      </c>
      <c r="N800">
        <v>8.1300000000000008</v>
      </c>
      <c r="O800">
        <v>120</v>
      </c>
      <c r="P800">
        <v>110</v>
      </c>
      <c r="Q800">
        <v>1</v>
      </c>
    </row>
    <row r="801" spans="1:17" x14ac:dyDescent="0.25">
      <c r="A801">
        <v>801</v>
      </c>
      <c r="B801" t="s">
        <v>1283</v>
      </c>
      <c r="E801" t="s">
        <v>1284</v>
      </c>
      <c r="F801">
        <v>2</v>
      </c>
      <c r="G801" s="3">
        <v>43634</v>
      </c>
      <c r="H801">
        <v>3.5</v>
      </c>
      <c r="I801">
        <v>2</v>
      </c>
      <c r="J801">
        <v>223</v>
      </c>
      <c r="K801">
        <v>80</v>
      </c>
      <c r="L801">
        <v>2.8</v>
      </c>
      <c r="M801">
        <v>2.64</v>
      </c>
      <c r="N801">
        <v>2.7</v>
      </c>
      <c r="O801">
        <v>156</v>
      </c>
      <c r="P801">
        <v>142</v>
      </c>
      <c r="Q801">
        <v>4</v>
      </c>
    </row>
    <row r="802" spans="1:17" x14ac:dyDescent="0.25">
      <c r="A802">
        <v>802</v>
      </c>
      <c r="B802" t="s">
        <v>1286</v>
      </c>
      <c r="E802" t="s">
        <v>1284</v>
      </c>
      <c r="F802">
        <v>1</v>
      </c>
      <c r="G802" s="3">
        <v>43634</v>
      </c>
      <c r="H802" t="s">
        <v>1692</v>
      </c>
      <c r="I802" t="s">
        <v>1694</v>
      </c>
      <c r="J802">
        <v>345</v>
      </c>
      <c r="K802">
        <v>125</v>
      </c>
      <c r="L802">
        <v>9.73</v>
      </c>
      <c r="M802">
        <v>9.23</v>
      </c>
      <c r="N802">
        <v>9.39</v>
      </c>
      <c r="O802">
        <v>440</v>
      </c>
      <c r="P802">
        <v>295</v>
      </c>
      <c r="Q802">
        <v>4</v>
      </c>
    </row>
    <row r="803" spans="1:17" x14ac:dyDescent="0.25">
      <c r="A803">
        <v>803</v>
      </c>
      <c r="B803" t="s">
        <v>1287</v>
      </c>
      <c r="E803" t="s">
        <v>1284</v>
      </c>
      <c r="F803">
        <v>3</v>
      </c>
      <c r="G803" s="3">
        <v>43634</v>
      </c>
      <c r="H803">
        <v>3.3</v>
      </c>
      <c r="I803">
        <v>2.7</v>
      </c>
      <c r="J803">
        <v>306</v>
      </c>
      <c r="K803">
        <v>227</v>
      </c>
      <c r="L803">
        <v>2.8</v>
      </c>
      <c r="M803">
        <v>2.21</v>
      </c>
      <c r="N803">
        <v>2.33</v>
      </c>
      <c r="O803">
        <v>140</v>
      </c>
      <c r="P803">
        <v>110</v>
      </c>
      <c r="Q803">
        <v>2</v>
      </c>
    </row>
    <row r="804" spans="1:17" x14ac:dyDescent="0.25">
      <c r="A804">
        <v>804</v>
      </c>
      <c r="B804" t="s">
        <v>1288</v>
      </c>
      <c r="E804" t="s">
        <v>1269</v>
      </c>
      <c r="F804">
        <v>3</v>
      </c>
      <c r="G804" s="3">
        <v>43634</v>
      </c>
      <c r="H804">
        <v>25.3</v>
      </c>
      <c r="I804" t="s">
        <v>1699</v>
      </c>
      <c r="J804">
        <v>619</v>
      </c>
      <c r="K804">
        <v>240</v>
      </c>
      <c r="L804">
        <v>20.88</v>
      </c>
      <c r="M804">
        <v>24.47</v>
      </c>
      <c r="N804">
        <v>19.54</v>
      </c>
      <c r="O804">
        <v>520</v>
      </c>
      <c r="P804">
        <v>410</v>
      </c>
      <c r="Q804">
        <v>5</v>
      </c>
    </row>
    <row r="805" spans="1:17" x14ac:dyDescent="0.25">
      <c r="A805">
        <v>805</v>
      </c>
      <c r="B805" t="s">
        <v>1289</v>
      </c>
      <c r="E805" t="s">
        <v>1275</v>
      </c>
      <c r="F805">
        <v>2</v>
      </c>
      <c r="G805" s="3">
        <v>43634</v>
      </c>
      <c r="H805">
        <v>7.8</v>
      </c>
      <c r="I805">
        <v>7.2</v>
      </c>
      <c r="J805">
        <v>393</v>
      </c>
      <c r="K805">
        <v>214</v>
      </c>
      <c r="L805">
        <v>13.27</v>
      </c>
      <c r="M805">
        <v>12.7</v>
      </c>
      <c r="N805">
        <v>10.34</v>
      </c>
      <c r="O805">
        <v>150</v>
      </c>
      <c r="P805">
        <v>120</v>
      </c>
      <c r="Q805">
        <v>4</v>
      </c>
    </row>
    <row r="806" spans="1:17" x14ac:dyDescent="0.25">
      <c r="A806">
        <v>806</v>
      </c>
      <c r="B806" t="s">
        <v>1290</v>
      </c>
      <c r="E806" t="s">
        <v>1275</v>
      </c>
      <c r="F806">
        <v>3</v>
      </c>
      <c r="G806" s="3">
        <v>43634</v>
      </c>
      <c r="H806">
        <v>3.8</v>
      </c>
      <c r="I806" t="s">
        <v>1700</v>
      </c>
      <c r="J806">
        <v>187</v>
      </c>
      <c r="K806">
        <v>84</v>
      </c>
      <c r="L806">
        <v>6.73</v>
      </c>
      <c r="M806">
        <v>8.48</v>
      </c>
      <c r="N806">
        <v>7.45</v>
      </c>
      <c r="O806">
        <v>95</v>
      </c>
      <c r="P806">
        <v>70</v>
      </c>
      <c r="Q806">
        <v>4</v>
      </c>
    </row>
    <row r="807" spans="1:17" x14ac:dyDescent="0.25">
      <c r="A807">
        <v>807</v>
      </c>
      <c r="B807" t="s">
        <v>1291</v>
      </c>
      <c r="E807" t="s">
        <v>1292</v>
      </c>
      <c r="F807">
        <v>1</v>
      </c>
      <c r="G807" s="3">
        <v>43634</v>
      </c>
      <c r="H807">
        <v>6.1</v>
      </c>
      <c r="I807">
        <v>5.2</v>
      </c>
      <c r="J807">
        <v>900</v>
      </c>
      <c r="K807">
        <v>530</v>
      </c>
      <c r="L807">
        <v>3.11</v>
      </c>
      <c r="M807">
        <v>3.12</v>
      </c>
      <c r="N807">
        <v>3.51</v>
      </c>
      <c r="O807">
        <v>304</v>
      </c>
      <c r="P807">
        <v>190</v>
      </c>
      <c r="Q807">
        <v>3</v>
      </c>
    </row>
    <row r="808" spans="1:17" x14ac:dyDescent="0.25">
      <c r="A808">
        <v>808</v>
      </c>
      <c r="B808" t="s">
        <v>1294</v>
      </c>
      <c r="E808" t="s">
        <v>1295</v>
      </c>
      <c r="F808">
        <v>1</v>
      </c>
      <c r="G808" s="3">
        <v>43640</v>
      </c>
      <c r="H808">
        <v>20.2</v>
      </c>
      <c r="I808">
        <v>17.8</v>
      </c>
      <c r="J808">
        <v>940</v>
      </c>
      <c r="K808">
        <v>270</v>
      </c>
      <c r="L808">
        <v>14</v>
      </c>
      <c r="M808">
        <v>10.02</v>
      </c>
      <c r="N808">
        <v>14.44</v>
      </c>
      <c r="O808">
        <v>340</v>
      </c>
      <c r="P808">
        <v>270</v>
      </c>
      <c r="Q808">
        <v>3</v>
      </c>
    </row>
    <row r="809" spans="1:17" x14ac:dyDescent="0.25">
      <c r="A809">
        <v>809</v>
      </c>
      <c r="B809" t="s">
        <v>1297</v>
      </c>
      <c r="E809" t="s">
        <v>1272</v>
      </c>
      <c r="F809">
        <v>3</v>
      </c>
      <c r="G809" s="3">
        <v>43640</v>
      </c>
      <c r="H809">
        <v>3.7</v>
      </c>
      <c r="I809">
        <v>1.6</v>
      </c>
      <c r="J809">
        <v>216</v>
      </c>
      <c r="K809">
        <v>126</v>
      </c>
      <c r="L809">
        <v>12.4</v>
      </c>
      <c r="M809">
        <v>12.2</v>
      </c>
      <c r="N809">
        <v>13.32</v>
      </c>
      <c r="O809">
        <v>121</v>
      </c>
      <c r="P809">
        <v>47</v>
      </c>
      <c r="Q809">
        <v>3</v>
      </c>
    </row>
    <row r="810" spans="1:17" x14ac:dyDescent="0.25">
      <c r="A810">
        <v>810</v>
      </c>
      <c r="B810" t="s">
        <v>1299</v>
      </c>
      <c r="E810" t="s">
        <v>1272</v>
      </c>
      <c r="F810">
        <v>4</v>
      </c>
      <c r="G810" s="3">
        <v>43640</v>
      </c>
      <c r="H810">
        <v>5.4</v>
      </c>
      <c r="I810">
        <v>4</v>
      </c>
      <c r="J810">
        <v>243</v>
      </c>
      <c r="K810">
        <v>170</v>
      </c>
      <c r="L810">
        <v>14.8</v>
      </c>
      <c r="M810">
        <v>18.600000000000001</v>
      </c>
      <c r="N810">
        <v>18.66</v>
      </c>
      <c r="O810">
        <v>94</v>
      </c>
      <c r="P810">
        <v>39</v>
      </c>
      <c r="Q810">
        <v>4</v>
      </c>
    </row>
    <row r="811" spans="1:17" x14ac:dyDescent="0.25">
      <c r="A811">
        <v>811</v>
      </c>
      <c r="B811" t="s">
        <v>1300</v>
      </c>
      <c r="E811" t="s">
        <v>1295</v>
      </c>
      <c r="F811">
        <v>2</v>
      </c>
      <c r="G811" s="3">
        <v>43640</v>
      </c>
      <c r="H811">
        <v>3.1</v>
      </c>
      <c r="I811">
        <v>2.8</v>
      </c>
      <c r="J811">
        <v>341</v>
      </c>
      <c r="K811">
        <v>173</v>
      </c>
      <c r="L811">
        <v>2.2400000000000002</v>
      </c>
      <c r="M811">
        <v>1.88</v>
      </c>
      <c r="N811">
        <v>2.72</v>
      </c>
      <c r="O811">
        <v>139</v>
      </c>
      <c r="P811">
        <v>86</v>
      </c>
      <c r="Q811">
        <v>3</v>
      </c>
    </row>
    <row r="812" spans="1:17" x14ac:dyDescent="0.25">
      <c r="A812">
        <v>812</v>
      </c>
      <c r="B812" t="s">
        <v>1301</v>
      </c>
      <c r="E812" t="s">
        <v>1295</v>
      </c>
      <c r="F812">
        <v>3</v>
      </c>
      <c r="G812" s="3">
        <v>43640</v>
      </c>
      <c r="H812">
        <v>3.4</v>
      </c>
      <c r="I812">
        <v>2.5</v>
      </c>
      <c r="J812">
        <v>261</v>
      </c>
      <c r="K812">
        <v>116</v>
      </c>
      <c r="L812">
        <v>2.2599999999999998</v>
      </c>
      <c r="M812">
        <v>1.98</v>
      </c>
      <c r="N812">
        <v>1.54</v>
      </c>
      <c r="O812">
        <v>90</v>
      </c>
      <c r="P812">
        <v>75</v>
      </c>
      <c r="Q812">
        <v>4</v>
      </c>
    </row>
    <row r="813" spans="1:17" x14ac:dyDescent="0.25">
      <c r="A813">
        <v>813</v>
      </c>
      <c r="B813" t="s">
        <v>1698</v>
      </c>
      <c r="E813" t="s">
        <v>1295</v>
      </c>
      <c r="G813" s="3">
        <v>43640</v>
      </c>
      <c r="H813">
        <v>8</v>
      </c>
      <c r="I813">
        <v>6.6</v>
      </c>
      <c r="J813">
        <v>430</v>
      </c>
      <c r="K813">
        <v>193</v>
      </c>
      <c r="L813">
        <v>6.8</v>
      </c>
      <c r="M813">
        <v>6.88</v>
      </c>
      <c r="N813">
        <v>5.9</v>
      </c>
      <c r="O813">
        <v>260</v>
      </c>
      <c r="P813">
        <v>250</v>
      </c>
      <c r="Q813">
        <v>5</v>
      </c>
    </row>
    <row r="814" spans="1:17" x14ac:dyDescent="0.25">
      <c r="A814">
        <v>814</v>
      </c>
      <c r="B814" t="s">
        <v>1701</v>
      </c>
      <c r="E814" t="s">
        <v>1713</v>
      </c>
      <c r="F814">
        <v>1</v>
      </c>
      <c r="G814" s="3">
        <v>43643</v>
      </c>
      <c r="H814">
        <v>6.8</v>
      </c>
      <c r="I814">
        <v>5.7</v>
      </c>
      <c r="J814">
        <v>675</v>
      </c>
      <c r="K814">
        <v>194</v>
      </c>
      <c r="L814">
        <v>2.44</v>
      </c>
      <c r="M814">
        <v>1.4</v>
      </c>
      <c r="N814">
        <v>2.78</v>
      </c>
      <c r="O814">
        <v>204</v>
      </c>
      <c r="P814">
        <v>198</v>
      </c>
      <c r="Q814">
        <v>4</v>
      </c>
    </row>
    <row r="815" spans="1:17" x14ac:dyDescent="0.25">
      <c r="A815">
        <v>815</v>
      </c>
      <c r="B815" t="s">
        <v>1702</v>
      </c>
      <c r="E815" t="s">
        <v>1713</v>
      </c>
      <c r="F815">
        <v>2</v>
      </c>
      <c r="G815" s="3">
        <v>43643</v>
      </c>
      <c r="H815">
        <v>5</v>
      </c>
      <c r="I815">
        <v>4</v>
      </c>
      <c r="J815">
        <v>441</v>
      </c>
      <c r="K815">
        <v>152</v>
      </c>
      <c r="L815">
        <v>1.62</v>
      </c>
      <c r="M815">
        <v>1.44</v>
      </c>
      <c r="N815">
        <v>1.1000000000000001</v>
      </c>
      <c r="O815">
        <v>240</v>
      </c>
      <c r="P815">
        <v>140</v>
      </c>
      <c r="Q815">
        <v>3</v>
      </c>
    </row>
    <row r="816" spans="1:17" x14ac:dyDescent="0.25">
      <c r="A816">
        <v>816</v>
      </c>
      <c r="B816" t="s">
        <v>1703</v>
      </c>
      <c r="E816" t="s">
        <v>1713</v>
      </c>
      <c r="F816">
        <v>3</v>
      </c>
      <c r="G816" s="3">
        <v>43643</v>
      </c>
      <c r="H816">
        <v>6.7</v>
      </c>
      <c r="I816">
        <v>5.8</v>
      </c>
      <c r="J816">
        <v>571</v>
      </c>
      <c r="K816">
        <v>135</v>
      </c>
      <c r="L816">
        <v>1.52</v>
      </c>
      <c r="M816">
        <v>1.5</v>
      </c>
      <c r="N816">
        <v>1.96</v>
      </c>
      <c r="O816">
        <v>208</v>
      </c>
      <c r="P816">
        <v>237</v>
      </c>
      <c r="Q816">
        <v>3</v>
      </c>
    </row>
    <row r="817" spans="1:17" x14ac:dyDescent="0.25">
      <c r="A817">
        <v>817</v>
      </c>
      <c r="B817" t="s">
        <v>1704</v>
      </c>
      <c r="E817" t="s">
        <v>1713</v>
      </c>
      <c r="F817">
        <v>4</v>
      </c>
      <c r="G817" s="3">
        <v>43643</v>
      </c>
      <c r="H817">
        <v>4</v>
      </c>
      <c r="I817">
        <v>3</v>
      </c>
      <c r="J817">
        <v>439</v>
      </c>
      <c r="K817">
        <v>140</v>
      </c>
      <c r="L817">
        <v>1.04</v>
      </c>
      <c r="M817">
        <v>0.92</v>
      </c>
      <c r="N817">
        <v>0.88</v>
      </c>
      <c r="O817">
        <v>232</v>
      </c>
      <c r="P817">
        <v>171</v>
      </c>
      <c r="Q817">
        <v>3</v>
      </c>
    </row>
    <row r="818" spans="1:17" x14ac:dyDescent="0.25">
      <c r="A818">
        <v>818</v>
      </c>
      <c r="B818" t="s">
        <v>1705</v>
      </c>
      <c r="E818" t="s">
        <v>1713</v>
      </c>
      <c r="F818">
        <v>5</v>
      </c>
      <c r="G818" s="3">
        <v>43643</v>
      </c>
      <c r="H818">
        <v>2.9</v>
      </c>
      <c r="I818">
        <v>1.6</v>
      </c>
      <c r="J818">
        <v>294</v>
      </c>
      <c r="K818">
        <v>105</v>
      </c>
      <c r="L818">
        <v>0.88</v>
      </c>
      <c r="M818">
        <v>0.76</v>
      </c>
      <c r="N818">
        <v>0.72</v>
      </c>
      <c r="O818">
        <v>140</v>
      </c>
      <c r="P818">
        <v>77</v>
      </c>
      <c r="Q818">
        <v>3</v>
      </c>
    </row>
    <row r="819" spans="1:17" x14ac:dyDescent="0.25">
      <c r="A819">
        <v>819</v>
      </c>
      <c r="B819" t="s">
        <v>1706</v>
      </c>
      <c r="E819" t="s">
        <v>1714</v>
      </c>
      <c r="F819">
        <v>1</v>
      </c>
      <c r="G819" s="3">
        <v>43643</v>
      </c>
      <c r="H819">
        <v>4</v>
      </c>
      <c r="I819">
        <v>3.7</v>
      </c>
      <c r="J819">
        <v>437</v>
      </c>
      <c r="K819">
        <v>192</v>
      </c>
      <c r="L819">
        <v>2.6</v>
      </c>
      <c r="M819">
        <v>2</v>
      </c>
      <c r="N819">
        <v>1.74</v>
      </c>
      <c r="O819">
        <v>227</v>
      </c>
      <c r="P819">
        <v>174</v>
      </c>
      <c r="Q819">
        <v>3</v>
      </c>
    </row>
    <row r="820" spans="1:17" x14ac:dyDescent="0.25">
      <c r="A820">
        <v>820</v>
      </c>
      <c r="B820" t="s">
        <v>1707</v>
      </c>
      <c r="E820" t="s">
        <v>491</v>
      </c>
      <c r="F820">
        <v>6</v>
      </c>
      <c r="G820" s="3">
        <v>43643</v>
      </c>
      <c r="H820">
        <v>5</v>
      </c>
      <c r="I820">
        <v>4.7</v>
      </c>
      <c r="J820">
        <v>429</v>
      </c>
      <c r="K820">
        <v>230</v>
      </c>
      <c r="L820">
        <v>3.62</v>
      </c>
      <c r="M820">
        <v>2.3199999999999998</v>
      </c>
      <c r="N820">
        <v>3.14</v>
      </c>
      <c r="O820">
        <v>212</v>
      </c>
      <c r="P820">
        <v>206</v>
      </c>
      <c r="Q820">
        <v>3</v>
      </c>
    </row>
    <row r="821" spans="1:17" x14ac:dyDescent="0.25">
      <c r="A821">
        <v>821</v>
      </c>
      <c r="B821" t="s">
        <v>1708</v>
      </c>
      <c r="E821" t="s">
        <v>1269</v>
      </c>
      <c r="F821">
        <v>4</v>
      </c>
      <c r="G821" s="3">
        <v>43643</v>
      </c>
      <c r="H821">
        <v>15.3</v>
      </c>
      <c r="I821">
        <v>13.5</v>
      </c>
      <c r="J821">
        <v>444</v>
      </c>
      <c r="K821">
        <v>243</v>
      </c>
      <c r="L821">
        <v>28.76</v>
      </c>
      <c r="M821">
        <v>25.64</v>
      </c>
      <c r="N821">
        <v>24.52</v>
      </c>
      <c r="O821">
        <v>413</v>
      </c>
      <c r="P821">
        <v>145</v>
      </c>
      <c r="Q821">
        <v>5</v>
      </c>
    </row>
    <row r="822" spans="1:17" x14ac:dyDescent="0.25">
      <c r="A822">
        <v>822</v>
      </c>
      <c r="B822" t="s">
        <v>1709</v>
      </c>
      <c r="E822" t="s">
        <v>1275</v>
      </c>
      <c r="F822">
        <v>4</v>
      </c>
      <c r="G822" s="3">
        <v>43643</v>
      </c>
      <c r="H822">
        <v>12.1</v>
      </c>
      <c r="I822">
        <v>10.5</v>
      </c>
      <c r="J822">
        <v>434</v>
      </c>
      <c r="K822">
        <v>214</v>
      </c>
      <c r="L822">
        <v>16.32</v>
      </c>
      <c r="M822">
        <v>14.02</v>
      </c>
      <c r="N822">
        <v>13.02</v>
      </c>
      <c r="O822">
        <v>241</v>
      </c>
      <c r="P822">
        <v>158</v>
      </c>
      <c r="Q822">
        <v>5</v>
      </c>
    </row>
    <row r="823" spans="1:17" x14ac:dyDescent="0.25">
      <c r="A823">
        <v>823</v>
      </c>
      <c r="B823" t="s">
        <v>1710</v>
      </c>
      <c r="E823" t="s">
        <v>1275</v>
      </c>
      <c r="F823">
        <v>5</v>
      </c>
      <c r="G823" s="3">
        <v>43643</v>
      </c>
      <c r="H823">
        <v>3.5</v>
      </c>
      <c r="I823">
        <v>2</v>
      </c>
      <c r="J823">
        <v>172</v>
      </c>
      <c r="K823">
        <v>112</v>
      </c>
      <c r="L823">
        <v>6.96</v>
      </c>
      <c r="M823">
        <v>7.12</v>
      </c>
      <c r="N823">
        <v>7.1</v>
      </c>
      <c r="O823">
        <v>86</v>
      </c>
      <c r="P823">
        <v>72</v>
      </c>
      <c r="Q823">
        <v>4</v>
      </c>
    </row>
    <row r="824" spans="1:17" x14ac:dyDescent="0.25">
      <c r="A824">
        <v>824</v>
      </c>
      <c r="B824" t="s">
        <v>1711</v>
      </c>
      <c r="E824" t="s">
        <v>1279</v>
      </c>
      <c r="F824">
        <v>4</v>
      </c>
      <c r="G824" s="3">
        <v>43643</v>
      </c>
      <c r="H824">
        <v>3.6</v>
      </c>
      <c r="I824">
        <v>2.2999999999999998</v>
      </c>
      <c r="J824">
        <v>261</v>
      </c>
      <c r="K824">
        <v>145</v>
      </c>
      <c r="L824">
        <v>8.84</v>
      </c>
      <c r="M824">
        <v>8.1</v>
      </c>
      <c r="N824">
        <v>8.44</v>
      </c>
      <c r="O824">
        <v>142</v>
      </c>
      <c r="P824">
        <v>99</v>
      </c>
      <c r="Q824">
        <v>2</v>
      </c>
    </row>
    <row r="825" spans="1:17" x14ac:dyDescent="0.25">
      <c r="A825">
        <v>825</v>
      </c>
      <c r="B825" t="s">
        <v>1712</v>
      </c>
      <c r="E825" t="s">
        <v>1279</v>
      </c>
      <c r="F825">
        <v>5</v>
      </c>
      <c r="G825" s="3">
        <v>43643</v>
      </c>
      <c r="H825">
        <v>8.5</v>
      </c>
      <c r="I825">
        <v>6.5</v>
      </c>
      <c r="J825">
        <v>831</v>
      </c>
      <c r="K825">
        <v>437</v>
      </c>
      <c r="L825">
        <v>10.54</v>
      </c>
      <c r="M825">
        <v>9.68</v>
      </c>
      <c r="N825">
        <v>10.48</v>
      </c>
      <c r="O825">
        <v>174</v>
      </c>
      <c r="P825">
        <v>117</v>
      </c>
      <c r="Q825">
        <v>4</v>
      </c>
    </row>
    <row r="826" spans="1:17" x14ac:dyDescent="0.25">
      <c r="A826">
        <v>826</v>
      </c>
      <c r="B826" t="s">
        <v>1717</v>
      </c>
      <c r="E826" t="s">
        <v>1714</v>
      </c>
      <c r="F826">
        <v>2</v>
      </c>
      <c r="G826" s="3">
        <v>43643</v>
      </c>
      <c r="H826">
        <v>5.2</v>
      </c>
      <c r="I826">
        <v>5</v>
      </c>
      <c r="J826">
        <v>522</v>
      </c>
      <c r="K826">
        <v>121</v>
      </c>
      <c r="L826">
        <v>2.36</v>
      </c>
      <c r="M826">
        <v>2.2200000000000002</v>
      </c>
      <c r="N826">
        <v>2.64</v>
      </c>
      <c r="O826">
        <v>295</v>
      </c>
      <c r="P826">
        <v>283</v>
      </c>
      <c r="Q826">
        <v>4</v>
      </c>
    </row>
    <row r="827" spans="1:17" x14ac:dyDescent="0.25">
      <c r="A827">
        <v>827</v>
      </c>
      <c r="B827" t="s">
        <v>1718</v>
      </c>
      <c r="E827" t="s">
        <v>1714</v>
      </c>
      <c r="F827">
        <v>3</v>
      </c>
      <c r="G827" s="3">
        <v>43643</v>
      </c>
      <c r="H827">
        <v>2.8</v>
      </c>
      <c r="I827">
        <v>2</v>
      </c>
      <c r="J827">
        <v>292</v>
      </c>
      <c r="K827">
        <v>62</v>
      </c>
      <c r="L827">
        <v>1.76</v>
      </c>
      <c r="M827">
        <v>1.4</v>
      </c>
      <c r="N827">
        <v>2.2799999999999998</v>
      </c>
      <c r="O827">
        <v>167</v>
      </c>
      <c r="P827">
        <v>88</v>
      </c>
      <c r="Q827">
        <v>4</v>
      </c>
    </row>
    <row r="828" spans="1:17" x14ac:dyDescent="0.25">
      <c r="A828">
        <v>828</v>
      </c>
      <c r="B828" t="s">
        <v>1719</v>
      </c>
      <c r="C828" t="s">
        <v>845</v>
      </c>
      <c r="E828" t="s">
        <v>825</v>
      </c>
      <c r="F828">
        <v>6</v>
      </c>
      <c r="G828" s="3">
        <v>43645</v>
      </c>
      <c r="H828">
        <v>3.2</v>
      </c>
      <c r="I828">
        <v>3.1</v>
      </c>
      <c r="J828">
        <v>557</v>
      </c>
      <c r="K828">
        <v>224</v>
      </c>
      <c r="L828">
        <v>1.26</v>
      </c>
      <c r="M828">
        <v>1.24</v>
      </c>
      <c r="N828">
        <v>1.08</v>
      </c>
      <c r="O828">
        <v>138</v>
      </c>
      <c r="P828">
        <v>89</v>
      </c>
      <c r="Q828">
        <v>3</v>
      </c>
    </row>
    <row r="829" spans="1:17" x14ac:dyDescent="0.25">
      <c r="A829">
        <v>829</v>
      </c>
      <c r="B829" t="s">
        <v>1720</v>
      </c>
      <c r="C829" t="s">
        <v>843</v>
      </c>
      <c r="E829" t="s">
        <v>825</v>
      </c>
      <c r="F829">
        <v>7</v>
      </c>
      <c r="G829" s="3">
        <v>43645</v>
      </c>
      <c r="H829">
        <v>4</v>
      </c>
      <c r="I829">
        <v>3.7</v>
      </c>
      <c r="J829">
        <v>519</v>
      </c>
      <c r="K829">
        <v>250</v>
      </c>
      <c r="L829">
        <v>2.96</v>
      </c>
      <c r="M829">
        <v>2.62</v>
      </c>
      <c r="N829">
        <v>4.16</v>
      </c>
      <c r="O829">
        <v>123</v>
      </c>
      <c r="P829">
        <v>94</v>
      </c>
      <c r="Q829">
        <v>3</v>
      </c>
    </row>
    <row r="830" spans="1:17" x14ac:dyDescent="0.25">
      <c r="A830">
        <v>830</v>
      </c>
      <c r="B830" t="s">
        <v>1722</v>
      </c>
      <c r="E830" t="s">
        <v>1723</v>
      </c>
      <c r="F830">
        <v>1</v>
      </c>
      <c r="G830" s="3">
        <v>43650</v>
      </c>
      <c r="H830">
        <v>3.6</v>
      </c>
      <c r="I830">
        <v>2.8</v>
      </c>
      <c r="J830">
        <v>429</v>
      </c>
      <c r="K830">
        <v>140</v>
      </c>
      <c r="L830">
        <v>1.8</v>
      </c>
      <c r="M830">
        <v>1.71</v>
      </c>
      <c r="N830">
        <v>2.09</v>
      </c>
      <c r="O830">
        <v>198</v>
      </c>
      <c r="P830">
        <v>124</v>
      </c>
      <c r="Q830">
        <v>2</v>
      </c>
    </row>
    <row r="831" spans="1:17" x14ac:dyDescent="0.25">
      <c r="A831">
        <v>831</v>
      </c>
      <c r="B831" t="s">
        <v>1724</v>
      </c>
      <c r="E831" t="s">
        <v>1725</v>
      </c>
      <c r="F831">
        <v>1</v>
      </c>
      <c r="G831" s="3">
        <v>43650</v>
      </c>
      <c r="H831">
        <v>4</v>
      </c>
      <c r="I831">
        <v>3.4</v>
      </c>
      <c r="J831">
        <v>469</v>
      </c>
      <c r="K831">
        <v>328</v>
      </c>
      <c r="L831">
        <v>2.9</v>
      </c>
      <c r="M831">
        <v>2.99</v>
      </c>
      <c r="N831">
        <v>2.63</v>
      </c>
      <c r="O831">
        <v>190</v>
      </c>
      <c r="P831">
        <v>100</v>
      </c>
      <c r="Q831">
        <v>3</v>
      </c>
    </row>
    <row r="832" spans="1:17" x14ac:dyDescent="0.25">
      <c r="A832">
        <v>832</v>
      </c>
      <c r="B832" t="s">
        <v>1726</v>
      </c>
      <c r="E832" t="s">
        <v>1723</v>
      </c>
      <c r="F832">
        <v>2</v>
      </c>
      <c r="G832" s="3">
        <v>43650</v>
      </c>
      <c r="H832" s="6">
        <v>6.3</v>
      </c>
      <c r="I832">
        <v>6.1</v>
      </c>
      <c r="J832">
        <v>443</v>
      </c>
      <c r="K832">
        <v>110</v>
      </c>
      <c r="L832">
        <v>3.4</v>
      </c>
      <c r="M832">
        <v>2.17</v>
      </c>
      <c r="N832">
        <v>2.54</v>
      </c>
      <c r="O832" s="7"/>
      <c r="P832" s="7"/>
      <c r="Q832">
        <v>3</v>
      </c>
    </row>
    <row r="833" spans="1:17" x14ac:dyDescent="0.25">
      <c r="A833">
        <v>833</v>
      </c>
      <c r="B833" t="s">
        <v>1727</v>
      </c>
      <c r="E833" t="s">
        <v>1272</v>
      </c>
      <c r="F833">
        <v>5</v>
      </c>
      <c r="G833" s="3">
        <v>43650</v>
      </c>
      <c r="H833" s="6">
        <v>8.5</v>
      </c>
      <c r="I833" s="6">
        <v>6.1</v>
      </c>
      <c r="J833" s="6">
        <v>362</v>
      </c>
      <c r="K833" s="6">
        <v>193</v>
      </c>
      <c r="L833" s="6">
        <v>14.66</v>
      </c>
      <c r="M833" s="6">
        <v>15.66</v>
      </c>
      <c r="N833" s="6">
        <v>17.71</v>
      </c>
      <c r="O833" s="6">
        <v>264</v>
      </c>
      <c r="P833" s="6">
        <v>166</v>
      </c>
      <c r="Q833" s="6">
        <v>4</v>
      </c>
    </row>
    <row r="834" spans="1:17" x14ac:dyDescent="0.25">
      <c r="A834">
        <v>834</v>
      </c>
      <c r="B834" t="s">
        <v>1728</v>
      </c>
      <c r="E834" t="s">
        <v>1295</v>
      </c>
      <c r="F834">
        <v>5</v>
      </c>
      <c r="G834" s="3">
        <v>43650</v>
      </c>
      <c r="H834">
        <v>11.5</v>
      </c>
      <c r="I834">
        <v>11.1</v>
      </c>
      <c r="J834">
        <v>880</v>
      </c>
      <c r="K834">
        <v>591</v>
      </c>
      <c r="L834">
        <v>10.130000000000001</v>
      </c>
      <c r="M834">
        <v>8.84</v>
      </c>
      <c r="N834">
        <v>8.1300000000000008</v>
      </c>
      <c r="O834">
        <v>255</v>
      </c>
      <c r="P834">
        <v>230</v>
      </c>
      <c r="Q834">
        <v>4</v>
      </c>
    </row>
    <row r="835" spans="1:17" x14ac:dyDescent="0.25">
      <c r="A835">
        <v>835</v>
      </c>
      <c r="B835" t="s">
        <v>1729</v>
      </c>
      <c r="E835" t="s">
        <v>1723</v>
      </c>
      <c r="F835">
        <v>3</v>
      </c>
      <c r="G835" s="3">
        <v>43650</v>
      </c>
      <c r="H835">
        <v>3</v>
      </c>
      <c r="I835">
        <v>2.5</v>
      </c>
      <c r="J835">
        <v>332</v>
      </c>
      <c r="K835">
        <v>137</v>
      </c>
      <c r="L835">
        <v>1.25</v>
      </c>
      <c r="M835">
        <v>1.53</v>
      </c>
      <c r="N835">
        <v>1.59</v>
      </c>
      <c r="O835">
        <v>200</v>
      </c>
      <c r="P835">
        <v>120</v>
      </c>
      <c r="Q835">
        <v>3</v>
      </c>
    </row>
    <row r="836" spans="1:17" x14ac:dyDescent="0.25">
      <c r="A836">
        <v>836</v>
      </c>
      <c r="B836" t="s">
        <v>1730</v>
      </c>
      <c r="E836" t="s">
        <v>1725</v>
      </c>
      <c r="F836">
        <v>2</v>
      </c>
      <c r="G836" s="3">
        <v>43650</v>
      </c>
      <c r="H836">
        <v>1.3</v>
      </c>
      <c r="I836">
        <v>1.2</v>
      </c>
      <c r="J836">
        <v>264</v>
      </c>
      <c r="K836">
        <v>145</v>
      </c>
      <c r="L836">
        <v>1.22</v>
      </c>
      <c r="M836">
        <v>0.88</v>
      </c>
      <c r="N836">
        <v>1.1200000000000001</v>
      </c>
      <c r="O836">
        <v>50</v>
      </c>
      <c r="P836">
        <v>50</v>
      </c>
      <c r="Q836">
        <v>2</v>
      </c>
    </row>
    <row r="837" spans="1:17" x14ac:dyDescent="0.25">
      <c r="A837">
        <v>837</v>
      </c>
      <c r="B837" t="s">
        <v>1731</v>
      </c>
      <c r="E837" t="s">
        <v>1736</v>
      </c>
      <c r="F837">
        <v>1</v>
      </c>
      <c r="G837" s="3">
        <v>43650</v>
      </c>
      <c r="H837">
        <v>5.3</v>
      </c>
      <c r="I837">
        <v>4.2</v>
      </c>
      <c r="J837">
        <v>542</v>
      </c>
      <c r="K837">
        <v>185</v>
      </c>
      <c r="L837">
        <v>6.97</v>
      </c>
      <c r="M837">
        <v>5.0599999999999996</v>
      </c>
      <c r="N837">
        <v>3.45</v>
      </c>
      <c r="O837">
        <v>220</v>
      </c>
      <c r="P837">
        <v>435</v>
      </c>
      <c r="Q837">
        <v>2</v>
      </c>
    </row>
    <row r="838" spans="1:17" x14ac:dyDescent="0.25">
      <c r="A838">
        <v>838</v>
      </c>
      <c r="B838" t="s">
        <v>1732</v>
      </c>
      <c r="E838" t="s">
        <v>1736</v>
      </c>
      <c r="F838">
        <v>2</v>
      </c>
      <c r="G838" s="3">
        <v>43650</v>
      </c>
      <c r="H838">
        <v>6.5</v>
      </c>
      <c r="I838">
        <v>5.8</v>
      </c>
      <c r="J838">
        <v>596</v>
      </c>
      <c r="K838">
        <v>268</v>
      </c>
      <c r="L838">
        <v>5.56</v>
      </c>
      <c r="M838">
        <v>7.08</v>
      </c>
      <c r="N838">
        <v>3.56</v>
      </c>
      <c r="O838">
        <v>330</v>
      </c>
      <c r="P838">
        <v>250</v>
      </c>
      <c r="Q838">
        <v>2</v>
      </c>
    </row>
    <row r="839" spans="1:17" x14ac:dyDescent="0.25">
      <c r="A839">
        <v>839</v>
      </c>
      <c r="B839" t="s">
        <v>1733</v>
      </c>
      <c r="E839" t="s">
        <v>1725</v>
      </c>
      <c r="F839">
        <v>3</v>
      </c>
      <c r="G839" s="3">
        <v>43662</v>
      </c>
      <c r="H839">
        <v>2.8</v>
      </c>
      <c r="I839">
        <v>2.2000000000000002</v>
      </c>
      <c r="J839">
        <v>400</v>
      </c>
      <c r="K839">
        <v>125</v>
      </c>
      <c r="L839">
        <v>2.2200000000000002</v>
      </c>
      <c r="M839">
        <v>1.62</v>
      </c>
      <c r="N839">
        <v>1.32</v>
      </c>
      <c r="O839">
        <v>273</v>
      </c>
      <c r="P839">
        <v>46</v>
      </c>
      <c r="Q839">
        <v>2</v>
      </c>
    </row>
    <row r="840" spans="1:17" x14ac:dyDescent="0.25">
      <c r="A840">
        <v>840</v>
      </c>
      <c r="B840" t="s">
        <v>1734</v>
      </c>
      <c r="E840" t="s">
        <v>1736</v>
      </c>
      <c r="F840">
        <v>3</v>
      </c>
      <c r="G840" s="3">
        <v>43662</v>
      </c>
      <c r="H840">
        <v>3.9</v>
      </c>
      <c r="I840">
        <v>2.5</v>
      </c>
      <c r="J840">
        <v>314</v>
      </c>
      <c r="K840">
        <v>173</v>
      </c>
      <c r="L840">
        <v>4.57</v>
      </c>
      <c r="M840">
        <v>4.5999999999999996</v>
      </c>
      <c r="N840">
        <v>2.6</v>
      </c>
      <c r="O840">
        <v>265</v>
      </c>
      <c r="P840">
        <v>159</v>
      </c>
      <c r="Q840">
        <v>2</v>
      </c>
    </row>
    <row r="841" spans="1:17" x14ac:dyDescent="0.25">
      <c r="A841">
        <v>841</v>
      </c>
      <c r="B841" t="s">
        <v>1735</v>
      </c>
      <c r="E841" t="s">
        <v>508</v>
      </c>
      <c r="F841">
        <v>5</v>
      </c>
      <c r="G841" s="3">
        <v>43662</v>
      </c>
      <c r="H841">
        <v>15.6</v>
      </c>
      <c r="I841">
        <v>13.3</v>
      </c>
      <c r="J841">
        <v>434</v>
      </c>
      <c r="K841">
        <v>234</v>
      </c>
      <c r="L841">
        <v>20.64</v>
      </c>
      <c r="M841">
        <v>28.72</v>
      </c>
      <c r="N841">
        <v>28.04</v>
      </c>
      <c r="O841">
        <v>276</v>
      </c>
      <c r="P841">
        <v>115</v>
      </c>
      <c r="Q841">
        <v>5</v>
      </c>
    </row>
    <row r="842" spans="1:17" x14ac:dyDescent="0.25">
      <c r="A842">
        <v>842</v>
      </c>
      <c r="B842" t="s">
        <v>1778</v>
      </c>
      <c r="E842" t="s">
        <v>1725</v>
      </c>
      <c r="F842">
        <v>4</v>
      </c>
      <c r="G842" s="3">
        <v>43662</v>
      </c>
      <c r="H842">
        <v>1.8</v>
      </c>
      <c r="I842">
        <v>1.4</v>
      </c>
      <c r="J842">
        <v>269</v>
      </c>
      <c r="K842">
        <v>130</v>
      </c>
      <c r="L842">
        <v>2.02</v>
      </c>
      <c r="M842">
        <v>1.25</v>
      </c>
      <c r="N842">
        <v>1.23</v>
      </c>
      <c r="O842">
        <v>143</v>
      </c>
      <c r="P842">
        <v>101</v>
      </c>
      <c r="Q842">
        <v>3</v>
      </c>
    </row>
    <row r="843" spans="1:17" x14ac:dyDescent="0.25">
      <c r="A843">
        <v>843</v>
      </c>
      <c r="B843" t="s">
        <v>1741</v>
      </c>
      <c r="E843" t="s">
        <v>839</v>
      </c>
      <c r="F843">
        <v>3</v>
      </c>
      <c r="G843" s="3">
        <v>43662</v>
      </c>
      <c r="H843">
        <v>35.5</v>
      </c>
      <c r="I843">
        <v>31.2</v>
      </c>
      <c r="J843">
        <v>753</v>
      </c>
      <c r="K843">
        <v>321</v>
      </c>
      <c r="L843">
        <v>7.8</v>
      </c>
      <c r="M843" t="s">
        <v>135</v>
      </c>
      <c r="N843" t="s">
        <v>135</v>
      </c>
      <c r="O843">
        <v>1140</v>
      </c>
      <c r="P843">
        <v>1060</v>
      </c>
      <c r="Q843">
        <v>5</v>
      </c>
    </row>
    <row r="844" spans="1:17" x14ac:dyDescent="0.25">
      <c r="A844">
        <v>844</v>
      </c>
      <c r="B844" t="s">
        <v>1779</v>
      </c>
      <c r="E844" t="s">
        <v>1714</v>
      </c>
      <c r="F844">
        <v>4</v>
      </c>
      <c r="G844" s="3">
        <v>43662</v>
      </c>
      <c r="H844">
        <v>19.8</v>
      </c>
      <c r="I844">
        <v>19.100000000000001</v>
      </c>
      <c r="J844">
        <v>870</v>
      </c>
      <c r="K844">
        <v>446</v>
      </c>
      <c r="L844">
        <v>7.99</v>
      </c>
      <c r="M844">
        <v>10.66</v>
      </c>
      <c r="N844">
        <v>11.8</v>
      </c>
      <c r="O844">
        <v>753</v>
      </c>
      <c r="P844">
        <v>715</v>
      </c>
      <c r="Q844">
        <v>5</v>
      </c>
    </row>
    <row r="845" spans="1:17" x14ac:dyDescent="0.25">
      <c r="A845">
        <v>845</v>
      </c>
      <c r="B845" t="s">
        <v>1780</v>
      </c>
      <c r="E845" t="s">
        <v>1714</v>
      </c>
      <c r="F845">
        <v>5</v>
      </c>
      <c r="G845" s="3">
        <v>43662</v>
      </c>
      <c r="H845">
        <v>9.6999999999999993</v>
      </c>
      <c r="I845">
        <v>9.4</v>
      </c>
      <c r="J845">
        <v>424</v>
      </c>
      <c r="K845">
        <v>222</v>
      </c>
      <c r="L845">
        <v>4.1399999999999997</v>
      </c>
      <c r="M845">
        <v>3.93</v>
      </c>
      <c r="N845">
        <v>4.04</v>
      </c>
      <c r="O845">
        <v>589</v>
      </c>
      <c r="P845">
        <v>475</v>
      </c>
      <c r="Q845">
        <v>5</v>
      </c>
    </row>
    <row r="846" spans="1:17" x14ac:dyDescent="0.25">
      <c r="A846">
        <v>846</v>
      </c>
      <c r="B846" t="s">
        <v>1781</v>
      </c>
      <c r="E846" t="s">
        <v>1723</v>
      </c>
      <c r="F846">
        <v>4</v>
      </c>
      <c r="G846" s="3">
        <v>43662</v>
      </c>
      <c r="H846">
        <v>19.5</v>
      </c>
      <c r="I846">
        <v>13.6</v>
      </c>
      <c r="J846">
        <v>527</v>
      </c>
      <c r="K846">
        <v>289</v>
      </c>
      <c r="L846">
        <v>5.85</v>
      </c>
      <c r="M846">
        <v>4.83</v>
      </c>
      <c r="N846">
        <v>4.38</v>
      </c>
      <c r="O846">
        <v>461</v>
      </c>
      <c r="P846">
        <v>397</v>
      </c>
      <c r="Q846">
        <v>4</v>
      </c>
    </row>
    <row r="847" spans="1:17" x14ac:dyDescent="0.25">
      <c r="A847">
        <v>847</v>
      </c>
      <c r="B847" t="s">
        <v>1782</v>
      </c>
      <c r="E847" t="s">
        <v>1723</v>
      </c>
      <c r="F847">
        <v>5</v>
      </c>
      <c r="G847" s="3">
        <v>43662</v>
      </c>
      <c r="H847">
        <v>10</v>
      </c>
      <c r="I847">
        <v>8.8000000000000007</v>
      </c>
      <c r="J847">
        <v>534</v>
      </c>
      <c r="K847">
        <v>115</v>
      </c>
      <c r="L847">
        <v>3.58</v>
      </c>
      <c r="M847">
        <v>3.5</v>
      </c>
      <c r="N847">
        <v>4.08</v>
      </c>
      <c r="O847">
        <v>337</v>
      </c>
      <c r="P847">
        <v>283</v>
      </c>
      <c r="Q847">
        <v>3</v>
      </c>
    </row>
    <row r="848" spans="1:17" x14ac:dyDescent="0.25">
      <c r="A848">
        <v>848</v>
      </c>
      <c r="B848" t="s">
        <v>1783</v>
      </c>
      <c r="E848" t="s">
        <v>1272</v>
      </c>
      <c r="F848">
        <v>6</v>
      </c>
      <c r="G848" s="3">
        <v>43662</v>
      </c>
      <c r="H848">
        <v>3.4</v>
      </c>
      <c r="I848">
        <v>1.3</v>
      </c>
      <c r="J848">
        <v>212</v>
      </c>
      <c r="K848">
        <v>130</v>
      </c>
      <c r="L848">
        <v>12.24</v>
      </c>
      <c r="M848">
        <v>7.28</v>
      </c>
      <c r="N848">
        <v>9.39</v>
      </c>
      <c r="O848">
        <v>87</v>
      </c>
      <c r="P848">
        <v>39</v>
      </c>
      <c r="Q848">
        <v>3</v>
      </c>
    </row>
    <row r="849" spans="1:17" x14ac:dyDescent="0.25">
      <c r="A849">
        <v>849</v>
      </c>
      <c r="B849" t="s">
        <v>1784</v>
      </c>
      <c r="E849" t="s">
        <v>1725</v>
      </c>
      <c r="F849">
        <v>5</v>
      </c>
      <c r="G849" s="3">
        <v>43662</v>
      </c>
      <c r="H849">
        <v>3.3</v>
      </c>
      <c r="I849">
        <v>3</v>
      </c>
      <c r="J849">
        <v>405</v>
      </c>
      <c r="K849">
        <v>273</v>
      </c>
      <c r="L849">
        <v>1.72</v>
      </c>
      <c r="M849">
        <v>1.95</v>
      </c>
      <c r="N849">
        <v>1.59</v>
      </c>
      <c r="O849">
        <v>163</v>
      </c>
      <c r="P849">
        <v>84</v>
      </c>
      <c r="Q849">
        <v>2</v>
      </c>
    </row>
    <row r="850" spans="1:17" x14ac:dyDescent="0.25">
      <c r="A850">
        <v>850</v>
      </c>
      <c r="B850" t="s">
        <v>1785</v>
      </c>
      <c r="E850" t="s">
        <v>1284</v>
      </c>
      <c r="F850">
        <v>4</v>
      </c>
      <c r="G850" s="3">
        <v>43662</v>
      </c>
      <c r="H850">
        <v>4.5</v>
      </c>
      <c r="I850">
        <v>4.2</v>
      </c>
      <c r="J850">
        <v>424</v>
      </c>
      <c r="K850">
        <v>305</v>
      </c>
      <c r="L850">
        <v>3.15</v>
      </c>
      <c r="M850">
        <v>3.59</v>
      </c>
      <c r="N850">
        <v>2.92</v>
      </c>
      <c r="O850">
        <v>304</v>
      </c>
      <c r="P850">
        <v>145</v>
      </c>
      <c r="Q850">
        <v>3</v>
      </c>
    </row>
    <row r="851" spans="1:17" x14ac:dyDescent="0.25">
      <c r="A851">
        <v>851</v>
      </c>
      <c r="B851" t="s">
        <v>1786</v>
      </c>
      <c r="E851" t="s">
        <v>1269</v>
      </c>
      <c r="F851">
        <v>5</v>
      </c>
      <c r="G851" s="3">
        <v>43662</v>
      </c>
      <c r="H851">
        <v>16.100000000000001</v>
      </c>
      <c r="I851">
        <v>14.7</v>
      </c>
      <c r="J851">
        <v>556</v>
      </c>
      <c r="K851">
        <v>351</v>
      </c>
      <c r="L851">
        <v>22.38</v>
      </c>
      <c r="M851">
        <v>25</v>
      </c>
      <c r="N851">
        <v>25.47</v>
      </c>
      <c r="O851">
        <v>248</v>
      </c>
      <c r="P851">
        <v>154</v>
      </c>
      <c r="Q851">
        <v>5</v>
      </c>
    </row>
    <row r="852" spans="1:17" x14ac:dyDescent="0.25">
      <c r="A852">
        <v>852</v>
      </c>
      <c r="B852" t="s">
        <v>1787</v>
      </c>
      <c r="E852" t="s">
        <v>1284</v>
      </c>
      <c r="F852">
        <v>5</v>
      </c>
      <c r="G852" s="3">
        <v>43662</v>
      </c>
      <c r="H852">
        <v>1.5</v>
      </c>
      <c r="I852">
        <v>1.2</v>
      </c>
      <c r="J852">
        <v>248</v>
      </c>
      <c r="K852">
        <v>100</v>
      </c>
      <c r="L852">
        <v>1.25</v>
      </c>
      <c r="M852" t="s">
        <v>135</v>
      </c>
      <c r="N852" t="s">
        <v>135</v>
      </c>
      <c r="O852">
        <v>160</v>
      </c>
      <c r="P852">
        <v>102</v>
      </c>
      <c r="Q852">
        <v>3</v>
      </c>
    </row>
  </sheetData>
  <autoFilter ref="A1:R545" xr:uid="{E14E5B95-E472-4B55-A592-5AB19C8C7C27}">
    <sortState xmlns:xlrd2="http://schemas.microsoft.com/office/spreadsheetml/2017/richdata2" ref="A2:R545">
      <sortCondition ref="A1:A545"/>
    </sortState>
  </autoFilter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98357-564D-44BA-9BB2-5BB786D433EB}">
  <dimension ref="A1"/>
  <sheetViews>
    <sheetView workbookViewId="0">
      <selection activeCell="B1" sqref="B1"/>
    </sheetView>
  </sheetViews>
  <sheetFormatPr defaultRowHeight="15" x14ac:dyDescent="0.25"/>
  <sheetData>
    <row r="1" spans="1:1" x14ac:dyDescent="0.25">
      <c r="A1" t="s">
        <v>1708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leaf_traits</vt:lpstr>
      <vt:lpstr>twig_traits</vt:lpstr>
      <vt:lpstr>field_data</vt:lpstr>
      <vt:lpstr>Leaf dimensions</vt:lpstr>
      <vt:lpstr>twig_traits!Print_Titles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 Flake</cp:lastModifiedBy>
  <cp:lastPrinted>2017-07-18T14:49:23Z</cp:lastPrinted>
  <dcterms:created xsi:type="dcterms:W3CDTF">2017-06-11T20:23:29Z</dcterms:created>
  <dcterms:modified xsi:type="dcterms:W3CDTF">2019-07-26T21:19:16Z</dcterms:modified>
</cp:coreProperties>
</file>