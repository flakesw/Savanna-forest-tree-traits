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7" lowestEdited="7" rupBuild="182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ummer 2017 fieldwork\"/>
    </mc:Choice>
  </mc:AlternateContent>
  <bookViews>
    <workbookView xWindow="0" yWindow="0" windowWidth="20325" windowHeight="9510" activeTab="1"/>
  </bookViews>
  <sheets>
    <sheet name="SLA and leaf size" sheetId="1" r:id="rId1"/>
    <sheet name="wood_temp" sheetId="3" r:id="rId2"/>
    <sheet name="Huber value" sheetId="2" r:id="rId3"/>
    <sheet name="field_temp" sheetId="4" r:id="rId4"/>
    <sheet name="Scrap sheet" sheetId="5" r:id="rId5"/>
  </sheets>
  <definedNames>
    <definedName name="_xlnm._FilterDatabase" localSheetId="3" hidden="1">field_temp!$B$1:$P$440</definedName>
    <definedName name="_xlnm._FilterDatabase" localSheetId="0" hidden="1">'SLA and leaf size'!$A$1:$AB$453</definedName>
    <definedName name="_xlnm._FilterDatabase" localSheetId="1" hidden="1">wood_temp!$A$1:$S$474</definedName>
    <definedName name="_xlnm.Print_Titles" localSheetId="1">wood_temp!$1:$1</definedName>
  </definedNames>
  <calcPr calcId="171027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L473" i="1" l="1"/>
  <c r="L472" i="1"/>
  <c r="K140" i="3" l="1"/>
  <c r="L140" i="3" s="1"/>
  <c r="K141" i="3"/>
  <c r="L141" i="3" s="1"/>
  <c r="K142" i="3"/>
  <c r="L142" i="3"/>
  <c r="K143" i="3"/>
  <c r="L143" i="3" s="1"/>
  <c r="K144" i="3"/>
  <c r="L144" i="3"/>
  <c r="K145" i="3"/>
  <c r="L145" i="3" s="1"/>
  <c r="K146" i="3"/>
  <c r="L146" i="3" s="1"/>
  <c r="K147" i="3"/>
  <c r="L147" i="3" s="1"/>
  <c r="K148" i="3"/>
  <c r="L148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/>
  <c r="K120" i="3"/>
  <c r="L120" i="3" s="1"/>
  <c r="K121" i="3"/>
  <c r="L121" i="3" s="1"/>
  <c r="K122" i="3"/>
  <c r="L122" i="3" s="1"/>
  <c r="K2" i="3"/>
  <c r="L2" i="3" s="1"/>
  <c r="K3" i="3"/>
  <c r="L3" i="3" s="1"/>
  <c r="K4" i="3"/>
  <c r="L4" i="3" s="1"/>
  <c r="K5" i="3"/>
  <c r="L5" i="3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O474" i="3"/>
  <c r="Q474" i="3" s="1"/>
  <c r="O473" i="3"/>
  <c r="Q473" i="3" s="1"/>
  <c r="K474" i="3"/>
  <c r="L474" i="3"/>
  <c r="K473" i="3"/>
  <c r="L473" i="3"/>
  <c r="AA473" i="1"/>
  <c r="V473" i="1"/>
  <c r="W473" i="1" s="1"/>
  <c r="AA472" i="1"/>
  <c r="V472" i="1"/>
  <c r="W472" i="1" s="1"/>
  <c r="L179" i="1" l="1"/>
  <c r="AA179" i="1" s="1"/>
  <c r="L347" i="1"/>
  <c r="AA347" i="1"/>
  <c r="L261" i="1"/>
  <c r="L230" i="1"/>
  <c r="L121" i="1"/>
  <c r="L461" i="1"/>
  <c r="AA461" i="1" s="1"/>
  <c r="L441" i="1"/>
  <c r="AA441" i="1" s="1"/>
  <c r="L440" i="1"/>
  <c r="L442" i="1"/>
  <c r="L443" i="1"/>
  <c r="L444" i="1"/>
  <c r="AA444" i="1" s="1"/>
  <c r="L445" i="1"/>
  <c r="AA445" i="1" s="1"/>
  <c r="L446" i="1"/>
  <c r="AA446" i="1" s="1"/>
  <c r="L447" i="1"/>
  <c r="AA447" i="1" s="1"/>
  <c r="L448" i="1"/>
  <c r="AA448" i="1" s="1"/>
  <c r="L449" i="1"/>
  <c r="AA449" i="1" s="1"/>
  <c r="L450" i="1"/>
  <c r="AA450" i="1" s="1"/>
  <c r="L451" i="1"/>
  <c r="AA451" i="1" s="1"/>
  <c r="L452" i="1"/>
  <c r="AA452" i="1" s="1"/>
  <c r="L453" i="1"/>
  <c r="AA453" i="1" s="1"/>
  <c r="L454" i="1"/>
  <c r="AA454" i="1" s="1"/>
  <c r="L455" i="1"/>
  <c r="AA455" i="1" s="1"/>
  <c r="L456" i="1"/>
  <c r="AA456" i="1" s="1"/>
  <c r="L457" i="1"/>
  <c r="AA457" i="1" s="1"/>
  <c r="L458" i="1"/>
  <c r="AA458" i="1" s="1"/>
  <c r="L459" i="1"/>
  <c r="AA459" i="1" s="1"/>
  <c r="L460" i="1"/>
  <c r="AA460" i="1" s="1"/>
  <c r="L462" i="1"/>
  <c r="AA462" i="1" s="1"/>
  <c r="L463" i="1"/>
  <c r="AA463" i="1" s="1"/>
  <c r="L464" i="1"/>
  <c r="AA464" i="1" s="1"/>
  <c r="L465" i="1"/>
  <c r="AA465" i="1" s="1"/>
  <c r="L466" i="1"/>
  <c r="AA466" i="1" s="1"/>
  <c r="L467" i="1"/>
  <c r="AA467" i="1" s="1"/>
  <c r="L468" i="1"/>
  <c r="AA468" i="1" s="1"/>
  <c r="L469" i="1"/>
  <c r="AA469" i="1" s="1"/>
  <c r="L470" i="1"/>
  <c r="AA470" i="1" s="1"/>
  <c r="L471" i="1"/>
  <c r="AA471" i="1" s="1"/>
  <c r="T471" i="1"/>
  <c r="V471" i="1" s="1"/>
  <c r="W471" i="1" s="1"/>
  <c r="T470" i="1"/>
  <c r="V470" i="1" s="1"/>
  <c r="W470" i="1" s="1"/>
  <c r="T469" i="1"/>
  <c r="V469" i="1" s="1"/>
  <c r="W469" i="1" s="1"/>
  <c r="T468" i="1"/>
  <c r="V468" i="1" s="1"/>
  <c r="W468" i="1" s="1"/>
  <c r="T467" i="1"/>
  <c r="V467" i="1" s="1"/>
  <c r="W467" i="1" s="1"/>
  <c r="V466" i="1"/>
  <c r="W466" i="1" s="1"/>
  <c r="V465" i="1"/>
  <c r="W465" i="1" s="1"/>
  <c r="D451" i="4" l="1"/>
  <c r="D450" i="4"/>
  <c r="D449" i="4"/>
  <c r="D448" i="4"/>
  <c r="D447" i="4"/>
  <c r="D446" i="4"/>
  <c r="D445" i="4"/>
  <c r="D444" i="4"/>
  <c r="D443" i="4"/>
  <c r="D442" i="4"/>
  <c r="D441" i="4"/>
  <c r="O15" i="3"/>
  <c r="O12" i="3"/>
  <c r="O13" i="3"/>
  <c r="O146" i="3"/>
  <c r="O472" i="3"/>
  <c r="Q472" i="3" s="1"/>
  <c r="K472" i="3"/>
  <c r="L472" i="3" s="1"/>
  <c r="O471" i="3"/>
  <c r="Q471" i="3" s="1"/>
  <c r="K471" i="3"/>
  <c r="L471" i="3" s="1"/>
  <c r="O470" i="3"/>
  <c r="Q470" i="3" s="1"/>
  <c r="K470" i="3"/>
  <c r="L470" i="3" s="1"/>
  <c r="O469" i="3"/>
  <c r="Q469" i="3" s="1"/>
  <c r="K469" i="3"/>
  <c r="L469" i="3" s="1"/>
  <c r="O468" i="3"/>
  <c r="Q468" i="3" s="1"/>
  <c r="K468" i="3"/>
  <c r="L468" i="3" s="1"/>
  <c r="O467" i="3"/>
  <c r="Q467" i="3" s="1"/>
  <c r="K467" i="3"/>
  <c r="L467" i="3" s="1"/>
  <c r="O466" i="3"/>
  <c r="Q466" i="3" s="1"/>
  <c r="K466" i="3"/>
  <c r="L466" i="3" s="1"/>
  <c r="O465" i="3"/>
  <c r="Q465" i="3" s="1"/>
  <c r="K465" i="3"/>
  <c r="L465" i="3" s="1"/>
  <c r="O464" i="3"/>
  <c r="Q464" i="3" s="1"/>
  <c r="K464" i="3"/>
  <c r="L464" i="3" s="1"/>
  <c r="O463" i="3"/>
  <c r="Q463" i="3" s="1"/>
  <c r="K463" i="3"/>
  <c r="L463" i="3" s="1"/>
  <c r="O462" i="3"/>
  <c r="Q462" i="3" s="1"/>
  <c r="K462" i="3"/>
  <c r="L462" i="3" s="1"/>
  <c r="O461" i="3"/>
  <c r="Q461" i="3" s="1"/>
  <c r="K461" i="3"/>
  <c r="L461" i="3" s="1"/>
  <c r="O460" i="3"/>
  <c r="Q460" i="3" s="1"/>
  <c r="K460" i="3"/>
  <c r="L460" i="3" s="1"/>
  <c r="O459" i="3"/>
  <c r="Q459" i="3" s="1"/>
  <c r="K459" i="3"/>
  <c r="L459" i="3" s="1"/>
  <c r="O458" i="3"/>
  <c r="Q458" i="3" s="1"/>
  <c r="K458" i="3"/>
  <c r="L458" i="3" s="1"/>
  <c r="O457" i="3"/>
  <c r="Q457" i="3" s="1"/>
  <c r="K457" i="3"/>
  <c r="L457" i="3" s="1"/>
  <c r="O456" i="3"/>
  <c r="Q456" i="3" s="1"/>
  <c r="K456" i="3"/>
  <c r="L456" i="3" s="1"/>
  <c r="O455" i="3"/>
  <c r="Q455" i="3" s="1"/>
  <c r="K455" i="3"/>
  <c r="L455" i="3" s="1"/>
  <c r="O454" i="3"/>
  <c r="Q454" i="3" s="1"/>
  <c r="K454" i="3"/>
  <c r="L454" i="3" s="1"/>
  <c r="O453" i="3"/>
  <c r="Q453" i="3" s="1"/>
  <c r="K453" i="3"/>
  <c r="L453" i="3" s="1"/>
  <c r="V464" i="1" l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/>
  <c r="V454" i="1"/>
  <c r="W454" i="1" s="1"/>
  <c r="O439" i="3" l="1"/>
  <c r="Q439" i="3" s="1"/>
  <c r="O440" i="3"/>
  <c r="Q440" i="3" s="1"/>
  <c r="O441" i="3"/>
  <c r="Q441" i="3" s="1"/>
  <c r="O442" i="3"/>
  <c r="Q442" i="3" s="1"/>
  <c r="O443" i="3"/>
  <c r="Q443" i="3" s="1"/>
  <c r="O444" i="3"/>
  <c r="Q444" i="3" s="1"/>
  <c r="O445" i="3"/>
  <c r="Q445" i="3" s="1"/>
  <c r="O446" i="3"/>
  <c r="Q446" i="3" s="1"/>
  <c r="O447" i="3"/>
  <c r="Q447" i="3" s="1"/>
  <c r="O448" i="3"/>
  <c r="Q448" i="3" s="1"/>
  <c r="O449" i="3"/>
  <c r="Q449" i="3" s="1"/>
  <c r="O450" i="3"/>
  <c r="Q450" i="3" s="1"/>
  <c r="O451" i="3"/>
  <c r="Q451" i="3" s="1"/>
  <c r="O452" i="3"/>
  <c r="Q452" i="3" s="1"/>
  <c r="K452" i="3"/>
  <c r="L452" i="3" s="1"/>
  <c r="K451" i="3"/>
  <c r="L451" i="3" s="1"/>
  <c r="K450" i="3"/>
  <c r="L450" i="3" s="1"/>
  <c r="K449" i="3"/>
  <c r="L449" i="3" s="1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L440" i="3" s="1"/>
  <c r="K439" i="3"/>
  <c r="L439" i="3" s="1"/>
  <c r="V453" i="1"/>
  <c r="W453" i="1" s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/>
  <c r="V446" i="1"/>
  <c r="W446" i="1" s="1"/>
  <c r="V445" i="1"/>
  <c r="W445" i="1"/>
  <c r="V444" i="1"/>
  <c r="W444" i="1" s="1"/>
  <c r="AA443" i="1"/>
  <c r="AA442" i="1"/>
  <c r="V443" i="1"/>
  <c r="W443" i="1" s="1"/>
  <c r="U442" i="1"/>
  <c r="T442" i="1"/>
  <c r="V442" i="1" s="1"/>
  <c r="W442" i="1" s="1"/>
  <c r="V441" i="1"/>
  <c r="W441" i="1" s="1"/>
  <c r="AA440" i="1"/>
  <c r="T440" i="1"/>
  <c r="V440" i="1" s="1"/>
  <c r="W440" i="1" s="1"/>
  <c r="D71" i="4" l="1"/>
  <c r="D40" i="4" l="1"/>
  <c r="D41" i="4"/>
  <c r="D42" i="4"/>
  <c r="D43" i="4"/>
  <c r="D44" i="4"/>
  <c r="D45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4" i="4"/>
  <c r="D95" i="4"/>
  <c r="D96" i="4"/>
  <c r="D97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4" i="4"/>
  <c r="D115" i="4"/>
  <c r="D116" i="4"/>
  <c r="D117" i="4"/>
  <c r="D119" i="4"/>
  <c r="D120" i="4"/>
  <c r="D122" i="4"/>
  <c r="D123" i="4"/>
  <c r="D125" i="4"/>
  <c r="D126" i="4"/>
  <c r="D128" i="4"/>
  <c r="D129" i="4"/>
  <c r="D130" i="4"/>
  <c r="D131" i="4"/>
  <c r="D132" i="4"/>
  <c r="D134" i="4"/>
  <c r="D136" i="4"/>
  <c r="D137" i="4"/>
  <c r="D138" i="4"/>
  <c r="D139" i="4"/>
  <c r="D141" i="4"/>
  <c r="D142" i="4"/>
  <c r="D143" i="4"/>
  <c r="D144" i="4"/>
  <c r="D145" i="4"/>
  <c r="D146" i="4"/>
  <c r="D148" i="4"/>
  <c r="D149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5" i="4"/>
  <c r="D166" i="4"/>
  <c r="D167" i="4"/>
  <c r="D168" i="4"/>
  <c r="D169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39" i="4"/>
  <c r="D38" i="4"/>
  <c r="D37" i="4"/>
  <c r="D36" i="4"/>
  <c r="D35" i="4"/>
  <c r="D34" i="4"/>
  <c r="D33" i="4"/>
  <c r="D32" i="4"/>
  <c r="D30" i="4"/>
  <c r="D29" i="4"/>
  <c r="D28" i="4"/>
  <c r="D27" i="4"/>
  <c r="D26" i="4"/>
  <c r="D25" i="4"/>
  <c r="D24" i="4"/>
  <c r="D23" i="4"/>
  <c r="D16" i="4"/>
  <c r="D17" i="4"/>
  <c r="D18" i="4"/>
  <c r="D19" i="4"/>
  <c r="D20" i="4"/>
  <c r="D21" i="4"/>
  <c r="D22" i="4"/>
  <c r="D9" i="4"/>
  <c r="D10" i="4"/>
  <c r="D11" i="4"/>
  <c r="D12" i="4"/>
  <c r="D13" i="4"/>
  <c r="D14" i="4"/>
  <c r="D15" i="4"/>
  <c r="D8" i="4"/>
  <c r="J240" i="4" l="1"/>
  <c r="O438" i="3" l="1"/>
  <c r="Q438" i="3" s="1"/>
  <c r="K438" i="3"/>
  <c r="L438" i="3" s="1"/>
  <c r="O437" i="3"/>
  <c r="Q437" i="3" s="1"/>
  <c r="K437" i="3"/>
  <c r="L437" i="3" s="1"/>
  <c r="O436" i="3"/>
  <c r="Q436" i="3" s="1"/>
  <c r="K436" i="3"/>
  <c r="L436" i="3" s="1"/>
  <c r="O435" i="3"/>
  <c r="Q435" i="3" s="1"/>
  <c r="K435" i="3"/>
  <c r="L435" i="3" s="1"/>
  <c r="O434" i="3"/>
  <c r="Q434" i="3" s="1"/>
  <c r="O433" i="3"/>
  <c r="Q433" i="3" s="1"/>
  <c r="K434" i="3"/>
  <c r="L434" i="3" s="1"/>
  <c r="K433" i="3"/>
  <c r="L433" i="3" s="1"/>
  <c r="O432" i="3"/>
  <c r="Q432" i="3" s="1"/>
  <c r="O431" i="3"/>
  <c r="Q431" i="3" s="1"/>
  <c r="K432" i="3"/>
  <c r="L432" i="3" s="1"/>
  <c r="O430" i="3"/>
  <c r="Q430" i="3" s="1"/>
  <c r="K431" i="3"/>
  <c r="L431" i="3" s="1"/>
  <c r="K430" i="3"/>
  <c r="L430" i="3" s="1"/>
  <c r="O429" i="3"/>
  <c r="Q429" i="3" s="1"/>
  <c r="O428" i="3"/>
  <c r="Q428" i="3" s="1"/>
  <c r="K429" i="3"/>
  <c r="L429" i="3" s="1"/>
  <c r="K428" i="3"/>
  <c r="L428" i="3" s="1"/>
  <c r="O427" i="3"/>
  <c r="Q427" i="3" s="1"/>
  <c r="K427" i="3"/>
  <c r="L427" i="3" s="1"/>
  <c r="O426" i="3"/>
  <c r="Q426" i="3" s="1"/>
  <c r="O425" i="3"/>
  <c r="Q425" i="3" s="1"/>
  <c r="K426" i="3"/>
  <c r="L426" i="3" s="1"/>
  <c r="K425" i="3"/>
  <c r="L425" i="3" s="1"/>
  <c r="O424" i="3"/>
  <c r="Q424" i="3" s="1"/>
  <c r="K424" i="3"/>
  <c r="L424" i="3" s="1"/>
  <c r="O423" i="3"/>
  <c r="Q423" i="3" s="1"/>
  <c r="O422" i="3"/>
  <c r="Q422" i="3" s="1"/>
  <c r="K423" i="3"/>
  <c r="L423" i="3" s="1"/>
  <c r="K422" i="3"/>
  <c r="L422" i="3" s="1"/>
  <c r="O421" i="3"/>
  <c r="Q421" i="3" s="1"/>
  <c r="K421" i="3"/>
  <c r="L421" i="3" s="1"/>
  <c r="O420" i="3"/>
  <c r="Q420" i="3" s="1"/>
  <c r="O419" i="3"/>
  <c r="Q419" i="3" s="1"/>
  <c r="K420" i="3"/>
  <c r="L420" i="3" s="1"/>
  <c r="K419" i="3"/>
  <c r="L419" i="3" s="1"/>
  <c r="L358" i="1"/>
  <c r="AA358" i="1" s="1"/>
  <c r="L399" i="1"/>
  <c r="AA399" i="1" s="1"/>
  <c r="AA421" i="1"/>
  <c r="J375" i="1"/>
  <c r="L423" i="1"/>
  <c r="AA423" i="1" s="1"/>
  <c r="L424" i="1"/>
  <c r="AA424" i="1" s="1"/>
  <c r="L425" i="1"/>
  <c r="AA425" i="1" s="1"/>
  <c r="L426" i="1"/>
  <c r="AA426" i="1" s="1"/>
  <c r="L427" i="1"/>
  <c r="AA427" i="1" s="1"/>
  <c r="L428" i="1"/>
  <c r="AA428" i="1" s="1"/>
  <c r="L429" i="1"/>
  <c r="AA429" i="1" s="1"/>
  <c r="L430" i="1"/>
  <c r="AA430" i="1" s="1"/>
  <c r="L431" i="1"/>
  <c r="AA431" i="1" s="1"/>
  <c r="L432" i="1"/>
  <c r="AA432" i="1" s="1"/>
  <c r="L433" i="1"/>
  <c r="AA433" i="1" s="1"/>
  <c r="L434" i="1"/>
  <c r="AA434" i="1" s="1"/>
  <c r="L435" i="1"/>
  <c r="AA435" i="1" s="1"/>
  <c r="L436" i="1"/>
  <c r="AA436" i="1" s="1"/>
  <c r="L437" i="1"/>
  <c r="AA437" i="1" s="1"/>
  <c r="L438" i="1"/>
  <c r="AA438" i="1" s="1"/>
  <c r="L439" i="1"/>
  <c r="AA439" i="1" s="1"/>
  <c r="L422" i="1"/>
  <c r="AA422" i="1" s="1"/>
  <c r="L380" i="1"/>
  <c r="AA380" i="1" s="1"/>
  <c r="L381" i="1"/>
  <c r="AA381" i="1" s="1"/>
  <c r="L382" i="1"/>
  <c r="AA382" i="1" s="1"/>
  <c r="L383" i="1"/>
  <c r="AA383" i="1" s="1"/>
  <c r="L384" i="1"/>
  <c r="AA384" i="1" s="1"/>
  <c r="L385" i="1"/>
  <c r="AA385" i="1" s="1"/>
  <c r="L386" i="1"/>
  <c r="AA386" i="1" s="1"/>
  <c r="L387" i="1"/>
  <c r="AA387" i="1" s="1"/>
  <c r="L388" i="1"/>
  <c r="AA388" i="1" s="1"/>
  <c r="L389" i="1"/>
  <c r="AA389" i="1" s="1"/>
  <c r="L390" i="1"/>
  <c r="AA390" i="1" s="1"/>
  <c r="L391" i="1"/>
  <c r="AA391" i="1" s="1"/>
  <c r="L392" i="1"/>
  <c r="AA392" i="1" s="1"/>
  <c r="L393" i="1"/>
  <c r="AA393" i="1" s="1"/>
  <c r="L394" i="1"/>
  <c r="AA394" i="1" s="1"/>
  <c r="L395" i="1"/>
  <c r="AA395" i="1" s="1"/>
  <c r="L396" i="1"/>
  <c r="AA396" i="1" s="1"/>
  <c r="L397" i="1"/>
  <c r="AA397" i="1" s="1"/>
  <c r="L398" i="1"/>
  <c r="AA398" i="1" s="1"/>
  <c r="L400" i="1"/>
  <c r="AA400" i="1" s="1"/>
  <c r="L401" i="1"/>
  <c r="AA401" i="1" s="1"/>
  <c r="L402" i="1"/>
  <c r="AA402" i="1" s="1"/>
  <c r="L403" i="1"/>
  <c r="AA403" i="1" s="1"/>
  <c r="L404" i="1"/>
  <c r="AA404" i="1" s="1"/>
  <c r="L405" i="1"/>
  <c r="AA405" i="1" s="1"/>
  <c r="L406" i="1"/>
  <c r="AA406" i="1" s="1"/>
  <c r="L407" i="1"/>
  <c r="AA407" i="1" s="1"/>
  <c r="L408" i="1"/>
  <c r="AA408" i="1" s="1"/>
  <c r="L409" i="1"/>
  <c r="AA409" i="1" s="1"/>
  <c r="L410" i="1"/>
  <c r="AA410" i="1" s="1"/>
  <c r="L411" i="1"/>
  <c r="AA411" i="1" s="1"/>
  <c r="L412" i="1"/>
  <c r="AA412" i="1" s="1"/>
  <c r="L413" i="1"/>
  <c r="AA413" i="1" s="1"/>
  <c r="L414" i="1"/>
  <c r="AA414" i="1" s="1"/>
  <c r="L415" i="1"/>
  <c r="AA415" i="1" s="1"/>
  <c r="L416" i="1"/>
  <c r="AA416" i="1" s="1"/>
  <c r="L417" i="1"/>
  <c r="AA417" i="1" s="1"/>
  <c r="L418" i="1"/>
  <c r="AA418" i="1" s="1"/>
  <c r="L419" i="1"/>
  <c r="AA419" i="1" s="1"/>
  <c r="L420" i="1"/>
  <c r="AA420" i="1" s="1"/>
  <c r="L369" i="1"/>
  <c r="AA369" i="1" s="1"/>
  <c r="L379" i="1"/>
  <c r="AA379" i="1" s="1"/>
  <c r="L226" i="1"/>
  <c r="L227" i="1"/>
  <c r="L228" i="1"/>
  <c r="L229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302" i="1"/>
  <c r="L303" i="1"/>
  <c r="L304" i="1"/>
  <c r="L305" i="1"/>
  <c r="L306" i="1"/>
  <c r="L307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AA338" i="1" s="1"/>
  <c r="L339" i="1"/>
  <c r="AA339" i="1" s="1"/>
  <c r="L340" i="1"/>
  <c r="AA340" i="1" s="1"/>
  <c r="L341" i="1"/>
  <c r="AA341" i="1" s="1"/>
  <c r="L342" i="1"/>
  <c r="AA342" i="1" s="1"/>
  <c r="L343" i="1"/>
  <c r="AA343" i="1" s="1"/>
  <c r="L344" i="1"/>
  <c r="AA344" i="1" s="1"/>
  <c r="L345" i="1"/>
  <c r="AA345" i="1" s="1"/>
  <c r="L346" i="1"/>
  <c r="AA346" i="1" s="1"/>
  <c r="L348" i="1"/>
  <c r="AA348" i="1" s="1"/>
  <c r="L349" i="1"/>
  <c r="AA349" i="1" s="1"/>
  <c r="L350" i="1"/>
  <c r="AA350" i="1" s="1"/>
  <c r="L351" i="1"/>
  <c r="AA351" i="1" s="1"/>
  <c r="L352" i="1"/>
  <c r="AA352" i="1" s="1"/>
  <c r="L353" i="1"/>
  <c r="AA353" i="1" s="1"/>
  <c r="L354" i="1"/>
  <c r="AA354" i="1" s="1"/>
  <c r="L355" i="1"/>
  <c r="AA355" i="1" s="1"/>
  <c r="L356" i="1"/>
  <c r="AA356" i="1" s="1"/>
  <c r="L357" i="1"/>
  <c r="AA357" i="1" s="1"/>
  <c r="L359" i="1"/>
  <c r="AA359" i="1" s="1"/>
  <c r="L360" i="1"/>
  <c r="AA360" i="1" s="1"/>
  <c r="L361" i="1"/>
  <c r="AA361" i="1" s="1"/>
  <c r="L362" i="1"/>
  <c r="AA362" i="1" s="1"/>
  <c r="L364" i="1"/>
  <c r="AA364" i="1" s="1"/>
  <c r="L366" i="1"/>
  <c r="AA366" i="1" s="1"/>
  <c r="L368" i="1"/>
  <c r="AA368" i="1" s="1"/>
  <c r="T439" i="1"/>
  <c r="V439" i="1" s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 l="1"/>
  <c r="W430" i="1" s="1"/>
  <c r="T429" i="1"/>
  <c r="V429" i="1" s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/>
  <c r="W420" i="1" s="1"/>
  <c r="O418" i="3" l="1"/>
  <c r="Q418" i="3" s="1"/>
  <c r="K418" i="3"/>
  <c r="L418" i="3" s="1"/>
  <c r="O417" i="3"/>
  <c r="Q417" i="3" s="1"/>
  <c r="K417" i="3"/>
  <c r="L417" i="3" s="1"/>
  <c r="O416" i="3"/>
  <c r="Q416" i="3" s="1"/>
  <c r="K416" i="3"/>
  <c r="L416" i="3" s="1"/>
  <c r="O415" i="3"/>
  <c r="Q415" i="3" s="1"/>
  <c r="K415" i="3"/>
  <c r="L415" i="3" s="1"/>
  <c r="O414" i="3"/>
  <c r="Q414" i="3" s="1"/>
  <c r="K414" i="3"/>
  <c r="L414" i="3" s="1"/>
  <c r="O413" i="3"/>
  <c r="Q413" i="3" s="1"/>
  <c r="K413" i="3"/>
  <c r="L413" i="3" s="1"/>
  <c r="O412" i="3"/>
  <c r="Q412" i="3" s="1"/>
  <c r="K412" i="3"/>
  <c r="L412" i="3" s="1"/>
  <c r="O411" i="3"/>
  <c r="Q411" i="3" s="1"/>
  <c r="K411" i="3"/>
  <c r="L411" i="3" s="1"/>
  <c r="O410" i="3"/>
  <c r="Q410" i="3" s="1"/>
  <c r="K410" i="3"/>
  <c r="L410" i="3" s="1"/>
  <c r="O409" i="3"/>
  <c r="Q409" i="3" s="1"/>
  <c r="K409" i="3"/>
  <c r="L409" i="3" s="1"/>
  <c r="O408" i="3"/>
  <c r="Q408" i="3" s="1"/>
  <c r="K408" i="3"/>
  <c r="L408" i="3" s="1"/>
  <c r="O407" i="3"/>
  <c r="Q407" i="3" s="1"/>
  <c r="K407" i="3"/>
  <c r="L407" i="3" s="1"/>
  <c r="O406" i="3"/>
  <c r="Q406" i="3" s="1"/>
  <c r="K406" i="3"/>
  <c r="L406" i="3" s="1"/>
  <c r="O405" i="3"/>
  <c r="Q405" i="3" s="1"/>
  <c r="K405" i="3"/>
  <c r="L405" i="3" s="1"/>
  <c r="O404" i="3"/>
  <c r="Q404" i="3" s="1"/>
  <c r="K404" i="3"/>
  <c r="L404" i="3" s="1"/>
  <c r="O403" i="3"/>
  <c r="Q403" i="3" s="1"/>
  <c r="K403" i="3"/>
  <c r="L403" i="3" s="1"/>
  <c r="O402" i="3"/>
  <c r="Q402" i="3" s="1"/>
  <c r="K402" i="3"/>
  <c r="L402" i="3" s="1"/>
  <c r="O401" i="3"/>
  <c r="Q401" i="3" s="1"/>
  <c r="K401" i="3"/>
  <c r="L401" i="3" s="1"/>
  <c r="O400" i="3"/>
  <c r="Q400" i="3" s="1"/>
  <c r="K400" i="3"/>
  <c r="L400" i="3" s="1"/>
  <c r="O399" i="3"/>
  <c r="Q399" i="3" s="1"/>
  <c r="K399" i="3"/>
  <c r="L399" i="3" s="1"/>
  <c r="O398" i="3"/>
  <c r="Q398" i="3" s="1"/>
  <c r="K398" i="3"/>
  <c r="L398" i="3" s="1"/>
  <c r="O397" i="3"/>
  <c r="Q397" i="3" s="1"/>
  <c r="K397" i="3"/>
  <c r="L397" i="3" s="1"/>
  <c r="O396" i="3"/>
  <c r="Q396" i="3" s="1"/>
  <c r="K396" i="3"/>
  <c r="L396" i="3" s="1"/>
  <c r="O395" i="3"/>
  <c r="Q395" i="3" s="1"/>
  <c r="K395" i="3"/>
  <c r="L395" i="3" s="1"/>
  <c r="O394" i="3"/>
  <c r="Q394" i="3" s="1"/>
  <c r="K394" i="3"/>
  <c r="L394" i="3" s="1"/>
  <c r="O393" i="3"/>
  <c r="Q393" i="3" s="1"/>
  <c r="K393" i="3"/>
  <c r="L393" i="3" s="1"/>
  <c r="O392" i="3"/>
  <c r="Q392" i="3" s="1"/>
  <c r="K392" i="3"/>
  <c r="L392" i="3" s="1"/>
  <c r="O391" i="3"/>
  <c r="Q391" i="3" s="1"/>
  <c r="K391" i="3"/>
  <c r="L391" i="3" s="1"/>
  <c r="O390" i="3"/>
  <c r="Q390" i="3" s="1"/>
  <c r="K390" i="3"/>
  <c r="L390" i="3" s="1"/>
  <c r="O389" i="3"/>
  <c r="Q389" i="3" s="1"/>
  <c r="K389" i="3"/>
  <c r="L389" i="3" s="1"/>
  <c r="O388" i="3"/>
  <c r="Q388" i="3" s="1"/>
  <c r="K388" i="3"/>
  <c r="L388" i="3" s="1"/>
  <c r="O387" i="3"/>
  <c r="Q387" i="3" s="1"/>
  <c r="K387" i="3"/>
  <c r="L387" i="3" s="1"/>
  <c r="O386" i="3"/>
  <c r="Q386" i="3" s="1"/>
  <c r="K386" i="3"/>
  <c r="L386" i="3" s="1"/>
  <c r="O385" i="3"/>
  <c r="Q385" i="3" s="1"/>
  <c r="K385" i="3"/>
  <c r="L385" i="3" s="1"/>
  <c r="O384" i="3"/>
  <c r="Q384" i="3" s="1"/>
  <c r="K384" i="3"/>
  <c r="L384" i="3" s="1"/>
  <c r="K383" i="3"/>
  <c r="L383" i="3" s="1"/>
  <c r="O383" i="3"/>
  <c r="Q383" i="3" s="1"/>
  <c r="O382" i="3"/>
  <c r="Q382" i="3" s="1"/>
  <c r="K382" i="3"/>
  <c r="L382" i="3" s="1"/>
  <c r="O381" i="3"/>
  <c r="Q381" i="3" s="1"/>
  <c r="K381" i="3"/>
  <c r="L381" i="3" s="1"/>
  <c r="O380" i="3"/>
  <c r="Q380" i="3" s="1"/>
  <c r="K380" i="3"/>
  <c r="L380" i="3" s="1"/>
  <c r="O379" i="3"/>
  <c r="Q379" i="3" s="1"/>
  <c r="K379" i="3"/>
  <c r="L379" i="3" s="1"/>
  <c r="O378" i="3"/>
  <c r="Q378" i="3" s="1"/>
  <c r="K378" i="3"/>
  <c r="L378" i="3" s="1"/>
  <c r="O377" i="3"/>
  <c r="Q377" i="3" s="1"/>
  <c r="K377" i="3"/>
  <c r="L377" i="3" s="1"/>
  <c r="O376" i="3"/>
  <c r="Q376" i="3" s="1"/>
  <c r="K376" i="3"/>
  <c r="L376" i="3" s="1"/>
  <c r="O375" i="3"/>
  <c r="Q375" i="3" s="1"/>
  <c r="K375" i="3"/>
  <c r="L375" i="3" s="1"/>
  <c r="O374" i="3"/>
  <c r="Q374" i="3" s="1"/>
  <c r="K374" i="3"/>
  <c r="L374" i="3" s="1"/>
  <c r="O373" i="3"/>
  <c r="Q373" i="3" s="1"/>
  <c r="K373" i="3"/>
  <c r="L373" i="3" s="1"/>
  <c r="O372" i="3"/>
  <c r="Q372" i="3" s="1"/>
  <c r="K372" i="3"/>
  <c r="L372" i="3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O5" i="1" l="1"/>
  <c r="P5" i="1" s="1"/>
  <c r="AA5" i="1" s="1"/>
  <c r="O75" i="1"/>
  <c r="P75" i="1" s="1"/>
  <c r="O43" i="1"/>
  <c r="P43" i="1" s="1"/>
  <c r="S14" i="1"/>
  <c r="O50" i="1"/>
  <c r="P50" i="1" s="1"/>
  <c r="AA50" i="1" s="1"/>
  <c r="O57" i="1"/>
  <c r="P57" i="1" s="1"/>
  <c r="AA57" i="1" s="1"/>
  <c r="O46" i="1"/>
  <c r="P46" i="1" s="1"/>
  <c r="AA46" i="1" s="1"/>
  <c r="O41" i="1"/>
  <c r="P41" i="1" s="1"/>
  <c r="O81" i="1"/>
  <c r="P81" i="1" s="1"/>
  <c r="O26" i="1"/>
  <c r="P26" i="1" s="1"/>
  <c r="AA26" i="1" s="1"/>
  <c r="S26" i="1"/>
  <c r="S16" i="1"/>
  <c r="O16" i="1"/>
  <c r="P16" i="1" s="1"/>
  <c r="AA16" i="1" s="1"/>
  <c r="O88" i="1"/>
  <c r="P88" i="1" s="1"/>
  <c r="AA88" i="1" s="1"/>
  <c r="O10" i="1"/>
  <c r="P10" i="1" s="1"/>
  <c r="AA10" i="1" s="1"/>
  <c r="O24" i="1"/>
  <c r="P24" i="1" s="1"/>
  <c r="AA24" i="1" s="1"/>
  <c r="P49" i="1"/>
  <c r="AA49" i="1" s="1"/>
  <c r="P51" i="1"/>
  <c r="AA51" i="1" s="1"/>
  <c r="P52" i="1"/>
  <c r="AA52" i="1" s="1"/>
  <c r="P53" i="1"/>
  <c r="V53" i="1" s="1"/>
  <c r="W53" i="1" s="1"/>
  <c r="P54" i="1"/>
  <c r="AA54" i="1" s="1"/>
  <c r="P55" i="1"/>
  <c r="AA55" i="1" s="1"/>
  <c r="P56" i="1"/>
  <c r="AA56" i="1" s="1"/>
  <c r="P58" i="1"/>
  <c r="AA58" i="1" s="1"/>
  <c r="P59" i="1"/>
  <c r="AA59" i="1" s="1"/>
  <c r="P60" i="1"/>
  <c r="AA60" i="1" s="1"/>
  <c r="P61" i="1"/>
  <c r="AA61" i="1" s="1"/>
  <c r="P62" i="1"/>
  <c r="V62" i="1" s="1"/>
  <c r="W62" i="1" s="1"/>
  <c r="P63" i="1"/>
  <c r="AA63" i="1" s="1"/>
  <c r="P64" i="1"/>
  <c r="AA64" i="1" s="1"/>
  <c r="P65" i="1"/>
  <c r="AA65" i="1" s="1"/>
  <c r="P66" i="1"/>
  <c r="AA66" i="1" s="1"/>
  <c r="P67" i="1"/>
  <c r="AA67" i="1" s="1"/>
  <c r="P68" i="1"/>
  <c r="AA68" i="1" s="1"/>
  <c r="P69" i="1"/>
  <c r="AA69" i="1" s="1"/>
  <c r="P70" i="1"/>
  <c r="AA70" i="1" s="1"/>
  <c r="P71" i="1"/>
  <c r="AA71" i="1" s="1"/>
  <c r="P72" i="1"/>
  <c r="V72" i="1" s="1"/>
  <c r="W72" i="1" s="1"/>
  <c r="P73" i="1"/>
  <c r="AA73" i="1" s="1"/>
  <c r="P74" i="1"/>
  <c r="AA74" i="1" s="1"/>
  <c r="P76" i="1"/>
  <c r="V76" i="1" s="1"/>
  <c r="P77" i="1"/>
  <c r="AA77" i="1" s="1"/>
  <c r="P78" i="1"/>
  <c r="AA78" i="1" s="1"/>
  <c r="P79" i="1"/>
  <c r="AA79" i="1" s="1"/>
  <c r="P80" i="1"/>
  <c r="AA80" i="1" s="1"/>
  <c r="P82" i="1"/>
  <c r="AA82" i="1" s="1"/>
  <c r="P83" i="1"/>
  <c r="AA83" i="1" s="1"/>
  <c r="P84" i="1"/>
  <c r="AA84" i="1" s="1"/>
  <c r="P85" i="1"/>
  <c r="AA85" i="1" s="1"/>
  <c r="P86" i="1"/>
  <c r="AA86" i="1" s="1"/>
  <c r="P87" i="1"/>
  <c r="AA87" i="1" s="1"/>
  <c r="P89" i="1"/>
  <c r="AA89" i="1" s="1"/>
  <c r="P90" i="1"/>
  <c r="W90" i="1" s="1"/>
  <c r="P7" i="1"/>
  <c r="AA7" i="1" s="1"/>
  <c r="P8" i="1"/>
  <c r="V8" i="1" s="1"/>
  <c r="W8" i="1" s="1"/>
  <c r="P9" i="1"/>
  <c r="AA9" i="1" s="1"/>
  <c r="P11" i="1"/>
  <c r="AA11" i="1" s="1"/>
  <c r="P12" i="1"/>
  <c r="V12" i="1" s="1"/>
  <c r="W12" i="1" s="1"/>
  <c r="P14" i="1"/>
  <c r="AA14" i="1" s="1"/>
  <c r="P15" i="1"/>
  <c r="AA15" i="1" s="1"/>
  <c r="P17" i="1"/>
  <c r="AA17" i="1" s="1"/>
  <c r="P18" i="1"/>
  <c r="AA18" i="1" s="1"/>
  <c r="P19" i="1"/>
  <c r="AA19" i="1" s="1"/>
  <c r="P20" i="1"/>
  <c r="AA20" i="1" s="1"/>
  <c r="P21" i="1"/>
  <c r="AA21" i="1" s="1"/>
  <c r="P22" i="1"/>
  <c r="AA22" i="1" s="1"/>
  <c r="P23" i="1"/>
  <c r="AA23" i="1" s="1"/>
  <c r="P25" i="1"/>
  <c r="AA25" i="1" s="1"/>
  <c r="P27" i="1"/>
  <c r="AA27" i="1" s="1"/>
  <c r="P28" i="1"/>
  <c r="AA28" i="1" s="1"/>
  <c r="P29" i="1"/>
  <c r="AA29" i="1" s="1"/>
  <c r="P30" i="1"/>
  <c r="V30" i="1" s="1"/>
  <c r="W30" i="1" s="1"/>
  <c r="P31" i="1"/>
  <c r="V31" i="1" s="1"/>
  <c r="W31" i="1" s="1"/>
  <c r="P32" i="1"/>
  <c r="V32" i="1" s="1"/>
  <c r="W32" i="1" s="1"/>
  <c r="P33" i="1"/>
  <c r="AA33" i="1" s="1"/>
  <c r="P34" i="1"/>
  <c r="AA34" i="1" s="1"/>
  <c r="P35" i="1"/>
  <c r="AA35" i="1" s="1"/>
  <c r="P36" i="1"/>
  <c r="AA36" i="1" s="1"/>
  <c r="P37" i="1"/>
  <c r="AA37" i="1" s="1"/>
  <c r="P38" i="1"/>
  <c r="AA38" i="1" s="1"/>
  <c r="P39" i="1"/>
  <c r="AA39" i="1" s="1"/>
  <c r="P40" i="1"/>
  <c r="AA40" i="1" s="1"/>
  <c r="P42" i="1"/>
  <c r="AA42" i="1" s="1"/>
  <c r="P44" i="1"/>
  <c r="AA44" i="1" s="1"/>
  <c r="P45" i="1"/>
  <c r="AA45" i="1" s="1"/>
  <c r="P47" i="1"/>
  <c r="AA47" i="1" s="1"/>
  <c r="P2" i="1"/>
  <c r="AA2" i="1" s="1"/>
  <c r="P3" i="1"/>
  <c r="AA3" i="1" s="1"/>
  <c r="P4" i="1"/>
  <c r="AA4" i="1" s="1"/>
  <c r="P6" i="1"/>
  <c r="AA6" i="1" s="1"/>
  <c r="P48" i="1"/>
  <c r="AA48" i="1" s="1"/>
  <c r="V370" i="1"/>
  <c r="V117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70" i="1"/>
  <c r="P171" i="1"/>
  <c r="P172" i="1"/>
  <c r="P173" i="1"/>
  <c r="P174" i="1"/>
  <c r="P175" i="1"/>
  <c r="P176" i="1"/>
  <c r="P177" i="1"/>
  <c r="P178" i="1"/>
  <c r="P16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AA296" i="1" s="1"/>
  <c r="P297" i="1"/>
  <c r="AA297" i="1" s="1"/>
  <c r="P298" i="1"/>
  <c r="V298" i="1" s="1"/>
  <c r="P299" i="1"/>
  <c r="AA299" i="1" s="1"/>
  <c r="P300" i="1"/>
  <c r="AA300" i="1" s="1"/>
  <c r="P301" i="1"/>
  <c r="AA301" i="1" s="1"/>
  <c r="P302" i="1"/>
  <c r="P303" i="1"/>
  <c r="P304" i="1"/>
  <c r="P305" i="1"/>
  <c r="P306" i="1"/>
  <c r="P307" i="1"/>
  <c r="P308" i="1"/>
  <c r="AA308" i="1" s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8" i="1"/>
  <c r="P349" i="1"/>
  <c r="P350" i="1"/>
  <c r="P351" i="1"/>
  <c r="P352" i="1"/>
  <c r="P353" i="1"/>
  <c r="P354" i="1"/>
  <c r="P355" i="1"/>
  <c r="P356" i="1"/>
  <c r="P357" i="1"/>
  <c r="P359" i="1"/>
  <c r="P360" i="1"/>
  <c r="P361" i="1"/>
  <c r="P362" i="1"/>
  <c r="P363" i="1"/>
  <c r="AA363" i="1" s="1"/>
  <c r="P364" i="1"/>
  <c r="P365" i="1"/>
  <c r="AA365" i="1" s="1"/>
  <c r="P366" i="1"/>
  <c r="P367" i="1"/>
  <c r="AA367" i="1" s="1"/>
  <c r="P368" i="1"/>
  <c r="P369" i="1"/>
  <c r="P370" i="1"/>
  <c r="AA370" i="1" s="1"/>
  <c r="P371" i="1"/>
  <c r="AA371" i="1" s="1"/>
  <c r="P372" i="1"/>
  <c r="AA372" i="1" s="1"/>
  <c r="O13" i="1"/>
  <c r="P13" i="1" s="1"/>
  <c r="AA13" i="1" s="1"/>
  <c r="V398" i="1"/>
  <c r="W398" i="1" s="1"/>
  <c r="V397" i="1"/>
  <c r="W397" i="1" s="1"/>
  <c r="V396" i="1"/>
  <c r="W396" i="1" s="1"/>
  <c r="V395" i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T386" i="1"/>
  <c r="V386" i="1" s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T380" i="1"/>
  <c r="V380" i="1" s="1"/>
  <c r="W380" i="1" s="1"/>
  <c r="V379" i="1"/>
  <c r="W379" i="1" s="1"/>
  <c r="V378" i="1"/>
  <c r="W378" i="1" s="1"/>
  <c r="P378" i="1"/>
  <c r="AA378" i="1" s="1"/>
  <c r="V377" i="1"/>
  <c r="S377" i="1"/>
  <c r="P377" i="1"/>
  <c r="AA377" i="1" s="1"/>
  <c r="V376" i="1"/>
  <c r="S376" i="1"/>
  <c r="P376" i="1"/>
  <c r="AA376" i="1" s="1"/>
  <c r="V375" i="1"/>
  <c r="S375" i="1"/>
  <c r="P375" i="1"/>
  <c r="AA375" i="1" s="1"/>
  <c r="V374" i="1"/>
  <c r="S374" i="1"/>
  <c r="P374" i="1"/>
  <c r="AA374" i="1" s="1"/>
  <c r="V373" i="1"/>
  <c r="S373" i="1"/>
  <c r="P373" i="1"/>
  <c r="AA373" i="1" s="1"/>
  <c r="V13" i="1" l="1"/>
  <c r="W13" i="1" s="1"/>
  <c r="V35" i="1"/>
  <c r="W35" i="1" s="1"/>
  <c r="V89" i="1"/>
  <c r="W89" i="1" s="1"/>
  <c r="V38" i="1"/>
  <c r="W38" i="1" s="1"/>
  <c r="W43" i="1"/>
  <c r="V83" i="1"/>
  <c r="W83" i="1" s="1"/>
  <c r="V25" i="1"/>
  <c r="V50" i="1"/>
  <c r="W298" i="1"/>
  <c r="V34" i="1"/>
  <c r="V47" i="1"/>
  <c r="W47" i="1" s="1"/>
  <c r="V78" i="1"/>
  <c r="W78" i="1" s="1"/>
  <c r="V61" i="1"/>
  <c r="W61" i="1" s="1"/>
  <c r="V84" i="1"/>
  <c r="W84" i="1" s="1"/>
  <c r="V64" i="1"/>
  <c r="W64" i="1" s="1"/>
  <c r="V57" i="1"/>
  <c r="V82" i="1"/>
  <c r="W82" i="1" s="1"/>
  <c r="W57" i="1"/>
  <c r="V2" i="1"/>
  <c r="W2" i="1" s="1"/>
  <c r="V60" i="1"/>
  <c r="W60" i="1" s="1"/>
  <c r="V21" i="1"/>
  <c r="W21" i="1" s="1"/>
  <c r="V81" i="1"/>
  <c r="V44" i="1"/>
  <c r="W44" i="1" s="1"/>
  <c r="V69" i="1"/>
  <c r="W69" i="1" s="1"/>
  <c r="V79" i="1"/>
  <c r="W79" i="1" s="1"/>
  <c r="V75" i="1"/>
  <c r="V42" i="1"/>
  <c r="V36" i="1"/>
  <c r="W36" i="1" s="1"/>
  <c r="V48" i="1"/>
  <c r="W48" i="1" s="1"/>
  <c r="V86" i="1"/>
  <c r="W86" i="1" s="1"/>
  <c r="V11" i="1"/>
  <c r="W11" i="1" s="1"/>
  <c r="W46" i="1"/>
  <c r="W33" i="1"/>
  <c r="W49" i="1"/>
  <c r="W45" i="1"/>
  <c r="V55" i="1"/>
  <c r="W55" i="1" s="1"/>
  <c r="V14" i="1"/>
  <c r="V43" i="1"/>
  <c r="W4" i="1"/>
  <c r="V300" i="1"/>
  <c r="W300" i="1" s="1"/>
  <c r="W14" i="1"/>
  <c r="W81" i="1"/>
  <c r="V19" i="1"/>
  <c r="W19" i="1" s="1"/>
  <c r="V15" i="1"/>
  <c r="W15" i="1" s="1"/>
  <c r="W25" i="1"/>
  <c r="W34" i="1"/>
  <c r="V74" i="1"/>
  <c r="W50" i="1"/>
  <c r="V9" i="1"/>
  <c r="W9" i="1" s="1"/>
  <c r="V73" i="1"/>
  <c r="W75" i="1"/>
  <c r="W42" i="1"/>
  <c r="V301" i="1"/>
  <c r="W301" i="1" s="1"/>
  <c r="AA298" i="1"/>
  <c r="W299" i="1"/>
  <c r="V22" i="1"/>
  <c r="W22" i="1" s="1"/>
  <c r="V70" i="1"/>
  <c r="W70" i="1" s="1"/>
  <c r="V23" i="1"/>
  <c r="W23" i="1" s="1"/>
  <c r="V87" i="1"/>
  <c r="W87" i="1" s="1"/>
  <c r="V46" i="1"/>
  <c r="V33" i="1"/>
  <c r="V49" i="1"/>
  <c r="V45" i="1"/>
  <c r="W74" i="1"/>
  <c r="V20" i="1"/>
  <c r="W20" i="1" s="1"/>
  <c r="V51" i="1"/>
  <c r="W51" i="1" s="1"/>
  <c r="V39" i="1"/>
  <c r="W39" i="1" s="1"/>
  <c r="V18" i="1"/>
  <c r="W18" i="1" s="1"/>
  <c r="V71" i="1"/>
  <c r="W71" i="1" s="1"/>
  <c r="V29" i="1"/>
  <c r="W29" i="1" s="1"/>
  <c r="V58" i="1"/>
  <c r="W58" i="1" s="1"/>
  <c r="V77" i="1"/>
  <c r="W77" i="1" s="1"/>
  <c r="W73" i="1"/>
  <c r="V68" i="1"/>
  <c r="W68" i="1" s="1"/>
  <c r="V37" i="1"/>
  <c r="W37" i="1" s="1"/>
  <c r="V27" i="1"/>
  <c r="W27" i="1" s="1"/>
  <c r="V7" i="1"/>
  <c r="W7" i="1" s="1"/>
  <c r="V85" i="1"/>
  <c r="W85" i="1" s="1"/>
  <c r="V4" i="1"/>
  <c r="V299" i="1"/>
  <c r="W65" i="1"/>
  <c r="V65" i="1"/>
  <c r="W5" i="1"/>
  <c r="V59" i="1"/>
  <c r="W59" i="1" s="1"/>
  <c r="V5" i="1"/>
  <c r="AA41" i="1"/>
  <c r="V41" i="1"/>
  <c r="W41" i="1"/>
  <c r="V28" i="1"/>
  <c r="W28" i="1" s="1"/>
  <c r="V40" i="1"/>
  <c r="W40" i="1" s="1"/>
  <c r="V52" i="1"/>
  <c r="W52" i="1" s="1"/>
  <c r="V26" i="1"/>
  <c r="V63" i="1"/>
  <c r="W63" i="1" s="1"/>
  <c r="W26" i="1"/>
  <c r="V17" i="1"/>
  <c r="W17" i="1" s="1"/>
  <c r="V66" i="1"/>
  <c r="W66" i="1" s="1"/>
  <c r="V80" i="1"/>
  <c r="W80" i="1" s="1"/>
  <c r="V54" i="1"/>
  <c r="W54" i="1" s="1"/>
  <c r="AA62" i="1"/>
  <c r="AA30" i="1"/>
  <c r="AA12" i="1"/>
  <c r="AA8" i="1"/>
  <c r="W16" i="1"/>
  <c r="W373" i="1"/>
  <c r="W377" i="1"/>
  <c r="V67" i="1"/>
  <c r="W67" i="1" s="1"/>
  <c r="V10" i="1"/>
  <c r="W10" i="1" s="1"/>
  <c r="AA53" i="1"/>
  <c r="V56" i="1"/>
  <c r="W56" i="1" s="1"/>
  <c r="AA90" i="1"/>
  <c r="AA76" i="1"/>
  <c r="AA72" i="1"/>
  <c r="AA32" i="1"/>
  <c r="W76" i="1"/>
  <c r="V24" i="1"/>
  <c r="W24" i="1" s="1"/>
  <c r="AA31" i="1"/>
  <c r="V88" i="1"/>
  <c r="W88" i="1" s="1"/>
  <c r="V16" i="1"/>
  <c r="V90" i="1"/>
  <c r="W376" i="1"/>
  <c r="W374" i="1"/>
  <c r="W375" i="1"/>
  <c r="O364" i="3"/>
  <c r="Q364" i="3" s="1"/>
  <c r="O365" i="3"/>
  <c r="Q365" i="3" s="1"/>
  <c r="O366" i="3"/>
  <c r="Q366" i="3" s="1"/>
  <c r="O367" i="3"/>
  <c r="Q367" i="3" s="1"/>
  <c r="O368" i="3"/>
  <c r="Q368" i="3" s="1"/>
  <c r="O369" i="3"/>
  <c r="Q369" i="3" s="1"/>
  <c r="O370" i="3"/>
  <c r="Q370" i="3" s="1"/>
  <c r="O371" i="3"/>
  <c r="Q371" i="3" s="1"/>
  <c r="K371" i="3"/>
  <c r="L371" i="3" s="1"/>
  <c r="K370" i="3"/>
  <c r="L370" i="3" s="1"/>
  <c r="K369" i="3"/>
  <c r="L369" i="3" s="1"/>
  <c r="K368" i="3"/>
  <c r="L368" i="3" s="1"/>
  <c r="K367" i="3"/>
  <c r="L367" i="3" s="1"/>
  <c r="K366" i="3"/>
  <c r="L366" i="3" s="1"/>
  <c r="K365" i="3"/>
  <c r="L365" i="3" s="1"/>
  <c r="K364" i="3"/>
  <c r="L364" i="3" s="1"/>
  <c r="K363" i="3"/>
  <c r="L363" i="3" s="1"/>
  <c r="O360" i="3"/>
  <c r="Q360" i="3" s="1"/>
  <c r="O361" i="3"/>
  <c r="Q361" i="3" s="1"/>
  <c r="O362" i="3"/>
  <c r="Q362" i="3" s="1"/>
  <c r="O363" i="3"/>
  <c r="Q363" i="3" s="1"/>
  <c r="K362" i="3"/>
  <c r="L362" i="3" s="1"/>
  <c r="K361" i="3"/>
  <c r="L361" i="3" s="1"/>
  <c r="K360" i="3"/>
  <c r="L360" i="3" s="1"/>
  <c r="O359" i="3"/>
  <c r="Q359" i="3" s="1"/>
  <c r="O358" i="3"/>
  <c r="Q358" i="3" s="1"/>
  <c r="K359" i="3"/>
  <c r="L359" i="3" s="1"/>
  <c r="K358" i="3"/>
  <c r="L358" i="3" s="1"/>
  <c r="O357" i="3"/>
  <c r="Q357" i="3" s="1"/>
  <c r="O356" i="3"/>
  <c r="Q356" i="3" s="1"/>
  <c r="K357" i="3"/>
  <c r="L357" i="3" s="1"/>
  <c r="K356" i="3"/>
  <c r="L356" i="3" s="1"/>
  <c r="O355" i="3"/>
  <c r="Q355" i="3" s="1"/>
  <c r="K355" i="3"/>
  <c r="L355" i="3" s="1"/>
  <c r="O354" i="3"/>
  <c r="Q354" i="3" s="1"/>
  <c r="K354" i="3"/>
  <c r="L354" i="3" s="1"/>
  <c r="O353" i="3"/>
  <c r="Q353" i="3" s="1"/>
  <c r="K353" i="3"/>
  <c r="L353" i="3" s="1"/>
  <c r="O352" i="3"/>
  <c r="Q352" i="3" s="1"/>
  <c r="K352" i="3"/>
  <c r="L352" i="3" s="1"/>
  <c r="O351" i="3"/>
  <c r="Q351" i="3" s="1"/>
  <c r="K351" i="3"/>
  <c r="L351" i="3" s="1"/>
  <c r="O350" i="3"/>
  <c r="Q350" i="3" s="1"/>
  <c r="K350" i="3"/>
  <c r="L350" i="3" s="1"/>
  <c r="O349" i="3"/>
  <c r="Q349" i="3" s="1"/>
  <c r="K349" i="3"/>
  <c r="L349" i="3" s="1"/>
  <c r="O348" i="3"/>
  <c r="Q348" i="3" s="1"/>
  <c r="K348" i="3"/>
  <c r="L348" i="3" s="1"/>
  <c r="O347" i="3"/>
  <c r="Q347" i="3" s="1"/>
  <c r="K347" i="3"/>
  <c r="L347" i="3" s="1"/>
  <c r="O346" i="3"/>
  <c r="Q346" i="3" s="1"/>
  <c r="K346" i="3"/>
  <c r="L346" i="3" s="1"/>
  <c r="O345" i="3"/>
  <c r="Q345" i="3" s="1"/>
  <c r="K345" i="3"/>
  <c r="L345" i="3" s="1"/>
  <c r="O344" i="3"/>
  <c r="Q344" i="3" s="1"/>
  <c r="K344" i="3"/>
  <c r="L344" i="3" s="1"/>
  <c r="O343" i="3"/>
  <c r="Q343" i="3" s="1"/>
  <c r="K343" i="3"/>
  <c r="L343" i="3" s="1"/>
  <c r="O342" i="3"/>
  <c r="Q342" i="3" s="1"/>
  <c r="K342" i="3"/>
  <c r="L342" i="3" s="1"/>
  <c r="O341" i="3"/>
  <c r="Q341" i="3" s="1"/>
  <c r="K341" i="3"/>
  <c r="L341" i="3" s="1"/>
  <c r="O340" i="3"/>
  <c r="Q340" i="3" s="1"/>
  <c r="K340" i="3"/>
  <c r="L340" i="3" s="1"/>
  <c r="O339" i="3"/>
  <c r="Q339" i="3" s="1"/>
  <c r="K339" i="3"/>
  <c r="L339" i="3" s="1"/>
  <c r="O338" i="3"/>
  <c r="Q338" i="3" s="1"/>
  <c r="K338" i="3"/>
  <c r="L338" i="3" s="1"/>
  <c r="O337" i="3"/>
  <c r="Q337" i="3" s="1"/>
  <c r="K337" i="3"/>
  <c r="L337" i="3" s="1"/>
  <c r="O336" i="3"/>
  <c r="Q336" i="3" s="1"/>
  <c r="K336" i="3"/>
  <c r="L336" i="3" s="1"/>
  <c r="O335" i="3"/>
  <c r="Q335" i="3" s="1"/>
  <c r="K335" i="3"/>
  <c r="L335" i="3" s="1"/>
  <c r="O334" i="3"/>
  <c r="Q334" i="3" s="1"/>
  <c r="K334" i="3"/>
  <c r="L334" i="3" s="1"/>
  <c r="O333" i="3"/>
  <c r="Q333" i="3" s="1"/>
  <c r="K333" i="3"/>
  <c r="L333" i="3" s="1"/>
  <c r="O332" i="3"/>
  <c r="Q332" i="3" s="1"/>
  <c r="K332" i="3"/>
  <c r="L332" i="3" s="1"/>
  <c r="O331" i="3"/>
  <c r="Q331" i="3" s="1"/>
  <c r="K331" i="3"/>
  <c r="L331" i="3" s="1"/>
  <c r="O330" i="3"/>
  <c r="Q330" i="3" s="1"/>
  <c r="K330" i="3"/>
  <c r="L330" i="3" s="1"/>
  <c r="O329" i="3"/>
  <c r="Q329" i="3" s="1"/>
  <c r="K329" i="3"/>
  <c r="L329" i="3" s="1"/>
  <c r="O328" i="3"/>
  <c r="Q328" i="3" s="1"/>
  <c r="K328" i="3"/>
  <c r="L328" i="3" s="1"/>
  <c r="O327" i="3"/>
  <c r="Q327" i="3" s="1"/>
  <c r="K327" i="3"/>
  <c r="L327" i="3" s="1"/>
  <c r="O326" i="3"/>
  <c r="Q326" i="3" s="1"/>
  <c r="K326" i="3"/>
  <c r="L326" i="3" s="1"/>
  <c r="O325" i="3"/>
  <c r="Q325" i="3" s="1"/>
  <c r="K325" i="3"/>
  <c r="L325" i="3" s="1"/>
  <c r="O324" i="3"/>
  <c r="Q324" i="3" s="1"/>
  <c r="K324" i="3"/>
  <c r="L324" i="3" s="1"/>
  <c r="O323" i="3"/>
  <c r="Q323" i="3" s="1"/>
  <c r="K323" i="3"/>
  <c r="L323" i="3" s="1"/>
  <c r="O322" i="3"/>
  <c r="Q322" i="3" s="1"/>
  <c r="K322" i="3"/>
  <c r="L322" i="3" s="1"/>
  <c r="O321" i="3"/>
  <c r="Q321" i="3" s="1"/>
  <c r="K321" i="3"/>
  <c r="L321" i="3" s="1"/>
  <c r="V372" i="1" l="1"/>
  <c r="W372" i="1" s="1"/>
  <c r="V371" i="1"/>
  <c r="W371" i="1" s="1"/>
  <c r="W370" i="1"/>
  <c r="V369" i="1"/>
  <c r="W369" i="1" s="1"/>
  <c r="V368" i="1"/>
  <c r="W368" i="1" s="1"/>
  <c r="V367" i="1"/>
  <c r="W367" i="1" s="1"/>
  <c r="V366" i="1"/>
  <c r="W366" i="1" s="1"/>
  <c r="V365" i="1"/>
  <c r="W365" i="1" s="1"/>
  <c r="V364" i="1"/>
  <c r="W364" i="1" s="1"/>
  <c r="V363" i="1"/>
  <c r="W363" i="1" s="1"/>
  <c r="V362" i="1"/>
  <c r="W362" i="1" s="1"/>
  <c r="T361" i="1"/>
  <c r="V361" i="1" s="1"/>
  <c r="W361" i="1" s="1"/>
  <c r="V360" i="1"/>
  <c r="W360" i="1" s="1"/>
  <c r="V359" i="1" l="1"/>
  <c r="W359" i="1" s="1"/>
  <c r="V357" i="1"/>
  <c r="W357" i="1" s="1"/>
  <c r="T356" i="1"/>
  <c r="V356" i="1" s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AA337" i="1"/>
  <c r="V337" i="1"/>
  <c r="W337" i="1" s="1"/>
  <c r="AA336" i="1"/>
  <c r="V336" i="1"/>
  <c r="W336" i="1" s="1"/>
  <c r="AA335" i="1"/>
  <c r="V335" i="1"/>
  <c r="W335" i="1" s="1"/>
  <c r="AA334" i="1"/>
  <c r="T334" i="1"/>
  <c r="V334" i="1" s="1"/>
  <c r="W334" i="1" s="1"/>
  <c r="AA333" i="1"/>
  <c r="V333" i="1"/>
  <c r="W333" i="1" s="1"/>
  <c r="AA332" i="1"/>
  <c r="V332" i="1"/>
  <c r="W332" i="1" s="1"/>
  <c r="AA331" i="1"/>
  <c r="V331" i="1"/>
  <c r="W331" i="1" s="1"/>
  <c r="AA330" i="1"/>
  <c r="T330" i="1"/>
  <c r="V330" i="1" s="1"/>
  <c r="W330" i="1" s="1"/>
  <c r="AA329" i="1"/>
  <c r="V329" i="1"/>
  <c r="W329" i="1" s="1"/>
  <c r="AA328" i="1"/>
  <c r="V328" i="1"/>
  <c r="W328" i="1" s="1"/>
  <c r="AA327" i="1"/>
  <c r="T327" i="1"/>
  <c r="V327" i="1" s="1"/>
  <c r="W327" i="1" s="1"/>
  <c r="AA326" i="1"/>
  <c r="V326" i="1"/>
  <c r="W326" i="1" s="1"/>
  <c r="AA325" i="1"/>
  <c r="V325" i="1"/>
  <c r="W325" i="1" s="1"/>
  <c r="AA324" i="1"/>
  <c r="V324" i="1"/>
  <c r="W324" i="1" s="1"/>
  <c r="AA323" i="1"/>
  <c r="V323" i="1"/>
  <c r="W323" i="1" s="1"/>
  <c r="AA322" i="1"/>
  <c r="V322" i="1"/>
  <c r="W322" i="1" s="1"/>
  <c r="O320" i="3" l="1"/>
  <c r="Q320" i="3" s="1"/>
  <c r="K320" i="3"/>
  <c r="L320" i="3" s="1"/>
  <c r="O319" i="3"/>
  <c r="Q319" i="3" s="1"/>
  <c r="K319" i="3"/>
  <c r="L319" i="3" s="1"/>
  <c r="O318" i="3"/>
  <c r="Q318" i="3" s="1"/>
  <c r="K318" i="3"/>
  <c r="L318" i="3" s="1"/>
  <c r="O317" i="3"/>
  <c r="Q317" i="3" s="1"/>
  <c r="K317" i="3"/>
  <c r="L317" i="3" s="1"/>
  <c r="O316" i="3"/>
  <c r="Q316" i="3" s="1"/>
  <c r="K316" i="3"/>
  <c r="L316" i="3" s="1"/>
  <c r="O315" i="3"/>
  <c r="Q315" i="3" s="1"/>
  <c r="K315" i="3"/>
  <c r="L315" i="3" s="1"/>
  <c r="O314" i="3"/>
  <c r="Q314" i="3" s="1"/>
  <c r="K314" i="3"/>
  <c r="L314" i="3" s="1"/>
  <c r="O313" i="3"/>
  <c r="Q313" i="3" s="1"/>
  <c r="K313" i="3"/>
  <c r="L313" i="3" s="1"/>
  <c r="M312" i="3"/>
  <c r="O312" i="3" s="1"/>
  <c r="Q312" i="3" s="1"/>
  <c r="K312" i="3"/>
  <c r="L312" i="3" s="1"/>
  <c r="O311" i="3"/>
  <c r="Q311" i="3" s="1"/>
  <c r="K311" i="3"/>
  <c r="L311" i="3" s="1"/>
  <c r="O310" i="3"/>
  <c r="Q310" i="3" s="1"/>
  <c r="K310" i="3"/>
  <c r="L310" i="3" s="1"/>
  <c r="O309" i="3"/>
  <c r="Q309" i="3" s="1"/>
  <c r="K309" i="3"/>
  <c r="L309" i="3" s="1"/>
  <c r="O308" i="3"/>
  <c r="Q308" i="3" s="1"/>
  <c r="K308" i="3"/>
  <c r="L308" i="3" s="1"/>
  <c r="O307" i="3"/>
  <c r="Q307" i="3" s="1"/>
  <c r="K307" i="3"/>
  <c r="L307" i="3" s="1"/>
  <c r="O306" i="3"/>
  <c r="Q306" i="3" s="1"/>
  <c r="K306" i="3"/>
  <c r="L306" i="3" s="1"/>
  <c r="O305" i="3"/>
  <c r="Q305" i="3" s="1"/>
  <c r="K305" i="3"/>
  <c r="L305" i="3" s="1"/>
  <c r="O304" i="3"/>
  <c r="Q304" i="3" s="1"/>
  <c r="K304" i="3"/>
  <c r="L304" i="3" s="1"/>
  <c r="O303" i="3"/>
  <c r="Q303" i="3" s="1"/>
  <c r="K303" i="3"/>
  <c r="L303" i="3" s="1"/>
  <c r="O302" i="3"/>
  <c r="Q302" i="3" s="1"/>
  <c r="K302" i="3"/>
  <c r="L302" i="3" s="1"/>
  <c r="O301" i="3"/>
  <c r="Q301" i="3" s="1"/>
  <c r="K301" i="3"/>
  <c r="L301" i="3" s="1"/>
  <c r="O300" i="3"/>
  <c r="Q300" i="3" s="1"/>
  <c r="K300" i="3"/>
  <c r="L300" i="3" s="1"/>
  <c r="O299" i="3"/>
  <c r="Q299" i="3" s="1"/>
  <c r="K299" i="3"/>
  <c r="L299" i="3" s="1"/>
  <c r="O298" i="3"/>
  <c r="Q298" i="3" s="1"/>
  <c r="K298" i="3"/>
  <c r="L298" i="3" s="1"/>
  <c r="O297" i="3"/>
  <c r="Q297" i="3" s="1"/>
  <c r="K297" i="3"/>
  <c r="L297" i="3" s="1"/>
  <c r="O296" i="3"/>
  <c r="Q296" i="3" s="1"/>
  <c r="K296" i="3"/>
  <c r="L296" i="3" s="1"/>
  <c r="O295" i="3"/>
  <c r="Q295" i="3" s="1"/>
  <c r="K295" i="3"/>
  <c r="L295" i="3" s="1"/>
  <c r="O294" i="3"/>
  <c r="Q294" i="3" s="1"/>
  <c r="K294" i="3"/>
  <c r="L294" i="3" s="1"/>
  <c r="O293" i="3"/>
  <c r="Q293" i="3" s="1"/>
  <c r="K293" i="3"/>
  <c r="L293" i="3" s="1"/>
  <c r="O292" i="3"/>
  <c r="Q292" i="3" s="1"/>
  <c r="K292" i="3"/>
  <c r="L292" i="3" s="1"/>
  <c r="O291" i="3"/>
  <c r="Q291" i="3" s="1"/>
  <c r="K291" i="3"/>
  <c r="L291" i="3" s="1"/>
  <c r="O290" i="3"/>
  <c r="Q290" i="3" s="1"/>
  <c r="K290" i="3"/>
  <c r="L290" i="3" s="1"/>
  <c r="O289" i="3"/>
  <c r="Q289" i="3" s="1"/>
  <c r="K289" i="3"/>
  <c r="L289" i="3" s="1"/>
  <c r="O288" i="3"/>
  <c r="Q288" i="3" s="1"/>
  <c r="K288" i="3"/>
  <c r="L288" i="3" s="1"/>
  <c r="O287" i="3"/>
  <c r="Q287" i="3" s="1"/>
  <c r="K287" i="3"/>
  <c r="L287" i="3" s="1"/>
  <c r="O286" i="3"/>
  <c r="Q286" i="3" s="1"/>
  <c r="K286" i="3"/>
  <c r="L286" i="3" s="1"/>
  <c r="O285" i="3"/>
  <c r="Q285" i="3" s="1"/>
  <c r="K285" i="3"/>
  <c r="L285" i="3" s="1"/>
  <c r="O284" i="3"/>
  <c r="Q284" i="3" s="1"/>
  <c r="K284" i="3"/>
  <c r="L284" i="3" s="1"/>
  <c r="O283" i="3"/>
  <c r="Q283" i="3" s="1"/>
  <c r="K283" i="3"/>
  <c r="L283" i="3" s="1"/>
  <c r="O282" i="3"/>
  <c r="Q282" i="3" s="1"/>
  <c r="K282" i="3"/>
  <c r="L282" i="3" s="1"/>
  <c r="AA321" i="1"/>
  <c r="V321" i="1"/>
  <c r="W321" i="1" s="1"/>
  <c r="AA320" i="1"/>
  <c r="V320" i="1"/>
  <c r="W320" i="1" s="1"/>
  <c r="AA319" i="1"/>
  <c r="V319" i="1"/>
  <c r="W319" i="1" s="1"/>
  <c r="AA318" i="1"/>
  <c r="V318" i="1"/>
  <c r="W318" i="1" s="1"/>
  <c r="AA317" i="1"/>
  <c r="V317" i="1"/>
  <c r="W317" i="1" s="1"/>
  <c r="AA316" i="1"/>
  <c r="V316" i="1"/>
  <c r="W316" i="1" s="1"/>
  <c r="AA315" i="1"/>
  <c r="V315" i="1"/>
  <c r="W315" i="1" s="1"/>
  <c r="AA314" i="1"/>
  <c r="V314" i="1"/>
  <c r="W314" i="1" s="1"/>
  <c r="AA313" i="1"/>
  <c r="V313" i="1"/>
  <c r="W313" i="1" s="1"/>
  <c r="AA312" i="1"/>
  <c r="V312" i="1"/>
  <c r="W312" i="1" s="1"/>
  <c r="AA311" i="1"/>
  <c r="V311" i="1"/>
  <c r="W311" i="1" s="1"/>
  <c r="AA310" i="1"/>
  <c r="V310" i="1"/>
  <c r="W310" i="1" s="1"/>
  <c r="AA309" i="1"/>
  <c r="V309" i="1"/>
  <c r="W309" i="1" s="1"/>
  <c r="V308" i="1"/>
  <c r="W308" i="1" s="1"/>
  <c r="AA307" i="1"/>
  <c r="V307" i="1"/>
  <c r="W307" i="1" s="1"/>
  <c r="AA306" i="1"/>
  <c r="V306" i="1"/>
  <c r="W306" i="1" s="1"/>
  <c r="AA305" i="1"/>
  <c r="V305" i="1"/>
  <c r="W305" i="1" s="1"/>
  <c r="AA304" i="1"/>
  <c r="V304" i="1"/>
  <c r="W304" i="1" s="1"/>
  <c r="AA303" i="1"/>
  <c r="V303" i="1"/>
  <c r="W303" i="1" s="1"/>
  <c r="AA302" i="1"/>
  <c r="V302" i="1"/>
  <c r="W302" i="1" s="1"/>
  <c r="V297" i="1" l="1"/>
  <c r="W297" i="1" s="1"/>
  <c r="V296" i="1"/>
  <c r="W296" i="1" s="1"/>
  <c r="AA295" i="1"/>
  <c r="V295" i="1"/>
  <c r="W295" i="1" s="1"/>
  <c r="AA294" i="1" l="1"/>
  <c r="V294" i="1"/>
  <c r="W294" i="1" s="1"/>
  <c r="AA293" i="1"/>
  <c r="V293" i="1"/>
  <c r="W293" i="1" s="1"/>
  <c r="AA292" i="1"/>
  <c r="V292" i="1"/>
  <c r="W292" i="1" s="1"/>
  <c r="AA291" i="1"/>
  <c r="V291" i="1"/>
  <c r="W291" i="1" s="1"/>
  <c r="AA290" i="1"/>
  <c r="V290" i="1"/>
  <c r="W290" i="1" s="1"/>
  <c r="AA289" i="1"/>
  <c r="V289" i="1"/>
  <c r="W289" i="1" s="1"/>
  <c r="AA288" i="1"/>
  <c r="V288" i="1"/>
  <c r="W288" i="1" s="1"/>
  <c r="AA287" i="1"/>
  <c r="V287" i="1"/>
  <c r="W287" i="1" s="1"/>
  <c r="AA286" i="1"/>
  <c r="V286" i="1"/>
  <c r="W286" i="1" s="1"/>
  <c r="AA285" i="1"/>
  <c r="V285" i="1"/>
  <c r="W285" i="1" s="1"/>
  <c r="AA284" i="1"/>
  <c r="V284" i="1"/>
  <c r="W284" i="1" s="1"/>
  <c r="AA283" i="1"/>
  <c r="AA282" i="1"/>
  <c r="V283" i="1"/>
  <c r="W283" i="1" s="1"/>
  <c r="V282" i="1"/>
  <c r="W282" i="1" s="1"/>
  <c r="AA281" i="1"/>
  <c r="V281" i="1"/>
  <c r="W281" i="1" s="1"/>
  <c r="AA280" i="1"/>
  <c r="V280" i="1"/>
  <c r="W280" i="1" s="1"/>
  <c r="AA279" i="1"/>
  <c r="V279" i="1"/>
  <c r="W279" i="1" s="1"/>
  <c r="O151" i="3" l="1"/>
  <c r="Q151" i="3" s="1"/>
  <c r="O152" i="3"/>
  <c r="Q152" i="3" s="1"/>
  <c r="O153" i="3"/>
  <c r="Q153" i="3" s="1"/>
  <c r="O154" i="3"/>
  <c r="Q154" i="3" s="1"/>
  <c r="O155" i="3"/>
  <c r="Q155" i="3" s="1"/>
  <c r="O156" i="3"/>
  <c r="Q156" i="3" s="1"/>
  <c r="O157" i="3"/>
  <c r="Q157" i="3" s="1"/>
  <c r="O158" i="3"/>
  <c r="Q158" i="3" s="1"/>
  <c r="O159" i="3"/>
  <c r="Q159" i="3" s="1"/>
  <c r="O160" i="3"/>
  <c r="Q160" i="3" s="1"/>
  <c r="O161" i="3"/>
  <c r="Q161" i="3" s="1"/>
  <c r="O162" i="3"/>
  <c r="Q162" i="3" s="1"/>
  <c r="O163" i="3"/>
  <c r="Q163" i="3" s="1"/>
  <c r="O164" i="3"/>
  <c r="Q164" i="3" s="1"/>
  <c r="O165" i="3"/>
  <c r="Q165" i="3" s="1"/>
  <c r="O166" i="3"/>
  <c r="Q166" i="3" s="1"/>
  <c r="O167" i="3"/>
  <c r="Q167" i="3" s="1"/>
  <c r="O168" i="3"/>
  <c r="Q168" i="3" s="1"/>
  <c r="O169" i="3"/>
  <c r="Q169" i="3" s="1"/>
  <c r="O170" i="3"/>
  <c r="Q170" i="3" s="1"/>
  <c r="O171" i="3"/>
  <c r="Q171" i="3" s="1"/>
  <c r="O172" i="3"/>
  <c r="Q172" i="3" s="1"/>
  <c r="O173" i="3"/>
  <c r="Q173" i="3" s="1"/>
  <c r="O174" i="3"/>
  <c r="Q174" i="3" s="1"/>
  <c r="O175" i="3"/>
  <c r="Q175" i="3" s="1"/>
  <c r="O176" i="3"/>
  <c r="Q176" i="3" s="1"/>
  <c r="O177" i="3"/>
  <c r="Q177" i="3" s="1"/>
  <c r="O178" i="3"/>
  <c r="Q178" i="3" s="1"/>
  <c r="O179" i="3"/>
  <c r="Q179" i="3" s="1"/>
  <c r="O180" i="3"/>
  <c r="Q180" i="3" s="1"/>
  <c r="O181" i="3"/>
  <c r="Q181" i="3" s="1"/>
  <c r="O182" i="3"/>
  <c r="Q182" i="3" s="1"/>
  <c r="O183" i="3"/>
  <c r="Q183" i="3" s="1"/>
  <c r="O184" i="3"/>
  <c r="Q184" i="3" s="1"/>
  <c r="O185" i="3"/>
  <c r="Q185" i="3" s="1"/>
  <c r="O186" i="3"/>
  <c r="Q186" i="3" s="1"/>
  <c r="O187" i="3"/>
  <c r="Q187" i="3" s="1"/>
  <c r="O188" i="3"/>
  <c r="Q188" i="3" s="1"/>
  <c r="O189" i="3"/>
  <c r="Q189" i="3" s="1"/>
  <c r="O190" i="3"/>
  <c r="Q190" i="3" s="1"/>
  <c r="O191" i="3"/>
  <c r="Q191" i="3" s="1"/>
  <c r="O192" i="3"/>
  <c r="Q192" i="3" s="1"/>
  <c r="O193" i="3"/>
  <c r="Q193" i="3" s="1"/>
  <c r="O194" i="3"/>
  <c r="Q194" i="3" s="1"/>
  <c r="O195" i="3"/>
  <c r="Q195" i="3" s="1"/>
  <c r="O196" i="3"/>
  <c r="Q196" i="3" s="1"/>
  <c r="O197" i="3"/>
  <c r="Q197" i="3" s="1"/>
  <c r="O198" i="3"/>
  <c r="Q198" i="3" s="1"/>
  <c r="O199" i="3"/>
  <c r="Q199" i="3" s="1"/>
  <c r="O200" i="3"/>
  <c r="Q200" i="3" s="1"/>
  <c r="O201" i="3"/>
  <c r="Q201" i="3" s="1"/>
  <c r="O202" i="3"/>
  <c r="Q202" i="3" s="1"/>
  <c r="O203" i="3"/>
  <c r="Q203" i="3" s="1"/>
  <c r="O204" i="3"/>
  <c r="Q204" i="3" s="1"/>
  <c r="O205" i="3"/>
  <c r="Q205" i="3" s="1"/>
  <c r="O206" i="3"/>
  <c r="Q206" i="3" s="1"/>
  <c r="O207" i="3"/>
  <c r="Q207" i="3" s="1"/>
  <c r="O208" i="3"/>
  <c r="Q208" i="3" s="1"/>
  <c r="O209" i="3"/>
  <c r="Q209" i="3" s="1"/>
  <c r="O210" i="3"/>
  <c r="Q210" i="3" s="1"/>
  <c r="O211" i="3"/>
  <c r="Q211" i="3" s="1"/>
  <c r="O212" i="3"/>
  <c r="Q212" i="3" s="1"/>
  <c r="O213" i="3"/>
  <c r="Q213" i="3" s="1"/>
  <c r="O214" i="3"/>
  <c r="Q214" i="3" s="1"/>
  <c r="O215" i="3"/>
  <c r="Q215" i="3" s="1"/>
  <c r="O216" i="3"/>
  <c r="Q216" i="3" s="1"/>
  <c r="O217" i="3"/>
  <c r="Q217" i="3" s="1"/>
  <c r="O218" i="3"/>
  <c r="Q218" i="3" s="1"/>
  <c r="O219" i="3"/>
  <c r="Q219" i="3" s="1"/>
  <c r="O220" i="3"/>
  <c r="Q220" i="3" s="1"/>
  <c r="O221" i="3"/>
  <c r="Q221" i="3" s="1"/>
  <c r="O222" i="3"/>
  <c r="Q222" i="3" s="1"/>
  <c r="O223" i="3"/>
  <c r="Q223" i="3" s="1"/>
  <c r="O224" i="3"/>
  <c r="Q224" i="3" s="1"/>
  <c r="O225" i="3"/>
  <c r="Q225" i="3" s="1"/>
  <c r="O226" i="3"/>
  <c r="Q226" i="3" s="1"/>
  <c r="O227" i="3"/>
  <c r="Q227" i="3" s="1"/>
  <c r="O228" i="3"/>
  <c r="Q228" i="3" s="1"/>
  <c r="O229" i="3"/>
  <c r="Q229" i="3" s="1"/>
  <c r="O230" i="3"/>
  <c r="Q230" i="3" s="1"/>
  <c r="O231" i="3"/>
  <c r="Q231" i="3" s="1"/>
  <c r="O232" i="3"/>
  <c r="Q232" i="3" s="1"/>
  <c r="O233" i="3"/>
  <c r="Q233" i="3" s="1"/>
  <c r="O234" i="3"/>
  <c r="Q234" i="3" s="1"/>
  <c r="O235" i="3"/>
  <c r="Q235" i="3" s="1"/>
  <c r="O236" i="3"/>
  <c r="Q236" i="3" s="1"/>
  <c r="O237" i="3"/>
  <c r="Q237" i="3" s="1"/>
  <c r="O238" i="3"/>
  <c r="Q238" i="3" s="1"/>
  <c r="O239" i="3"/>
  <c r="Q239" i="3" s="1"/>
  <c r="O240" i="3"/>
  <c r="Q240" i="3" s="1"/>
  <c r="O241" i="3"/>
  <c r="Q241" i="3" s="1"/>
  <c r="O242" i="3"/>
  <c r="Q242" i="3" s="1"/>
  <c r="O243" i="3"/>
  <c r="Q243" i="3" s="1"/>
  <c r="O244" i="3"/>
  <c r="Q244" i="3" s="1"/>
  <c r="O245" i="3"/>
  <c r="Q245" i="3" s="1"/>
  <c r="O246" i="3"/>
  <c r="Q246" i="3" s="1"/>
  <c r="O247" i="3"/>
  <c r="Q247" i="3" s="1"/>
  <c r="O248" i="3"/>
  <c r="Q248" i="3" s="1"/>
  <c r="O249" i="3"/>
  <c r="Q249" i="3" s="1"/>
  <c r="O250" i="3"/>
  <c r="Q250" i="3" s="1"/>
  <c r="O251" i="3"/>
  <c r="Q251" i="3" s="1"/>
  <c r="O252" i="3"/>
  <c r="Q252" i="3" s="1"/>
  <c r="O253" i="3"/>
  <c r="Q253" i="3" s="1"/>
  <c r="O254" i="3"/>
  <c r="Q254" i="3" s="1"/>
  <c r="O255" i="3"/>
  <c r="Q255" i="3" s="1"/>
  <c r="O256" i="3"/>
  <c r="Q256" i="3" s="1"/>
  <c r="O257" i="3"/>
  <c r="Q257" i="3" s="1"/>
  <c r="O258" i="3"/>
  <c r="Q258" i="3" s="1"/>
  <c r="O259" i="3"/>
  <c r="Q259" i="3" s="1"/>
  <c r="O260" i="3"/>
  <c r="Q260" i="3" s="1"/>
  <c r="O261" i="3"/>
  <c r="Q261" i="3" s="1"/>
  <c r="O262" i="3"/>
  <c r="Q262" i="3" s="1"/>
  <c r="O263" i="3"/>
  <c r="Q263" i="3" s="1"/>
  <c r="O264" i="3"/>
  <c r="Q264" i="3" s="1"/>
  <c r="O265" i="3"/>
  <c r="Q265" i="3" s="1"/>
  <c r="O266" i="3"/>
  <c r="Q266" i="3" s="1"/>
  <c r="O267" i="3"/>
  <c r="Q267" i="3" s="1"/>
  <c r="O268" i="3"/>
  <c r="Q268" i="3" s="1"/>
  <c r="O269" i="3"/>
  <c r="Q269" i="3" s="1"/>
  <c r="O270" i="3"/>
  <c r="Q270" i="3" s="1"/>
  <c r="O271" i="3"/>
  <c r="Q271" i="3" s="1"/>
  <c r="O272" i="3"/>
  <c r="Q272" i="3" s="1"/>
  <c r="O273" i="3"/>
  <c r="Q273" i="3" s="1"/>
  <c r="O274" i="3"/>
  <c r="Q274" i="3" s="1"/>
  <c r="O275" i="3"/>
  <c r="Q275" i="3" s="1"/>
  <c r="O276" i="3"/>
  <c r="Q276" i="3" s="1"/>
  <c r="O277" i="3"/>
  <c r="Q277" i="3" s="1"/>
  <c r="O278" i="3"/>
  <c r="Q278" i="3" s="1"/>
  <c r="O279" i="3"/>
  <c r="Q279" i="3" s="1"/>
  <c r="O281" i="3"/>
  <c r="Q281" i="3" s="1"/>
  <c r="O20" i="3"/>
  <c r="O21" i="3"/>
  <c r="O22" i="3"/>
  <c r="Q22" i="3" s="1"/>
  <c r="O23" i="3"/>
  <c r="Q23" i="3" s="1"/>
  <c r="O24" i="3"/>
  <c r="Q24" i="3" s="1"/>
  <c r="O25" i="3"/>
  <c r="Q25" i="3" s="1"/>
  <c r="O26" i="3"/>
  <c r="Q26" i="3" s="1"/>
  <c r="O27" i="3"/>
  <c r="Q27" i="3" s="1"/>
  <c r="O28" i="3"/>
  <c r="Q28" i="3" s="1"/>
  <c r="O29" i="3"/>
  <c r="Q29" i="3" s="1"/>
  <c r="O30" i="3"/>
  <c r="Q30" i="3" s="1"/>
  <c r="O31" i="3"/>
  <c r="Q31" i="3" s="1"/>
  <c r="O32" i="3"/>
  <c r="Q32" i="3" s="1"/>
  <c r="O33" i="3"/>
  <c r="Q33" i="3" s="1"/>
  <c r="O34" i="3"/>
  <c r="Q34" i="3" s="1"/>
  <c r="O35" i="3"/>
  <c r="Q35" i="3" s="1"/>
  <c r="O36" i="3"/>
  <c r="Q36" i="3" s="1"/>
  <c r="O37" i="3"/>
  <c r="Q37" i="3" s="1"/>
  <c r="O38" i="3"/>
  <c r="Q38" i="3" s="1"/>
  <c r="O39" i="3"/>
  <c r="Q39" i="3" s="1"/>
  <c r="O40" i="3"/>
  <c r="Q40" i="3" s="1"/>
  <c r="O41" i="3"/>
  <c r="Q41" i="3" s="1"/>
  <c r="O42" i="3"/>
  <c r="Q42" i="3" s="1"/>
  <c r="O43" i="3"/>
  <c r="Q43" i="3" s="1"/>
  <c r="O44" i="3"/>
  <c r="Q44" i="3" s="1"/>
  <c r="O45" i="3"/>
  <c r="Q45" i="3" s="1"/>
  <c r="O46" i="3"/>
  <c r="Q46" i="3" s="1"/>
  <c r="O47" i="3"/>
  <c r="Q47" i="3" s="1"/>
  <c r="O48" i="3"/>
  <c r="Q48" i="3" s="1"/>
  <c r="O49" i="3"/>
  <c r="Q49" i="3" s="1"/>
  <c r="O50" i="3"/>
  <c r="Q50" i="3" s="1"/>
  <c r="O51" i="3"/>
  <c r="Q51" i="3" s="1"/>
  <c r="O52" i="3"/>
  <c r="Q52" i="3" s="1"/>
  <c r="O53" i="3"/>
  <c r="Q53" i="3" s="1"/>
  <c r="O54" i="3"/>
  <c r="Q54" i="3" s="1"/>
  <c r="O55" i="3"/>
  <c r="Q55" i="3" s="1"/>
  <c r="O56" i="3"/>
  <c r="Q56" i="3" s="1"/>
  <c r="O57" i="3"/>
  <c r="Q57" i="3" s="1"/>
  <c r="O58" i="3"/>
  <c r="Q58" i="3" s="1"/>
  <c r="O59" i="3"/>
  <c r="Q59" i="3" s="1"/>
  <c r="O60" i="3"/>
  <c r="Q60" i="3" s="1"/>
  <c r="O61" i="3"/>
  <c r="Q61" i="3" s="1"/>
  <c r="O62" i="3"/>
  <c r="Q62" i="3" s="1"/>
  <c r="O63" i="3"/>
  <c r="Q63" i="3" s="1"/>
  <c r="O64" i="3"/>
  <c r="Q64" i="3" s="1"/>
  <c r="O65" i="3"/>
  <c r="Q65" i="3" s="1"/>
  <c r="O66" i="3"/>
  <c r="Q66" i="3" s="1"/>
  <c r="O67" i="3"/>
  <c r="Q67" i="3" s="1"/>
  <c r="O68" i="3"/>
  <c r="Q68" i="3" s="1"/>
  <c r="O69" i="3"/>
  <c r="Q69" i="3" s="1"/>
  <c r="O70" i="3"/>
  <c r="Q70" i="3" s="1"/>
  <c r="O71" i="3"/>
  <c r="Q71" i="3" s="1"/>
  <c r="O72" i="3"/>
  <c r="Q72" i="3" s="1"/>
  <c r="O73" i="3"/>
  <c r="Q73" i="3" s="1"/>
  <c r="O74" i="3"/>
  <c r="Q74" i="3" s="1"/>
  <c r="O75" i="3"/>
  <c r="Q75" i="3" s="1"/>
  <c r="O76" i="3"/>
  <c r="Q76" i="3" s="1"/>
  <c r="O77" i="3"/>
  <c r="Q77" i="3" s="1"/>
  <c r="O78" i="3"/>
  <c r="Q78" i="3" s="1"/>
  <c r="O79" i="3"/>
  <c r="Q79" i="3" s="1"/>
  <c r="O80" i="3"/>
  <c r="Q80" i="3" s="1"/>
  <c r="O81" i="3"/>
  <c r="Q81" i="3" s="1"/>
  <c r="O82" i="3"/>
  <c r="Q82" i="3" s="1"/>
  <c r="O83" i="3"/>
  <c r="Q83" i="3" s="1"/>
  <c r="O84" i="3"/>
  <c r="Q84" i="3" s="1"/>
  <c r="O85" i="3"/>
  <c r="Q85" i="3" s="1"/>
  <c r="O86" i="3"/>
  <c r="Q86" i="3" s="1"/>
  <c r="O87" i="3"/>
  <c r="Q87" i="3" s="1"/>
  <c r="O88" i="3"/>
  <c r="Q88" i="3" s="1"/>
  <c r="O89" i="3"/>
  <c r="Q89" i="3" s="1"/>
  <c r="O90" i="3"/>
  <c r="Q90" i="3" s="1"/>
  <c r="O91" i="3"/>
  <c r="Q91" i="3" s="1"/>
  <c r="O92" i="3"/>
  <c r="Q92" i="3" s="1"/>
  <c r="O93" i="3"/>
  <c r="Q93" i="3" s="1"/>
  <c r="O94" i="3"/>
  <c r="Q94" i="3" s="1"/>
  <c r="O95" i="3"/>
  <c r="Q95" i="3" s="1"/>
  <c r="O96" i="3"/>
  <c r="Q96" i="3" s="1"/>
  <c r="O97" i="3"/>
  <c r="Q97" i="3" s="1"/>
  <c r="O98" i="3"/>
  <c r="Q98" i="3" s="1"/>
  <c r="O99" i="3"/>
  <c r="Q99" i="3" s="1"/>
  <c r="O100" i="3"/>
  <c r="Q100" i="3" s="1"/>
  <c r="O101" i="3"/>
  <c r="Q101" i="3" s="1"/>
  <c r="O102" i="3"/>
  <c r="Q102" i="3" s="1"/>
  <c r="O103" i="3"/>
  <c r="Q103" i="3" s="1"/>
  <c r="O104" i="3"/>
  <c r="Q104" i="3" s="1"/>
  <c r="O105" i="3"/>
  <c r="Q105" i="3" s="1"/>
  <c r="O106" i="3"/>
  <c r="Q106" i="3" s="1"/>
  <c r="O107" i="3"/>
  <c r="Q107" i="3" s="1"/>
  <c r="O108" i="3"/>
  <c r="Q108" i="3" s="1"/>
  <c r="O109" i="3"/>
  <c r="Q109" i="3" s="1"/>
  <c r="O110" i="3"/>
  <c r="Q110" i="3" s="1"/>
  <c r="O111" i="3"/>
  <c r="Q111" i="3" s="1"/>
  <c r="O112" i="3"/>
  <c r="Q112" i="3" s="1"/>
  <c r="O113" i="3"/>
  <c r="Q113" i="3" s="1"/>
  <c r="O114" i="3"/>
  <c r="Q114" i="3" s="1"/>
  <c r="O115" i="3"/>
  <c r="Q115" i="3" s="1"/>
  <c r="O116" i="3"/>
  <c r="Q116" i="3" s="1"/>
  <c r="O117" i="3"/>
  <c r="Q117" i="3" s="1"/>
  <c r="O118" i="3"/>
  <c r="Q118" i="3" s="1"/>
  <c r="O119" i="3"/>
  <c r="Q119" i="3" s="1"/>
  <c r="O120" i="3"/>
  <c r="Q120" i="3" s="1"/>
  <c r="O121" i="3"/>
  <c r="Q121" i="3" s="1"/>
  <c r="O122" i="3"/>
  <c r="Q122" i="3" s="1"/>
  <c r="O123" i="3"/>
  <c r="Q123" i="3" s="1"/>
  <c r="O124" i="3"/>
  <c r="Q124" i="3" s="1"/>
  <c r="O125" i="3"/>
  <c r="Q125" i="3" s="1"/>
  <c r="O126" i="3"/>
  <c r="Q126" i="3" s="1"/>
  <c r="O127" i="3"/>
  <c r="Q127" i="3" s="1"/>
  <c r="O128" i="3"/>
  <c r="Q128" i="3" s="1"/>
  <c r="O129" i="3"/>
  <c r="Q129" i="3" s="1"/>
  <c r="O130" i="3"/>
  <c r="Q130" i="3" s="1"/>
  <c r="O131" i="3"/>
  <c r="Q131" i="3" s="1"/>
  <c r="O132" i="3"/>
  <c r="Q132" i="3" s="1"/>
  <c r="O133" i="3"/>
  <c r="Q133" i="3" s="1"/>
  <c r="O134" i="3"/>
  <c r="Q134" i="3" s="1"/>
  <c r="O135" i="3"/>
  <c r="Q135" i="3" s="1"/>
  <c r="O136" i="3"/>
  <c r="Q136" i="3" s="1"/>
  <c r="O137" i="3"/>
  <c r="Q137" i="3" s="1"/>
  <c r="O138" i="3"/>
  <c r="Q138" i="3" s="1"/>
  <c r="O139" i="3"/>
  <c r="Q139" i="3" s="1"/>
  <c r="O140" i="3"/>
  <c r="Q140" i="3" s="1"/>
  <c r="O141" i="3"/>
  <c r="Q141" i="3" s="1"/>
  <c r="O142" i="3"/>
  <c r="Q142" i="3" s="1"/>
  <c r="O143" i="3"/>
  <c r="Q143" i="3" s="1"/>
  <c r="O144" i="3"/>
  <c r="Q144" i="3" s="1"/>
  <c r="O145" i="3"/>
  <c r="Q145" i="3" s="1"/>
  <c r="Q146" i="3"/>
  <c r="O147" i="3"/>
  <c r="Q147" i="3" s="1"/>
  <c r="O148" i="3"/>
  <c r="Q148" i="3" s="1"/>
  <c r="O149" i="3"/>
  <c r="Q149" i="3" s="1"/>
  <c r="O150" i="3"/>
  <c r="Q150" i="3" s="1"/>
  <c r="O19" i="3"/>
  <c r="Q19" i="3" s="1"/>
  <c r="Q20" i="3"/>
  <c r="Q21" i="3"/>
  <c r="K281" i="3" l="1"/>
  <c r="L281" i="3" s="1"/>
  <c r="M280" i="3"/>
  <c r="O280" i="3" s="1"/>
  <c r="Q280" i="3" s="1"/>
  <c r="K280" i="3"/>
  <c r="L280" i="3" s="1"/>
  <c r="K279" i="3"/>
  <c r="L279" i="3" s="1"/>
  <c r="K278" i="3"/>
  <c r="L278" i="3" s="1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L269" i="3" s="1"/>
  <c r="K268" i="3"/>
  <c r="L268" i="3" s="1"/>
  <c r="K267" i="3"/>
  <c r="L267" i="3" s="1"/>
  <c r="K266" i="3"/>
  <c r="L266" i="3" s="1"/>
  <c r="K265" i="3"/>
  <c r="L265" i="3" s="1"/>
  <c r="K264" i="3"/>
  <c r="L264" i="3" s="1"/>
  <c r="K263" i="3"/>
  <c r="L263" i="3" s="1"/>
  <c r="K262" i="3"/>
  <c r="L262" i="3" s="1"/>
  <c r="AA278" i="1"/>
  <c r="V278" i="1"/>
  <c r="W278" i="1" s="1"/>
  <c r="AA277" i="1"/>
  <c r="V277" i="1"/>
  <c r="W277" i="1" s="1"/>
  <c r="AA276" i="1"/>
  <c r="V276" i="1"/>
  <c r="W276" i="1" s="1"/>
  <c r="AA275" i="1"/>
  <c r="V275" i="1"/>
  <c r="W275" i="1" s="1"/>
  <c r="AA274" i="1"/>
  <c r="V274" i="1"/>
  <c r="W274" i="1" s="1"/>
  <c r="AA273" i="1"/>
  <c r="V273" i="1"/>
  <c r="W273" i="1" s="1"/>
  <c r="AA272" i="1"/>
  <c r="V272" i="1"/>
  <c r="W272" i="1" s="1"/>
  <c r="AA271" i="1"/>
  <c r="V271" i="1"/>
  <c r="W271" i="1" s="1"/>
  <c r="AA270" i="1"/>
  <c r="V270" i="1"/>
  <c r="W270" i="1" s="1"/>
  <c r="AA269" i="1"/>
  <c r="V269" i="1"/>
  <c r="W269" i="1" s="1"/>
  <c r="AA268" i="1"/>
  <c r="V268" i="1"/>
  <c r="W268" i="1" s="1"/>
  <c r="AA267" i="1"/>
  <c r="V267" i="1"/>
  <c r="W267" i="1" s="1"/>
  <c r="K261" i="3"/>
  <c r="L261" i="3" s="1"/>
  <c r="K260" i="3"/>
  <c r="L260" i="3" s="1"/>
  <c r="K259" i="3"/>
  <c r="L259" i="3" s="1"/>
  <c r="K258" i="3"/>
  <c r="L258" i="3" s="1"/>
  <c r="K257" i="3"/>
  <c r="L257" i="3" s="1"/>
  <c r="K256" i="3"/>
  <c r="L256" i="3" s="1"/>
  <c r="K255" i="3"/>
  <c r="L255" i="3" s="1"/>
  <c r="K254" i="3"/>
  <c r="L254" i="3" s="1"/>
  <c r="K253" i="3"/>
  <c r="L253" i="3" s="1"/>
  <c r="K252" i="3"/>
  <c r="L252" i="3" s="1"/>
  <c r="K251" i="3"/>
  <c r="L251" i="3" s="1"/>
  <c r="K250" i="3"/>
  <c r="L250" i="3" s="1"/>
  <c r="K249" i="3"/>
  <c r="L249" i="3" s="1"/>
  <c r="K248" i="3"/>
  <c r="L248" i="3" s="1"/>
  <c r="K247" i="3"/>
  <c r="L247" i="3" s="1"/>
  <c r="K246" i="3"/>
  <c r="L246" i="3" s="1"/>
  <c r="K245" i="3"/>
  <c r="L245" i="3" s="1"/>
  <c r="K244" i="3"/>
  <c r="L244" i="3" s="1"/>
  <c r="K243" i="3"/>
  <c r="L243" i="3" s="1"/>
  <c r="K242" i="3"/>
  <c r="L242" i="3" s="1"/>
  <c r="K241" i="3"/>
  <c r="L241" i="3" s="1"/>
  <c r="K240" i="3"/>
  <c r="L240" i="3" s="1"/>
  <c r="K239" i="3"/>
  <c r="L239" i="3" s="1"/>
  <c r="K238" i="3"/>
  <c r="L238" i="3" s="1"/>
  <c r="K237" i="3"/>
  <c r="L237" i="3" s="1"/>
  <c r="K236" i="3"/>
  <c r="L236" i="3" s="1"/>
  <c r="K235" i="3"/>
  <c r="L235" i="3" s="1"/>
  <c r="K234" i="3"/>
  <c r="L234" i="3" s="1"/>
  <c r="K233" i="3"/>
  <c r="L233" i="3" s="1"/>
  <c r="K232" i="3"/>
  <c r="L232" i="3" s="1"/>
  <c r="K231" i="3"/>
  <c r="L231" i="3" s="1"/>
  <c r="K230" i="3"/>
  <c r="L230" i="3" s="1"/>
  <c r="K229" i="3"/>
  <c r="L229" i="3" s="1"/>
  <c r="AA226" i="1" l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V266" i="1" l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L189" i="1" l="1"/>
  <c r="AA189" i="1" s="1"/>
  <c r="L225" i="1"/>
  <c r="AA225" i="1" s="1"/>
  <c r="L91" i="1"/>
  <c r="AA91" i="1" s="1"/>
  <c r="L92" i="1"/>
  <c r="AA92" i="1" s="1"/>
  <c r="L93" i="1"/>
  <c r="AA93" i="1" s="1"/>
  <c r="L94" i="1"/>
  <c r="AA94" i="1" s="1"/>
  <c r="L95" i="1"/>
  <c r="AA95" i="1" s="1"/>
  <c r="L96" i="1"/>
  <c r="AA96" i="1" s="1"/>
  <c r="L97" i="1"/>
  <c r="AA97" i="1" s="1"/>
  <c r="L98" i="1"/>
  <c r="AA98" i="1" s="1"/>
  <c r="L99" i="1"/>
  <c r="AA99" i="1" s="1"/>
  <c r="L100" i="1"/>
  <c r="AA100" i="1" s="1"/>
  <c r="L101" i="1"/>
  <c r="AA101" i="1" s="1"/>
  <c r="L102" i="1"/>
  <c r="AA102" i="1" s="1"/>
  <c r="L103" i="1"/>
  <c r="AA103" i="1" s="1"/>
  <c r="L104" i="1"/>
  <c r="AA104" i="1" s="1"/>
  <c r="L105" i="1"/>
  <c r="AA105" i="1" s="1"/>
  <c r="L106" i="1"/>
  <c r="AA106" i="1" s="1"/>
  <c r="L107" i="1"/>
  <c r="AA107" i="1" s="1"/>
  <c r="L108" i="1"/>
  <c r="AA108" i="1" s="1"/>
  <c r="L109" i="1"/>
  <c r="AA109" i="1" s="1"/>
  <c r="L110" i="1"/>
  <c r="AA110" i="1" s="1"/>
  <c r="L111" i="1"/>
  <c r="AA111" i="1" s="1"/>
  <c r="L112" i="1"/>
  <c r="AA112" i="1" s="1"/>
  <c r="L113" i="1"/>
  <c r="AA113" i="1" s="1"/>
  <c r="L114" i="1"/>
  <c r="AA114" i="1" s="1"/>
  <c r="L115" i="1"/>
  <c r="AA115" i="1" s="1"/>
  <c r="L116" i="1"/>
  <c r="AA116" i="1" s="1"/>
  <c r="L117" i="1"/>
  <c r="AA117" i="1" s="1"/>
  <c r="L118" i="1"/>
  <c r="AA118" i="1" s="1"/>
  <c r="L119" i="1"/>
  <c r="AA119" i="1" s="1"/>
  <c r="L120" i="1"/>
  <c r="AA120" i="1" s="1"/>
  <c r="AA121" i="1"/>
  <c r="L122" i="1"/>
  <c r="AA122" i="1" s="1"/>
  <c r="L123" i="1"/>
  <c r="AA123" i="1" s="1"/>
  <c r="L124" i="1"/>
  <c r="AA124" i="1" s="1"/>
  <c r="L125" i="1"/>
  <c r="AA125" i="1" s="1"/>
  <c r="L126" i="1"/>
  <c r="AA126" i="1" s="1"/>
  <c r="L127" i="1"/>
  <c r="AA127" i="1" s="1"/>
  <c r="L128" i="1"/>
  <c r="AA128" i="1" s="1"/>
  <c r="L129" i="1"/>
  <c r="AA129" i="1" s="1"/>
  <c r="L130" i="1"/>
  <c r="AA130" i="1" s="1"/>
  <c r="L131" i="1"/>
  <c r="AA131" i="1" s="1"/>
  <c r="L132" i="1"/>
  <c r="AA132" i="1" s="1"/>
  <c r="L133" i="1"/>
  <c r="AA133" i="1" s="1"/>
  <c r="L134" i="1"/>
  <c r="AA134" i="1" s="1"/>
  <c r="L135" i="1"/>
  <c r="AA135" i="1" s="1"/>
  <c r="L136" i="1"/>
  <c r="AA136" i="1" s="1"/>
  <c r="L137" i="1"/>
  <c r="AA137" i="1" s="1"/>
  <c r="L138" i="1"/>
  <c r="AA138" i="1" s="1"/>
  <c r="L139" i="1"/>
  <c r="AA139" i="1" s="1"/>
  <c r="L140" i="1"/>
  <c r="AA140" i="1" s="1"/>
  <c r="L141" i="1"/>
  <c r="AA141" i="1" s="1"/>
  <c r="L142" i="1"/>
  <c r="AA142" i="1" s="1"/>
  <c r="L143" i="1"/>
  <c r="AA143" i="1" s="1"/>
  <c r="L144" i="1"/>
  <c r="AA144" i="1" s="1"/>
  <c r="L145" i="1"/>
  <c r="AA145" i="1" s="1"/>
  <c r="L146" i="1"/>
  <c r="AA146" i="1" s="1"/>
  <c r="L147" i="1"/>
  <c r="AA147" i="1" s="1"/>
  <c r="L148" i="1"/>
  <c r="AA148" i="1" s="1"/>
  <c r="L149" i="1"/>
  <c r="AA149" i="1" s="1"/>
  <c r="L150" i="1"/>
  <c r="AA150" i="1" s="1"/>
  <c r="L151" i="1"/>
  <c r="AA151" i="1" s="1"/>
  <c r="L152" i="1"/>
  <c r="AA152" i="1" s="1"/>
  <c r="L153" i="1"/>
  <c r="AA153" i="1" s="1"/>
  <c r="L154" i="1"/>
  <c r="AA154" i="1" s="1"/>
  <c r="L155" i="1"/>
  <c r="AA155" i="1" s="1"/>
  <c r="L156" i="1"/>
  <c r="AA156" i="1" s="1"/>
  <c r="L157" i="1"/>
  <c r="AA157" i="1" s="1"/>
  <c r="L158" i="1"/>
  <c r="AA158" i="1" s="1"/>
  <c r="L159" i="1"/>
  <c r="AA159" i="1" s="1"/>
  <c r="L160" i="1"/>
  <c r="AA160" i="1" s="1"/>
  <c r="L161" i="1"/>
  <c r="AA161" i="1" s="1"/>
  <c r="L162" i="1"/>
  <c r="AA162" i="1" s="1"/>
  <c r="L163" i="1"/>
  <c r="AA163" i="1" s="1"/>
  <c r="L164" i="1"/>
  <c r="AA164" i="1" s="1"/>
  <c r="L165" i="1"/>
  <c r="AA165" i="1" s="1"/>
  <c r="L166" i="1"/>
  <c r="AA166" i="1" s="1"/>
  <c r="L167" i="1"/>
  <c r="AA167" i="1" s="1"/>
  <c r="L168" i="1"/>
  <c r="AA168" i="1" s="1"/>
  <c r="L170" i="1"/>
  <c r="AA170" i="1" s="1"/>
  <c r="L171" i="1"/>
  <c r="AA171" i="1" s="1"/>
  <c r="L172" i="1"/>
  <c r="AA172" i="1" s="1"/>
  <c r="L173" i="1"/>
  <c r="AA173" i="1" s="1"/>
  <c r="L174" i="1"/>
  <c r="AA174" i="1" s="1"/>
  <c r="L175" i="1"/>
  <c r="AA175" i="1" s="1"/>
  <c r="L176" i="1"/>
  <c r="AA176" i="1" s="1"/>
  <c r="L177" i="1"/>
  <c r="AA177" i="1" s="1"/>
  <c r="L178" i="1"/>
  <c r="AA178" i="1" s="1"/>
  <c r="L169" i="1"/>
  <c r="AA169" i="1" s="1"/>
  <c r="L180" i="1"/>
  <c r="AA180" i="1" s="1"/>
  <c r="L181" i="1"/>
  <c r="AA181" i="1" s="1"/>
  <c r="L182" i="1"/>
  <c r="AA182" i="1" s="1"/>
  <c r="L183" i="1"/>
  <c r="AA183" i="1" s="1"/>
  <c r="L184" i="1"/>
  <c r="AA184" i="1" s="1"/>
  <c r="L185" i="1"/>
  <c r="AA185" i="1" s="1"/>
  <c r="L186" i="1"/>
  <c r="AA186" i="1" s="1"/>
  <c r="L187" i="1"/>
  <c r="AA187" i="1" s="1"/>
  <c r="L188" i="1"/>
  <c r="AA188" i="1" s="1"/>
  <c r="L190" i="1"/>
  <c r="AA190" i="1" s="1"/>
  <c r="L191" i="1"/>
  <c r="AA191" i="1" s="1"/>
  <c r="L192" i="1"/>
  <c r="AA192" i="1" s="1"/>
  <c r="L193" i="1"/>
  <c r="AA193" i="1" s="1"/>
  <c r="L194" i="1"/>
  <c r="AA194" i="1" s="1"/>
  <c r="L195" i="1"/>
  <c r="AA195" i="1" s="1"/>
  <c r="L196" i="1"/>
  <c r="AA196" i="1" s="1"/>
  <c r="L197" i="1"/>
  <c r="AA197" i="1" s="1"/>
  <c r="L198" i="1"/>
  <c r="AA198" i="1" s="1"/>
  <c r="L199" i="1"/>
  <c r="AA199" i="1" s="1"/>
  <c r="L200" i="1"/>
  <c r="AA200" i="1" s="1"/>
  <c r="L201" i="1"/>
  <c r="AA201" i="1" s="1"/>
  <c r="L202" i="1"/>
  <c r="AA202" i="1" s="1"/>
  <c r="L203" i="1"/>
  <c r="AA203" i="1" s="1"/>
  <c r="L204" i="1"/>
  <c r="AA204" i="1" s="1"/>
  <c r="L205" i="1"/>
  <c r="AA205" i="1" s="1"/>
  <c r="L206" i="1"/>
  <c r="AA206" i="1" s="1"/>
  <c r="L207" i="1"/>
  <c r="AA207" i="1" s="1"/>
  <c r="L208" i="1"/>
  <c r="AA208" i="1" s="1"/>
  <c r="L209" i="1"/>
  <c r="AA209" i="1" s="1"/>
  <c r="L210" i="1"/>
  <c r="AA210" i="1" s="1"/>
  <c r="L211" i="1"/>
  <c r="AA211" i="1" s="1"/>
  <c r="L212" i="1"/>
  <c r="AA212" i="1" s="1"/>
  <c r="L213" i="1"/>
  <c r="AA213" i="1" s="1"/>
  <c r="L214" i="1"/>
  <c r="AA214" i="1" s="1"/>
  <c r="L215" i="1"/>
  <c r="AA215" i="1" s="1"/>
  <c r="L216" i="1"/>
  <c r="AA216" i="1" s="1"/>
  <c r="L217" i="1"/>
  <c r="AA217" i="1" s="1"/>
  <c r="L218" i="1"/>
  <c r="AA218" i="1" s="1"/>
  <c r="L219" i="1"/>
  <c r="AA219" i="1" s="1"/>
  <c r="L220" i="1"/>
  <c r="AA220" i="1" s="1"/>
  <c r="L221" i="1"/>
  <c r="AA221" i="1" s="1"/>
  <c r="L222" i="1"/>
  <c r="AA222" i="1" s="1"/>
  <c r="L223" i="1"/>
  <c r="AA223" i="1" s="1"/>
  <c r="L224" i="1"/>
  <c r="AA224" i="1" s="1"/>
  <c r="K228" i="3" l="1"/>
  <c r="L228" i="3" s="1"/>
  <c r="K227" i="3"/>
  <c r="L227" i="3" s="1"/>
  <c r="K226" i="3"/>
  <c r="L226" i="3" s="1"/>
  <c r="K225" i="3"/>
  <c r="L225" i="3" s="1"/>
  <c r="K224" i="3"/>
  <c r="L224" i="3" s="1"/>
  <c r="K223" i="3"/>
  <c r="L223" i="3" s="1"/>
  <c r="K222" i="3"/>
  <c r="L222" i="3" s="1"/>
  <c r="K221" i="3"/>
  <c r="L221" i="3" s="1"/>
  <c r="K220" i="3"/>
  <c r="L220" i="3" s="1"/>
  <c r="K219" i="3"/>
  <c r="L219" i="3" s="1"/>
  <c r="K218" i="3"/>
  <c r="L218" i="3" s="1"/>
  <c r="K217" i="3"/>
  <c r="L217" i="3" s="1"/>
  <c r="K216" i="3"/>
  <c r="L216" i="3" s="1"/>
  <c r="K215" i="3"/>
  <c r="L215" i="3" s="1"/>
  <c r="K214" i="3"/>
  <c r="L214" i="3" s="1"/>
  <c r="K213" i="3"/>
  <c r="L213" i="3" s="1"/>
  <c r="K212" i="3"/>
  <c r="L212" i="3" s="1"/>
  <c r="K211" i="3"/>
  <c r="L211" i="3" s="1"/>
  <c r="K210" i="3"/>
  <c r="L210" i="3" s="1"/>
  <c r="K209" i="3"/>
  <c r="L209" i="3" s="1"/>
  <c r="K208" i="3"/>
  <c r="L208" i="3" s="1"/>
  <c r="K207" i="3"/>
  <c r="L207" i="3" s="1"/>
  <c r="K206" i="3"/>
  <c r="L206" i="3" s="1"/>
  <c r="K205" i="3"/>
  <c r="L205" i="3" s="1"/>
  <c r="K204" i="3"/>
  <c r="L204" i="3" s="1"/>
  <c r="K203" i="3"/>
  <c r="L203" i="3" s="1"/>
  <c r="K202" i="3"/>
  <c r="L202" i="3" s="1"/>
  <c r="K201" i="3"/>
  <c r="L201" i="3" s="1"/>
  <c r="K200" i="3"/>
  <c r="L200" i="3" s="1"/>
  <c r="K199" i="3"/>
  <c r="L199" i="3" s="1"/>
  <c r="K198" i="3"/>
  <c r="L198" i="3" s="1"/>
  <c r="K197" i="3"/>
  <c r="L197" i="3" s="1"/>
  <c r="K196" i="3"/>
  <c r="L196" i="3" s="1"/>
  <c r="K195" i="3"/>
  <c r="L195" i="3" s="1"/>
  <c r="K194" i="3"/>
  <c r="L194" i="3" s="1"/>
  <c r="K193" i="3"/>
  <c r="L193" i="3" s="1"/>
  <c r="K192" i="3"/>
  <c r="L192" i="3" s="1"/>
  <c r="K191" i="3"/>
  <c r="L191" i="3" s="1"/>
  <c r="K190" i="3"/>
  <c r="L190" i="3" s="1"/>
  <c r="K189" i="3"/>
  <c r="L189" i="3" s="1"/>
  <c r="K188" i="3"/>
  <c r="L188" i="3" s="1"/>
  <c r="K187" i="3"/>
  <c r="L187" i="3" s="1"/>
  <c r="K186" i="3"/>
  <c r="L186" i="3" s="1"/>
  <c r="K185" i="3"/>
  <c r="L185" i="3" s="1"/>
  <c r="K184" i="3"/>
  <c r="L184" i="3" s="1"/>
  <c r="K183" i="3"/>
  <c r="L183" i="3" s="1"/>
  <c r="K182" i="3"/>
  <c r="L182" i="3" s="1"/>
  <c r="K181" i="3"/>
  <c r="L181" i="3" s="1"/>
  <c r="K180" i="3"/>
  <c r="L180" i="3" s="1"/>
  <c r="K179" i="3"/>
  <c r="L179" i="3" s="1"/>
  <c r="K178" i="3"/>
  <c r="L178" i="3" s="1"/>
  <c r="K177" i="3"/>
  <c r="L177" i="3" s="1"/>
  <c r="K176" i="3"/>
  <c r="L176" i="3" s="1"/>
  <c r="K175" i="3"/>
  <c r="L175" i="3" s="1"/>
  <c r="K174" i="3"/>
  <c r="L174" i="3" s="1"/>
  <c r="K173" i="3"/>
  <c r="L173" i="3" s="1"/>
  <c r="K172" i="3"/>
  <c r="L172" i="3" s="1"/>
  <c r="K171" i="3"/>
  <c r="L171" i="3" s="1"/>
  <c r="K170" i="3"/>
  <c r="L170" i="3" s="1"/>
  <c r="K169" i="3"/>
  <c r="L169" i="3" s="1"/>
  <c r="K168" i="3"/>
  <c r="L168" i="3" s="1"/>
  <c r="K167" i="3"/>
  <c r="L167" i="3" s="1"/>
  <c r="K166" i="3"/>
  <c r="L166" i="3" s="1"/>
  <c r="K165" i="3"/>
  <c r="L165" i="3" s="1"/>
  <c r="K164" i="3"/>
  <c r="L164" i="3" s="1"/>
  <c r="K163" i="3"/>
  <c r="L163" i="3" s="1"/>
  <c r="K162" i="3"/>
  <c r="L162" i="3" s="1"/>
  <c r="K161" i="3"/>
  <c r="L161" i="3" s="1"/>
  <c r="K160" i="3"/>
  <c r="L160" i="3" s="1"/>
  <c r="K159" i="3"/>
  <c r="L159" i="3" s="1"/>
  <c r="K158" i="3"/>
  <c r="L158" i="3" s="1"/>
  <c r="K157" i="3"/>
  <c r="L157" i="3" s="1"/>
  <c r="K156" i="3"/>
  <c r="L156" i="3" s="1"/>
  <c r="K155" i="3"/>
  <c r="L155" i="3" s="1"/>
  <c r="K154" i="3"/>
  <c r="L154" i="3" s="1"/>
  <c r="K153" i="3"/>
  <c r="L153" i="3" s="1"/>
  <c r="K152" i="3"/>
  <c r="L152" i="3" s="1"/>
  <c r="K151" i="3"/>
  <c r="L151" i="3" s="1"/>
  <c r="K150" i="3"/>
  <c r="L150" i="3" s="1"/>
  <c r="K149" i="3"/>
  <c r="L149" i="3" s="1"/>
  <c r="V224" i="1" l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V210" i="1"/>
  <c r="W210" i="1" s="1"/>
  <c r="V209" i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V198" i="1"/>
  <c r="W198" i="1" s="1"/>
  <c r="V197" i="1"/>
  <c r="W197" i="1" s="1"/>
  <c r="K139" i="3" l="1"/>
  <c r="L139" i="3" s="1"/>
  <c r="K138" i="3"/>
  <c r="L138" i="3" s="1"/>
  <c r="K137" i="3"/>
  <c r="L137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06" i="3"/>
  <c r="L106" i="3" s="1"/>
  <c r="K105" i="3"/>
  <c r="L105" i="3" s="1"/>
  <c r="K104" i="3"/>
  <c r="L104" i="3" s="1"/>
  <c r="K103" i="3"/>
  <c r="L103" i="3" s="1"/>
  <c r="K102" i="3"/>
  <c r="L102" i="3" s="1"/>
  <c r="K101" i="3"/>
  <c r="L101" i="3" s="1"/>
  <c r="K100" i="3"/>
  <c r="L100" i="3" s="1"/>
  <c r="K99" i="3"/>
  <c r="L99" i="3" s="1"/>
  <c r="K98" i="3"/>
  <c r="L98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V196" i="1" l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/>
  <c r="W185" i="1" s="1"/>
  <c r="V184" i="1"/>
  <c r="W184" i="1" s="1"/>
  <c r="V183" i="1"/>
  <c r="W183" i="1" s="1"/>
  <c r="V182" i="1"/>
  <c r="W182" i="1" s="1"/>
  <c r="V181" i="1"/>
  <c r="W181" i="1" s="1"/>
  <c r="V180" i="1"/>
  <c r="W180" i="1" s="1"/>
  <c r="T169" i="1"/>
  <c r="V169" i="1" s="1"/>
  <c r="W169" i="1" s="1"/>
  <c r="T178" i="1"/>
  <c r="V178" i="1" s="1"/>
  <c r="W178" i="1" s="1"/>
  <c r="V177" i="1"/>
  <c r="W177" i="1" s="1"/>
  <c r="V176" i="1"/>
  <c r="W176" i="1" s="1"/>
  <c r="T175" i="1"/>
  <c r="V175" i="1" s="1"/>
  <c r="W175" i="1" s="1"/>
  <c r="V174" i="1"/>
  <c r="W174" i="1" s="1"/>
  <c r="V173" i="1"/>
  <c r="W173" i="1" s="1"/>
  <c r="V172" i="1"/>
  <c r="W172" i="1" s="1"/>
  <c r="V171" i="1"/>
  <c r="W171" i="1" s="1"/>
  <c r="V170" i="1"/>
  <c r="W170" i="1" s="1"/>
  <c r="V168" i="1"/>
  <c r="W168" i="1" s="1"/>
  <c r="V167" i="1"/>
  <c r="W167" i="1" s="1"/>
  <c r="V166" i="1"/>
  <c r="W166" i="1" s="1"/>
  <c r="V165" i="1"/>
  <c r="W165" i="1" s="1"/>
  <c r="T164" i="1"/>
  <c r="V164" i="1" s="1"/>
  <c r="W164" i="1" s="1"/>
  <c r="V163" i="1"/>
  <c r="W163" i="1" s="1"/>
  <c r="V162" i="1"/>
  <c r="W162" i="1" s="1"/>
  <c r="V161" i="1"/>
  <c r="W161" i="1" s="1"/>
  <c r="V160" i="1"/>
  <c r="W160" i="1" s="1"/>
  <c r="V159" i="1"/>
  <c r="W159" i="1" s="1"/>
  <c r="T158" i="1"/>
  <c r="V158" i="1" s="1"/>
  <c r="W158" i="1" s="1"/>
  <c r="T157" i="1"/>
  <c r="V157" i="1" s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T145" i="1"/>
  <c r="V145" i="1" s="1"/>
  <c r="W145" i="1" s="1"/>
  <c r="G7" i="2" l="1"/>
  <c r="F9" i="2"/>
  <c r="F13" i="2"/>
  <c r="F8" i="2"/>
  <c r="J81" i="1"/>
  <c r="AA81" i="1" s="1"/>
  <c r="J43" i="1"/>
  <c r="AA43" i="1" s="1"/>
  <c r="J75" i="1"/>
  <c r="AA75" i="1" s="1"/>
  <c r="M35" i="1" l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K89" i="3" l="1"/>
  <c r="L89" i="3" s="1"/>
  <c r="K88" i="3"/>
  <c r="L88" i="3" s="1"/>
  <c r="K87" i="3"/>
  <c r="L87" i="3" s="1"/>
  <c r="K86" i="3"/>
  <c r="L86" i="3" s="1"/>
  <c r="K85" i="3"/>
  <c r="L85" i="3" s="1"/>
  <c r="K84" i="3"/>
  <c r="L84" i="3" s="1"/>
  <c r="K83" i="3"/>
  <c r="L83" i="3" s="1"/>
  <c r="K82" i="3"/>
  <c r="L82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73" i="3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20" i="3"/>
  <c r="L20" i="3" s="1"/>
  <c r="K19" i="3"/>
  <c r="L19" i="3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V134" i="1"/>
  <c r="W134" i="1" s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V121" i="1"/>
  <c r="W121" i="1" s="1"/>
  <c r="V120" i="1"/>
  <c r="W120" i="1" s="1"/>
  <c r="V119" i="1"/>
  <c r="W119" i="1" s="1"/>
  <c r="V118" i="1"/>
  <c r="W118" i="1" s="1"/>
  <c r="W117" i="1"/>
  <c r="V116" i="1"/>
  <c r="W116" i="1" s="1"/>
  <c r="V115" i="1"/>
  <c r="W115" i="1" s="1"/>
  <c r="V114" i="1"/>
  <c r="W114" i="1" s="1"/>
  <c r="V113" i="1"/>
  <c r="W113" i="1" s="1"/>
  <c r="V112" i="1"/>
  <c r="W112" i="1" s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V103" i="1"/>
  <c r="W103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1" i="1"/>
  <c r="W91" i="1" s="1"/>
  <c r="V92" i="1"/>
  <c r="W92" i="1" s="1"/>
  <c r="V93" i="1"/>
  <c r="W93" i="1" s="1"/>
  <c r="Q13" i="3"/>
  <c r="Q12" i="3"/>
  <c r="O18" i="3"/>
  <c r="Q18" i="3" s="1"/>
  <c r="O14" i="3"/>
  <c r="Q14" i="3" s="1"/>
  <c r="Q15" i="3"/>
  <c r="O16" i="3"/>
  <c r="Q16" i="3" s="1"/>
  <c r="O17" i="3"/>
  <c r="Q17" i="3" s="1"/>
  <c r="G3" i="2"/>
  <c r="G4" i="2"/>
  <c r="G5" i="2"/>
  <c r="G6" i="2"/>
  <c r="G8" i="2"/>
  <c r="G9" i="2"/>
  <c r="G10" i="2"/>
  <c r="G11" i="2"/>
  <c r="G12" i="2"/>
  <c r="G13" i="2"/>
  <c r="G2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M28" i="1"/>
  <c r="M29" i="1"/>
  <c r="M30" i="1"/>
  <c r="M31" i="1"/>
  <c r="M32" i="1"/>
  <c r="M33" i="1"/>
  <c r="M26" i="1"/>
  <c r="O11" i="3"/>
  <c r="Q11" i="3" s="1"/>
  <c r="O2" i="3"/>
  <c r="Q2" i="3" s="1"/>
  <c r="O3" i="3"/>
  <c r="Q3" i="3" s="1"/>
  <c r="O4" i="3"/>
  <c r="Q4" i="3" s="1"/>
  <c r="O7" i="3"/>
  <c r="Q7" i="3" s="1"/>
  <c r="O5" i="3"/>
  <c r="Q5" i="3" s="1"/>
  <c r="O6" i="3"/>
  <c r="Q6" i="3" s="1"/>
  <c r="O8" i="3"/>
  <c r="Q8" i="3" s="1"/>
  <c r="M10" i="3"/>
  <c r="O10" i="3" s="1"/>
  <c r="Q10" i="3" s="1"/>
  <c r="M9" i="3"/>
  <c r="O9" i="3" s="1"/>
  <c r="Q9" i="3" s="1"/>
</calcChain>
</file>

<file path=xl/sharedStrings.xml><?xml version="1.0" encoding="utf-8"?>
<sst xmlns="http://purl.oclc.org/ooxml/spreadsheetml/main" count="7880" uniqueCount="1220">
  <si>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</si>
  <si>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</si>
  <si>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</si>
  <si>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</si>
  <si>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</si>
  <si>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</si>
  <si>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</si>
  <si>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</si>
  <si>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</si>
  <si>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</si>
  <si>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</si>
  <si>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</si>
  <si>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UNK1 1</t>
  </si>
  <si>
    <t>Annona1 4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</si>
  <si>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</si>
  <si>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</si>
  <si>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</si>
  <si>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</si>
  <si>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</si>
  <si>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</si>
  <si>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</si>
  <si>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</si>
  <si>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</si>
  <si>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</si>
  <si>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</si>
  <si>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</si>
  <si>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</si>
  <si>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</si>
  <si>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</si>
  <si>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</si>
  <si>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</si>
  <si>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</si>
  <si>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</si>
  <si>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Subsample fresh leaf mass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</si>
  <si>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</si>
  <si>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</si>
  <si>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</si>
  <si>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</si>
  <si>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</si>
  <si>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</si>
  <si>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</si>
  <si>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</si>
  <si>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</si>
  <si>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</si>
  <si>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</si>
  <si>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</si>
  <si>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</si>
  <si>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</si>
  <si>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</si>
  <si>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</si>
  <si>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</si>
  <si>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</si>
  <si>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</si>
  <si>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</si>
  <si>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</si>
  <si>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</si>
  <si>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</si>
  <si>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</si>
  <si>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</si>
  <si>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</si>
  <si>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</si>
  <si>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</si>
  <si>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</si>
  <si>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</si>
  <si>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</si>
  <si>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</si>
  <si>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Diam axis 1</t>
  </si>
  <si>
    <t>Diam axis 2</t>
  </si>
  <si>
    <t>Diam 1 no bark</t>
  </si>
  <si>
    <t>Diam 2 no bark</t>
  </si>
  <si>
    <t>Pith diam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</si>
  <si>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</si>
  <si>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</si>
  <si>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</si>
  <si>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</si>
  <si>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</si>
  <si>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</si>
  <si>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</si>
  <si>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</si>
  <si>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</si>
  <si>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</si>
  <si>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</si>
  <si>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</si>
  <si>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</si>
  <si>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</si>
  <si>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</si>
  <si>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</si>
  <si>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</si>
  <si>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</si>
  <si>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</si>
  <si>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</si>
  <si>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</si>
  <si>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</si>
  <si>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</si>
  <si>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</si>
  <si>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</si>
  <si>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</si>
  <si>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</si>
  <si>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</si>
  <si>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</si>
  <si>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</si>
  <si>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</si>
  <si>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Unk1 2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</si>
  <si>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</si>
  <si>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</si>
  <si>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</si>
  <si>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</si>
  <si>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</si>
  <si>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</si>
  <si>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</si>
  <si>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</si>
  <si>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</si>
  <si>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</si>
  <si>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</si>
  <si>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</si>
  <si>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</si>
  <si>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</si>
  <si>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</si>
  <si>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</si>
  <si>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</si>
  <si>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</si>
  <si>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</si>
  <si>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</si>
  <si>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</si>
  <si>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</si>
  <si>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</si>
  <si>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</si>
  <si>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</si>
  <si>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</si>
  <si>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</si>
  <si>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</si>
  <si>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</si>
  <si>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</si>
  <si>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</si>
  <si>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</si>
  <si>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</si>
  <si>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</si>
  <si>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</si>
  <si>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</si>
  <si>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</si>
  <si>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</si>
  <si>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</si>
  <si>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</si>
  <si>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</si>
  <si>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</si>
  <si>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</si>
  <si>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</si>
  <si>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</si>
  <si>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</si>
  <si>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Subsample dry mass</t>
  </si>
  <si>
    <t>Other dry mass</t>
  </si>
  <si>
    <t>Total dry mass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</si>
  <si>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</si>
  <si>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</si>
  <si>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</si>
  <si>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</si>
  <si>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</si>
  <si>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</si>
  <si>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</si>
  <si>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</si>
  <si>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</si>
  <si>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</si>
  <si>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</si>
  <si>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</si>
  <si>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</si>
  <si>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</si>
  <si>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</si>
  <si>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</si>
  <si>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</si>
  <si>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</si>
  <si>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</si>
  <si>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</si>
  <si>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</si>
  <si>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</si>
  <si>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</si>
  <si>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</si>
  <si>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</si>
  <si>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</si>
  <si>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</si>
  <si>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</si>
  <si>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</si>
  <si>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</si>
  <si>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</si>
  <si>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</si>
  <si>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</si>
  <si>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Myrcine ferruginea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</si>
  <si>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</si>
  <si>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</si>
  <si>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</si>
  <si>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</si>
  <si>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</si>
  <si>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</si>
  <si>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</si>
  <si>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</si>
  <si>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</si>
  <si>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</si>
  <si>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</si>
  <si>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</si>
  <si>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</si>
  <si>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</si>
  <si>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</si>
  <si>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</si>
  <si>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</si>
  <si>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</si>
  <si>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</si>
  <si>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</si>
  <si>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</si>
  <si>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</si>
  <si>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</si>
  <si>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</si>
  <si>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</si>
  <si>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</si>
  <si>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</si>
  <si>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</si>
  <si>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</si>
  <si>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</si>
  <si>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</si>
  <si>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</si>
  <si>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</si>
  <si>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</si>
  <si>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</si>
  <si>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</si>
  <si>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</si>
  <si>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</si>
  <si>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</si>
  <si>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</si>
  <si>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</si>
  <si>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</si>
  <si>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</si>
  <si>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</si>
  <si>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</si>
  <si>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</si>
  <si>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</si>
  <si>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</si>
  <si>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</si>
  <si>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</si>
  <si>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</si>
  <si>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</si>
  <si>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</si>
  <si>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</si>
  <si>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</si>
  <si>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</si>
  <si>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</si>
  <si>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</si>
  <si>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</si>
  <si>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</si>
  <si>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</si>
  <si>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</si>
  <si>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</si>
  <si>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</si>
  <si>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</si>
  <si>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</si>
  <si>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</si>
  <si>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</si>
  <si>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</si>
  <si>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</si>
  <si>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</si>
  <si>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</si>
  <si>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</si>
  <si>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</si>
  <si>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</si>
  <si>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</si>
  <si>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</si>
  <si>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</si>
  <si>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</si>
  <si>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</si>
  <si>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</si>
  <si>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</si>
  <si>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</si>
  <si>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</si>
  <si>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</si>
  <si>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</si>
  <si>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</si>
  <si>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</si>
  <si>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</si>
  <si>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</si>
  <si>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</si>
  <si>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</si>
  <si>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</si>
  <si>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</si>
  <si>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</si>
  <si>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</si>
  <si>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</si>
  <si>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</si>
  <si>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</si>
  <si>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</si>
  <si>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</si>
  <si>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</si>
  <si>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</si>
  <si>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</si>
  <si>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</si>
  <si>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</si>
  <si>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</si>
  <si>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</si>
  <si>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</si>
  <si>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</si>
  <si>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</si>
  <si>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</si>
  <si>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</si>
  <si>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</si>
  <si>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</si>
  <si>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</si>
  <si>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</si>
  <si>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</si>
  <si>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</si>
  <si>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</si>
  <si>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</si>
  <si>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</si>
  <si>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</si>
  <si>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</si>
  <si>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</si>
  <si>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</si>
  <si>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</si>
  <si>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</si>
  <si>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</si>
  <si>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</si>
  <si>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</si>
  <si>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</si>
  <si>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</si>
  <si>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</si>
  <si>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</si>
  <si>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</si>
  <si>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</si>
  <si>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</si>
  <si>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</si>
  <si>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</si>
  <si>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</si>
  <si>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</si>
  <si>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</si>
  <si>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</si>
  <si>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</si>
  <si>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</si>
  <si>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</si>
  <si>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</si>
  <si>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</si>
  <si>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</si>
  <si>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</si>
  <si>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</si>
  <si>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</si>
  <si>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</si>
  <si>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</si>
  <si>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</si>
  <si>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</si>
  <si>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</si>
  <si>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</si>
  <si>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</si>
  <si>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</si>
  <si>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</si>
  <si>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</si>
  <si>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</si>
  <si>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</si>
  <si>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</si>
  <si>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</si>
  <si>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</si>
  <si>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</si>
  <si>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</si>
  <si>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</si>
  <si>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</si>
  <si>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</si>
  <si>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</si>
  <si>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</si>
  <si>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</si>
  <si>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</si>
  <si>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</si>
  <si>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</si>
  <si>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</si>
  <si>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</si>
  <si>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</si>
  <si>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</si>
  <si>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</si>
  <si>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</si>
  <si>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</si>
  <si>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</si>
  <si>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</si>
  <si>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</si>
  <si>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</si>
  <si>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</si>
  <si>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</si>
  <si>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</si>
  <si>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</si>
  <si>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MYFE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</si>
  <si>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</si>
  <si>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</si>
  <si>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</si>
  <si>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</si>
  <si>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</si>
  <si>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</si>
  <si>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</si>
  <si>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</si>
  <si>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</si>
  <si>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RALI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</si>
  <si>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</si>
  <si>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</si>
  <si>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</si>
  <si>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</si>
  <si>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</si>
  <si>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</si>
  <si>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</si>
  <si>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</si>
  <si>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</si>
  <si>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</si>
  <si>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</si>
  <si>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</si>
  <si>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</si>
  <si>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</si>
  <si>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</si>
  <si>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</si>
  <si>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</si>
  <si>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</si>
  <si>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</si>
  <si>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</si>
  <si>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</si>
  <si>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</si>
  <si>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</si>
  <si>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Sapwood area</t>
  </si>
  <si>
    <t>SLA</t>
  </si>
  <si>
    <t>Leaf area</t>
  </si>
  <si>
    <t>Huber value</t>
  </si>
  <si>
    <t>SIGU1</t>
  </si>
  <si>
    <t>SIGU</t>
  </si>
  <si>
    <t>Siparuna guanensis</t>
  </si>
  <si>
    <t>STPO???</t>
  </si>
  <si>
    <t>Styrax pohlii???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</si>
  <si>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</si>
  <si>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</si>
  <si>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</si>
  <si>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</si>
  <si>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</si>
  <si>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</si>
  <si>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</si>
  <si>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</si>
  <si>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</si>
  <si>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</si>
  <si>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</si>
  <si>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</si>
  <si>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</si>
  <si>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</si>
  <si>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</si>
  <si>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</si>
  <si>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</si>
  <si>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</si>
  <si>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</si>
  <si>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</si>
  <si>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</si>
  <si>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</si>
  <si>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</si>
  <si>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</si>
  <si>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</si>
  <si>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</si>
  <si>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</si>
  <si>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</si>
  <si>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</si>
  <si>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</si>
  <si>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</si>
  <si>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</si>
  <si>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</si>
  <si>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</si>
  <si>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</si>
  <si>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</si>
  <si>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</si>
  <si>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</si>
  <si>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</si>
  <si>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</si>
  <si>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</si>
  <si>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</si>
  <si>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</si>
  <si>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</si>
  <si>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</si>
  <si>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</si>
  <si>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</si>
  <si>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</si>
  <si>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</si>
  <si>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Persea?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</si>
  <si>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</si>
  <si>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</si>
  <si>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</si>
  <si>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</si>
  <si>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</si>
  <si>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</si>
  <si>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</si>
  <si>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</si>
  <si>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</si>
  <si>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</si>
  <si>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</si>
  <si>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</si>
  <si>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</si>
  <si>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</si>
  <si>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</si>
  <si>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</si>
  <si>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</si>
  <si>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</si>
  <si>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</si>
  <si>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UNK1-1</t>
  </si>
  <si>
    <t>ANCR1</t>
  </si>
  <si>
    <t>UNK1-2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</si>
  <si>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</si>
  <si>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</si>
  <si>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</si>
  <si>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</si>
  <si>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</si>
  <si>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</si>
  <si>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</si>
  <si>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</si>
  <si>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</si>
  <si>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</si>
  <si>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</si>
  <si>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</si>
  <si>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</si>
  <si>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</si>
  <si>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</si>
  <si>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</si>
  <si>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</si>
  <si>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</si>
  <si>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</si>
  <si>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</si>
  <si>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</si>
  <si>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</si>
  <si>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</si>
  <si>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</si>
  <si>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</si>
  <si>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</si>
  <si>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</si>
  <si>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</si>
  <si>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</si>
  <si>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</si>
  <si>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</si>
  <si>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</si>
  <si>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</si>
  <si>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</si>
  <si>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</si>
  <si>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</si>
  <si>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</si>
  <si>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</si>
  <si>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</si>
  <si>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</si>
  <si>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</si>
  <si>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</si>
  <si>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</si>
  <si>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</si>
  <si>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</si>
  <si>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</si>
  <si>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</si>
  <si>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</si>
  <si>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</si>
  <si>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</si>
  <si>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</si>
  <si>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</si>
  <si>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</si>
  <si>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</si>
  <si>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</si>
  <si>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</si>
  <si>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</si>
  <si>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</si>
  <si>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</si>
  <si>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</si>
  <si>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</si>
  <si>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</si>
  <si>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</si>
  <si>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</si>
  <si>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</si>
  <si>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</si>
  <si>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</si>
  <si>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</si>
  <si>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FAMO</t>
  </si>
  <si>
    <t>Faramea motevidensis</t>
  </si>
  <si>
    <t>MYFE5</t>
  </si>
  <si>
    <t>UNK2-1</t>
  </si>
  <si>
    <t>FAMO1</t>
  </si>
  <si>
    <t>Unk. Fabaceae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</si>
  <si>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</si>
  <si>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</si>
  <si>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</si>
  <si>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</si>
  <si>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</si>
  <si>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</si>
  <si>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</si>
  <si>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</si>
  <si>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</si>
  <si>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</si>
  <si>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</si>
  <si>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</si>
  <si>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</si>
  <si>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</si>
  <si>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</si>
  <si>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</si>
  <si>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</si>
  <si>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</si>
  <si>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</si>
  <si>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</si>
  <si>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</si>
  <si>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</si>
  <si>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</si>
  <si>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</si>
  <si>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</si>
  <si>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</si>
  <si>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</si>
  <si>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</si>
  <si>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</si>
  <si>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</si>
  <si>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</si>
  <si>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</si>
  <si>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</si>
  <si>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</si>
  <si>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</si>
  <si>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</si>
  <si>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</si>
  <si>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</si>
  <si>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</si>
  <si>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</si>
  <si>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</si>
  <si>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</si>
  <si>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</si>
  <si>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</si>
  <si>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</si>
  <si>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</si>
  <si>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</si>
  <si>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</si>
  <si>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</si>
  <si>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</si>
  <si>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</si>
  <si>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</si>
  <si>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</si>
  <si>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</si>
  <si>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</si>
  <si>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</si>
  <si>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</si>
  <si>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</si>
  <si>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</si>
  <si>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</si>
  <si>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</si>
  <si>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</si>
  <si>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</si>
  <si>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</si>
  <si>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</si>
  <si>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</si>
  <si>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</si>
  <si>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</si>
  <si>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</si>
  <si>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</si>
  <si>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</si>
  <si>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</si>
  <si>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</si>
  <si>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</si>
  <si>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</si>
  <si>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</si>
  <si>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</si>
  <si>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</si>
  <si>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</si>
  <si>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</si>
  <si>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</si>
  <si>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</si>
  <si>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</si>
  <si>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</si>
  <si>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</si>
  <si>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</si>
  <si>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</si>
  <si>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</si>
  <si>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</si>
  <si>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</si>
  <si>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</si>
  <si>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</si>
  <si>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</si>
  <si>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</si>
  <si>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</si>
  <si>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</si>
  <si>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</si>
  <si>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</si>
  <si>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</si>
  <si>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</si>
  <si>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</si>
  <si>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</si>
  <si>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</si>
  <si>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</si>
  <si>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</si>
  <si>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</si>
  <si>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</si>
  <si>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</si>
  <si>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</si>
  <si>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</si>
  <si>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</si>
  <si>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</si>
  <si>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</si>
  <si>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</si>
  <si>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</si>
  <si>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</si>
  <si>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</si>
  <si>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</si>
  <si>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</si>
  <si>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</si>
  <si>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</si>
  <si>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</si>
  <si>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</si>
  <si>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</si>
  <si>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</si>
  <si>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Unk1-2</t>
  </si>
  <si>
    <t>Annona1-4</t>
  </si>
  <si>
    <t>Unk1-1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</si>
  <si>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</si>
  <si>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</si>
  <si>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</si>
  <si>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</si>
  <si>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</si>
  <si>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</si>
  <si>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</si>
  <si>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</si>
  <si>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</si>
  <si>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</si>
  <si>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</si>
  <si>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</si>
  <si>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</si>
  <si>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</si>
  <si>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</si>
  <si>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</si>
  <si>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</si>
  <si>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</si>
  <si>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</si>
  <si>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</si>
  <si>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</si>
  <si>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</si>
  <si>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</si>
  <si>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</si>
  <si>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</si>
  <si>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</si>
  <si>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</si>
  <si>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</si>
  <si>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</si>
  <si>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</si>
  <si>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</si>
  <si>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</si>
  <si>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</si>
  <si>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</si>
  <si>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</si>
  <si>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</si>
  <si>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</si>
  <si>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</si>
  <si>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</si>
  <si>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</si>
  <si>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</si>
  <si>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</si>
  <si>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</si>
  <si>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</si>
  <si>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</si>
  <si>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</si>
  <si>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</si>
  <si>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</si>
  <si>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</si>
  <si>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</si>
  <si>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</si>
  <si>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Unk2-1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</si>
  <si>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</si>
  <si>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</si>
  <si>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</si>
  <si>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</si>
  <si>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</si>
  <si>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</si>
  <si>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</si>
  <si>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</si>
  <si>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Unk. Fab.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</si>
  <si>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</si>
  <si>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</si>
  <si>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</si>
  <si>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</si>
  <si>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</si>
  <si>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</si>
  <si>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</si>
  <si>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</si>
  <si>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</si>
  <si>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</si>
  <si>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</si>
  <si>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</si>
  <si>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</si>
  <si>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</si>
  <si>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</si>
  <si>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</si>
  <si>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</si>
  <si>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</si>
  <si>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</si>
  <si>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</si>
  <si>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</si>
  <si>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</si>
  <si>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</si>
  <si>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</si>
  <si>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</si>
  <si>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</si>
  <si>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</si>
  <si>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</si>
  <si>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</si>
  <si>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</si>
  <si>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</si>
  <si>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</si>
  <si>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</si>
  <si>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</si>
  <si>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</si>
  <si>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</si>
  <si>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</si>
  <si>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</si>
  <si>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</si>
  <si>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</si>
  <si>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</si>
  <si>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</si>
  <si>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</si>
  <si>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</si>
  <si>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</si>
  <si>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</si>
  <si>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</si>
  <si>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</si>
  <si>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</si>
  <si>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</si>
  <si>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</si>
  <si>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</si>
  <si>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</si>
  <si>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</si>
  <si>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</si>
  <si>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</si>
  <si>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</si>
  <si>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</si>
  <si>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</si>
  <si>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</si>
  <si>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</si>
  <si>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</si>
  <si>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</si>
  <si>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</si>
  <si>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</si>
  <si>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</si>
  <si>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</si>
  <si>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</si>
  <si>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</si>
  <si>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</si>
  <si>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</si>
  <si>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</si>
  <si>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</si>
  <si>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</si>
  <si>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</si>
  <si>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</si>
  <si>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</si>
  <si>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</si>
  <si>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</si>
  <si>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</si>
  <si>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</si>
  <si>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</si>
  <si>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</si>
  <si>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</si>
  <si>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</si>
  <si>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</si>
  <si>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</si>
  <si>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</si>
  <si>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</si>
  <si>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</si>
  <si>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</si>
  <si>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</si>
  <si>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</si>
  <si>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</si>
  <si>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</si>
  <si>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</si>
  <si>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</si>
  <si>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</si>
  <si>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</si>
  <si>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</si>
  <si>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</si>
  <si>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</si>
  <si>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</si>
  <si>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</si>
  <si>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</si>
  <si>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</si>
  <si>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</si>
  <si>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</si>
  <si>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</si>
  <si>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</si>
  <si>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</si>
  <si>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</si>
  <si>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</si>
  <si>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</si>
  <si>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</si>
  <si>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</si>
  <si>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</si>
  <si>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</si>
  <si>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</si>
  <si>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</si>
  <si>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</si>
  <si>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</si>
  <si>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</si>
  <si>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</si>
  <si>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</si>
  <si>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</si>
  <si>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</si>
  <si>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</si>
  <si>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</si>
  <si>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</si>
  <si>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</si>
  <si>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</si>
  <si>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</si>
  <si>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</si>
  <si>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</si>
  <si>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</si>
  <si>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</si>
  <si>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</si>
  <si>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</si>
  <si>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</si>
  <si>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</si>
  <si>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</si>
  <si>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</si>
  <si>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</si>
  <si>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</si>
  <si>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</si>
  <si>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</si>
  <si>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</si>
  <si>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</si>
  <si>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</si>
  <si>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</si>
  <si>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</si>
  <si>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</si>
  <si>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</si>
  <si>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</si>
  <si>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</si>
  <si>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</si>
  <si>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</si>
  <si>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</si>
  <si>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</si>
  <si>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</si>
  <si>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</si>
  <si>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</si>
  <si>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</si>
  <si>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</si>
  <si>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</si>
  <si>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</si>
  <si>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</si>
  <si>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</si>
  <si>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</si>
  <si>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</si>
  <si>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</si>
  <si>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</si>
  <si>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</si>
  <si>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</si>
  <si>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</si>
  <si>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</si>
  <si>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</si>
  <si>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</si>
  <si>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</si>
  <si>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</si>
  <si>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</si>
  <si>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</si>
  <si>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</si>
  <si>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</si>
  <si>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</si>
  <si>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</si>
  <si>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</si>
  <si>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</si>
  <si>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</si>
  <si>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</si>
  <si>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</si>
  <si>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</si>
  <si>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</si>
  <si>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</si>
  <si>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</si>
  <si>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</si>
  <si>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</si>
  <si>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</si>
  <si>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</si>
  <si>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</si>
  <si>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</si>
  <si>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</si>
  <si>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</si>
  <si>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</si>
  <si>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</si>
  <si>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</si>
  <si>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</si>
  <si>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</si>
  <si>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</si>
  <si>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</si>
  <si>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</si>
  <si>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</si>
  <si>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</si>
  <si>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</si>
  <si>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</si>
  <si>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</si>
  <si>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</si>
  <si>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</si>
  <si>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</si>
  <si>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</si>
  <si>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</si>
  <si>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</si>
  <si>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</si>
  <si>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</si>
  <si>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</si>
  <si>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</si>
  <si>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</si>
  <si>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</si>
  <si>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</si>
  <si>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</si>
  <si>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</si>
  <si>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</si>
  <si>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</si>
  <si>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</si>
  <si>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</si>
  <si>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</si>
  <si>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</si>
  <si>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</si>
  <si>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</si>
  <si>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</si>
  <si>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</si>
  <si>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</si>
  <si>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</si>
  <si>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</si>
  <si>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</si>
  <si>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</si>
  <si>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</si>
  <si>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</si>
  <si>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</si>
  <si>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</si>
  <si>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</si>
  <si>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</si>
  <si>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</si>
  <si>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</si>
  <si>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</si>
  <si>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</si>
  <si>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</si>
  <si>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</si>
  <si>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</si>
  <si>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</si>
  <si>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</si>
  <si>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</si>
  <si>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</si>
  <si>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</si>
  <si>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</si>
  <si>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</si>
  <si>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</si>
  <si>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</si>
  <si>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</si>
  <si>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</si>
  <si>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</si>
  <si>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</si>
  <si>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</si>
  <si>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</si>
  <si>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</si>
  <si>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</si>
  <si>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</si>
  <si>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</si>
  <si>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</si>
  <si>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</si>
  <si>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</si>
  <si>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</si>
  <si>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</si>
  <si>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</si>
  <si>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</si>
  <si>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</si>
  <si>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</si>
  <si>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</si>
  <si>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</si>
  <si>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</si>
  <si>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</si>
  <si>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</si>
  <si>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</si>
  <si>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</si>
  <si>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</si>
  <si>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</si>
  <si>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</si>
  <si>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</si>
  <si>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</si>
  <si>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</si>
  <si>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</si>
  <si>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</si>
  <si>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</si>
  <si>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</si>
  <si>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</si>
  <si>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</si>
  <si>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</si>
  <si>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</si>
  <si>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</si>
  <si>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</si>
  <si>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</si>
  <si>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Persea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</si>
  <si>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</si>
  <si>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</si>
  <si>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</si>
  <si>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</si>
  <si>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</si>
  <si>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</si>
  <si>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</si>
  <si>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</si>
  <si>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</si>
  <si>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</si>
  <si>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</si>
  <si>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</si>
  <si>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</si>
  <si>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</si>
  <si>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</si>
  <si>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</si>
  <si>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</si>
  <si>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</si>
  <si>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</si>
  <si>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</si>
  <si>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</si>
  <si>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</si>
  <si>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</si>
  <si>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</si>
  <si>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</si>
  <si>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</si>
  <si>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</si>
  <si>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</si>
  <si>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</si>
  <si>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</si>
  <si>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</si>
  <si>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</si>
  <si>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</si>
  <si>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</si>
  <si>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</si>
  <si>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</si>
  <si>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</si>
  <si>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</si>
  <si>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</si>
  <si>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</si>
  <si>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</si>
  <si>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</si>
  <si>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</si>
  <si>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</si>
  <si>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</si>
  <si>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</si>
  <si>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</si>
  <si>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</si>
  <si>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</si>
  <si>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</si>
  <si>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</si>
  <si>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</si>
  <si>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</si>
  <si>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</si>
  <si>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</si>
  <si>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</si>
  <si>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PLELB1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</si>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</sst>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B473"/>
  <sheetViews>
    <sheetView workbookViewId="0">
      <pane ySplit="1" topLeftCell="A434" activePane="bottomLeft" state="frozen"/>
      <selection pane="bottomLeft" activeCell="E452" sqref="E452"/>
    </sheetView>
  </sheetViews>
  <sheetFormatPr defaultRowHeight="15" x14ac:dyDescent="0.25"/>
  <cols>
    <col min="2" max="2" width="18.85546875" customWidth="1"/>
    <col min="3" max="4" width="13.85546875" customWidth="1"/>
    <col min="5" max="5" width="30.140625" customWidth="1"/>
    <col min="6" max="6" width="10.5703125" customWidth="1"/>
    <col min="7" max="7" width="8" bestFit="1" customWidth="1"/>
    <col min="8" max="8" width="18.7109375" customWidth="1"/>
    <col min="9" max="9" width="15" customWidth="1"/>
    <col min="10" max="10" width="12.7109375" customWidth="1"/>
    <col min="11" max="11" width="18.7109375" customWidth="1"/>
    <col min="12" max="12" width="15.42578125" customWidth="1"/>
    <col min="13" max="13" width="13.85546875" customWidth="1"/>
    <col min="14" max="14" width="22.28515625" customWidth="1"/>
    <col min="15" max="15" width="26.42578125" customWidth="1"/>
    <col min="16" max="16" width="24.7109375" customWidth="1"/>
    <col min="17" max="17" width="19.140625" customWidth="1"/>
    <col min="18" max="18" width="14" customWidth="1"/>
    <col min="19" max="19" width="15.5703125" customWidth="1"/>
    <col min="20" max="21" width="10" customWidth="1"/>
    <col min="22" max="22" width="26.140625" customWidth="1"/>
    <col min="23" max="23" width="22" customWidth="1"/>
    <col min="24" max="26" width="15" customWidth="1"/>
    <col min="27" max="27" width="17.140625" customWidth="1"/>
    <col min="28" max="28" width="89.5703125" bestFit="1" customWidth="1"/>
  </cols>
  <sheetData>
    <row r="1" spans="1:28" x14ac:dyDescent="0.25">
      <c r="A1" t="s">
        <v>984</v>
      </c>
      <c r="B1" t="s">
        <v>342</v>
      </c>
      <c r="C1" t="s">
        <v>0</v>
      </c>
      <c r="D1" t="s">
        <v>343</v>
      </c>
      <c r="E1" t="s">
        <v>1</v>
      </c>
      <c r="F1" t="s">
        <v>656</v>
      </c>
      <c r="G1" t="s">
        <v>203</v>
      </c>
      <c r="H1" t="s">
        <v>313</v>
      </c>
      <c r="I1" t="s">
        <v>2</v>
      </c>
      <c r="J1" t="s">
        <v>34</v>
      </c>
      <c r="K1" t="s">
        <v>206</v>
      </c>
      <c r="L1" t="s">
        <v>572</v>
      </c>
      <c r="M1" t="s">
        <v>148</v>
      </c>
      <c r="N1" t="s">
        <v>3</v>
      </c>
      <c r="O1" t="s">
        <v>982</v>
      </c>
      <c r="P1" t="s">
        <v>983</v>
      </c>
      <c r="Q1" t="s">
        <v>158</v>
      </c>
      <c r="R1" t="s">
        <v>207</v>
      </c>
      <c r="S1" t="s">
        <v>159</v>
      </c>
      <c r="T1" t="s">
        <v>7</v>
      </c>
      <c r="U1" t="s">
        <v>8</v>
      </c>
      <c r="V1" t="s">
        <v>407</v>
      </c>
      <c r="W1" t="s">
        <v>408</v>
      </c>
      <c r="X1" t="s">
        <v>409</v>
      </c>
      <c r="Y1" t="s">
        <v>410</v>
      </c>
      <c r="Z1" t="s">
        <v>411</v>
      </c>
      <c r="AA1" t="s">
        <v>412</v>
      </c>
      <c r="AB1" t="s">
        <v>160</v>
      </c>
    </row>
    <row r="2" spans="1:28" x14ac:dyDescent="0.25">
      <c r="A2">
        <v>1</v>
      </c>
      <c r="B2" t="s">
        <v>4</v>
      </c>
      <c r="C2" t="s">
        <v>344</v>
      </c>
      <c r="E2" t="s">
        <v>5</v>
      </c>
      <c r="G2" t="s">
        <v>204</v>
      </c>
      <c r="H2" t="s">
        <v>144</v>
      </c>
      <c r="I2">
        <v>2.1160000000000001</v>
      </c>
      <c r="J2">
        <v>0.91200000000000003</v>
      </c>
      <c r="K2" t="s">
        <v>144</v>
      </c>
      <c r="M2">
        <f t="shared" ref="M2:M33" si="0">(I2-J2)/I2</f>
        <v>0.56899810964083186</v>
      </c>
      <c r="N2" t="s">
        <v>50</v>
      </c>
      <c r="O2">
        <v>1149010</v>
      </c>
      <c r="P2">
        <f>O2 / (300 * 300) * 2.54</f>
        <v>32.427615555555555</v>
      </c>
      <c r="Q2">
        <v>6</v>
      </c>
      <c r="R2" t="s">
        <v>208</v>
      </c>
      <c r="S2" t="s">
        <v>144</v>
      </c>
      <c r="T2" t="s">
        <v>144</v>
      </c>
      <c r="U2" t="s">
        <v>144</v>
      </c>
      <c r="V2">
        <f>P2*100/Q2</f>
        <v>540.46025925925926</v>
      </c>
      <c r="W2">
        <f>V2</f>
        <v>540.46025925925926</v>
      </c>
      <c r="X2">
        <v>0.26</v>
      </c>
      <c r="Y2">
        <v>0.25</v>
      </c>
      <c r="Z2">
        <v>0.28999999999999998</v>
      </c>
      <c r="AA2">
        <f t="shared" ref="AA2:AA33" si="1">(P2)/J2</f>
        <v>35.556596003898633</v>
      </c>
    </row>
    <row r="3" spans="1:28" x14ac:dyDescent="0.25">
      <c r="A3">
        <v>2</v>
      </c>
      <c r="B3" t="s">
        <v>155</v>
      </c>
      <c r="C3" t="s">
        <v>345</v>
      </c>
      <c r="E3" t="s">
        <v>376</v>
      </c>
      <c r="G3" t="s">
        <v>204</v>
      </c>
      <c r="H3" t="s">
        <v>144</v>
      </c>
      <c r="I3">
        <v>7.2009999999999996</v>
      </c>
      <c r="J3">
        <v>4.0140000000000002</v>
      </c>
      <c r="K3" t="s">
        <v>144</v>
      </c>
      <c r="M3">
        <f t="shared" si="0"/>
        <v>0.44257741980280513</v>
      </c>
      <c r="P3">
        <f>O3 / (300 * 300) * 2.54</f>
        <v>0</v>
      </c>
      <c r="T3" t="s">
        <v>144</v>
      </c>
      <c r="U3" t="s">
        <v>144</v>
      </c>
      <c r="X3">
        <v>0.47</v>
      </c>
      <c r="Y3">
        <v>0.52</v>
      </c>
      <c r="Z3">
        <v>0.48</v>
      </c>
      <c r="AA3">
        <f t="shared" si="1"/>
        <v>0</v>
      </c>
      <c r="AB3" t="s">
        <v>156</v>
      </c>
    </row>
    <row r="4" spans="1:28" x14ac:dyDescent="0.25">
      <c r="A4">
        <v>3</v>
      </c>
      <c r="B4" t="s">
        <v>9</v>
      </c>
      <c r="C4" t="s">
        <v>346</v>
      </c>
      <c r="E4" t="s">
        <v>377</v>
      </c>
      <c r="G4" t="s">
        <v>204</v>
      </c>
      <c r="H4" t="s">
        <v>144</v>
      </c>
      <c r="I4">
        <v>8.3770000000000007</v>
      </c>
      <c r="J4">
        <v>4.0880000000000001</v>
      </c>
      <c r="K4" t="s">
        <v>144</v>
      </c>
      <c r="M4">
        <f t="shared" si="0"/>
        <v>0.5119971350125343</v>
      </c>
      <c r="N4" t="s">
        <v>60</v>
      </c>
      <c r="O4">
        <v>4227247</v>
      </c>
      <c r="P4">
        <f>O4 / (300 * 300) * 2.54</f>
        <v>119.30230422222223</v>
      </c>
      <c r="Q4">
        <v>2</v>
      </c>
      <c r="R4" t="s">
        <v>214</v>
      </c>
      <c r="S4">
        <v>10</v>
      </c>
      <c r="T4" t="s">
        <v>144</v>
      </c>
      <c r="U4" t="s">
        <v>144</v>
      </c>
      <c r="V4">
        <f>P4*100/S4</f>
        <v>1193.0230422222223</v>
      </c>
      <c r="W4">
        <f>P4*100/Q4</f>
        <v>5965.1152111111114</v>
      </c>
      <c r="X4">
        <v>0.39</v>
      </c>
      <c r="Y4">
        <v>0.39</v>
      </c>
      <c r="Z4">
        <v>0.41</v>
      </c>
      <c r="AA4">
        <f t="shared" si="1"/>
        <v>29.183538214829312</v>
      </c>
      <c r="AB4" t="s">
        <v>46</v>
      </c>
    </row>
    <row r="5" spans="1:28" x14ac:dyDescent="0.25">
      <c r="A5">
        <v>4</v>
      </c>
      <c r="B5" t="s">
        <v>10</v>
      </c>
      <c r="C5" t="s">
        <v>346</v>
      </c>
      <c r="E5" t="s">
        <v>377</v>
      </c>
      <c r="G5" t="s">
        <v>204</v>
      </c>
      <c r="H5" t="s">
        <v>144</v>
      </c>
      <c r="I5">
        <v>11.975</v>
      </c>
      <c r="J5">
        <v>4.2770000000000001</v>
      </c>
      <c r="K5" t="s">
        <v>144</v>
      </c>
      <c r="M5">
        <f t="shared" si="0"/>
        <v>0.64283924843423801</v>
      </c>
      <c r="N5" t="s">
        <v>51</v>
      </c>
      <c r="O5">
        <f>3046626</f>
        <v>3046626</v>
      </c>
      <c r="P5">
        <f>O5 / (300 * 300) * 2.54</f>
        <v>85.982556000000002</v>
      </c>
      <c r="Q5">
        <v>3</v>
      </c>
      <c r="R5" t="s">
        <v>214</v>
      </c>
      <c r="S5">
        <v>9</v>
      </c>
      <c r="T5" t="s">
        <v>144</v>
      </c>
      <c r="U5" t="s">
        <v>144</v>
      </c>
      <c r="V5">
        <f>P5*100/S5</f>
        <v>955.3617333333334</v>
      </c>
      <c r="W5">
        <f>P5*100/Q5</f>
        <v>2866.0852</v>
      </c>
      <c r="X5">
        <v>0.46</v>
      </c>
      <c r="Y5">
        <v>0.44</v>
      </c>
      <c r="Z5">
        <v>0.4</v>
      </c>
      <c r="AA5">
        <f t="shared" si="1"/>
        <v>20.103473462707505</v>
      </c>
      <c r="AB5" t="s">
        <v>1021</v>
      </c>
    </row>
    <row r="6" spans="1:28" x14ac:dyDescent="0.25">
      <c r="A6">
        <v>5</v>
      </c>
      <c r="B6" t="s">
        <v>11</v>
      </c>
      <c r="C6" t="s">
        <v>347</v>
      </c>
      <c r="E6" t="s">
        <v>378</v>
      </c>
      <c r="G6" t="s">
        <v>204</v>
      </c>
      <c r="H6" t="s">
        <v>144</v>
      </c>
      <c r="I6">
        <v>8.4730000000000008</v>
      </c>
      <c r="J6">
        <v>2.2599999999999998</v>
      </c>
      <c r="K6" t="s">
        <v>144</v>
      </c>
      <c r="M6">
        <f t="shared" si="0"/>
        <v>0.73327038829222235</v>
      </c>
      <c r="N6" t="s">
        <v>52</v>
      </c>
      <c r="O6">
        <v>2973418</v>
      </c>
      <c r="P6">
        <f>O6 / (300 * 300) * 2.54</f>
        <v>83.916463555555552</v>
      </c>
      <c r="Q6">
        <v>5</v>
      </c>
      <c r="R6" t="s">
        <v>208</v>
      </c>
      <c r="S6" t="s">
        <v>144</v>
      </c>
      <c r="T6" t="s">
        <v>144</v>
      </c>
      <c r="U6" t="s">
        <v>144</v>
      </c>
      <c r="X6">
        <v>0.44</v>
      </c>
      <c r="Y6">
        <v>0.41</v>
      </c>
      <c r="Z6">
        <v>0.42</v>
      </c>
      <c r="AA6">
        <f t="shared" si="1"/>
        <v>37.131178564405118</v>
      </c>
      <c r="AB6" t="s">
        <v>985</v>
      </c>
    </row>
    <row r="7" spans="1:28" x14ac:dyDescent="0.25">
      <c r="A7">
        <v>6</v>
      </c>
      <c r="B7" t="s">
        <v>12</v>
      </c>
      <c r="C7" t="s">
        <v>654</v>
      </c>
      <c r="E7" t="s">
        <v>655</v>
      </c>
      <c r="G7" t="s">
        <v>204</v>
      </c>
      <c r="H7" t="s">
        <v>144</v>
      </c>
      <c r="I7">
        <v>1.7969999999999999</v>
      </c>
      <c r="J7">
        <v>0.58599999999999997</v>
      </c>
      <c r="K7" t="s">
        <v>144</v>
      </c>
      <c r="M7">
        <f t="shared" si="0"/>
        <v>0.67390094602114625</v>
      </c>
      <c r="N7" t="s">
        <v>53</v>
      </c>
      <c r="O7">
        <v>1258028</v>
      </c>
      <c r="P7">
        <f t="shared" ref="P7:P38" si="2">O7 / (300 * 300) * 6.4516</f>
        <v>90.181038275555551</v>
      </c>
      <c r="Q7">
        <v>5</v>
      </c>
      <c r="R7" t="s">
        <v>208</v>
      </c>
      <c r="S7" t="s">
        <v>144</v>
      </c>
      <c r="T7" t="s">
        <v>144</v>
      </c>
      <c r="U7" t="s">
        <v>144</v>
      </c>
      <c r="V7">
        <f>P7*100/Q7</f>
        <v>1803.6207655111109</v>
      </c>
      <c r="W7">
        <f t="shared" ref="W7:W13" si="3">V7</f>
        <v>1803.6207655111109</v>
      </c>
      <c r="X7">
        <v>0.21</v>
      </c>
      <c r="Y7">
        <v>0.18</v>
      </c>
      <c r="Z7">
        <v>0.2</v>
      </c>
      <c r="AA7">
        <f t="shared" si="1"/>
        <v>153.8925567842245</v>
      </c>
    </row>
    <row r="8" spans="1:28" x14ac:dyDescent="0.25">
      <c r="A8">
        <v>7</v>
      </c>
      <c r="B8" t="s">
        <v>13</v>
      </c>
      <c r="C8" t="s">
        <v>399</v>
      </c>
      <c r="E8" t="s">
        <v>265</v>
      </c>
      <c r="G8" t="s">
        <v>204</v>
      </c>
      <c r="H8" t="s">
        <v>144</v>
      </c>
      <c r="I8">
        <v>9.3350000000000009</v>
      </c>
      <c r="J8">
        <v>4.1680000000000001</v>
      </c>
      <c r="K8" t="s">
        <v>144</v>
      </c>
      <c r="M8">
        <f t="shared" si="0"/>
        <v>0.55350830208891277</v>
      </c>
      <c r="N8" t="s">
        <v>54</v>
      </c>
      <c r="O8">
        <v>3527690</v>
      </c>
      <c r="P8">
        <f t="shared" si="2"/>
        <v>252.88049782222222</v>
      </c>
      <c r="Q8">
        <v>5</v>
      </c>
      <c r="R8" t="s">
        <v>208</v>
      </c>
      <c r="S8" t="s">
        <v>144</v>
      </c>
      <c r="T8" t="s">
        <v>144</v>
      </c>
      <c r="U8" t="s">
        <v>144</v>
      </c>
      <c r="V8">
        <f>P8/Q8 * 100</f>
        <v>5057.6099564444448</v>
      </c>
      <c r="W8">
        <f t="shared" si="3"/>
        <v>5057.6099564444448</v>
      </c>
      <c r="X8">
        <v>0.3</v>
      </c>
      <c r="Y8">
        <v>0.31</v>
      </c>
      <c r="Z8">
        <v>0.34</v>
      </c>
      <c r="AA8">
        <f t="shared" si="1"/>
        <v>60.671904467903602</v>
      </c>
      <c r="AB8" t="s">
        <v>153</v>
      </c>
    </row>
    <row r="9" spans="1:28" x14ac:dyDescent="0.25">
      <c r="A9">
        <v>8</v>
      </c>
      <c r="B9" t="s">
        <v>14</v>
      </c>
      <c r="C9" t="s">
        <v>348</v>
      </c>
      <c r="E9" t="s">
        <v>362</v>
      </c>
      <c r="G9" t="s">
        <v>204</v>
      </c>
      <c r="H9" t="s">
        <v>144</v>
      </c>
      <c r="I9">
        <v>2.488</v>
      </c>
      <c r="J9">
        <v>1.1319999999999999</v>
      </c>
      <c r="K9" t="s">
        <v>144</v>
      </c>
      <c r="M9">
        <f t="shared" si="0"/>
        <v>0.545016077170418</v>
      </c>
      <c r="N9" t="s">
        <v>55</v>
      </c>
      <c r="O9">
        <v>1122031</v>
      </c>
      <c r="P9">
        <f t="shared" si="2"/>
        <v>80.432168884444437</v>
      </c>
      <c r="Q9">
        <v>5</v>
      </c>
      <c r="R9" t="s">
        <v>208</v>
      </c>
      <c r="S9" t="s">
        <v>144</v>
      </c>
      <c r="T9" t="s">
        <v>144</v>
      </c>
      <c r="U9" t="s">
        <v>144</v>
      </c>
      <c r="V9">
        <f>P9*100/Q9</f>
        <v>1608.6433776888887</v>
      </c>
      <c r="W9">
        <f t="shared" si="3"/>
        <v>1608.6433776888887</v>
      </c>
      <c r="X9">
        <v>0.44</v>
      </c>
      <c r="Y9">
        <v>0.37</v>
      </c>
      <c r="Z9">
        <v>0.48</v>
      </c>
      <c r="AA9">
        <f t="shared" si="1"/>
        <v>71.05315272477425</v>
      </c>
    </row>
    <row r="10" spans="1:28" x14ac:dyDescent="0.25">
      <c r="A10">
        <v>9</v>
      </c>
      <c r="B10" t="s">
        <v>15</v>
      </c>
      <c r="C10" t="s">
        <v>349</v>
      </c>
      <c r="E10" t="s">
        <v>62</v>
      </c>
      <c r="G10" t="s">
        <v>204</v>
      </c>
      <c r="H10" t="s">
        <v>144</v>
      </c>
      <c r="I10">
        <v>17.48</v>
      </c>
      <c r="J10">
        <v>8.6</v>
      </c>
      <c r="K10" t="s">
        <v>144</v>
      </c>
      <c r="M10">
        <f t="shared" si="0"/>
        <v>0.50800915331807783</v>
      </c>
      <c r="N10" t="s">
        <v>61</v>
      </c>
      <c r="O10">
        <f xml:space="preserve"> 2287422 + 2826592</f>
        <v>5114014</v>
      </c>
      <c r="P10">
        <f t="shared" si="2"/>
        <v>366.59525247111111</v>
      </c>
      <c r="Q10">
        <v>3</v>
      </c>
      <c r="R10" t="s">
        <v>208</v>
      </c>
      <c r="S10" t="s">
        <v>144</v>
      </c>
      <c r="T10" t="s">
        <v>144</v>
      </c>
      <c r="U10" t="s">
        <v>144</v>
      </c>
      <c r="V10">
        <f>P10/Q10 * 100</f>
        <v>12219.841749037038</v>
      </c>
      <c r="W10">
        <f t="shared" si="3"/>
        <v>12219.841749037038</v>
      </c>
      <c r="X10">
        <v>0.7</v>
      </c>
      <c r="Y10">
        <v>0.67</v>
      </c>
      <c r="Z10">
        <v>0.52</v>
      </c>
      <c r="AA10">
        <f t="shared" si="1"/>
        <v>42.627354938501291</v>
      </c>
      <c r="AB10" t="s">
        <v>44</v>
      </c>
    </row>
    <row r="11" spans="1:28" x14ac:dyDescent="0.25">
      <c r="A11">
        <v>10</v>
      </c>
      <c r="B11" t="s">
        <v>16</v>
      </c>
      <c r="C11" t="s">
        <v>350</v>
      </c>
      <c r="E11" t="s">
        <v>17</v>
      </c>
      <c r="G11" t="s">
        <v>204</v>
      </c>
      <c r="H11" t="s">
        <v>144</v>
      </c>
      <c r="I11">
        <v>3.972</v>
      </c>
      <c r="J11">
        <v>1.8740000000000001</v>
      </c>
      <c r="K11" t="s">
        <v>144</v>
      </c>
      <c r="M11">
        <f t="shared" si="0"/>
        <v>0.52819738167170194</v>
      </c>
      <c r="O11">
        <v>2842322</v>
      </c>
      <c r="P11">
        <f t="shared" si="2"/>
        <v>203.7502735022222</v>
      </c>
      <c r="Q11">
        <v>5</v>
      </c>
      <c r="R11" t="s">
        <v>208</v>
      </c>
      <c r="S11" t="s">
        <v>144</v>
      </c>
      <c r="T11" t="s">
        <v>144</v>
      </c>
      <c r="U11" t="s">
        <v>144</v>
      </c>
      <c r="V11">
        <f>P11*100/Q11</f>
        <v>4075.0054700444439</v>
      </c>
      <c r="W11">
        <f t="shared" si="3"/>
        <v>4075.0054700444439</v>
      </c>
      <c r="X11">
        <v>0.31</v>
      </c>
      <c r="Y11" t="s">
        <v>144</v>
      </c>
      <c r="Z11" t="s">
        <v>144</v>
      </c>
      <c r="AA11">
        <f t="shared" si="1"/>
        <v>108.72479909403532</v>
      </c>
    </row>
    <row r="12" spans="1:28" x14ac:dyDescent="0.25">
      <c r="A12">
        <v>11</v>
      </c>
      <c r="B12" t="s">
        <v>18</v>
      </c>
      <c r="C12" t="s">
        <v>441</v>
      </c>
      <c r="E12" t="s">
        <v>489</v>
      </c>
      <c r="G12" t="s">
        <v>204</v>
      </c>
      <c r="H12" t="s">
        <v>144</v>
      </c>
      <c r="I12">
        <v>10.657999999999999</v>
      </c>
      <c r="J12">
        <v>4.4400000000000004</v>
      </c>
      <c r="K12" t="s">
        <v>144</v>
      </c>
      <c r="M12">
        <f t="shared" si="0"/>
        <v>0.58341152186151246</v>
      </c>
      <c r="N12" t="s">
        <v>47</v>
      </c>
      <c r="O12">
        <v>4128930</v>
      </c>
      <c r="P12">
        <f t="shared" si="2"/>
        <v>295.98005320000004</v>
      </c>
      <c r="Q12">
        <v>5</v>
      </c>
      <c r="R12" t="s">
        <v>208</v>
      </c>
      <c r="S12" t="s">
        <v>144</v>
      </c>
      <c r="T12" t="s">
        <v>144</v>
      </c>
      <c r="U12" t="s">
        <v>144</v>
      </c>
      <c r="V12">
        <f>P12/Q12 *100</f>
        <v>5919.6010640000013</v>
      </c>
      <c r="W12">
        <f t="shared" si="3"/>
        <v>5919.6010640000013</v>
      </c>
      <c r="X12">
        <v>0.42</v>
      </c>
      <c r="Y12">
        <v>0.45</v>
      </c>
      <c r="Z12">
        <v>0.52</v>
      </c>
      <c r="AA12">
        <f t="shared" si="1"/>
        <v>66.662174144144146</v>
      </c>
    </row>
    <row r="13" spans="1:28" x14ac:dyDescent="0.25">
      <c r="A13">
        <v>12</v>
      </c>
      <c r="B13" t="s">
        <v>19</v>
      </c>
      <c r="C13" t="s">
        <v>554</v>
      </c>
      <c r="E13" t="s">
        <v>555</v>
      </c>
      <c r="G13" t="s">
        <v>204</v>
      </c>
      <c r="H13" t="s">
        <v>144</v>
      </c>
      <c r="I13">
        <v>10.981999999999999</v>
      </c>
      <c r="J13">
        <v>4.1379999999999999</v>
      </c>
      <c r="K13" t="s">
        <v>144</v>
      </c>
      <c r="M13">
        <f t="shared" si="0"/>
        <v>0.62320160262247315</v>
      </c>
      <c r="N13" t="s">
        <v>45</v>
      </c>
      <c r="O13">
        <f>4309758 + 1990787</f>
        <v>6300545</v>
      </c>
      <c r="P13">
        <f t="shared" si="2"/>
        <v>451.65106802222226</v>
      </c>
      <c r="Q13">
        <v>5</v>
      </c>
      <c r="R13" t="s">
        <v>208</v>
      </c>
      <c r="S13" t="s">
        <v>144</v>
      </c>
      <c r="T13" t="s">
        <v>144</v>
      </c>
      <c r="U13" t="s">
        <v>144</v>
      </c>
      <c r="V13">
        <f>P13/Q13 *100</f>
        <v>9033.0213604444452</v>
      </c>
      <c r="W13">
        <f t="shared" si="3"/>
        <v>9033.0213604444452</v>
      </c>
      <c r="X13">
        <v>0.43</v>
      </c>
      <c r="Y13">
        <v>0.6</v>
      </c>
      <c r="Z13">
        <v>0.46</v>
      </c>
      <c r="AA13">
        <f t="shared" si="1"/>
        <v>109.14718898555395</v>
      </c>
      <c r="AB13" t="s">
        <v>44</v>
      </c>
    </row>
    <row r="14" spans="1:28" x14ac:dyDescent="0.25">
      <c r="A14">
        <v>13</v>
      </c>
      <c r="B14" t="s">
        <v>20</v>
      </c>
      <c r="C14" t="s">
        <v>351</v>
      </c>
      <c r="E14" t="s">
        <v>21</v>
      </c>
      <c r="G14" t="s">
        <v>204</v>
      </c>
      <c r="H14" t="s">
        <v>144</v>
      </c>
      <c r="I14">
        <v>3.2570000000000001</v>
      </c>
      <c r="J14">
        <v>1.254</v>
      </c>
      <c r="K14" t="s">
        <v>144</v>
      </c>
      <c r="M14">
        <f t="shared" si="0"/>
        <v>0.61498311329444277</v>
      </c>
      <c r="N14" t="s">
        <v>56</v>
      </c>
      <c r="O14">
        <v>1957841</v>
      </c>
      <c r="P14">
        <f t="shared" si="2"/>
        <v>140.34674439555556</v>
      </c>
      <c r="Q14">
        <v>3</v>
      </c>
      <c r="R14" t="s">
        <v>214</v>
      </c>
      <c r="S14">
        <f>106+64+116</f>
        <v>286</v>
      </c>
      <c r="T14" t="s">
        <v>144</v>
      </c>
      <c r="U14" t="s">
        <v>144</v>
      </c>
      <c r="V14">
        <f>P14*100/S14</f>
        <v>49.072288250194255</v>
      </c>
      <c r="W14">
        <f>P14*100/Q14</f>
        <v>4678.2248131851857</v>
      </c>
      <c r="X14">
        <v>0.15</v>
      </c>
      <c r="Y14">
        <v>0.14000000000000001</v>
      </c>
      <c r="Z14">
        <v>0.22</v>
      </c>
      <c r="AA14">
        <f t="shared" si="1"/>
        <v>111.9192539039518</v>
      </c>
    </row>
    <row r="15" spans="1:28" x14ac:dyDescent="0.25">
      <c r="A15">
        <v>14</v>
      </c>
      <c r="B15" t="s">
        <v>22</v>
      </c>
      <c r="C15" t="s">
        <v>352</v>
      </c>
      <c r="E15" t="s">
        <v>375</v>
      </c>
      <c r="G15" t="s">
        <v>204</v>
      </c>
      <c r="H15" t="s">
        <v>144</v>
      </c>
      <c r="I15">
        <v>4.532</v>
      </c>
      <c r="J15">
        <v>2.4889999999999999</v>
      </c>
      <c r="K15" t="s">
        <v>144</v>
      </c>
      <c r="M15">
        <f t="shared" si="0"/>
        <v>0.45079435127978823</v>
      </c>
      <c r="N15" t="s">
        <v>48</v>
      </c>
      <c r="O15">
        <v>3833341</v>
      </c>
      <c r="P15">
        <f t="shared" si="2"/>
        <v>274.79091995111111</v>
      </c>
      <c r="Q15">
        <v>5</v>
      </c>
      <c r="R15" t="s">
        <v>208</v>
      </c>
      <c r="S15" t="s">
        <v>144</v>
      </c>
      <c r="T15" t="s">
        <v>144</v>
      </c>
      <c r="U15" t="s">
        <v>144</v>
      </c>
      <c r="V15">
        <f>P15*100/Q15</f>
        <v>5495.8183990222224</v>
      </c>
      <c r="W15">
        <f>V15</f>
        <v>5495.8183990222224</v>
      </c>
      <c r="X15">
        <v>0.31</v>
      </c>
      <c r="Y15">
        <v>0.33</v>
      </c>
      <c r="Z15">
        <v>0.35</v>
      </c>
      <c r="AA15">
        <f t="shared" si="1"/>
        <v>110.40213738493817</v>
      </c>
      <c r="AB15" t="s">
        <v>154</v>
      </c>
    </row>
    <row r="16" spans="1:28" x14ac:dyDescent="0.25">
      <c r="A16">
        <v>15</v>
      </c>
      <c r="B16" t="s">
        <v>23</v>
      </c>
      <c r="C16" t="s">
        <v>353</v>
      </c>
      <c r="E16" t="s">
        <v>63</v>
      </c>
      <c r="G16" t="s">
        <v>204</v>
      </c>
      <c r="H16" t="s">
        <v>144</v>
      </c>
      <c r="I16">
        <v>13.959</v>
      </c>
      <c r="J16">
        <v>6.319</v>
      </c>
      <c r="K16" t="s">
        <v>144</v>
      </c>
      <c r="M16">
        <f t="shared" si="0"/>
        <v>0.54731714306182389</v>
      </c>
      <c r="N16" t="s">
        <v>57</v>
      </c>
      <c r="O16">
        <f>2649046 + 3028649 + 1644073</f>
        <v>7321768</v>
      </c>
      <c r="P16">
        <f t="shared" si="2"/>
        <v>524.85687143111113</v>
      </c>
      <c r="Q16">
        <v>1</v>
      </c>
      <c r="R16" t="s">
        <v>214</v>
      </c>
      <c r="S16">
        <f>26*30</f>
        <v>780</v>
      </c>
      <c r="T16" t="s">
        <v>144</v>
      </c>
      <c r="U16" t="s">
        <v>144</v>
      </c>
      <c r="V16">
        <f>P16*100/S16</f>
        <v>67.2893424911681</v>
      </c>
      <c r="W16">
        <f>P16 * 100</f>
        <v>52485.687143111114</v>
      </c>
      <c r="X16">
        <v>0.15</v>
      </c>
      <c r="Y16">
        <v>0.19</v>
      </c>
      <c r="Z16">
        <v>0.15</v>
      </c>
      <c r="AA16">
        <f t="shared" si="1"/>
        <v>83.060115751085789</v>
      </c>
      <c r="AB16" t="s">
        <v>58</v>
      </c>
    </row>
    <row r="17" spans="1:28" x14ac:dyDescent="0.25">
      <c r="A17">
        <v>16</v>
      </c>
      <c r="B17" t="s">
        <v>24</v>
      </c>
      <c r="C17" t="s">
        <v>354</v>
      </c>
      <c r="E17" t="s">
        <v>406</v>
      </c>
      <c r="G17" t="s">
        <v>204</v>
      </c>
      <c r="H17" t="s">
        <v>144</v>
      </c>
      <c r="I17">
        <v>5.9320000000000004</v>
      </c>
      <c r="J17">
        <v>3.1989999999999998</v>
      </c>
      <c r="K17" t="s">
        <v>144</v>
      </c>
      <c r="M17">
        <f t="shared" si="0"/>
        <v>0.460721510451787</v>
      </c>
      <c r="O17">
        <v>2208158</v>
      </c>
      <c r="P17">
        <f t="shared" si="2"/>
        <v>158.29057947555555</v>
      </c>
      <c r="Q17">
        <v>5</v>
      </c>
      <c r="R17" t="s">
        <v>208</v>
      </c>
      <c r="S17" t="s">
        <v>144</v>
      </c>
      <c r="T17" t="s">
        <v>144</v>
      </c>
      <c r="U17" t="s">
        <v>144</v>
      </c>
      <c r="V17">
        <f>P17 * 100 /Q17</f>
        <v>3165.8115895111109</v>
      </c>
      <c r="W17">
        <f t="shared" ref="W17:W24" si="4">V17</f>
        <v>3165.8115895111109</v>
      </c>
      <c r="X17">
        <v>0.33</v>
      </c>
      <c r="Y17">
        <v>0.28000000000000003</v>
      </c>
      <c r="Z17">
        <v>0.32</v>
      </c>
      <c r="AA17">
        <f t="shared" si="1"/>
        <v>49.481268982668198</v>
      </c>
    </row>
    <row r="18" spans="1:28" x14ac:dyDescent="0.25">
      <c r="A18">
        <v>17</v>
      </c>
      <c r="B18" t="s">
        <v>25</v>
      </c>
      <c r="C18" t="s">
        <v>355</v>
      </c>
      <c r="E18" t="s">
        <v>227</v>
      </c>
      <c r="G18" t="s">
        <v>204</v>
      </c>
      <c r="H18" t="s">
        <v>144</v>
      </c>
      <c r="I18">
        <v>5.1130000000000004</v>
      </c>
      <c r="J18">
        <v>2.2909999999999999</v>
      </c>
      <c r="K18" t="s">
        <v>144</v>
      </c>
      <c r="M18">
        <f t="shared" si="0"/>
        <v>0.55192646195971062</v>
      </c>
      <c r="O18">
        <v>2706244</v>
      </c>
      <c r="P18">
        <f t="shared" si="2"/>
        <v>193.99559767111111</v>
      </c>
      <c r="Q18">
        <v>5</v>
      </c>
      <c r="R18" t="s">
        <v>208</v>
      </c>
      <c r="S18" t="s">
        <v>144</v>
      </c>
      <c r="T18" t="s">
        <v>144</v>
      </c>
      <c r="U18" t="s">
        <v>144</v>
      </c>
      <c r="V18">
        <f>P18*100/Q18</f>
        <v>3879.9119534222218</v>
      </c>
      <c r="W18">
        <f t="shared" si="4"/>
        <v>3879.9119534222218</v>
      </c>
      <c r="X18">
        <v>0.52</v>
      </c>
      <c r="Y18">
        <v>0.47</v>
      </c>
      <c r="Z18">
        <v>0.43</v>
      </c>
      <c r="AA18">
        <f t="shared" si="1"/>
        <v>84.677257822396825</v>
      </c>
    </row>
    <row r="19" spans="1:28" x14ac:dyDescent="0.25">
      <c r="A19">
        <v>18</v>
      </c>
      <c r="B19" t="s">
        <v>26</v>
      </c>
      <c r="C19" t="s">
        <v>350</v>
      </c>
      <c r="E19" t="s">
        <v>17</v>
      </c>
      <c r="G19" t="s">
        <v>204</v>
      </c>
      <c r="H19" t="s">
        <v>144</v>
      </c>
      <c r="I19">
        <v>2.8639999999999999</v>
      </c>
      <c r="J19">
        <v>1.5029999999999999</v>
      </c>
      <c r="K19" t="s">
        <v>144</v>
      </c>
      <c r="M19">
        <f t="shared" si="0"/>
        <v>0.47520949720670391</v>
      </c>
      <c r="O19">
        <v>1637283</v>
      </c>
      <c r="P19">
        <f t="shared" si="2"/>
        <v>117.36772225333334</v>
      </c>
      <c r="Q19">
        <v>5</v>
      </c>
      <c r="R19" t="s">
        <v>208</v>
      </c>
      <c r="S19" t="s">
        <v>144</v>
      </c>
      <c r="T19" t="s">
        <v>144</v>
      </c>
      <c r="U19" t="s">
        <v>144</v>
      </c>
      <c r="V19">
        <f>P19*100/5</f>
        <v>2347.3544450666668</v>
      </c>
      <c r="W19">
        <f t="shared" si="4"/>
        <v>2347.3544450666668</v>
      </c>
      <c r="X19">
        <v>0.22</v>
      </c>
      <c r="Y19">
        <v>0.24</v>
      </c>
      <c r="Z19">
        <v>0.22</v>
      </c>
      <c r="AA19">
        <f t="shared" si="1"/>
        <v>78.088970228432032</v>
      </c>
    </row>
    <row r="20" spans="1:28" x14ac:dyDescent="0.25">
      <c r="A20">
        <v>19</v>
      </c>
      <c r="B20" t="s">
        <v>27</v>
      </c>
      <c r="C20" t="s">
        <v>356</v>
      </c>
      <c r="E20" t="s">
        <v>336</v>
      </c>
      <c r="G20" t="s">
        <v>204</v>
      </c>
      <c r="H20" t="s">
        <v>144</v>
      </c>
      <c r="I20">
        <v>7.9829999999999997</v>
      </c>
      <c r="J20">
        <v>4.2670000000000003</v>
      </c>
      <c r="K20" t="s">
        <v>144</v>
      </c>
      <c r="M20">
        <f t="shared" si="0"/>
        <v>0.46548916447450828</v>
      </c>
      <c r="O20">
        <v>3180748</v>
      </c>
      <c r="P20">
        <f t="shared" si="2"/>
        <v>228.0101532977778</v>
      </c>
      <c r="Q20">
        <v>5</v>
      </c>
      <c r="R20" t="s">
        <v>208</v>
      </c>
      <c r="S20" t="s">
        <v>144</v>
      </c>
      <c r="T20" t="s">
        <v>144</v>
      </c>
      <c r="U20" t="s">
        <v>144</v>
      </c>
      <c r="V20">
        <f>P20*100/5</f>
        <v>4560.2030659555558</v>
      </c>
      <c r="W20">
        <f t="shared" si="4"/>
        <v>4560.2030659555558</v>
      </c>
      <c r="X20">
        <v>0.47</v>
      </c>
      <c r="Y20">
        <v>0.5</v>
      </c>
      <c r="Z20">
        <v>0.51</v>
      </c>
      <c r="AA20">
        <f t="shared" si="1"/>
        <v>53.435705014712397</v>
      </c>
    </row>
    <row r="21" spans="1:28" x14ac:dyDescent="0.25">
      <c r="A21">
        <v>20</v>
      </c>
      <c r="B21" t="s">
        <v>28</v>
      </c>
      <c r="C21" t="s">
        <v>357</v>
      </c>
      <c r="E21" t="s">
        <v>35</v>
      </c>
      <c r="G21" t="s">
        <v>204</v>
      </c>
      <c r="H21" t="s">
        <v>144</v>
      </c>
      <c r="I21">
        <v>4.5519999999999996</v>
      </c>
      <c r="J21">
        <v>1.5049999999999999</v>
      </c>
      <c r="K21" t="s">
        <v>144</v>
      </c>
      <c r="M21">
        <f t="shared" si="0"/>
        <v>0.66937609841827772</v>
      </c>
      <c r="O21">
        <v>1829019</v>
      </c>
      <c r="P21">
        <f t="shared" si="2"/>
        <v>131.11221089333333</v>
      </c>
      <c r="Q21">
        <v>6</v>
      </c>
      <c r="R21" t="s">
        <v>208</v>
      </c>
      <c r="S21" t="s">
        <v>144</v>
      </c>
      <c r="T21" t="s">
        <v>144</v>
      </c>
      <c r="U21" t="s">
        <v>144</v>
      </c>
      <c r="V21">
        <f>P21*100/Q21</f>
        <v>2185.2035148888885</v>
      </c>
      <c r="W21">
        <f t="shared" si="4"/>
        <v>2185.2035148888885</v>
      </c>
      <c r="X21">
        <v>0.39</v>
      </c>
      <c r="Y21">
        <v>0.42</v>
      </c>
      <c r="Z21">
        <v>0.39</v>
      </c>
      <c r="AA21">
        <f t="shared" si="1"/>
        <v>87.117748101882611</v>
      </c>
    </row>
    <row r="22" spans="1:28" x14ac:dyDescent="0.25">
      <c r="A22">
        <v>21</v>
      </c>
      <c r="B22" t="s">
        <v>29</v>
      </c>
      <c r="C22" t="s">
        <v>358</v>
      </c>
      <c r="E22" t="s">
        <v>363</v>
      </c>
      <c r="G22" t="s">
        <v>204</v>
      </c>
      <c r="H22" t="s">
        <v>144</v>
      </c>
      <c r="I22">
        <v>9.4499999999999993</v>
      </c>
      <c r="J22">
        <v>3.1059999999999999</v>
      </c>
      <c r="K22" t="s">
        <v>144</v>
      </c>
      <c r="M22">
        <f t="shared" si="0"/>
        <v>0.67132275132275132</v>
      </c>
      <c r="O22">
        <v>3648239</v>
      </c>
      <c r="P22">
        <f t="shared" si="2"/>
        <v>261.52198591555555</v>
      </c>
      <c r="Q22">
        <v>5</v>
      </c>
      <c r="R22" t="s">
        <v>208</v>
      </c>
      <c r="S22" t="s">
        <v>144</v>
      </c>
      <c r="T22" t="s">
        <v>144</v>
      </c>
      <c r="U22" t="s">
        <v>144</v>
      </c>
      <c r="V22">
        <f>P22/Q22 *100</f>
        <v>5230.4397183111105</v>
      </c>
      <c r="W22">
        <f t="shared" si="4"/>
        <v>5230.4397183111105</v>
      </c>
      <c r="X22">
        <v>0.3</v>
      </c>
      <c r="Y22">
        <v>0.31</v>
      </c>
      <c r="Z22">
        <v>0.33</v>
      </c>
      <c r="AA22">
        <f t="shared" si="1"/>
        <v>84.198965201402302</v>
      </c>
    </row>
    <row r="23" spans="1:28" x14ac:dyDescent="0.25">
      <c r="A23">
        <v>22</v>
      </c>
      <c r="B23" t="s">
        <v>30</v>
      </c>
      <c r="C23" t="s">
        <v>350</v>
      </c>
      <c r="E23" t="s">
        <v>17</v>
      </c>
      <c r="G23" t="s">
        <v>204</v>
      </c>
      <c r="H23" t="s">
        <v>144</v>
      </c>
      <c r="I23">
        <v>3.448</v>
      </c>
      <c r="J23">
        <v>1.4219999999999999</v>
      </c>
      <c r="K23" t="s">
        <v>144</v>
      </c>
      <c r="M23">
        <f t="shared" si="0"/>
        <v>0.58758700696055677</v>
      </c>
      <c r="O23">
        <v>1676946</v>
      </c>
      <c r="P23">
        <f t="shared" si="2"/>
        <v>120.21094237333334</v>
      </c>
      <c r="Q23">
        <v>5</v>
      </c>
      <c r="R23" t="s">
        <v>208</v>
      </c>
      <c r="S23" t="s">
        <v>144</v>
      </c>
      <c r="T23" t="s">
        <v>144</v>
      </c>
      <c r="U23" t="s">
        <v>144</v>
      </c>
      <c r="V23">
        <f>P23*100/5</f>
        <v>2404.2188474666668</v>
      </c>
      <c r="W23">
        <f t="shared" si="4"/>
        <v>2404.2188474666668</v>
      </c>
      <c r="X23">
        <v>0.22</v>
      </c>
      <c r="Y23">
        <v>0.24</v>
      </c>
      <c r="Z23">
        <v>0.28000000000000003</v>
      </c>
      <c r="AA23">
        <f t="shared" si="1"/>
        <v>84.536527688701369</v>
      </c>
      <c r="AB23" t="s">
        <v>46</v>
      </c>
    </row>
    <row r="24" spans="1:28" x14ac:dyDescent="0.25">
      <c r="A24">
        <v>23</v>
      </c>
      <c r="B24" t="s">
        <v>31</v>
      </c>
      <c r="C24" t="s">
        <v>349</v>
      </c>
      <c r="E24" t="s">
        <v>62</v>
      </c>
      <c r="G24" t="s">
        <v>204</v>
      </c>
      <c r="H24" t="s">
        <v>144</v>
      </c>
      <c r="I24">
        <v>14.85</v>
      </c>
      <c r="J24">
        <v>6.6660000000000004</v>
      </c>
      <c r="K24" t="s">
        <v>144</v>
      </c>
      <c r="M24">
        <f t="shared" si="0"/>
        <v>0.55111111111111111</v>
      </c>
      <c r="O24">
        <f>3508726 + 2632234</f>
        <v>6140960</v>
      </c>
      <c r="P24">
        <f t="shared" si="2"/>
        <v>440.21130595555559</v>
      </c>
      <c r="Q24">
        <v>5</v>
      </c>
      <c r="R24" t="s">
        <v>208</v>
      </c>
      <c r="S24" t="s">
        <v>144</v>
      </c>
      <c r="T24" t="s">
        <v>144</v>
      </c>
      <c r="U24" t="s">
        <v>144</v>
      </c>
      <c r="V24">
        <f>P24/Q24 * 100</f>
        <v>8804.226119111112</v>
      </c>
      <c r="W24">
        <f t="shared" si="4"/>
        <v>8804.226119111112</v>
      </c>
      <c r="X24">
        <v>0.39</v>
      </c>
      <c r="Y24">
        <v>0.36</v>
      </c>
      <c r="Z24">
        <v>0.35</v>
      </c>
      <c r="AA24">
        <f t="shared" si="1"/>
        <v>66.03829972330567</v>
      </c>
      <c r="AB24" t="s">
        <v>152</v>
      </c>
    </row>
    <row r="25" spans="1:28" x14ac:dyDescent="0.25">
      <c r="A25">
        <v>24</v>
      </c>
      <c r="B25" t="s">
        <v>32</v>
      </c>
      <c r="C25" t="s">
        <v>359</v>
      </c>
      <c r="E25" t="s">
        <v>386</v>
      </c>
      <c r="G25" t="s">
        <v>204</v>
      </c>
      <c r="H25" t="s">
        <v>144</v>
      </c>
      <c r="I25">
        <v>1.835</v>
      </c>
      <c r="J25">
        <v>1.048</v>
      </c>
      <c r="K25" t="s">
        <v>144</v>
      </c>
      <c r="M25">
        <f t="shared" si="0"/>
        <v>0.42888283378746589</v>
      </c>
      <c r="O25">
        <v>1488318</v>
      </c>
      <c r="P25">
        <f t="shared" si="2"/>
        <v>106.68924898666668</v>
      </c>
      <c r="Q25">
        <v>1</v>
      </c>
      <c r="R25" t="s">
        <v>214</v>
      </c>
      <c r="S25">
        <v>13</v>
      </c>
      <c r="T25" t="s">
        <v>144</v>
      </c>
      <c r="U25" t="s">
        <v>144</v>
      </c>
      <c r="V25">
        <f>P25*100/S25</f>
        <v>820.68653066666673</v>
      </c>
      <c r="W25">
        <f>P25*100/Q25</f>
        <v>10668.924898666668</v>
      </c>
      <c r="X25">
        <v>0.19</v>
      </c>
      <c r="Y25">
        <v>0.17</v>
      </c>
      <c r="Z25">
        <v>0.21</v>
      </c>
      <c r="AA25">
        <f t="shared" si="1"/>
        <v>101.80271849872774</v>
      </c>
      <c r="AB25" t="s">
        <v>65</v>
      </c>
    </row>
    <row r="26" spans="1:28" x14ac:dyDescent="0.25">
      <c r="A26">
        <v>25</v>
      </c>
      <c r="B26" t="s">
        <v>36</v>
      </c>
      <c r="C26" t="s">
        <v>353</v>
      </c>
      <c r="E26" t="s">
        <v>63</v>
      </c>
      <c r="G26" t="s">
        <v>204</v>
      </c>
      <c r="H26" t="s">
        <v>144</v>
      </c>
      <c r="I26">
        <v>10.351000000000001</v>
      </c>
      <c r="J26">
        <v>4.7549999999999999</v>
      </c>
      <c r="K26" t="s">
        <v>144</v>
      </c>
      <c r="M26">
        <f t="shared" si="0"/>
        <v>0.54062409429040681</v>
      </c>
      <c r="N26" t="s">
        <v>59</v>
      </c>
      <c r="O26">
        <f>3227860 + 2266096</f>
        <v>5493956</v>
      </c>
      <c r="P26">
        <f t="shared" si="2"/>
        <v>393.8311836622222</v>
      </c>
      <c r="Q26">
        <v>1</v>
      </c>
      <c r="R26" t="s">
        <v>214</v>
      </c>
      <c r="S26">
        <f>(32+28+20)/3 * 25</f>
        <v>666.66666666666674</v>
      </c>
      <c r="T26" t="s">
        <v>144</v>
      </c>
      <c r="U26" t="s">
        <v>144</v>
      </c>
      <c r="V26">
        <f>P26*100/S26</f>
        <v>59.074677549333316</v>
      </c>
      <c r="W26">
        <f>P26 * 100</f>
        <v>39383.118366222217</v>
      </c>
      <c r="X26">
        <v>0.2</v>
      </c>
      <c r="Y26">
        <v>0.31</v>
      </c>
      <c r="Z26">
        <v>0.21</v>
      </c>
      <c r="AA26">
        <f t="shared" si="1"/>
        <v>82.824644303306457</v>
      </c>
      <c r="AB26" t="s">
        <v>44</v>
      </c>
    </row>
    <row r="27" spans="1:28" x14ac:dyDescent="0.25">
      <c r="A27">
        <v>26</v>
      </c>
      <c r="B27" t="s">
        <v>37</v>
      </c>
      <c r="C27" t="s">
        <v>360</v>
      </c>
      <c r="E27" t="s">
        <v>374</v>
      </c>
      <c r="G27" t="s">
        <v>204</v>
      </c>
      <c r="H27" t="s">
        <v>144</v>
      </c>
      <c r="I27">
        <v>8.6639999999999997</v>
      </c>
      <c r="J27">
        <v>4.2039999999999997</v>
      </c>
      <c r="K27" t="s">
        <v>144</v>
      </c>
      <c r="M27">
        <f t="shared" si="0"/>
        <v>0.5147737765466297</v>
      </c>
      <c r="O27">
        <v>4241897</v>
      </c>
      <c r="P27">
        <f t="shared" si="2"/>
        <v>304.07802983555558</v>
      </c>
      <c r="Q27">
        <v>3</v>
      </c>
      <c r="R27" t="s">
        <v>208</v>
      </c>
      <c r="S27" t="s">
        <v>144</v>
      </c>
      <c r="T27" t="s">
        <v>144</v>
      </c>
      <c r="U27" t="s">
        <v>144</v>
      </c>
      <c r="V27">
        <f>P27*100/Q27</f>
        <v>10135.934327851852</v>
      </c>
      <c r="W27">
        <f t="shared" ref="W27:W32" si="5">V27</f>
        <v>10135.934327851852</v>
      </c>
      <c r="X27">
        <v>1.1499999999999999</v>
      </c>
      <c r="Y27">
        <v>1.1100000000000001</v>
      </c>
      <c r="Z27">
        <v>0.9</v>
      </c>
      <c r="AA27">
        <f t="shared" si="1"/>
        <v>72.330644585051289</v>
      </c>
    </row>
    <row r="28" spans="1:28" x14ac:dyDescent="0.25">
      <c r="A28">
        <v>27</v>
      </c>
      <c r="B28" t="s">
        <v>38</v>
      </c>
      <c r="C28" t="s">
        <v>354</v>
      </c>
      <c r="E28" t="s">
        <v>406</v>
      </c>
      <c r="G28" t="s">
        <v>204</v>
      </c>
      <c r="H28" t="s">
        <v>144</v>
      </c>
      <c r="I28">
        <v>4.1159999999999997</v>
      </c>
      <c r="J28">
        <v>2.3620000000000001</v>
      </c>
      <c r="K28" t="s">
        <v>144</v>
      </c>
      <c r="M28">
        <f t="shared" si="0"/>
        <v>0.42614188532555874</v>
      </c>
      <c r="O28">
        <v>1584677</v>
      </c>
      <c r="P28">
        <f t="shared" si="2"/>
        <v>113.59669036888889</v>
      </c>
      <c r="Q28">
        <v>5</v>
      </c>
      <c r="R28" t="s">
        <v>208</v>
      </c>
      <c r="S28" t="s">
        <v>144</v>
      </c>
      <c r="T28" t="s">
        <v>144</v>
      </c>
      <c r="U28" t="s">
        <v>144</v>
      </c>
      <c r="V28">
        <f>P28 * 100 / Q28</f>
        <v>2271.9338073777776</v>
      </c>
      <c r="W28">
        <f t="shared" si="5"/>
        <v>2271.9338073777776</v>
      </c>
      <c r="X28">
        <v>0.32</v>
      </c>
      <c r="Y28">
        <v>0.31</v>
      </c>
      <c r="Z28">
        <v>0.4</v>
      </c>
      <c r="AA28">
        <f t="shared" si="1"/>
        <v>48.093433687082509</v>
      </c>
    </row>
    <row r="29" spans="1:28" x14ac:dyDescent="0.25">
      <c r="A29">
        <v>28</v>
      </c>
      <c r="B29" t="s">
        <v>39</v>
      </c>
      <c r="C29" t="s">
        <v>361</v>
      </c>
      <c r="E29" t="s">
        <v>341</v>
      </c>
      <c r="G29" t="s">
        <v>204</v>
      </c>
      <c r="H29" t="s">
        <v>144</v>
      </c>
      <c r="I29">
        <v>13.834</v>
      </c>
      <c r="J29">
        <v>6.86</v>
      </c>
      <c r="K29" t="s">
        <v>144</v>
      </c>
      <c r="M29">
        <f t="shared" si="0"/>
        <v>0.50412028335983805</v>
      </c>
      <c r="O29">
        <v>4009355</v>
      </c>
      <c r="P29">
        <f t="shared" si="2"/>
        <v>287.40838575555557</v>
      </c>
      <c r="Q29">
        <v>3</v>
      </c>
      <c r="R29" t="s">
        <v>208</v>
      </c>
      <c r="S29" t="s">
        <v>144</v>
      </c>
      <c r="T29" t="s">
        <v>144</v>
      </c>
      <c r="U29" t="s">
        <v>144</v>
      </c>
      <c r="V29">
        <f>P29*100/Q29</f>
        <v>9580.2795251851858</v>
      </c>
      <c r="W29">
        <f t="shared" si="5"/>
        <v>9580.2795251851858</v>
      </c>
      <c r="X29">
        <v>0.48</v>
      </c>
      <c r="Y29">
        <v>0.41</v>
      </c>
      <c r="Z29">
        <v>0.52</v>
      </c>
      <c r="AA29">
        <f t="shared" si="1"/>
        <v>41.89626614512472</v>
      </c>
    </row>
    <row r="30" spans="1:28" x14ac:dyDescent="0.25">
      <c r="A30">
        <v>29</v>
      </c>
      <c r="B30" t="s">
        <v>40</v>
      </c>
      <c r="C30" t="s">
        <v>399</v>
      </c>
      <c r="E30" t="s">
        <v>265</v>
      </c>
      <c r="G30" t="s">
        <v>204</v>
      </c>
      <c r="H30" t="s">
        <v>144</v>
      </c>
      <c r="I30">
        <v>10.013</v>
      </c>
      <c r="J30">
        <v>4.4649999999999999</v>
      </c>
      <c r="K30" t="s">
        <v>144</v>
      </c>
      <c r="M30">
        <f t="shared" si="0"/>
        <v>0.5540796963946869</v>
      </c>
      <c r="O30">
        <v>4067146</v>
      </c>
      <c r="P30">
        <f t="shared" si="2"/>
        <v>291.55110148444447</v>
      </c>
      <c r="Q30">
        <v>5</v>
      </c>
      <c r="R30" t="s">
        <v>208</v>
      </c>
      <c r="S30" t="s">
        <v>144</v>
      </c>
      <c r="T30" t="s">
        <v>144</v>
      </c>
      <c r="U30" t="s">
        <v>144</v>
      </c>
      <c r="V30">
        <f>P30/5 * 100</f>
        <v>5831.0220296888892</v>
      </c>
      <c r="W30">
        <f t="shared" si="5"/>
        <v>5831.0220296888892</v>
      </c>
      <c r="X30">
        <v>0.34</v>
      </c>
      <c r="Y30">
        <v>0.31</v>
      </c>
      <c r="Z30">
        <v>0.33</v>
      </c>
      <c r="AA30">
        <f t="shared" si="1"/>
        <v>65.296999212641538</v>
      </c>
    </row>
    <row r="31" spans="1:28" x14ac:dyDescent="0.25">
      <c r="A31">
        <v>30</v>
      </c>
      <c r="B31" t="s">
        <v>41</v>
      </c>
      <c r="C31" t="s">
        <v>399</v>
      </c>
      <c r="E31" t="s">
        <v>265</v>
      </c>
      <c r="G31" t="s">
        <v>204</v>
      </c>
      <c r="H31" t="s">
        <v>144</v>
      </c>
      <c r="I31">
        <v>7.5</v>
      </c>
      <c r="J31">
        <v>3.2360000000000002</v>
      </c>
      <c r="K31" t="s">
        <v>144</v>
      </c>
      <c r="M31">
        <f t="shared" si="0"/>
        <v>0.56853333333333322</v>
      </c>
      <c r="O31">
        <v>3073723</v>
      </c>
      <c r="P31">
        <f t="shared" si="2"/>
        <v>220.3381256311111</v>
      </c>
      <c r="Q31">
        <v>5</v>
      </c>
      <c r="R31" t="s">
        <v>208</v>
      </c>
      <c r="S31" t="s">
        <v>144</v>
      </c>
      <c r="T31" t="s">
        <v>144</v>
      </c>
      <c r="U31" t="s">
        <v>144</v>
      </c>
      <c r="V31">
        <f>P31/5 * 100</f>
        <v>4406.7625126222219</v>
      </c>
      <c r="W31">
        <f t="shared" si="5"/>
        <v>4406.7625126222219</v>
      </c>
      <c r="X31">
        <v>0.35</v>
      </c>
      <c r="Y31">
        <v>0.35</v>
      </c>
      <c r="Z31">
        <v>0.36</v>
      </c>
      <c r="AA31">
        <f t="shared" si="1"/>
        <v>68.089655633841502</v>
      </c>
    </row>
    <row r="32" spans="1:28" x14ac:dyDescent="0.25">
      <c r="A32">
        <v>31</v>
      </c>
      <c r="B32" t="s">
        <v>42</v>
      </c>
      <c r="C32" t="s">
        <v>399</v>
      </c>
      <c r="E32" t="s">
        <v>265</v>
      </c>
      <c r="G32" t="s">
        <v>204</v>
      </c>
      <c r="H32" t="s">
        <v>144</v>
      </c>
      <c r="I32">
        <v>6.6050000000000004</v>
      </c>
      <c r="J32">
        <v>2.8580000000000001</v>
      </c>
      <c r="K32" t="s">
        <v>144</v>
      </c>
      <c r="M32">
        <f t="shared" si="0"/>
        <v>0.56729750189250572</v>
      </c>
      <c r="O32">
        <v>3011132</v>
      </c>
      <c r="P32">
        <f t="shared" si="2"/>
        <v>215.85132456888888</v>
      </c>
      <c r="Q32">
        <v>5</v>
      </c>
      <c r="R32" t="s">
        <v>208</v>
      </c>
      <c r="S32" t="s">
        <v>144</v>
      </c>
      <c r="T32" t="s">
        <v>144</v>
      </c>
      <c r="U32" t="s">
        <v>144</v>
      </c>
      <c r="V32">
        <f>P32/5 * 100</f>
        <v>4317.0264913777783</v>
      </c>
      <c r="W32">
        <f t="shared" si="5"/>
        <v>4317.0264913777783</v>
      </c>
      <c r="X32">
        <v>0.32</v>
      </c>
      <c r="Y32">
        <v>0.33</v>
      </c>
      <c r="Z32">
        <v>0.35</v>
      </c>
      <c r="AA32">
        <f t="shared" si="1"/>
        <v>75.525306007308913</v>
      </c>
    </row>
    <row r="33" spans="1:28" x14ac:dyDescent="0.25">
      <c r="A33">
        <v>32</v>
      </c>
      <c r="B33" t="s">
        <v>43</v>
      </c>
      <c r="C33" t="s">
        <v>364</v>
      </c>
      <c r="E33" t="s">
        <v>232</v>
      </c>
      <c r="G33" t="s">
        <v>204</v>
      </c>
      <c r="H33" t="s">
        <v>144</v>
      </c>
      <c r="I33">
        <v>3.37</v>
      </c>
      <c r="J33">
        <v>1.409</v>
      </c>
      <c r="K33" t="s">
        <v>144</v>
      </c>
      <c r="M33">
        <f t="shared" si="0"/>
        <v>0.58189910979228487</v>
      </c>
      <c r="O33">
        <v>1768120</v>
      </c>
      <c r="P33">
        <f t="shared" si="2"/>
        <v>126.74669991111111</v>
      </c>
      <c r="Q33">
        <v>4</v>
      </c>
      <c r="R33" t="s">
        <v>214</v>
      </c>
      <c r="S33">
        <v>31</v>
      </c>
      <c r="T33" t="s">
        <v>144</v>
      </c>
      <c r="U33" t="s">
        <v>144</v>
      </c>
      <c r="V33">
        <f>P33*100 / S33</f>
        <v>408.86032229390679</v>
      </c>
      <c r="W33">
        <f>P33*100/Q33</f>
        <v>3168.6674977777775</v>
      </c>
      <c r="X33">
        <v>0.24</v>
      </c>
      <c r="Y33">
        <v>0.27</v>
      </c>
      <c r="Z33">
        <v>0.28000000000000003</v>
      </c>
      <c r="AA33">
        <f t="shared" si="1"/>
        <v>89.95507445785033</v>
      </c>
    </row>
    <row r="34" spans="1:28" x14ac:dyDescent="0.25">
      <c r="A34">
        <v>33</v>
      </c>
      <c r="B34" t="s">
        <v>77</v>
      </c>
      <c r="C34" t="s">
        <v>359</v>
      </c>
      <c r="E34" t="s">
        <v>386</v>
      </c>
      <c r="G34" t="s">
        <v>204</v>
      </c>
      <c r="H34" t="s">
        <v>144</v>
      </c>
      <c r="I34">
        <v>8.9039999999999999</v>
      </c>
      <c r="J34">
        <v>4.3479999999999999</v>
      </c>
      <c r="K34" t="s">
        <v>144</v>
      </c>
      <c r="M34" t="s">
        <v>144</v>
      </c>
      <c r="N34" t="s">
        <v>172</v>
      </c>
      <c r="O34">
        <v>5318167</v>
      </c>
      <c r="P34">
        <f t="shared" si="2"/>
        <v>381.22984685777777</v>
      </c>
      <c r="Q34">
        <v>2</v>
      </c>
      <c r="R34" t="s">
        <v>214</v>
      </c>
      <c r="S34">
        <v>30</v>
      </c>
      <c r="T34" t="s">
        <v>144</v>
      </c>
      <c r="U34" t="s">
        <v>144</v>
      </c>
      <c r="V34">
        <f>P34*100/S34</f>
        <v>1270.7661561925925</v>
      </c>
      <c r="W34">
        <f>P34*100/Q34</f>
        <v>19061.492342888887</v>
      </c>
      <c r="X34">
        <v>0.22</v>
      </c>
      <c r="Y34">
        <v>0.21</v>
      </c>
      <c r="Z34">
        <v>0.21</v>
      </c>
      <c r="AA34">
        <f t="shared" ref="AA34:AA65" si="6">(P34)/J34</f>
        <v>87.679357602984766</v>
      </c>
    </row>
    <row r="35" spans="1:28" x14ac:dyDescent="0.25">
      <c r="A35">
        <v>34</v>
      </c>
      <c r="B35" t="s">
        <v>78</v>
      </c>
      <c r="C35" t="s">
        <v>365</v>
      </c>
      <c r="E35" t="s">
        <v>222</v>
      </c>
      <c r="G35" t="s">
        <v>204</v>
      </c>
      <c r="H35" t="s">
        <v>144</v>
      </c>
      <c r="I35">
        <v>1.0760000000000001</v>
      </c>
      <c r="J35">
        <v>0.61799999999999999</v>
      </c>
      <c r="K35" t="s">
        <v>144</v>
      </c>
      <c r="M35">
        <f t="shared" ref="M35:M52" si="7">(I35-J35)/I35</f>
        <v>0.42565055762081788</v>
      </c>
      <c r="O35">
        <v>594170</v>
      </c>
      <c r="P35">
        <f t="shared" si="2"/>
        <v>42.592746355555555</v>
      </c>
      <c r="Q35">
        <v>5</v>
      </c>
      <c r="R35" t="s">
        <v>208</v>
      </c>
      <c r="S35" t="s">
        <v>144</v>
      </c>
      <c r="T35" t="s">
        <v>144</v>
      </c>
      <c r="U35" t="s">
        <v>144</v>
      </c>
      <c r="V35">
        <f>P35*100/Q35</f>
        <v>851.85492711111112</v>
      </c>
      <c r="W35">
        <f t="shared" ref="W35:W40" si="8">V35</f>
        <v>851.85492711111112</v>
      </c>
      <c r="X35">
        <v>0.26</v>
      </c>
      <c r="Y35">
        <v>0.24</v>
      </c>
      <c r="Z35">
        <v>0.23</v>
      </c>
      <c r="AA35">
        <f t="shared" si="6"/>
        <v>68.920301546206403</v>
      </c>
    </row>
    <row r="36" spans="1:28" x14ac:dyDescent="0.25">
      <c r="A36">
        <v>35</v>
      </c>
      <c r="B36" t="s">
        <v>141</v>
      </c>
      <c r="C36" t="s">
        <v>366</v>
      </c>
      <c r="E36" t="s">
        <v>367</v>
      </c>
      <c r="G36" t="s">
        <v>204</v>
      </c>
      <c r="H36" t="s">
        <v>144</v>
      </c>
      <c r="I36">
        <v>2.25</v>
      </c>
      <c r="J36">
        <v>0.85799999999999998</v>
      </c>
      <c r="K36" t="s">
        <v>144</v>
      </c>
      <c r="M36">
        <f t="shared" si="7"/>
        <v>0.61866666666666659</v>
      </c>
      <c r="O36">
        <v>1256063</v>
      </c>
      <c r="P36">
        <f t="shared" si="2"/>
        <v>90.040178342222219</v>
      </c>
      <c r="Q36">
        <v>5</v>
      </c>
      <c r="R36" t="s">
        <v>208</v>
      </c>
      <c r="S36" t="s">
        <v>144</v>
      </c>
      <c r="T36" t="s">
        <v>144</v>
      </c>
      <c r="U36" t="s">
        <v>144</v>
      </c>
      <c r="V36">
        <f>P36/Q36*100</f>
        <v>1800.8035668444443</v>
      </c>
      <c r="W36">
        <f t="shared" si="8"/>
        <v>1800.8035668444443</v>
      </c>
      <c r="X36">
        <v>0.26</v>
      </c>
      <c r="Y36">
        <v>0.23</v>
      </c>
      <c r="Z36">
        <v>0.25</v>
      </c>
      <c r="AA36">
        <f t="shared" si="6"/>
        <v>104.9419327997928</v>
      </c>
      <c r="AB36" t="s">
        <v>49</v>
      </c>
    </row>
    <row r="37" spans="1:28" x14ac:dyDescent="0.25">
      <c r="A37">
        <v>36</v>
      </c>
      <c r="B37" t="s">
        <v>80</v>
      </c>
      <c r="C37" t="s">
        <v>366</v>
      </c>
      <c r="E37" t="s">
        <v>367</v>
      </c>
      <c r="G37" t="s">
        <v>204</v>
      </c>
      <c r="H37" t="s">
        <v>144</v>
      </c>
      <c r="I37">
        <v>1.23</v>
      </c>
      <c r="J37">
        <v>0.36199999999999999</v>
      </c>
      <c r="K37" t="s">
        <v>144</v>
      </c>
      <c r="M37">
        <f t="shared" si="7"/>
        <v>0.7056910569105691</v>
      </c>
      <c r="O37">
        <v>599050</v>
      </c>
      <c r="P37">
        <f t="shared" si="2"/>
        <v>42.942566444444445</v>
      </c>
      <c r="Q37">
        <v>5</v>
      </c>
      <c r="R37" t="s">
        <v>208</v>
      </c>
      <c r="S37" t="s">
        <v>144</v>
      </c>
      <c r="T37" t="s">
        <v>144</v>
      </c>
      <c r="U37" t="s">
        <v>144</v>
      </c>
      <c r="V37">
        <f>P37*100/Q37</f>
        <v>858.85132888888893</v>
      </c>
      <c r="W37">
        <f t="shared" si="8"/>
        <v>858.85132888888893</v>
      </c>
      <c r="X37">
        <v>0.33</v>
      </c>
      <c r="Y37">
        <v>0.27</v>
      </c>
      <c r="Z37">
        <v>0.27</v>
      </c>
      <c r="AA37">
        <f t="shared" si="6"/>
        <v>118.62587415592388</v>
      </c>
      <c r="AB37" t="s">
        <v>49</v>
      </c>
    </row>
    <row r="38" spans="1:28" x14ac:dyDescent="0.25">
      <c r="A38">
        <v>37</v>
      </c>
      <c r="B38" t="s">
        <v>81</v>
      </c>
      <c r="C38" t="s">
        <v>368</v>
      </c>
      <c r="E38" t="s">
        <v>318</v>
      </c>
      <c r="G38" t="s">
        <v>204</v>
      </c>
      <c r="H38" t="s">
        <v>144</v>
      </c>
      <c r="I38">
        <v>0.73899999999999999</v>
      </c>
      <c r="J38">
        <v>0.38400000000000001</v>
      </c>
      <c r="K38" t="s">
        <v>144</v>
      </c>
      <c r="M38">
        <f t="shared" si="7"/>
        <v>0.48037889039242215</v>
      </c>
      <c r="N38" t="s">
        <v>182</v>
      </c>
      <c r="O38">
        <v>446363</v>
      </c>
      <c r="P38">
        <f t="shared" si="2"/>
        <v>31.997283675555554</v>
      </c>
      <c r="Q38">
        <v>29</v>
      </c>
      <c r="S38" t="s">
        <v>144</v>
      </c>
      <c r="T38" t="s">
        <v>144</v>
      </c>
      <c r="U38" t="s">
        <v>144</v>
      </c>
      <c r="V38">
        <f>P38*100/Q38</f>
        <v>110.33546095019156</v>
      </c>
      <c r="W38">
        <f t="shared" si="8"/>
        <v>110.33546095019156</v>
      </c>
      <c r="X38">
        <v>0.34</v>
      </c>
      <c r="Y38">
        <v>0.24</v>
      </c>
      <c r="Z38">
        <v>0.2</v>
      </c>
      <c r="AA38">
        <f t="shared" si="6"/>
        <v>83.326259571759252</v>
      </c>
    </row>
    <row r="39" spans="1:28" x14ac:dyDescent="0.25">
      <c r="A39">
        <v>38</v>
      </c>
      <c r="B39" t="s">
        <v>82</v>
      </c>
      <c r="C39" t="s">
        <v>365</v>
      </c>
      <c r="E39" t="s">
        <v>222</v>
      </c>
      <c r="G39" t="s">
        <v>204</v>
      </c>
      <c r="H39" t="s">
        <v>144</v>
      </c>
      <c r="I39">
        <v>1.9330000000000001</v>
      </c>
      <c r="J39">
        <v>1.0880000000000001</v>
      </c>
      <c r="K39" t="s">
        <v>144</v>
      </c>
      <c r="M39">
        <f t="shared" si="7"/>
        <v>0.43714433523021207</v>
      </c>
      <c r="O39">
        <v>1020875</v>
      </c>
      <c r="P39">
        <f t="shared" ref="P39:P70" si="9">O39 / (300 * 300) * 6.4516</f>
        <v>73.180857222222215</v>
      </c>
      <c r="Q39">
        <v>5</v>
      </c>
      <c r="R39" t="s">
        <v>208</v>
      </c>
      <c r="S39" t="s">
        <v>144</v>
      </c>
      <c r="T39" t="s">
        <v>144</v>
      </c>
      <c r="U39" t="s">
        <v>144</v>
      </c>
      <c r="V39">
        <f>P39*100/Q39</f>
        <v>1463.6171444444442</v>
      </c>
      <c r="W39">
        <f t="shared" si="8"/>
        <v>1463.6171444444442</v>
      </c>
      <c r="X39">
        <v>0.25</v>
      </c>
      <c r="Y39">
        <v>0.24</v>
      </c>
      <c r="Z39">
        <v>0.26</v>
      </c>
      <c r="AA39">
        <f t="shared" si="6"/>
        <v>67.261817299836594</v>
      </c>
    </row>
    <row r="40" spans="1:28" x14ac:dyDescent="0.25">
      <c r="A40">
        <v>39</v>
      </c>
      <c r="B40" t="s">
        <v>109</v>
      </c>
      <c r="C40" t="s">
        <v>350</v>
      </c>
      <c r="E40" t="s">
        <v>17</v>
      </c>
      <c r="G40" t="s">
        <v>204</v>
      </c>
      <c r="H40" t="s">
        <v>144</v>
      </c>
      <c r="I40">
        <v>4.3250000000000002</v>
      </c>
      <c r="J40">
        <v>2.036</v>
      </c>
      <c r="K40" t="s">
        <v>144</v>
      </c>
      <c r="M40">
        <f t="shared" si="7"/>
        <v>0.52924855491329481</v>
      </c>
      <c r="N40" t="s">
        <v>178</v>
      </c>
      <c r="O40">
        <v>1757077</v>
      </c>
      <c r="P40">
        <f t="shared" si="9"/>
        <v>125.95508859111112</v>
      </c>
      <c r="Q40">
        <v>5</v>
      </c>
      <c r="R40" t="s">
        <v>208</v>
      </c>
      <c r="S40" t="s">
        <v>144</v>
      </c>
      <c r="T40" t="s">
        <v>144</v>
      </c>
      <c r="U40" t="s">
        <v>144</v>
      </c>
      <c r="V40">
        <f>P40*100/Q40</f>
        <v>2519.1017718222224</v>
      </c>
      <c r="W40">
        <f t="shared" si="8"/>
        <v>2519.1017718222224</v>
      </c>
      <c r="X40">
        <v>0.36</v>
      </c>
      <c r="Y40">
        <v>0.35</v>
      </c>
      <c r="Z40">
        <v>0.3</v>
      </c>
      <c r="AA40">
        <f t="shared" si="6"/>
        <v>61.863992431783458</v>
      </c>
      <c r="AB40" t="s">
        <v>130</v>
      </c>
    </row>
    <row r="41" spans="1:28" x14ac:dyDescent="0.25">
      <c r="A41">
        <v>40</v>
      </c>
      <c r="B41" t="s">
        <v>83</v>
      </c>
      <c r="C41" t="s">
        <v>652</v>
      </c>
      <c r="E41" t="s">
        <v>653</v>
      </c>
      <c r="G41" t="s">
        <v>204</v>
      </c>
      <c r="H41" t="s">
        <v>144</v>
      </c>
      <c r="I41">
        <v>5.0389999999999997</v>
      </c>
      <c r="J41">
        <v>2.093</v>
      </c>
      <c r="K41" t="s">
        <v>144</v>
      </c>
      <c r="M41">
        <f t="shared" si="7"/>
        <v>0.58463980948600913</v>
      </c>
      <c r="N41" t="s">
        <v>176</v>
      </c>
      <c r="O41">
        <f>3552513</f>
        <v>3552513</v>
      </c>
      <c r="P41">
        <f t="shared" si="9"/>
        <v>254.65992078666667</v>
      </c>
      <c r="Q41">
        <v>2</v>
      </c>
      <c r="R41" t="s">
        <v>214</v>
      </c>
      <c r="S41">
        <v>234</v>
      </c>
      <c r="T41" t="s">
        <v>144</v>
      </c>
      <c r="U41" t="s">
        <v>144</v>
      </c>
      <c r="V41">
        <f>P41 * 100 / S41</f>
        <v>108.82902597720798</v>
      </c>
      <c r="W41">
        <f>P41*100/Q41</f>
        <v>12732.996039333333</v>
      </c>
      <c r="X41">
        <v>0.2</v>
      </c>
      <c r="Y41">
        <v>0.16</v>
      </c>
      <c r="Z41">
        <v>0.16</v>
      </c>
      <c r="AA41">
        <f t="shared" si="6"/>
        <v>121.6722029558847</v>
      </c>
    </row>
    <row r="42" spans="1:28" x14ac:dyDescent="0.25">
      <c r="A42">
        <v>41</v>
      </c>
      <c r="B42" t="s">
        <v>84</v>
      </c>
      <c r="C42" t="s">
        <v>369</v>
      </c>
      <c r="E42" t="s">
        <v>373</v>
      </c>
      <c r="G42" t="s">
        <v>204</v>
      </c>
      <c r="H42" t="s">
        <v>144</v>
      </c>
      <c r="I42">
        <v>2.6819999999999999</v>
      </c>
      <c r="J42">
        <v>1.286</v>
      </c>
      <c r="K42" t="s">
        <v>144</v>
      </c>
      <c r="M42">
        <f t="shared" si="7"/>
        <v>0.52050708426547354</v>
      </c>
      <c r="N42" t="s">
        <v>173</v>
      </c>
      <c r="O42">
        <v>1543821</v>
      </c>
      <c r="P42">
        <f t="shared" si="9"/>
        <v>110.66795070666666</v>
      </c>
      <c r="Q42">
        <v>4</v>
      </c>
      <c r="R42" t="s">
        <v>214</v>
      </c>
      <c r="S42">
        <v>53</v>
      </c>
      <c r="T42" t="s">
        <v>144</v>
      </c>
      <c r="U42" t="s">
        <v>144</v>
      </c>
      <c r="V42">
        <f>P42*100/S42</f>
        <v>208.80745416352198</v>
      </c>
      <c r="W42">
        <f>P42*100/Q42</f>
        <v>2766.6987676666663</v>
      </c>
      <c r="X42">
        <v>0.16</v>
      </c>
      <c r="Y42">
        <v>0.22</v>
      </c>
      <c r="Z42">
        <v>0.21</v>
      </c>
      <c r="AA42">
        <f t="shared" si="6"/>
        <v>86.055949227579049</v>
      </c>
    </row>
    <row r="43" spans="1:28" x14ac:dyDescent="0.25">
      <c r="A43">
        <v>42</v>
      </c>
      <c r="B43" t="s">
        <v>85</v>
      </c>
      <c r="C43" t="s">
        <v>351</v>
      </c>
      <c r="E43" t="s">
        <v>21</v>
      </c>
      <c r="G43" t="s">
        <v>204</v>
      </c>
      <c r="H43" t="s">
        <v>144</v>
      </c>
      <c r="I43">
        <v>13.606999999999999</v>
      </c>
      <c r="J43">
        <f>8.52-3.08</f>
        <v>5.4399999999999995</v>
      </c>
      <c r="K43" t="s">
        <v>144</v>
      </c>
      <c r="M43">
        <f t="shared" si="7"/>
        <v>0.60020577643859785</v>
      </c>
      <c r="N43" t="s">
        <v>175</v>
      </c>
      <c r="O43">
        <f>2341517 + 3215010</f>
        <v>5556527</v>
      </c>
      <c r="P43">
        <f t="shared" si="9"/>
        <v>398.31655103555556</v>
      </c>
      <c r="Q43">
        <v>2</v>
      </c>
      <c r="R43" t="s">
        <v>214</v>
      </c>
      <c r="S43">
        <v>480</v>
      </c>
      <c r="T43" t="s">
        <v>144</v>
      </c>
      <c r="U43" t="s">
        <v>144</v>
      </c>
      <c r="V43">
        <f>P43*100/S43</f>
        <v>82.982614799074071</v>
      </c>
      <c r="W43">
        <f>P43*100/Q43</f>
        <v>19915.827551777777</v>
      </c>
      <c r="X43">
        <v>0.14000000000000001</v>
      </c>
      <c r="Y43">
        <v>0.14000000000000001</v>
      </c>
      <c r="Z43">
        <v>0.15</v>
      </c>
      <c r="AA43">
        <f t="shared" si="6"/>
        <v>73.219954234477129</v>
      </c>
      <c r="AB43" t="s">
        <v>413</v>
      </c>
    </row>
    <row r="44" spans="1:28" x14ac:dyDescent="0.25">
      <c r="A44">
        <v>43</v>
      </c>
      <c r="B44" t="s">
        <v>86</v>
      </c>
      <c r="C44" t="s">
        <v>370</v>
      </c>
      <c r="E44" t="s">
        <v>285</v>
      </c>
      <c r="G44" t="s">
        <v>204</v>
      </c>
      <c r="H44" t="s">
        <v>144</v>
      </c>
      <c r="I44">
        <v>10.1</v>
      </c>
      <c r="J44">
        <v>3.5680000000000001</v>
      </c>
      <c r="K44" t="s">
        <v>144</v>
      </c>
      <c r="M44">
        <f t="shared" si="7"/>
        <v>0.64673267326732675</v>
      </c>
      <c r="O44">
        <v>3937831</v>
      </c>
      <c r="P44">
        <f t="shared" si="9"/>
        <v>282.2812275511111</v>
      </c>
      <c r="Q44">
        <v>7</v>
      </c>
      <c r="R44" t="s">
        <v>208</v>
      </c>
      <c r="S44" t="s">
        <v>144</v>
      </c>
      <c r="T44" t="s">
        <v>144</v>
      </c>
      <c r="U44" t="s">
        <v>144</v>
      </c>
      <c r="V44">
        <f>P44*100/Q44</f>
        <v>4032.5889650158729</v>
      </c>
      <c r="W44">
        <f>V44</f>
        <v>4032.5889650158729</v>
      </c>
      <c r="X44">
        <v>0.26</v>
      </c>
      <c r="Y44">
        <v>0.34</v>
      </c>
      <c r="Z44">
        <v>0.28000000000000003</v>
      </c>
      <c r="AA44">
        <f t="shared" si="6"/>
        <v>79.114693820378676</v>
      </c>
    </row>
    <row r="45" spans="1:28" x14ac:dyDescent="0.25">
      <c r="A45">
        <v>44</v>
      </c>
      <c r="B45" t="s">
        <v>87</v>
      </c>
      <c r="C45" t="s">
        <v>359</v>
      </c>
      <c r="E45" t="s">
        <v>386</v>
      </c>
      <c r="G45" t="s">
        <v>204</v>
      </c>
      <c r="H45" t="s">
        <v>144</v>
      </c>
      <c r="I45">
        <v>4.6479999999999997</v>
      </c>
      <c r="J45">
        <v>2.3199999999999998</v>
      </c>
      <c r="K45" t="s">
        <v>144</v>
      </c>
      <c r="M45">
        <f t="shared" si="7"/>
        <v>0.50086058519793464</v>
      </c>
      <c r="N45" t="s">
        <v>169</v>
      </c>
      <c r="O45">
        <v>2839769</v>
      </c>
      <c r="P45">
        <f t="shared" si="9"/>
        <v>203.56726311555556</v>
      </c>
      <c r="Q45">
        <v>2</v>
      </c>
      <c r="R45" t="s">
        <v>214</v>
      </c>
      <c r="S45">
        <v>30</v>
      </c>
      <c r="T45" t="s">
        <v>144</v>
      </c>
      <c r="U45" t="s">
        <v>144</v>
      </c>
      <c r="V45">
        <f>P45*100/S45</f>
        <v>678.55754371851856</v>
      </c>
      <c r="W45">
        <f>P45*100/Q45</f>
        <v>10178.363155777779</v>
      </c>
      <c r="X45">
        <v>0.19</v>
      </c>
      <c r="Y45">
        <v>0.19</v>
      </c>
      <c r="Z45">
        <v>0.22</v>
      </c>
      <c r="AA45">
        <f t="shared" si="6"/>
        <v>87.744509963601544</v>
      </c>
    </row>
    <row r="46" spans="1:28" x14ac:dyDescent="0.25">
      <c r="A46">
        <v>45</v>
      </c>
      <c r="B46" t="s">
        <v>88</v>
      </c>
      <c r="C46" t="s">
        <v>652</v>
      </c>
      <c r="E46" t="s">
        <v>653</v>
      </c>
      <c r="G46" t="s">
        <v>204</v>
      </c>
      <c r="H46" t="s">
        <v>144</v>
      </c>
      <c r="I46">
        <v>3.7280000000000002</v>
      </c>
      <c r="J46">
        <v>1.675</v>
      </c>
      <c r="K46" t="s">
        <v>144</v>
      </c>
      <c r="M46">
        <f t="shared" si="7"/>
        <v>0.55069742489270379</v>
      </c>
      <c r="N46" t="s">
        <v>174</v>
      </c>
      <c r="O46">
        <f>2603951</f>
        <v>2603951</v>
      </c>
      <c r="P46">
        <f t="shared" si="9"/>
        <v>186.66278079555556</v>
      </c>
      <c r="Q46">
        <v>1</v>
      </c>
      <c r="S46">
        <v>198</v>
      </c>
      <c r="T46" t="s">
        <v>144</v>
      </c>
      <c r="U46" t="s">
        <v>144</v>
      </c>
      <c r="V46">
        <f>P46 * 100 /S46</f>
        <v>94.274131714927051</v>
      </c>
      <c r="W46">
        <f>P46*100</f>
        <v>18666.278079555555</v>
      </c>
      <c r="X46">
        <v>0.16</v>
      </c>
      <c r="Y46">
        <v>0.12</v>
      </c>
      <c r="Z46">
        <v>0.13</v>
      </c>
      <c r="AA46">
        <f t="shared" si="6"/>
        <v>111.44046614660033</v>
      </c>
    </row>
    <row r="47" spans="1:28" x14ac:dyDescent="0.25">
      <c r="A47">
        <v>46</v>
      </c>
      <c r="B47" t="s">
        <v>89</v>
      </c>
      <c r="C47" t="s">
        <v>371</v>
      </c>
      <c r="E47" t="s">
        <v>270</v>
      </c>
      <c r="G47" t="s">
        <v>204</v>
      </c>
      <c r="H47" t="s">
        <v>144</v>
      </c>
      <c r="I47">
        <v>3.3620000000000001</v>
      </c>
      <c r="J47">
        <v>2.06</v>
      </c>
      <c r="K47" t="s">
        <v>144</v>
      </c>
      <c r="M47">
        <f t="shared" si="7"/>
        <v>0.38726948245092208</v>
      </c>
      <c r="N47" t="s">
        <v>170</v>
      </c>
      <c r="O47">
        <v>2334389</v>
      </c>
      <c r="P47">
        <f t="shared" si="9"/>
        <v>167.33937858222222</v>
      </c>
      <c r="Q47">
        <v>75</v>
      </c>
      <c r="S47" t="s">
        <v>144</v>
      </c>
      <c r="T47" t="s">
        <v>144</v>
      </c>
      <c r="U47" t="s">
        <v>144</v>
      </c>
      <c r="V47">
        <f>P47*100/Q47</f>
        <v>223.11917144296297</v>
      </c>
      <c r="W47">
        <f>V47</f>
        <v>223.11917144296297</v>
      </c>
      <c r="X47">
        <v>0.26</v>
      </c>
      <c r="Y47">
        <v>0.23</v>
      </c>
      <c r="Z47">
        <v>0.24</v>
      </c>
      <c r="AA47">
        <f t="shared" si="6"/>
        <v>81.232708049622431</v>
      </c>
    </row>
    <row r="48" spans="1:28" x14ac:dyDescent="0.25">
      <c r="A48">
        <v>47</v>
      </c>
      <c r="B48" t="s">
        <v>90</v>
      </c>
      <c r="C48" t="s">
        <v>372</v>
      </c>
      <c r="E48" t="s">
        <v>384</v>
      </c>
      <c r="G48" t="s">
        <v>204</v>
      </c>
      <c r="H48" t="s">
        <v>144</v>
      </c>
      <c r="I48">
        <v>2.6059999999999999</v>
      </c>
      <c r="J48">
        <v>1.06</v>
      </c>
      <c r="K48" t="s">
        <v>144</v>
      </c>
      <c r="M48">
        <f t="shared" si="7"/>
        <v>0.59324635456638519</v>
      </c>
      <c r="O48">
        <v>1492268</v>
      </c>
      <c r="P48">
        <f t="shared" si="9"/>
        <v>106.97240254222223</v>
      </c>
      <c r="Q48">
        <v>14</v>
      </c>
      <c r="R48" t="s">
        <v>208</v>
      </c>
      <c r="S48" t="s">
        <v>144</v>
      </c>
      <c r="T48" t="s">
        <v>144</v>
      </c>
      <c r="U48" t="s">
        <v>144</v>
      </c>
      <c r="V48">
        <f>P48 / Q48 * 100</f>
        <v>764.08858958730161</v>
      </c>
      <c r="W48">
        <f>V48</f>
        <v>764.08858958730161</v>
      </c>
      <c r="X48">
        <v>0.16</v>
      </c>
      <c r="Y48">
        <v>0.17</v>
      </c>
      <c r="Z48">
        <v>0.21</v>
      </c>
      <c r="AA48">
        <f t="shared" si="6"/>
        <v>100.91736088888889</v>
      </c>
    </row>
    <row r="49" spans="1:28" x14ac:dyDescent="0.25">
      <c r="A49">
        <v>48</v>
      </c>
      <c r="B49" t="s">
        <v>91</v>
      </c>
      <c r="C49" t="s">
        <v>359</v>
      </c>
      <c r="E49" t="s">
        <v>64</v>
      </c>
      <c r="G49" t="s">
        <v>204</v>
      </c>
      <c r="H49" t="s">
        <v>144</v>
      </c>
      <c r="I49">
        <v>3.7469999999999999</v>
      </c>
      <c r="J49">
        <v>1.919</v>
      </c>
      <c r="K49" t="s">
        <v>144</v>
      </c>
      <c r="M49">
        <f t="shared" si="7"/>
        <v>0.48785695222844938</v>
      </c>
      <c r="O49">
        <v>2402723</v>
      </c>
      <c r="P49">
        <f t="shared" si="9"/>
        <v>172.2378634088889</v>
      </c>
      <c r="Q49">
        <v>2</v>
      </c>
      <c r="R49" t="s">
        <v>214</v>
      </c>
      <c r="S49">
        <v>19</v>
      </c>
      <c r="T49" t="s">
        <v>144</v>
      </c>
      <c r="U49" t="s">
        <v>144</v>
      </c>
      <c r="V49">
        <f>P49*100/S49</f>
        <v>906.51507057309959</v>
      </c>
      <c r="W49">
        <f>P49*100/Q49</f>
        <v>8611.8931704444458</v>
      </c>
      <c r="X49">
        <v>0.21</v>
      </c>
      <c r="Y49">
        <v>0.23</v>
      </c>
      <c r="Z49">
        <v>0.24</v>
      </c>
      <c r="AA49">
        <f t="shared" si="6"/>
        <v>89.753967383475199</v>
      </c>
    </row>
    <row r="50" spans="1:28" x14ac:dyDescent="0.25">
      <c r="A50">
        <v>49</v>
      </c>
      <c r="B50" t="s">
        <v>92</v>
      </c>
      <c r="C50" t="s">
        <v>379</v>
      </c>
      <c r="E50" t="s">
        <v>282</v>
      </c>
      <c r="G50" t="s">
        <v>204</v>
      </c>
      <c r="H50" t="s">
        <v>144</v>
      </c>
      <c r="I50">
        <v>12.606</v>
      </c>
      <c r="J50">
        <v>5.7480000000000002</v>
      </c>
      <c r="K50" t="s">
        <v>144</v>
      </c>
      <c r="M50">
        <f t="shared" si="7"/>
        <v>0.54402665397429795</v>
      </c>
      <c r="N50" t="s">
        <v>157</v>
      </c>
      <c r="O50">
        <f>3021632+2018459</f>
        <v>5040091</v>
      </c>
      <c r="P50">
        <f t="shared" si="9"/>
        <v>361.29612328444443</v>
      </c>
      <c r="Q50">
        <v>2</v>
      </c>
      <c r="R50" t="s">
        <v>214</v>
      </c>
      <c r="S50">
        <v>25</v>
      </c>
      <c r="T50" t="s">
        <v>144</v>
      </c>
      <c r="U50" t="s">
        <v>144</v>
      </c>
      <c r="V50">
        <f>P50*100/S50</f>
        <v>1445.1844931377775</v>
      </c>
      <c r="W50">
        <f>P50*100/Q50</f>
        <v>18064.80616422222</v>
      </c>
      <c r="X50">
        <v>0.28000000000000003</v>
      </c>
      <c r="Y50">
        <v>0.31</v>
      </c>
      <c r="Z50">
        <v>0.33</v>
      </c>
      <c r="AA50">
        <f t="shared" si="6"/>
        <v>62.855971343849063</v>
      </c>
    </row>
    <row r="51" spans="1:28" x14ac:dyDescent="0.25">
      <c r="A51">
        <v>50</v>
      </c>
      <c r="B51" t="s">
        <v>93</v>
      </c>
      <c r="C51" t="s">
        <v>348</v>
      </c>
      <c r="E51" t="s">
        <v>497</v>
      </c>
      <c r="G51" t="s">
        <v>204</v>
      </c>
      <c r="H51" t="s">
        <v>144</v>
      </c>
      <c r="I51">
        <v>0.89300000000000002</v>
      </c>
      <c r="J51">
        <v>0.46800000000000003</v>
      </c>
      <c r="K51" t="s">
        <v>144</v>
      </c>
      <c r="M51">
        <f t="shared" si="7"/>
        <v>0.47592385218365058</v>
      </c>
      <c r="O51">
        <v>529271</v>
      </c>
      <c r="P51">
        <f t="shared" si="9"/>
        <v>37.940497595555556</v>
      </c>
      <c r="Q51">
        <v>5</v>
      </c>
      <c r="R51" t="s">
        <v>208</v>
      </c>
      <c r="S51" t="s">
        <v>144</v>
      </c>
      <c r="T51" t="s">
        <v>144</v>
      </c>
      <c r="U51" t="s">
        <v>144</v>
      </c>
      <c r="V51">
        <f>P51*100/Q51</f>
        <v>758.80995191111117</v>
      </c>
      <c r="W51">
        <f t="shared" ref="W51:W56" si="10">V51</f>
        <v>758.80995191111117</v>
      </c>
      <c r="X51">
        <v>0.25</v>
      </c>
      <c r="Y51">
        <v>0.23</v>
      </c>
      <c r="Z51">
        <v>0.22</v>
      </c>
      <c r="AA51">
        <f t="shared" si="6"/>
        <v>81.069439306742638</v>
      </c>
    </row>
    <row r="52" spans="1:28" x14ac:dyDescent="0.25">
      <c r="A52">
        <v>51</v>
      </c>
      <c r="B52" t="s">
        <v>94</v>
      </c>
      <c r="C52" t="s">
        <v>441</v>
      </c>
      <c r="E52" t="s">
        <v>489</v>
      </c>
      <c r="G52" t="s">
        <v>204</v>
      </c>
      <c r="H52" t="s">
        <v>144</v>
      </c>
      <c r="I52">
        <v>8.6530000000000005</v>
      </c>
      <c r="J52">
        <v>2.9129999999999998</v>
      </c>
      <c r="K52" t="s">
        <v>144</v>
      </c>
      <c r="M52">
        <f t="shared" si="7"/>
        <v>0.66335375014445852</v>
      </c>
      <c r="O52">
        <v>2437307</v>
      </c>
      <c r="P52">
        <f t="shared" si="9"/>
        <v>174.71699823555556</v>
      </c>
      <c r="Q52">
        <v>5</v>
      </c>
      <c r="R52" t="s">
        <v>208</v>
      </c>
      <c r="S52" t="s">
        <v>144</v>
      </c>
      <c r="T52" t="s">
        <v>144</v>
      </c>
      <c r="U52" t="s">
        <v>144</v>
      </c>
      <c r="V52">
        <f>(P52/Q52) * 100</f>
        <v>3494.3399647111114</v>
      </c>
      <c r="W52">
        <f t="shared" si="10"/>
        <v>3494.3399647111114</v>
      </c>
      <c r="X52">
        <v>0.48</v>
      </c>
      <c r="Y52">
        <v>0.5</v>
      </c>
      <c r="Z52">
        <v>0.51</v>
      </c>
      <c r="AA52">
        <f t="shared" si="6"/>
        <v>59.978372205820655</v>
      </c>
    </row>
    <row r="53" spans="1:28" x14ac:dyDescent="0.25">
      <c r="A53">
        <v>52</v>
      </c>
      <c r="B53" t="s">
        <v>95</v>
      </c>
      <c r="C53" t="s">
        <v>370</v>
      </c>
      <c r="E53" t="s">
        <v>285</v>
      </c>
      <c r="G53" t="s">
        <v>204</v>
      </c>
      <c r="H53" t="s">
        <v>144</v>
      </c>
      <c r="I53" t="s">
        <v>144</v>
      </c>
      <c r="J53">
        <v>5.25</v>
      </c>
      <c r="K53" t="s">
        <v>144</v>
      </c>
      <c r="M53" t="s">
        <v>144</v>
      </c>
      <c r="N53" t="s">
        <v>194</v>
      </c>
      <c r="O53">
        <v>4506815</v>
      </c>
      <c r="P53">
        <f t="shared" si="9"/>
        <v>323.06852948888888</v>
      </c>
      <c r="Q53">
        <v>10</v>
      </c>
      <c r="R53" t="s">
        <v>208</v>
      </c>
      <c r="S53" t="s">
        <v>144</v>
      </c>
      <c r="T53" t="s">
        <v>144</v>
      </c>
      <c r="U53" t="s">
        <v>144</v>
      </c>
      <c r="V53">
        <f>(P53/Q53) * 100</f>
        <v>3230.6852948888891</v>
      </c>
      <c r="W53">
        <f t="shared" si="10"/>
        <v>3230.6852948888891</v>
      </c>
      <c r="X53">
        <v>0.28000000000000003</v>
      </c>
      <c r="Y53">
        <v>0.36</v>
      </c>
      <c r="Z53">
        <v>0.37</v>
      </c>
      <c r="AA53">
        <f t="shared" si="6"/>
        <v>61.536862759788356</v>
      </c>
    </row>
    <row r="54" spans="1:28" x14ac:dyDescent="0.25">
      <c r="A54">
        <v>53</v>
      </c>
      <c r="B54" t="s">
        <v>96</v>
      </c>
      <c r="C54" t="s">
        <v>354</v>
      </c>
      <c r="E54" t="s">
        <v>406</v>
      </c>
      <c r="G54" t="s">
        <v>204</v>
      </c>
      <c r="H54" t="s">
        <v>144</v>
      </c>
      <c r="I54">
        <v>6.3680000000000003</v>
      </c>
      <c r="J54">
        <v>3.09</v>
      </c>
      <c r="K54" t="s">
        <v>144</v>
      </c>
      <c r="M54">
        <f t="shared" ref="M54:M88" si="11">(I54-J54)/I54</f>
        <v>0.51476130653266339</v>
      </c>
      <c r="N54" t="s">
        <v>188</v>
      </c>
      <c r="O54">
        <v>2296294</v>
      </c>
      <c r="P54">
        <f t="shared" si="9"/>
        <v>164.60855967111112</v>
      </c>
      <c r="Q54">
        <v>5</v>
      </c>
      <c r="S54" t="s">
        <v>144</v>
      </c>
      <c r="T54" t="s">
        <v>144</v>
      </c>
      <c r="U54" t="s">
        <v>144</v>
      </c>
      <c r="V54">
        <f>P54 * 100/5</f>
        <v>3292.1711934222221</v>
      </c>
      <c r="W54">
        <f t="shared" si="10"/>
        <v>3292.1711934222221</v>
      </c>
      <c r="X54">
        <v>0.35</v>
      </c>
      <c r="Y54">
        <v>0.33</v>
      </c>
      <c r="Z54">
        <v>0.31</v>
      </c>
      <c r="AA54">
        <f t="shared" si="6"/>
        <v>53.271378534340172</v>
      </c>
    </row>
    <row r="55" spans="1:28" x14ac:dyDescent="0.25">
      <c r="A55">
        <v>54</v>
      </c>
      <c r="B55" t="s">
        <v>97</v>
      </c>
      <c r="C55" t="s">
        <v>397</v>
      </c>
      <c r="E55" t="s">
        <v>259</v>
      </c>
      <c r="G55" t="s">
        <v>204</v>
      </c>
      <c r="H55" t="s">
        <v>144</v>
      </c>
      <c r="I55">
        <v>3.077</v>
      </c>
      <c r="J55">
        <v>1.04</v>
      </c>
      <c r="K55" t="s">
        <v>144</v>
      </c>
      <c r="M55">
        <f t="shared" si="11"/>
        <v>0.66200844978875528</v>
      </c>
      <c r="N55" t="s">
        <v>186</v>
      </c>
      <c r="O55">
        <v>1647568</v>
      </c>
      <c r="P55">
        <f t="shared" si="9"/>
        <v>118.10499676444444</v>
      </c>
      <c r="Q55">
        <v>5</v>
      </c>
      <c r="R55" t="s">
        <v>208</v>
      </c>
      <c r="S55" t="s">
        <v>144</v>
      </c>
      <c r="T55" t="s">
        <v>144</v>
      </c>
      <c r="U55" t="s">
        <v>144</v>
      </c>
      <c r="V55">
        <f>P55*100/5</f>
        <v>2362.0999352888889</v>
      </c>
      <c r="W55">
        <f t="shared" si="10"/>
        <v>2362.0999352888889</v>
      </c>
      <c r="X55">
        <v>0.25</v>
      </c>
      <c r="Y55">
        <v>0.24</v>
      </c>
      <c r="Z55">
        <v>0.26</v>
      </c>
      <c r="AA55">
        <f t="shared" si="6"/>
        <v>113.56249688888887</v>
      </c>
      <c r="AB55" t="s">
        <v>764</v>
      </c>
    </row>
    <row r="56" spans="1:28" x14ac:dyDescent="0.25">
      <c r="A56">
        <v>55</v>
      </c>
      <c r="B56" t="s">
        <v>98</v>
      </c>
      <c r="C56" t="s">
        <v>381</v>
      </c>
      <c r="E56" t="s">
        <v>385</v>
      </c>
      <c r="G56" t="s">
        <v>204</v>
      </c>
      <c r="H56" t="s">
        <v>144</v>
      </c>
      <c r="I56">
        <v>0.30299999999999999</v>
      </c>
      <c r="J56">
        <v>0.09</v>
      </c>
      <c r="K56" t="s">
        <v>144</v>
      </c>
      <c r="M56">
        <f t="shared" si="11"/>
        <v>0.70297029702970293</v>
      </c>
      <c r="N56" t="s">
        <v>187</v>
      </c>
      <c r="O56">
        <v>257690</v>
      </c>
      <c r="P56">
        <f t="shared" si="9"/>
        <v>18.472364488888889</v>
      </c>
      <c r="Q56">
        <v>43</v>
      </c>
      <c r="R56" t="s">
        <v>208</v>
      </c>
      <c r="S56" t="s">
        <v>144</v>
      </c>
      <c r="T56" t="s">
        <v>144</v>
      </c>
      <c r="U56" t="s">
        <v>144</v>
      </c>
      <c r="V56">
        <f>(P56/Q56) * 100</f>
        <v>42.958987183462533</v>
      </c>
      <c r="W56">
        <f t="shared" si="10"/>
        <v>42.958987183462533</v>
      </c>
      <c r="X56">
        <v>0.16</v>
      </c>
      <c r="Y56">
        <v>0.15</v>
      </c>
      <c r="Z56">
        <v>0.14000000000000001</v>
      </c>
      <c r="AA56">
        <f t="shared" si="6"/>
        <v>205.24849432098767</v>
      </c>
    </row>
    <row r="57" spans="1:28" x14ac:dyDescent="0.25">
      <c r="A57">
        <v>56</v>
      </c>
      <c r="B57" t="s">
        <v>6</v>
      </c>
      <c r="C57" t="s">
        <v>382</v>
      </c>
      <c r="E57" t="s">
        <v>335</v>
      </c>
      <c r="G57" t="s">
        <v>204</v>
      </c>
      <c r="H57" t="s">
        <v>144</v>
      </c>
      <c r="I57">
        <v>2.948</v>
      </c>
      <c r="J57">
        <v>1.427</v>
      </c>
      <c r="K57" t="s">
        <v>144</v>
      </c>
      <c r="M57">
        <f t="shared" si="11"/>
        <v>0.51594301221166894</v>
      </c>
      <c r="N57" t="s">
        <v>171</v>
      </c>
      <c r="O57">
        <f>2999326+2006795</f>
        <v>5006121</v>
      </c>
      <c r="P57">
        <f t="shared" si="9"/>
        <v>358.86100270666668</v>
      </c>
      <c r="Q57">
        <v>2</v>
      </c>
      <c r="R57" t="s">
        <v>214</v>
      </c>
      <c r="S57">
        <v>17</v>
      </c>
      <c r="T57" t="s">
        <v>144</v>
      </c>
      <c r="U57" t="s">
        <v>144</v>
      </c>
      <c r="V57">
        <f>P57*100/S57</f>
        <v>2110.9470747450982</v>
      </c>
      <c r="W57">
        <f>P57*100/Q57</f>
        <v>17943.050135333335</v>
      </c>
      <c r="X57">
        <v>0.19</v>
      </c>
      <c r="Y57">
        <v>0.18</v>
      </c>
      <c r="Z57">
        <v>0.21</v>
      </c>
      <c r="AA57">
        <f t="shared" si="6"/>
        <v>251.47932915673908</v>
      </c>
    </row>
    <row r="58" spans="1:28" x14ac:dyDescent="0.25">
      <c r="A58">
        <v>57</v>
      </c>
      <c r="B58" t="s">
        <v>99</v>
      </c>
      <c r="C58" t="s">
        <v>383</v>
      </c>
      <c r="E58" t="s">
        <v>101</v>
      </c>
      <c r="G58" t="s">
        <v>204</v>
      </c>
      <c r="H58" t="s">
        <v>144</v>
      </c>
      <c r="I58">
        <v>1.335</v>
      </c>
      <c r="J58">
        <v>0.58799999999999997</v>
      </c>
      <c r="K58" t="s">
        <v>144</v>
      </c>
      <c r="M58">
        <f t="shared" si="11"/>
        <v>0.55955056179775287</v>
      </c>
      <c r="O58">
        <v>671407</v>
      </c>
      <c r="P58">
        <f t="shared" si="9"/>
        <v>48.129437791111108</v>
      </c>
      <c r="Q58">
        <v>5</v>
      </c>
      <c r="R58" t="s">
        <v>208</v>
      </c>
      <c r="S58" t="s">
        <v>144</v>
      </c>
      <c r="T58" t="s">
        <v>144</v>
      </c>
      <c r="U58" t="s">
        <v>144</v>
      </c>
      <c r="V58">
        <f>P58*100/Q58</f>
        <v>962.58875582222208</v>
      </c>
      <c r="W58">
        <f t="shared" ref="W58:W64" si="12">V58</f>
        <v>962.58875582222208</v>
      </c>
      <c r="X58">
        <v>0.25</v>
      </c>
      <c r="Y58">
        <v>0.26</v>
      </c>
      <c r="Z58">
        <v>0.28999999999999998</v>
      </c>
      <c r="AA58">
        <f t="shared" si="6"/>
        <v>81.852785359032495</v>
      </c>
      <c r="AB58" t="s">
        <v>100</v>
      </c>
    </row>
    <row r="59" spans="1:28" x14ac:dyDescent="0.25">
      <c r="A59">
        <v>58</v>
      </c>
      <c r="B59" t="s">
        <v>102</v>
      </c>
      <c r="C59" t="s">
        <v>654</v>
      </c>
      <c r="E59" t="s">
        <v>655</v>
      </c>
      <c r="G59" t="s">
        <v>204</v>
      </c>
      <c r="H59" t="s">
        <v>144</v>
      </c>
      <c r="I59">
        <v>1.083</v>
      </c>
      <c r="J59">
        <v>0.26400000000000001</v>
      </c>
      <c r="K59" t="s">
        <v>144</v>
      </c>
      <c r="M59">
        <f t="shared" si="11"/>
        <v>0.75623268698060941</v>
      </c>
      <c r="N59" t="s">
        <v>181</v>
      </c>
      <c r="O59">
        <v>711777</v>
      </c>
      <c r="P59">
        <f t="shared" si="9"/>
        <v>51.023338813333332</v>
      </c>
      <c r="Q59">
        <v>5</v>
      </c>
      <c r="R59" t="s">
        <v>208</v>
      </c>
      <c r="S59" t="s">
        <v>144</v>
      </c>
      <c r="T59" t="s">
        <v>144</v>
      </c>
      <c r="U59" t="s">
        <v>144</v>
      </c>
      <c r="V59">
        <f>P59*100/Q59</f>
        <v>1020.4667762666666</v>
      </c>
      <c r="W59">
        <f t="shared" si="12"/>
        <v>1020.4667762666666</v>
      </c>
      <c r="X59">
        <v>0.15</v>
      </c>
      <c r="Y59">
        <v>0.12</v>
      </c>
      <c r="Z59">
        <v>0.14000000000000001</v>
      </c>
      <c r="AA59">
        <f t="shared" si="6"/>
        <v>193.27022277777778</v>
      </c>
    </row>
    <row r="60" spans="1:28" x14ac:dyDescent="0.25">
      <c r="A60">
        <v>59</v>
      </c>
      <c r="B60" t="s">
        <v>103</v>
      </c>
      <c r="C60" t="s">
        <v>383</v>
      </c>
      <c r="E60" t="s">
        <v>101</v>
      </c>
      <c r="G60" t="s">
        <v>204</v>
      </c>
      <c r="H60" t="s">
        <v>144</v>
      </c>
      <c r="I60">
        <v>3.2919999999999998</v>
      </c>
      <c r="J60">
        <v>1.4850000000000001</v>
      </c>
      <c r="K60" t="s">
        <v>144</v>
      </c>
      <c r="M60">
        <f t="shared" si="11"/>
        <v>0.54890643985419196</v>
      </c>
      <c r="N60" t="s">
        <v>179</v>
      </c>
      <c r="O60">
        <v>1512675</v>
      </c>
      <c r="P60">
        <f t="shared" si="9"/>
        <v>108.43526700000001</v>
      </c>
      <c r="Q60">
        <v>5</v>
      </c>
      <c r="S60" t="s">
        <v>144</v>
      </c>
      <c r="T60" t="s">
        <v>144</v>
      </c>
      <c r="U60" t="s">
        <v>144</v>
      </c>
      <c r="V60">
        <f>P60*100/Q60</f>
        <v>2168.70534</v>
      </c>
      <c r="W60">
        <f t="shared" si="12"/>
        <v>2168.70534</v>
      </c>
      <c r="X60">
        <v>0.19</v>
      </c>
      <c r="Y60">
        <v>0.26</v>
      </c>
      <c r="Z60">
        <v>0.2</v>
      </c>
      <c r="AA60">
        <f t="shared" si="6"/>
        <v>73.020381818181818</v>
      </c>
      <c r="AB60" t="s">
        <v>104</v>
      </c>
    </row>
    <row r="61" spans="1:28" x14ac:dyDescent="0.25">
      <c r="A61">
        <v>60</v>
      </c>
      <c r="B61" t="s">
        <v>105</v>
      </c>
      <c r="C61" t="s">
        <v>380</v>
      </c>
      <c r="E61" t="s">
        <v>185</v>
      </c>
      <c r="G61" t="s">
        <v>204</v>
      </c>
      <c r="H61" t="s">
        <v>144</v>
      </c>
      <c r="I61">
        <v>1.96</v>
      </c>
      <c r="J61">
        <v>0.72499999999999998</v>
      </c>
      <c r="K61" t="s">
        <v>144</v>
      </c>
      <c r="M61">
        <f t="shared" si="11"/>
        <v>0.63010204081632648</v>
      </c>
      <c r="O61">
        <v>1129559</v>
      </c>
      <c r="P61">
        <f t="shared" si="9"/>
        <v>80.971809382222233</v>
      </c>
      <c r="Q61">
        <v>5</v>
      </c>
      <c r="S61" t="s">
        <v>144</v>
      </c>
      <c r="T61" t="s">
        <v>144</v>
      </c>
      <c r="U61" t="s">
        <v>144</v>
      </c>
      <c r="V61">
        <f>P61*100/Q61</f>
        <v>1619.4361876444448</v>
      </c>
      <c r="W61">
        <f t="shared" si="12"/>
        <v>1619.4361876444448</v>
      </c>
      <c r="X61">
        <v>0.22</v>
      </c>
      <c r="Y61">
        <v>0.23</v>
      </c>
      <c r="Z61">
        <v>0.17</v>
      </c>
      <c r="AA61">
        <f t="shared" si="6"/>
        <v>111.68525432030653</v>
      </c>
    </row>
    <row r="62" spans="1:28" x14ac:dyDescent="0.25">
      <c r="A62">
        <v>61</v>
      </c>
      <c r="B62" t="s">
        <v>106</v>
      </c>
      <c r="C62" t="s">
        <v>399</v>
      </c>
      <c r="E62" t="s">
        <v>265</v>
      </c>
      <c r="G62" t="s">
        <v>204</v>
      </c>
      <c r="H62" t="s">
        <v>144</v>
      </c>
      <c r="I62">
        <v>6.9539999999999997</v>
      </c>
      <c r="J62">
        <v>3.004</v>
      </c>
      <c r="K62" t="s">
        <v>144</v>
      </c>
      <c r="M62">
        <f t="shared" si="11"/>
        <v>0.56801840667241876</v>
      </c>
      <c r="N62" t="s">
        <v>106</v>
      </c>
      <c r="O62">
        <v>2523737</v>
      </c>
      <c r="P62">
        <f t="shared" si="9"/>
        <v>180.91268476888891</v>
      </c>
      <c r="Q62">
        <v>7</v>
      </c>
      <c r="R62" t="s">
        <v>208</v>
      </c>
      <c r="S62" t="s">
        <v>144</v>
      </c>
      <c r="T62" t="s">
        <v>144</v>
      </c>
      <c r="U62" t="s">
        <v>144</v>
      </c>
      <c r="V62">
        <f>(P62/Q62) * 100</f>
        <v>2584.4669252698418</v>
      </c>
      <c r="W62">
        <f t="shared" si="12"/>
        <v>2584.4669252698418</v>
      </c>
      <c r="X62">
        <v>0.36</v>
      </c>
      <c r="Y62">
        <v>0.39</v>
      </c>
      <c r="Z62">
        <v>0.34</v>
      </c>
      <c r="AA62">
        <f t="shared" si="6"/>
        <v>60.223929683385123</v>
      </c>
    </row>
    <row r="63" spans="1:28" x14ac:dyDescent="0.25">
      <c r="A63">
        <v>62</v>
      </c>
      <c r="B63" t="s">
        <v>107</v>
      </c>
      <c r="C63" t="s">
        <v>554</v>
      </c>
      <c r="E63" t="s">
        <v>555</v>
      </c>
      <c r="G63" t="s">
        <v>204</v>
      </c>
      <c r="H63" t="s">
        <v>144</v>
      </c>
      <c r="I63">
        <v>11.929</v>
      </c>
      <c r="J63">
        <v>4.2919999999999998</v>
      </c>
      <c r="K63" t="s">
        <v>144</v>
      </c>
      <c r="M63">
        <f t="shared" si="11"/>
        <v>0.64020454354933354</v>
      </c>
      <c r="N63" t="s">
        <v>107</v>
      </c>
      <c r="O63">
        <v>5563556</v>
      </c>
      <c r="P63">
        <f t="shared" si="9"/>
        <v>398.82042099555554</v>
      </c>
      <c r="Q63">
        <v>4</v>
      </c>
      <c r="R63" t="s">
        <v>208</v>
      </c>
      <c r="S63" t="s">
        <v>144</v>
      </c>
      <c r="T63" t="s">
        <v>144</v>
      </c>
      <c r="U63" t="s">
        <v>144</v>
      </c>
      <c r="V63">
        <f>(P63/Q63) * 100</f>
        <v>9970.5105248888885</v>
      </c>
      <c r="W63">
        <f t="shared" si="12"/>
        <v>9970.5105248888885</v>
      </c>
      <c r="X63">
        <v>0.54</v>
      </c>
      <c r="Y63">
        <v>0.54</v>
      </c>
      <c r="Z63">
        <v>0.49</v>
      </c>
      <c r="AA63">
        <f t="shared" si="6"/>
        <v>92.921812906699799</v>
      </c>
    </row>
    <row r="64" spans="1:28" x14ac:dyDescent="0.25">
      <c r="A64">
        <v>63</v>
      </c>
      <c r="B64" t="s">
        <v>108</v>
      </c>
      <c r="C64" t="s">
        <v>365</v>
      </c>
      <c r="E64" t="s">
        <v>222</v>
      </c>
      <c r="G64" t="s">
        <v>204</v>
      </c>
      <c r="H64" t="s">
        <v>144</v>
      </c>
      <c r="I64">
        <v>1.3819999999999999</v>
      </c>
      <c r="J64">
        <v>0.66500000000000004</v>
      </c>
      <c r="K64" t="s">
        <v>144</v>
      </c>
      <c r="M64">
        <f t="shared" si="11"/>
        <v>0.51881331403762654</v>
      </c>
      <c r="O64">
        <v>670325</v>
      </c>
      <c r="P64">
        <f t="shared" si="9"/>
        <v>48.051875222222222</v>
      </c>
      <c r="Q64">
        <v>5</v>
      </c>
      <c r="S64" t="s">
        <v>144</v>
      </c>
      <c r="T64" t="s">
        <v>144</v>
      </c>
      <c r="U64" t="s">
        <v>144</v>
      </c>
      <c r="V64">
        <f>P64*100/Q64</f>
        <v>961.03750444444449</v>
      </c>
      <c r="W64">
        <f t="shared" si="12"/>
        <v>961.03750444444449</v>
      </c>
      <c r="X64">
        <v>0.22</v>
      </c>
      <c r="Y64">
        <v>0.23</v>
      </c>
      <c r="Z64">
        <v>0.21</v>
      </c>
      <c r="AA64">
        <f t="shared" si="6"/>
        <v>72.258458980785292</v>
      </c>
    </row>
    <row r="65" spans="1:28" x14ac:dyDescent="0.25">
      <c r="A65">
        <v>64</v>
      </c>
      <c r="B65" t="s">
        <v>9</v>
      </c>
      <c r="C65" t="s">
        <v>346</v>
      </c>
      <c r="E65" t="s">
        <v>377</v>
      </c>
      <c r="G65" t="s">
        <v>204</v>
      </c>
      <c r="H65" t="s">
        <v>144</v>
      </c>
      <c r="I65">
        <v>11.45</v>
      </c>
      <c r="J65">
        <v>5.7830000000000004</v>
      </c>
      <c r="K65" t="s">
        <v>144</v>
      </c>
      <c r="M65">
        <f t="shared" si="11"/>
        <v>0.49493449781659382</v>
      </c>
      <c r="O65">
        <v>3637993</v>
      </c>
      <c r="P65">
        <f t="shared" si="9"/>
        <v>260.78750709777773</v>
      </c>
      <c r="Q65">
        <v>3</v>
      </c>
      <c r="R65" t="s">
        <v>214</v>
      </c>
      <c r="S65">
        <v>9</v>
      </c>
      <c r="T65" t="s">
        <v>144</v>
      </c>
      <c r="U65" t="s">
        <v>144</v>
      </c>
      <c r="V65">
        <f>P65*100/S65</f>
        <v>2897.638967753086</v>
      </c>
      <c r="W65">
        <f>P65*100/Q65</f>
        <v>8692.9169032592581</v>
      </c>
      <c r="X65">
        <v>0.47</v>
      </c>
      <c r="Y65">
        <v>0.35</v>
      </c>
      <c r="Z65">
        <v>0.37</v>
      </c>
      <c r="AA65">
        <f t="shared" si="6"/>
        <v>45.09553987511287</v>
      </c>
      <c r="AB65" t="s">
        <v>1020</v>
      </c>
    </row>
    <row r="66" spans="1:28" x14ac:dyDescent="0.25">
      <c r="A66">
        <v>65</v>
      </c>
      <c r="B66" t="s">
        <v>109</v>
      </c>
      <c r="C66" t="s">
        <v>350</v>
      </c>
      <c r="E66" t="s">
        <v>17</v>
      </c>
      <c r="G66" t="s">
        <v>204</v>
      </c>
      <c r="H66" t="s">
        <v>144</v>
      </c>
      <c r="I66">
        <v>3.79</v>
      </c>
      <c r="J66">
        <v>1.7450000000000001</v>
      </c>
      <c r="K66" t="s">
        <v>144</v>
      </c>
      <c r="M66">
        <f t="shared" si="11"/>
        <v>0.5395778364116095</v>
      </c>
      <c r="N66" t="s">
        <v>162</v>
      </c>
      <c r="O66">
        <v>1625872</v>
      </c>
      <c r="P66">
        <f t="shared" si="9"/>
        <v>116.54973105777779</v>
      </c>
      <c r="Q66">
        <v>5</v>
      </c>
      <c r="S66" t="s">
        <v>144</v>
      </c>
      <c r="T66" t="s">
        <v>144</v>
      </c>
      <c r="U66" t="s">
        <v>144</v>
      </c>
      <c r="V66">
        <f>P66*100/Q66</f>
        <v>2330.9946211555557</v>
      </c>
      <c r="W66">
        <f t="shared" ref="W66:W72" si="13">V66</f>
        <v>2330.9946211555557</v>
      </c>
      <c r="X66">
        <v>0.33</v>
      </c>
      <c r="Y66">
        <v>0.31</v>
      </c>
      <c r="Z66">
        <v>0.33</v>
      </c>
      <c r="AA66">
        <f t="shared" ref="AA66:AA90" si="14">(P66)/J66</f>
        <v>66.790676823941425</v>
      </c>
      <c r="AB66" t="s">
        <v>161</v>
      </c>
    </row>
    <row r="67" spans="1:28" x14ac:dyDescent="0.25">
      <c r="A67">
        <v>66</v>
      </c>
      <c r="B67" t="s">
        <v>111</v>
      </c>
      <c r="C67" t="s">
        <v>370</v>
      </c>
      <c r="E67" t="s">
        <v>285</v>
      </c>
      <c r="G67" t="s">
        <v>204</v>
      </c>
      <c r="H67" t="s">
        <v>144</v>
      </c>
      <c r="I67">
        <v>7.351</v>
      </c>
      <c r="J67">
        <v>2.1619999999999999</v>
      </c>
      <c r="K67" t="s">
        <v>144</v>
      </c>
      <c r="M67">
        <f t="shared" si="11"/>
        <v>0.70589035505373421</v>
      </c>
      <c r="N67" t="s">
        <v>163</v>
      </c>
      <c r="O67">
        <v>2842828</v>
      </c>
      <c r="P67">
        <f t="shared" si="9"/>
        <v>203.78654583111111</v>
      </c>
      <c r="Q67">
        <v>5</v>
      </c>
      <c r="S67" t="s">
        <v>144</v>
      </c>
      <c r="T67" t="s">
        <v>144</v>
      </c>
      <c r="U67" t="s">
        <v>144</v>
      </c>
      <c r="V67">
        <f>(P67/Q67) * 100</f>
        <v>4075.7309166222221</v>
      </c>
      <c r="W67">
        <f t="shared" si="13"/>
        <v>4075.7309166222221</v>
      </c>
      <c r="X67">
        <v>0.34</v>
      </c>
      <c r="Y67">
        <v>0.36</v>
      </c>
      <c r="Z67">
        <v>0.4</v>
      </c>
      <c r="AA67">
        <f t="shared" si="14"/>
        <v>94.258346822900606</v>
      </c>
    </row>
    <row r="68" spans="1:28" x14ac:dyDescent="0.25">
      <c r="A68">
        <v>67</v>
      </c>
      <c r="B68" t="s">
        <v>112</v>
      </c>
      <c r="C68" t="s">
        <v>366</v>
      </c>
      <c r="E68" t="s">
        <v>367</v>
      </c>
      <c r="G68" t="s">
        <v>204</v>
      </c>
      <c r="H68" t="s">
        <v>144</v>
      </c>
      <c r="I68">
        <v>2.2519999999999998</v>
      </c>
      <c r="J68">
        <v>0.74299999999999999</v>
      </c>
      <c r="K68" t="s">
        <v>144</v>
      </c>
      <c r="M68">
        <f t="shared" si="11"/>
        <v>0.67007104795737127</v>
      </c>
      <c r="O68">
        <v>1019055</v>
      </c>
      <c r="P68">
        <f t="shared" si="9"/>
        <v>73.05039153333334</v>
      </c>
      <c r="Q68">
        <v>5</v>
      </c>
      <c r="R68" t="s">
        <v>208</v>
      </c>
      <c r="S68" t="s">
        <v>144</v>
      </c>
      <c r="T68" t="s">
        <v>144</v>
      </c>
      <c r="U68" t="s">
        <v>144</v>
      </c>
      <c r="V68">
        <f>P68*100/Q68</f>
        <v>1461.0078306666669</v>
      </c>
      <c r="W68">
        <f t="shared" si="13"/>
        <v>1461.0078306666669</v>
      </c>
      <c r="X68">
        <v>0.21</v>
      </c>
      <c r="Y68">
        <v>0.2</v>
      </c>
      <c r="Z68">
        <v>0.21</v>
      </c>
      <c r="AA68">
        <f t="shared" si="14"/>
        <v>98.318158187528056</v>
      </c>
    </row>
    <row r="69" spans="1:28" x14ac:dyDescent="0.25">
      <c r="A69">
        <v>68</v>
      </c>
      <c r="B69" t="s">
        <v>113</v>
      </c>
      <c r="C69" t="s">
        <v>348</v>
      </c>
      <c r="E69" t="s">
        <v>389</v>
      </c>
      <c r="G69" t="s">
        <v>204</v>
      </c>
      <c r="H69" t="s">
        <v>144</v>
      </c>
      <c r="I69">
        <v>2.5649999999999999</v>
      </c>
      <c r="J69">
        <v>1.212</v>
      </c>
      <c r="K69" t="s">
        <v>144</v>
      </c>
      <c r="M69">
        <f t="shared" si="11"/>
        <v>0.52748538011695911</v>
      </c>
      <c r="N69" t="s">
        <v>168</v>
      </c>
      <c r="O69">
        <v>1223585</v>
      </c>
      <c r="P69">
        <f t="shared" si="9"/>
        <v>87.712010955555556</v>
      </c>
      <c r="Q69">
        <v>5</v>
      </c>
      <c r="R69" t="s">
        <v>208</v>
      </c>
      <c r="S69" t="s">
        <v>144</v>
      </c>
      <c r="T69" t="s">
        <v>144</v>
      </c>
      <c r="U69" t="s">
        <v>144</v>
      </c>
      <c r="V69">
        <f>P69*100/Q69</f>
        <v>1754.2402191111112</v>
      </c>
      <c r="W69">
        <f t="shared" si="13"/>
        <v>1754.2402191111112</v>
      </c>
      <c r="X69">
        <v>0.22</v>
      </c>
      <c r="Y69">
        <v>0.28000000000000003</v>
      </c>
      <c r="Z69">
        <v>0.22</v>
      </c>
      <c r="AA69">
        <f t="shared" si="14"/>
        <v>72.369646002933635</v>
      </c>
    </row>
    <row r="70" spans="1:28" x14ac:dyDescent="0.25">
      <c r="A70">
        <v>69</v>
      </c>
      <c r="B70" t="s">
        <v>114</v>
      </c>
      <c r="C70" t="s">
        <v>368</v>
      </c>
      <c r="E70" t="s">
        <v>318</v>
      </c>
      <c r="G70" t="s">
        <v>204</v>
      </c>
      <c r="H70" t="s">
        <v>144</v>
      </c>
      <c r="I70">
        <v>0.435</v>
      </c>
      <c r="J70">
        <v>0.182</v>
      </c>
      <c r="K70" t="s">
        <v>144</v>
      </c>
      <c r="M70">
        <f t="shared" si="11"/>
        <v>0.58160919540229883</v>
      </c>
      <c r="N70" t="s">
        <v>164</v>
      </c>
      <c r="O70">
        <v>303119</v>
      </c>
      <c r="P70">
        <f t="shared" si="9"/>
        <v>21.728917115555554</v>
      </c>
      <c r="Q70">
        <v>23</v>
      </c>
      <c r="R70" t="s">
        <v>208</v>
      </c>
      <c r="S70" t="s">
        <v>144</v>
      </c>
      <c r="T70" t="s">
        <v>144</v>
      </c>
      <c r="U70" t="s">
        <v>144</v>
      </c>
      <c r="V70">
        <f>P70*100/Q70</f>
        <v>94.473552676328495</v>
      </c>
      <c r="W70">
        <f t="shared" si="13"/>
        <v>94.473552676328495</v>
      </c>
      <c r="X70">
        <v>0.2</v>
      </c>
      <c r="Y70">
        <v>0.2</v>
      </c>
      <c r="Z70">
        <v>0.18</v>
      </c>
      <c r="AA70">
        <f t="shared" si="14"/>
        <v>119.38965448107447</v>
      </c>
    </row>
    <row r="71" spans="1:28" x14ac:dyDescent="0.25">
      <c r="A71">
        <v>70</v>
      </c>
      <c r="B71" t="s">
        <v>115</v>
      </c>
      <c r="C71" t="s">
        <v>344</v>
      </c>
      <c r="E71" t="s">
        <v>5</v>
      </c>
      <c r="G71" t="s">
        <v>204</v>
      </c>
      <c r="H71" t="s">
        <v>144</v>
      </c>
      <c r="I71">
        <v>1.4610000000000001</v>
      </c>
      <c r="J71">
        <v>0.61899999999999999</v>
      </c>
      <c r="K71" t="s">
        <v>144</v>
      </c>
      <c r="M71">
        <f t="shared" si="11"/>
        <v>0.57631759069130739</v>
      </c>
      <c r="N71" t="s">
        <v>165</v>
      </c>
      <c r="O71">
        <v>785658</v>
      </c>
      <c r="P71">
        <f t="shared" ref="P71:P90" si="15">O71 / (300 * 300) * 6.4516</f>
        <v>56.319457253333326</v>
      </c>
      <c r="Q71">
        <v>5</v>
      </c>
      <c r="S71" t="s">
        <v>144</v>
      </c>
      <c r="T71" t="s">
        <v>144</v>
      </c>
      <c r="U71" t="s">
        <v>144</v>
      </c>
      <c r="V71">
        <f>P71*100/Q71</f>
        <v>1126.3891450666665</v>
      </c>
      <c r="W71">
        <f t="shared" si="13"/>
        <v>1126.3891450666665</v>
      </c>
      <c r="X71">
        <v>0.25</v>
      </c>
      <c r="Y71">
        <v>0.22</v>
      </c>
      <c r="Z71">
        <v>0.22</v>
      </c>
      <c r="AA71">
        <f t="shared" si="14"/>
        <v>90.984583607969839</v>
      </c>
    </row>
    <row r="72" spans="1:28" x14ac:dyDescent="0.25">
      <c r="A72">
        <v>71</v>
      </c>
      <c r="B72" t="s">
        <v>116</v>
      </c>
      <c r="C72" t="s">
        <v>387</v>
      </c>
      <c r="D72">
        <v>1</v>
      </c>
      <c r="E72" t="s">
        <v>217</v>
      </c>
      <c r="G72" t="s">
        <v>204</v>
      </c>
      <c r="H72" t="s">
        <v>144</v>
      </c>
      <c r="I72">
        <v>1.8660000000000001</v>
      </c>
      <c r="J72">
        <v>0.97</v>
      </c>
      <c r="K72" t="s">
        <v>144</v>
      </c>
      <c r="M72">
        <f t="shared" si="11"/>
        <v>0.48017148981779212</v>
      </c>
      <c r="N72" t="s">
        <v>166</v>
      </c>
      <c r="O72">
        <v>721954</v>
      </c>
      <c r="P72">
        <f t="shared" si="15"/>
        <v>51.752871404444448</v>
      </c>
      <c r="Q72">
        <v>5</v>
      </c>
      <c r="R72" t="s">
        <v>208</v>
      </c>
      <c r="S72" t="s">
        <v>144</v>
      </c>
      <c r="T72" t="s">
        <v>144</v>
      </c>
      <c r="U72" t="s">
        <v>144</v>
      </c>
      <c r="V72">
        <f>(P72/Q72) * 100</f>
        <v>1035.0574280888889</v>
      </c>
      <c r="W72">
        <f t="shared" si="13"/>
        <v>1035.0574280888889</v>
      </c>
      <c r="X72">
        <v>0.35</v>
      </c>
      <c r="Y72">
        <v>0.39</v>
      </c>
      <c r="Z72">
        <v>0.33</v>
      </c>
      <c r="AA72">
        <f t="shared" si="14"/>
        <v>53.353475674685001</v>
      </c>
    </row>
    <row r="73" spans="1:28" x14ac:dyDescent="0.25">
      <c r="A73">
        <v>72</v>
      </c>
      <c r="B73" t="s">
        <v>117</v>
      </c>
      <c r="C73" t="s">
        <v>351</v>
      </c>
      <c r="E73" t="s">
        <v>21</v>
      </c>
      <c r="G73" t="s">
        <v>204</v>
      </c>
      <c r="H73" t="s">
        <v>144</v>
      </c>
      <c r="I73">
        <v>7.7220000000000004</v>
      </c>
      <c r="J73">
        <v>2.778</v>
      </c>
      <c r="K73" t="s">
        <v>144</v>
      </c>
      <c r="M73">
        <f t="shared" si="11"/>
        <v>0.64024864024864037</v>
      </c>
      <c r="O73">
        <v>3143247</v>
      </c>
      <c r="P73">
        <f t="shared" si="15"/>
        <v>225.32191494666668</v>
      </c>
      <c r="Q73">
        <v>1</v>
      </c>
      <c r="R73" t="s">
        <v>214</v>
      </c>
      <c r="S73">
        <v>232</v>
      </c>
      <c r="T73" t="s">
        <v>144</v>
      </c>
      <c r="U73" t="s">
        <v>144</v>
      </c>
      <c r="V73">
        <f>P73/S73*100</f>
        <v>97.121515063218396</v>
      </c>
      <c r="W73">
        <f>P73*100/Q73</f>
        <v>22532.191494666669</v>
      </c>
      <c r="X73">
        <v>0.25</v>
      </c>
      <c r="Y73">
        <v>0.22</v>
      </c>
      <c r="Z73">
        <v>0.19</v>
      </c>
      <c r="AA73">
        <f t="shared" si="14"/>
        <v>81.109400628749711</v>
      </c>
    </row>
    <row r="74" spans="1:28" x14ac:dyDescent="0.25">
      <c r="A74">
        <v>73</v>
      </c>
      <c r="B74" t="s">
        <v>118</v>
      </c>
      <c r="C74" t="s">
        <v>379</v>
      </c>
      <c r="E74" t="s">
        <v>282</v>
      </c>
      <c r="G74" t="s">
        <v>204</v>
      </c>
      <c r="H74" t="s">
        <v>144</v>
      </c>
      <c r="I74">
        <v>6.6449999999999996</v>
      </c>
      <c r="J74">
        <v>2.8439999999999999</v>
      </c>
      <c r="K74" t="s">
        <v>144</v>
      </c>
      <c r="M74">
        <f t="shared" si="11"/>
        <v>0.57200902934537246</v>
      </c>
      <c r="N74" t="s">
        <v>118</v>
      </c>
      <c r="O74">
        <v>3435595</v>
      </c>
      <c r="P74">
        <f t="shared" si="15"/>
        <v>246.2787189111111</v>
      </c>
      <c r="Q74">
        <v>2</v>
      </c>
      <c r="R74" t="s">
        <v>214</v>
      </c>
      <c r="S74">
        <v>21</v>
      </c>
      <c r="T74" t="s">
        <v>144</v>
      </c>
      <c r="U74" t="s">
        <v>144</v>
      </c>
      <c r="V74">
        <f>P74*100/S74</f>
        <v>1172.7558043386243</v>
      </c>
      <c r="W74">
        <f>P74*100/Q74</f>
        <v>12313.935945555555</v>
      </c>
      <c r="X74">
        <v>0.17</v>
      </c>
      <c r="Y74">
        <v>0.19</v>
      </c>
      <c r="Z74">
        <v>0.18</v>
      </c>
      <c r="AA74">
        <f t="shared" si="14"/>
        <v>86.595892725425841</v>
      </c>
    </row>
    <row r="75" spans="1:28" x14ac:dyDescent="0.25">
      <c r="A75">
        <v>74</v>
      </c>
      <c r="B75" t="s">
        <v>119</v>
      </c>
      <c r="C75" t="s">
        <v>351</v>
      </c>
      <c r="E75" t="s">
        <v>21</v>
      </c>
      <c r="G75" t="s">
        <v>204</v>
      </c>
      <c r="H75" t="s">
        <v>144</v>
      </c>
      <c r="I75">
        <v>8.0329999999999995</v>
      </c>
      <c r="J75">
        <f>6.564-3.016</f>
        <v>3.548</v>
      </c>
      <c r="K75" t="s">
        <v>144</v>
      </c>
      <c r="M75">
        <f t="shared" si="11"/>
        <v>0.55832192207145526</v>
      </c>
      <c r="N75" t="s">
        <v>189</v>
      </c>
      <c r="O75">
        <f>1755440 + 2447408</f>
        <v>4202848</v>
      </c>
      <c r="P75">
        <f t="shared" si="15"/>
        <v>301.27882396444443</v>
      </c>
      <c r="Q75">
        <v>2</v>
      </c>
      <c r="R75" t="s">
        <v>214</v>
      </c>
      <c r="S75">
        <v>314</v>
      </c>
      <c r="T75" t="s">
        <v>144</v>
      </c>
      <c r="U75" t="s">
        <v>144</v>
      </c>
      <c r="V75">
        <f>P75*100/S75</f>
        <v>95.948670052370829</v>
      </c>
      <c r="W75">
        <f>P75*100/Q75</f>
        <v>15063.941198222221</v>
      </c>
      <c r="X75">
        <v>0.18</v>
      </c>
      <c r="Y75">
        <v>0.18</v>
      </c>
      <c r="Z75">
        <v>0.16</v>
      </c>
      <c r="AA75">
        <f t="shared" si="14"/>
        <v>84.915113856946007</v>
      </c>
    </row>
    <row r="76" spans="1:28" x14ac:dyDescent="0.25">
      <c r="A76">
        <v>75</v>
      </c>
      <c r="B76" t="s">
        <v>120</v>
      </c>
      <c r="C76" t="s">
        <v>388</v>
      </c>
      <c r="E76" t="s">
        <v>198</v>
      </c>
      <c r="G76" t="s">
        <v>204</v>
      </c>
      <c r="H76" t="s">
        <v>144</v>
      </c>
      <c r="I76">
        <v>11.63</v>
      </c>
      <c r="J76">
        <v>4.0229999999999997</v>
      </c>
      <c r="K76" t="s">
        <v>144</v>
      </c>
      <c r="M76">
        <f t="shared" si="11"/>
        <v>0.65408426483233018</v>
      </c>
      <c r="N76" t="s">
        <v>180</v>
      </c>
      <c r="O76">
        <v>3779584</v>
      </c>
      <c r="P76">
        <f t="shared" si="15"/>
        <v>270.93737927111113</v>
      </c>
      <c r="Q76">
        <v>1</v>
      </c>
      <c r="R76" t="s">
        <v>214</v>
      </c>
      <c r="S76">
        <v>3</v>
      </c>
      <c r="T76" t="s">
        <v>144</v>
      </c>
      <c r="U76" t="s">
        <v>144</v>
      </c>
      <c r="V76">
        <f>P76/S76*100</f>
        <v>9031.245975703705</v>
      </c>
      <c r="W76">
        <f>P76*100</f>
        <v>27093.737927111113</v>
      </c>
      <c r="X76">
        <v>0.48</v>
      </c>
      <c r="Y76">
        <v>0.37</v>
      </c>
      <c r="Z76">
        <v>0.48</v>
      </c>
      <c r="AA76">
        <f t="shared" si="14"/>
        <v>67.347098998536197</v>
      </c>
    </row>
    <row r="77" spans="1:28" x14ac:dyDescent="0.25">
      <c r="A77">
        <v>76</v>
      </c>
      <c r="B77" t="s">
        <v>121</v>
      </c>
      <c r="C77" t="s">
        <v>383</v>
      </c>
      <c r="E77" t="s">
        <v>101</v>
      </c>
      <c r="G77" t="s">
        <v>204</v>
      </c>
      <c r="H77" t="s">
        <v>144</v>
      </c>
      <c r="I77">
        <v>3.7690000000000001</v>
      </c>
      <c r="J77">
        <v>1.62</v>
      </c>
      <c r="K77" t="s">
        <v>144</v>
      </c>
      <c r="M77">
        <f t="shared" si="11"/>
        <v>0.5701777659856726</v>
      </c>
      <c r="N77" t="s">
        <v>177</v>
      </c>
      <c r="O77">
        <v>1669634</v>
      </c>
      <c r="P77">
        <f t="shared" si="15"/>
        <v>119.68678571555557</v>
      </c>
      <c r="Q77">
        <v>5</v>
      </c>
      <c r="R77" t="s">
        <v>208</v>
      </c>
      <c r="S77" t="s">
        <v>144</v>
      </c>
      <c r="T77" t="s">
        <v>144</v>
      </c>
      <c r="U77" t="s">
        <v>144</v>
      </c>
      <c r="V77">
        <f>P77*100/Q77</f>
        <v>2393.7357143111117</v>
      </c>
      <c r="W77">
        <f>V77</f>
        <v>2393.7357143111117</v>
      </c>
      <c r="X77">
        <v>0.32</v>
      </c>
      <c r="Y77">
        <v>0.28000000000000003</v>
      </c>
      <c r="Z77">
        <v>0.24</v>
      </c>
      <c r="AA77">
        <f t="shared" si="14"/>
        <v>73.880731923182452</v>
      </c>
      <c r="AB77" t="s">
        <v>122</v>
      </c>
    </row>
    <row r="78" spans="1:28" x14ac:dyDescent="0.25">
      <c r="A78">
        <v>77</v>
      </c>
      <c r="B78" t="s">
        <v>123</v>
      </c>
      <c r="C78" t="s">
        <v>366</v>
      </c>
      <c r="E78" t="s">
        <v>367</v>
      </c>
      <c r="G78" t="s">
        <v>204</v>
      </c>
      <c r="H78" t="s">
        <v>144</v>
      </c>
      <c r="I78">
        <v>3.0990000000000002</v>
      </c>
      <c r="J78">
        <v>1.038</v>
      </c>
      <c r="K78" t="s">
        <v>144</v>
      </c>
      <c r="M78">
        <f t="shared" si="11"/>
        <v>0.66505324298160695</v>
      </c>
      <c r="O78">
        <v>1465883</v>
      </c>
      <c r="P78">
        <f t="shared" si="15"/>
        <v>105.08100847555555</v>
      </c>
      <c r="Q78">
        <v>5</v>
      </c>
      <c r="R78" t="s">
        <v>208</v>
      </c>
      <c r="S78" t="s">
        <v>144</v>
      </c>
      <c r="T78" t="s">
        <v>144</v>
      </c>
      <c r="U78" t="s">
        <v>144</v>
      </c>
      <c r="V78">
        <f>P78*100/Q78</f>
        <v>2101.6201695111113</v>
      </c>
      <c r="W78">
        <f>V78</f>
        <v>2101.6201695111113</v>
      </c>
      <c r="X78">
        <v>0.21</v>
      </c>
      <c r="Y78">
        <v>0.15</v>
      </c>
      <c r="Z78">
        <v>0.21</v>
      </c>
      <c r="AA78">
        <f t="shared" si="14"/>
        <v>101.23411221151787</v>
      </c>
    </row>
    <row r="79" spans="1:28" x14ac:dyDescent="0.25">
      <c r="A79">
        <v>78</v>
      </c>
      <c r="B79" t="s">
        <v>124</v>
      </c>
      <c r="C79" t="s">
        <v>344</v>
      </c>
      <c r="E79" t="s">
        <v>5</v>
      </c>
      <c r="G79" t="s">
        <v>204</v>
      </c>
      <c r="H79" t="s">
        <v>144</v>
      </c>
      <c r="I79">
        <v>4.0220000000000002</v>
      </c>
      <c r="J79">
        <v>1.7490000000000001</v>
      </c>
      <c r="K79" t="s">
        <v>144</v>
      </c>
      <c r="M79">
        <f t="shared" si="11"/>
        <v>0.56514172053704625</v>
      </c>
      <c r="N79" t="s">
        <v>167</v>
      </c>
      <c r="O79">
        <v>1872299</v>
      </c>
      <c r="P79">
        <f t="shared" si="15"/>
        <v>134.21471364888887</v>
      </c>
      <c r="Q79">
        <v>5</v>
      </c>
      <c r="R79" t="s">
        <v>208</v>
      </c>
      <c r="S79" t="s">
        <v>144</v>
      </c>
      <c r="T79" t="s">
        <v>144</v>
      </c>
      <c r="U79" t="s">
        <v>144</v>
      </c>
      <c r="V79">
        <f>P79*100/Q79</f>
        <v>2684.2942729777778</v>
      </c>
      <c r="W79">
        <f>V79</f>
        <v>2684.2942729777778</v>
      </c>
      <c r="X79">
        <v>0.25</v>
      </c>
      <c r="Y79">
        <v>0.26</v>
      </c>
      <c r="Z79">
        <v>0.3</v>
      </c>
      <c r="AA79">
        <f t="shared" si="14"/>
        <v>76.737972354996487</v>
      </c>
    </row>
    <row r="80" spans="1:28" x14ac:dyDescent="0.25">
      <c r="A80">
        <v>79</v>
      </c>
      <c r="B80" t="s">
        <v>125</v>
      </c>
      <c r="C80" t="s">
        <v>399</v>
      </c>
      <c r="E80" t="s">
        <v>265</v>
      </c>
      <c r="G80" t="s">
        <v>204</v>
      </c>
      <c r="H80" t="s">
        <v>144</v>
      </c>
      <c r="I80">
        <v>17.971</v>
      </c>
      <c r="J80">
        <v>6.8979999999999997</v>
      </c>
      <c r="K80" t="s">
        <v>144</v>
      </c>
      <c r="M80">
        <f t="shared" si="11"/>
        <v>0.616159367870458</v>
      </c>
      <c r="N80" t="s">
        <v>192</v>
      </c>
      <c r="O80">
        <v>6113830</v>
      </c>
      <c r="P80">
        <f t="shared" si="15"/>
        <v>438.26650697777774</v>
      </c>
      <c r="Q80">
        <v>5</v>
      </c>
      <c r="R80" t="s">
        <v>208</v>
      </c>
      <c r="S80" t="s">
        <v>144</v>
      </c>
      <c r="T80" t="s">
        <v>144</v>
      </c>
      <c r="U80" t="s">
        <v>144</v>
      </c>
      <c r="V80">
        <f>(P80/Q80)*100</f>
        <v>8765.3301395555536</v>
      </c>
      <c r="W80">
        <f>V80</f>
        <v>8765.3301395555536</v>
      </c>
      <c r="X80">
        <v>0.35</v>
      </c>
      <c r="Y80">
        <v>0.35</v>
      </c>
      <c r="Z80">
        <v>0.35</v>
      </c>
      <c r="AA80">
        <f t="shared" si="14"/>
        <v>63.53530109854708</v>
      </c>
    </row>
    <row r="81" spans="1:28" x14ac:dyDescent="0.25">
      <c r="A81">
        <v>80</v>
      </c>
      <c r="B81" t="s">
        <v>126</v>
      </c>
      <c r="C81" t="s">
        <v>353</v>
      </c>
      <c r="E81" t="s">
        <v>63</v>
      </c>
      <c r="G81" t="s">
        <v>204</v>
      </c>
      <c r="H81" t="s">
        <v>144</v>
      </c>
      <c r="I81">
        <v>16.07</v>
      </c>
      <c r="J81">
        <f>8.65-3.04</f>
        <v>5.61</v>
      </c>
      <c r="K81" t="s">
        <v>144</v>
      </c>
      <c r="M81">
        <f t="shared" si="11"/>
        <v>0.65090230242688241</v>
      </c>
      <c r="N81" t="s">
        <v>193</v>
      </c>
      <c r="O81">
        <f>3295903 + 2692635</f>
        <v>5988538</v>
      </c>
      <c r="P81">
        <f t="shared" si="15"/>
        <v>429.2850195644445</v>
      </c>
      <c r="Q81">
        <v>1</v>
      </c>
      <c r="R81" t="s">
        <v>214</v>
      </c>
      <c r="S81">
        <v>877</v>
      </c>
      <c r="T81" t="s">
        <v>144</v>
      </c>
      <c r="U81" t="s">
        <v>144</v>
      </c>
      <c r="V81">
        <f>P81*100 / S81</f>
        <v>48.949261067781585</v>
      </c>
      <c r="W81">
        <f>P81*100</f>
        <v>42928.501956444452</v>
      </c>
      <c r="X81">
        <v>0.2</v>
      </c>
      <c r="Y81">
        <v>0.17</v>
      </c>
      <c r="Z81">
        <v>0.18</v>
      </c>
      <c r="AA81">
        <f t="shared" si="14"/>
        <v>76.521393861754802</v>
      </c>
    </row>
    <row r="82" spans="1:28" x14ac:dyDescent="0.25">
      <c r="A82">
        <v>81</v>
      </c>
      <c r="B82" t="s">
        <v>127</v>
      </c>
      <c r="C82" t="s">
        <v>383</v>
      </c>
      <c r="E82" t="s">
        <v>101</v>
      </c>
      <c r="G82" t="s">
        <v>204</v>
      </c>
      <c r="H82" t="s">
        <v>144</v>
      </c>
      <c r="I82">
        <v>4.4240000000000004</v>
      </c>
      <c r="J82">
        <v>2.1269999999999998</v>
      </c>
      <c r="K82" t="s">
        <v>144</v>
      </c>
      <c r="M82">
        <f t="shared" si="11"/>
        <v>0.51921338155515384</v>
      </c>
      <c r="O82">
        <v>2117079</v>
      </c>
      <c r="P82">
        <f t="shared" si="15"/>
        <v>151.76163195999999</v>
      </c>
      <c r="Q82">
        <v>5</v>
      </c>
      <c r="R82" t="s">
        <v>208</v>
      </c>
      <c r="S82" t="s">
        <v>144</v>
      </c>
      <c r="T82" t="s">
        <v>144</v>
      </c>
      <c r="U82" t="s">
        <v>144</v>
      </c>
      <c r="V82">
        <f>P82*100/Q82</f>
        <v>3035.2326392</v>
      </c>
      <c r="W82">
        <f t="shared" ref="W82:W89" si="16">V82</f>
        <v>3035.2326392</v>
      </c>
      <c r="X82">
        <v>0.25</v>
      </c>
      <c r="Y82">
        <v>0.28999999999999998</v>
      </c>
      <c r="Z82">
        <v>0.28000000000000003</v>
      </c>
      <c r="AA82">
        <f t="shared" si="14"/>
        <v>71.3500855477198</v>
      </c>
      <c r="AB82" t="s">
        <v>128</v>
      </c>
    </row>
    <row r="83" spans="1:28" x14ac:dyDescent="0.25">
      <c r="A83">
        <v>82</v>
      </c>
      <c r="B83" t="s">
        <v>110</v>
      </c>
      <c r="C83" t="s">
        <v>350</v>
      </c>
      <c r="E83" t="s">
        <v>17</v>
      </c>
      <c r="G83" t="s">
        <v>204</v>
      </c>
      <c r="H83" t="s">
        <v>144</v>
      </c>
      <c r="I83">
        <v>4.7160000000000002</v>
      </c>
      <c r="J83">
        <v>1.79</v>
      </c>
      <c r="K83" t="s">
        <v>144</v>
      </c>
      <c r="M83">
        <f t="shared" si="11"/>
        <v>0.62044105173876163</v>
      </c>
      <c r="N83" t="s">
        <v>183</v>
      </c>
      <c r="O83">
        <v>1921518</v>
      </c>
      <c r="P83">
        <f t="shared" si="15"/>
        <v>137.74295032000001</v>
      </c>
      <c r="Q83">
        <v>5</v>
      </c>
      <c r="R83" t="s">
        <v>208</v>
      </c>
      <c r="S83" t="s">
        <v>144</v>
      </c>
      <c r="T83" t="s">
        <v>144</v>
      </c>
      <c r="U83" t="s">
        <v>144</v>
      </c>
      <c r="V83">
        <f>P83*100/Q83</f>
        <v>2754.8590064</v>
      </c>
      <c r="W83">
        <f t="shared" si="16"/>
        <v>2754.8590064</v>
      </c>
      <c r="X83">
        <v>0.28999999999999998</v>
      </c>
      <c r="Y83">
        <v>0.28999999999999998</v>
      </c>
      <c r="Z83">
        <v>0.27</v>
      </c>
      <c r="AA83">
        <f t="shared" si="14"/>
        <v>76.951368893854749</v>
      </c>
      <c r="AB83" t="s">
        <v>129</v>
      </c>
    </row>
    <row r="84" spans="1:28" x14ac:dyDescent="0.25">
      <c r="A84">
        <v>83</v>
      </c>
      <c r="B84" t="s">
        <v>79</v>
      </c>
      <c r="C84" t="s">
        <v>366</v>
      </c>
      <c r="E84" t="s">
        <v>367</v>
      </c>
      <c r="G84" t="s">
        <v>204</v>
      </c>
      <c r="H84" t="s">
        <v>144</v>
      </c>
      <c r="I84">
        <v>1.2729999999999999</v>
      </c>
      <c r="J84">
        <v>0.42399999999999999</v>
      </c>
      <c r="K84" t="s">
        <v>144</v>
      </c>
      <c r="M84">
        <f t="shared" si="11"/>
        <v>0.66692851531814612</v>
      </c>
      <c r="O84">
        <v>627174</v>
      </c>
      <c r="P84">
        <f t="shared" si="15"/>
        <v>44.958619760000005</v>
      </c>
      <c r="Q84">
        <v>5</v>
      </c>
      <c r="R84" t="s">
        <v>208</v>
      </c>
      <c r="S84" t="s">
        <v>144</v>
      </c>
      <c r="T84" t="s">
        <v>144</v>
      </c>
      <c r="U84" t="s">
        <v>144</v>
      </c>
      <c r="V84">
        <f>P84*100/Q84</f>
        <v>899.17239519999998</v>
      </c>
      <c r="W84">
        <f t="shared" si="16"/>
        <v>899.17239519999998</v>
      </c>
      <c r="X84">
        <v>0.16</v>
      </c>
      <c r="Y84">
        <v>0.19</v>
      </c>
      <c r="Z84">
        <v>0.17</v>
      </c>
      <c r="AA84">
        <f t="shared" si="14"/>
        <v>106.03448056603774</v>
      </c>
      <c r="AB84" t="s">
        <v>49</v>
      </c>
    </row>
    <row r="85" spans="1:28" x14ac:dyDescent="0.25">
      <c r="A85">
        <v>84</v>
      </c>
      <c r="B85" t="s">
        <v>131</v>
      </c>
      <c r="C85" t="s">
        <v>357</v>
      </c>
      <c r="E85" t="s">
        <v>291</v>
      </c>
      <c r="G85" t="s">
        <v>204</v>
      </c>
      <c r="H85" t="s">
        <v>144</v>
      </c>
      <c r="I85">
        <v>5.851</v>
      </c>
      <c r="J85">
        <v>2.0750000000000002</v>
      </c>
      <c r="K85" t="s">
        <v>144</v>
      </c>
      <c r="M85">
        <f t="shared" si="11"/>
        <v>0.64535976756110058</v>
      </c>
      <c r="N85" t="s">
        <v>131</v>
      </c>
      <c r="O85">
        <v>2108728</v>
      </c>
      <c r="P85">
        <f t="shared" si="15"/>
        <v>151.16299516444445</v>
      </c>
      <c r="Q85">
        <v>5</v>
      </c>
      <c r="R85" t="s">
        <v>208</v>
      </c>
      <c r="S85" t="s">
        <v>144</v>
      </c>
      <c r="T85" t="s">
        <v>144</v>
      </c>
      <c r="U85" t="s">
        <v>144</v>
      </c>
      <c r="V85">
        <f>P85*100/Q85</f>
        <v>3023.2599032888893</v>
      </c>
      <c r="W85">
        <f t="shared" si="16"/>
        <v>3023.2599032888893</v>
      </c>
      <c r="X85">
        <v>0.35</v>
      </c>
      <c r="Y85">
        <v>0.32</v>
      </c>
      <c r="Z85">
        <v>0.37</v>
      </c>
      <c r="AA85">
        <f t="shared" si="14"/>
        <v>72.849636223828639</v>
      </c>
    </row>
    <row r="86" spans="1:28" x14ac:dyDescent="0.25">
      <c r="A86">
        <v>85</v>
      </c>
      <c r="B86" t="s">
        <v>132</v>
      </c>
      <c r="C86" t="s">
        <v>368</v>
      </c>
      <c r="E86" t="s">
        <v>318</v>
      </c>
      <c r="G86" t="s">
        <v>204</v>
      </c>
      <c r="H86" t="s">
        <v>144</v>
      </c>
      <c r="I86">
        <v>0.27800000000000002</v>
      </c>
      <c r="J86">
        <v>0.10299999999999999</v>
      </c>
      <c r="K86" t="s">
        <v>144</v>
      </c>
      <c r="M86">
        <f t="shared" si="11"/>
        <v>0.62949640287769792</v>
      </c>
      <c r="N86" t="s">
        <v>184</v>
      </c>
      <c r="O86">
        <v>184133</v>
      </c>
      <c r="P86">
        <f t="shared" si="15"/>
        <v>13.199471808888891</v>
      </c>
      <c r="Q86">
        <v>28</v>
      </c>
      <c r="R86" t="s">
        <v>208</v>
      </c>
      <c r="S86" t="s">
        <v>144</v>
      </c>
      <c r="T86" t="s">
        <v>144</v>
      </c>
      <c r="U86" t="s">
        <v>144</v>
      </c>
      <c r="V86">
        <f>P86 * 100/28</f>
        <v>47.140970746031755</v>
      </c>
      <c r="W86">
        <f t="shared" si="16"/>
        <v>47.140970746031755</v>
      </c>
      <c r="X86">
        <v>0.25</v>
      </c>
      <c r="Y86">
        <v>0.2</v>
      </c>
      <c r="Z86">
        <v>0.22</v>
      </c>
      <c r="AA86">
        <f t="shared" si="14"/>
        <v>128.15021173678537</v>
      </c>
    </row>
    <row r="87" spans="1:28" x14ac:dyDescent="0.25">
      <c r="A87">
        <v>86</v>
      </c>
      <c r="B87" t="s">
        <v>133</v>
      </c>
      <c r="C87" t="s">
        <v>352</v>
      </c>
      <c r="E87" t="s">
        <v>339</v>
      </c>
      <c r="G87" t="s">
        <v>204</v>
      </c>
      <c r="H87" t="s">
        <v>144</v>
      </c>
      <c r="I87">
        <v>5.9320000000000004</v>
      </c>
      <c r="J87">
        <v>2.54</v>
      </c>
      <c r="K87" t="s">
        <v>144</v>
      </c>
      <c r="M87">
        <f t="shared" si="11"/>
        <v>0.57181389076196898</v>
      </c>
      <c r="N87" t="s">
        <v>191</v>
      </c>
      <c r="O87">
        <v>3170246</v>
      </c>
      <c r="P87">
        <f t="shared" si="15"/>
        <v>227.2573232622222</v>
      </c>
      <c r="Q87">
        <v>5</v>
      </c>
      <c r="R87" t="s">
        <v>208</v>
      </c>
      <c r="S87" t="s">
        <v>144</v>
      </c>
      <c r="T87" t="s">
        <v>144</v>
      </c>
      <c r="U87" t="s">
        <v>144</v>
      </c>
      <c r="V87">
        <f>P87 * 100 / Q87</f>
        <v>4545.1464652444438</v>
      </c>
      <c r="W87">
        <f t="shared" si="16"/>
        <v>4545.1464652444438</v>
      </c>
      <c r="X87">
        <v>0.48</v>
      </c>
      <c r="Y87">
        <v>0.53</v>
      </c>
      <c r="Z87">
        <v>0.45</v>
      </c>
      <c r="AA87">
        <f t="shared" si="14"/>
        <v>89.471387111111099</v>
      </c>
    </row>
    <row r="88" spans="1:28" x14ac:dyDescent="0.25">
      <c r="A88">
        <v>87</v>
      </c>
      <c r="B88" t="s">
        <v>134</v>
      </c>
      <c r="C88" t="s">
        <v>349</v>
      </c>
      <c r="E88" t="s">
        <v>62</v>
      </c>
      <c r="G88" t="s">
        <v>204</v>
      </c>
      <c r="H88" t="s">
        <v>144</v>
      </c>
      <c r="I88">
        <v>20.841000000000001</v>
      </c>
      <c r="J88">
        <v>8.7219999999999995</v>
      </c>
      <c r="K88" t="s">
        <v>144</v>
      </c>
      <c r="M88">
        <f t="shared" si="11"/>
        <v>0.58149800873278634</v>
      </c>
      <c r="N88" t="s">
        <v>190</v>
      </c>
      <c r="O88">
        <f xml:space="preserve"> 4072709 + 2374199</f>
        <v>6446908</v>
      </c>
      <c r="P88">
        <f t="shared" si="15"/>
        <v>462.1430183644444</v>
      </c>
      <c r="Q88">
        <v>4</v>
      </c>
      <c r="S88" t="s">
        <v>144</v>
      </c>
      <c r="T88" t="s">
        <v>144</v>
      </c>
      <c r="U88" t="s">
        <v>144</v>
      </c>
      <c r="V88">
        <f>(P88 *100)/Q88</f>
        <v>11553.575459111111</v>
      </c>
      <c r="W88">
        <f t="shared" si="16"/>
        <v>11553.575459111111</v>
      </c>
      <c r="X88">
        <v>0.49</v>
      </c>
      <c r="Y88">
        <v>0.48</v>
      </c>
      <c r="Z88">
        <v>0.47</v>
      </c>
      <c r="AA88">
        <f t="shared" si="14"/>
        <v>52.985899835409818</v>
      </c>
      <c r="AB88" t="s">
        <v>135</v>
      </c>
    </row>
    <row r="89" spans="1:28" x14ac:dyDescent="0.25">
      <c r="A89">
        <v>88</v>
      </c>
      <c r="B89" t="s">
        <v>195</v>
      </c>
      <c r="C89" t="s">
        <v>361</v>
      </c>
      <c r="E89" t="s">
        <v>341</v>
      </c>
      <c r="G89" t="s">
        <v>204</v>
      </c>
      <c r="H89" t="s">
        <v>144</v>
      </c>
      <c r="I89" t="s">
        <v>144</v>
      </c>
      <c r="J89">
        <v>5.1020000000000003</v>
      </c>
      <c r="K89" t="s">
        <v>144</v>
      </c>
      <c r="M89" t="s">
        <v>144</v>
      </c>
      <c r="N89" t="s">
        <v>196</v>
      </c>
      <c r="O89">
        <v>4567774</v>
      </c>
      <c r="P89">
        <f t="shared" si="15"/>
        <v>327.43834153777777</v>
      </c>
      <c r="Q89">
        <v>5</v>
      </c>
      <c r="S89" t="s">
        <v>144</v>
      </c>
      <c r="T89" t="s">
        <v>144</v>
      </c>
      <c r="U89" t="s">
        <v>144</v>
      </c>
      <c r="V89">
        <f>P89*100/5</f>
        <v>6548.7668307555559</v>
      </c>
      <c r="W89">
        <f t="shared" si="16"/>
        <v>6548.7668307555559</v>
      </c>
      <c r="X89">
        <v>0.23</v>
      </c>
      <c r="Y89">
        <v>0.28999999999999998</v>
      </c>
      <c r="Z89">
        <v>0.32</v>
      </c>
      <c r="AA89">
        <f t="shared" si="14"/>
        <v>64.178428368831391</v>
      </c>
    </row>
    <row r="90" spans="1:28" x14ac:dyDescent="0.25">
      <c r="A90">
        <v>89</v>
      </c>
      <c r="B90" t="s">
        <v>197</v>
      </c>
      <c r="C90" t="s">
        <v>388</v>
      </c>
      <c r="E90" t="s">
        <v>198</v>
      </c>
      <c r="G90" t="s">
        <v>204</v>
      </c>
      <c r="H90" t="s">
        <v>144</v>
      </c>
      <c r="I90" t="s">
        <v>144</v>
      </c>
      <c r="J90">
        <v>4.4329999999999998</v>
      </c>
      <c r="K90" t="s">
        <v>144</v>
      </c>
      <c r="M90" t="s">
        <v>144</v>
      </c>
      <c r="N90" t="s">
        <v>199</v>
      </c>
      <c r="O90">
        <v>3449869</v>
      </c>
      <c r="P90">
        <f t="shared" si="15"/>
        <v>247.30194267111111</v>
      </c>
      <c r="Q90">
        <v>1</v>
      </c>
      <c r="R90" t="s">
        <v>214</v>
      </c>
      <c r="S90">
        <v>3</v>
      </c>
      <c r="T90" t="s">
        <v>144</v>
      </c>
      <c r="U90" t="s">
        <v>144</v>
      </c>
      <c r="V90">
        <f>P90/S90 * 100</f>
        <v>8243.3980890370367</v>
      </c>
      <c r="W90">
        <f>P90 * 100</f>
        <v>24730.19426711111</v>
      </c>
      <c r="X90">
        <v>0.45</v>
      </c>
      <c r="Y90">
        <v>0.43</v>
      </c>
      <c r="Z90">
        <v>0.49</v>
      </c>
      <c r="AA90">
        <f t="shared" si="14"/>
        <v>55.786587563977243</v>
      </c>
    </row>
    <row r="91" spans="1:28" x14ac:dyDescent="0.25">
      <c r="A91">
        <v>90</v>
      </c>
      <c r="B91" t="s">
        <v>202</v>
      </c>
      <c r="C91" t="s">
        <v>390</v>
      </c>
      <c r="E91" t="s">
        <v>201</v>
      </c>
      <c r="G91" t="s">
        <v>205</v>
      </c>
      <c r="H91">
        <v>7.1</v>
      </c>
      <c r="I91" t="s">
        <v>144</v>
      </c>
      <c r="J91">
        <v>5.8999999999999997E-2</v>
      </c>
      <c r="K91">
        <v>13</v>
      </c>
      <c r="L91">
        <f t="shared" ref="L91:L154" si="17">PI()*((H91/2)^2)/100 * K91</f>
        <v>5.1469497841924978</v>
      </c>
      <c r="M91" t="s">
        <v>144</v>
      </c>
      <c r="N91" t="s">
        <v>144</v>
      </c>
      <c r="P91">
        <f t="shared" ref="P91:P154" si="18">O91 / (300 * 300) * 2.54</f>
        <v>0</v>
      </c>
      <c r="Q91" t="s">
        <v>144</v>
      </c>
      <c r="R91" t="s">
        <v>208</v>
      </c>
      <c r="S91" t="s">
        <v>144</v>
      </c>
      <c r="T91">
        <v>79</v>
      </c>
      <c r="U91">
        <v>18.5</v>
      </c>
      <c r="V91">
        <f t="shared" ref="V91:V122" si="19">(((T91/2) * (U91/2)) * PI())</f>
        <v>1147.8594158053706</v>
      </c>
      <c r="W91">
        <f>IF(ISNUMBER(S91), S91*V91, V91)</f>
        <v>1147.8594158053706</v>
      </c>
      <c r="X91">
        <v>0.27</v>
      </c>
      <c r="Y91">
        <v>0.28999999999999998</v>
      </c>
      <c r="Z91">
        <v>0.2</v>
      </c>
      <c r="AA91">
        <f t="shared" ref="AA91:AA154" si="20">L91/J91</f>
        <v>87.236437020211838</v>
      </c>
      <c r="AB91" t="s">
        <v>200</v>
      </c>
    </row>
    <row r="92" spans="1:28" x14ac:dyDescent="0.25">
      <c r="A92">
        <v>91</v>
      </c>
      <c r="B92" t="s">
        <v>209</v>
      </c>
      <c r="C92" t="s">
        <v>345</v>
      </c>
      <c r="E92" t="s">
        <v>210</v>
      </c>
      <c r="G92" t="s">
        <v>205</v>
      </c>
      <c r="H92">
        <v>7.1</v>
      </c>
      <c r="I92" t="s">
        <v>144</v>
      </c>
      <c r="J92">
        <v>6.3E-2</v>
      </c>
      <c r="K92">
        <v>12</v>
      </c>
      <c r="L92">
        <f t="shared" si="17"/>
        <v>4.7510305700238442</v>
      </c>
      <c r="M92" t="s">
        <v>144</v>
      </c>
      <c r="N92" t="s">
        <v>144</v>
      </c>
      <c r="P92">
        <f t="shared" si="18"/>
        <v>0</v>
      </c>
      <c r="Q92" t="s">
        <v>144</v>
      </c>
      <c r="R92" t="s">
        <v>208</v>
      </c>
      <c r="S92" t="s">
        <v>144</v>
      </c>
      <c r="T92">
        <v>62.69</v>
      </c>
      <c r="U92">
        <v>41.3</v>
      </c>
      <c r="V92">
        <f t="shared" si="19"/>
        <v>2033.4720286578429</v>
      </c>
      <c r="W92">
        <f>IF(ISNUMBER(S92), S92*V92, V92)</f>
        <v>2033.4720286578429</v>
      </c>
      <c r="X92">
        <v>0.41</v>
      </c>
      <c r="Y92">
        <v>0.43</v>
      </c>
      <c r="Z92">
        <v>0.36</v>
      </c>
      <c r="AA92">
        <f t="shared" si="20"/>
        <v>75.413183651172133</v>
      </c>
      <c r="AB92" t="s">
        <v>211</v>
      </c>
    </row>
    <row r="93" spans="1:28" x14ac:dyDescent="0.25">
      <c r="A93">
        <v>92</v>
      </c>
      <c r="B93" t="s">
        <v>212</v>
      </c>
      <c r="C93" t="s">
        <v>391</v>
      </c>
      <c r="E93" t="s">
        <v>213</v>
      </c>
      <c r="G93" t="s">
        <v>205</v>
      </c>
      <c r="H93">
        <v>7.1</v>
      </c>
      <c r="I93" t="s">
        <v>144</v>
      </c>
      <c r="J93">
        <v>5.1999999999999998E-2</v>
      </c>
      <c r="K93">
        <v>12</v>
      </c>
      <c r="L93">
        <f t="shared" si="17"/>
        <v>4.7510305700238442</v>
      </c>
      <c r="M93" t="s">
        <v>144</v>
      </c>
      <c r="N93" t="s">
        <v>144</v>
      </c>
      <c r="P93">
        <f t="shared" si="18"/>
        <v>0</v>
      </c>
      <c r="Q93" t="s">
        <v>144</v>
      </c>
      <c r="R93" t="s">
        <v>214</v>
      </c>
      <c r="S93">
        <v>7.5</v>
      </c>
      <c r="T93">
        <v>111.08</v>
      </c>
      <c r="U93">
        <v>40.9</v>
      </c>
      <c r="V93">
        <f t="shared" si="19"/>
        <v>3568.1989447987116</v>
      </c>
      <c r="W93">
        <f>IF(ISNUMBER(S93), S93*V93)</f>
        <v>26761.492085990336</v>
      </c>
      <c r="X93">
        <v>0.24</v>
      </c>
      <c r="Y93">
        <v>0.24</v>
      </c>
      <c r="Z93">
        <v>0.24</v>
      </c>
      <c r="AA93">
        <f t="shared" si="20"/>
        <v>91.36597250045854</v>
      </c>
      <c r="AB93" t="s">
        <v>215</v>
      </c>
    </row>
    <row r="94" spans="1:28" x14ac:dyDescent="0.25">
      <c r="A94">
        <v>93</v>
      </c>
      <c r="B94" t="s">
        <v>216</v>
      </c>
      <c r="C94" t="s">
        <v>387</v>
      </c>
      <c r="D94">
        <v>2</v>
      </c>
      <c r="E94" t="s">
        <v>217</v>
      </c>
      <c r="G94" t="s">
        <v>205</v>
      </c>
      <c r="H94">
        <v>7.1</v>
      </c>
      <c r="I94" t="s">
        <v>144</v>
      </c>
      <c r="J94">
        <v>0.08</v>
      </c>
      <c r="K94">
        <v>13</v>
      </c>
      <c r="L94">
        <f t="shared" si="17"/>
        <v>5.1469497841924978</v>
      </c>
      <c r="M94" t="s">
        <v>144</v>
      </c>
      <c r="N94" t="s">
        <v>144</v>
      </c>
      <c r="P94">
        <f t="shared" si="18"/>
        <v>0</v>
      </c>
      <c r="Q94" t="s">
        <v>144</v>
      </c>
      <c r="R94" t="s">
        <v>208</v>
      </c>
      <c r="S94" t="s">
        <v>144</v>
      </c>
      <c r="T94">
        <v>52.94</v>
      </c>
      <c r="U94">
        <v>19.850000000000001</v>
      </c>
      <c r="V94">
        <f t="shared" si="19"/>
        <v>825.34272858967904</v>
      </c>
      <c r="W94">
        <f t="shared" ref="W94:W125" si="21">IF(ISNUMBER(S94), S94*V94, V94)</f>
        <v>825.34272858967904</v>
      </c>
      <c r="X94">
        <v>0.22</v>
      </c>
      <c r="Y94">
        <v>0.23</v>
      </c>
      <c r="Z94">
        <v>0.23</v>
      </c>
      <c r="AA94">
        <f t="shared" si="20"/>
        <v>64.336872302406221</v>
      </c>
      <c r="AB94" t="s">
        <v>218</v>
      </c>
    </row>
    <row r="95" spans="1:28" x14ac:dyDescent="0.25">
      <c r="A95">
        <v>94</v>
      </c>
      <c r="B95" t="s">
        <v>219</v>
      </c>
      <c r="C95" t="s">
        <v>359</v>
      </c>
      <c r="E95" t="s">
        <v>64</v>
      </c>
      <c r="G95" t="s">
        <v>205</v>
      </c>
      <c r="H95">
        <v>7.1</v>
      </c>
      <c r="I95" t="s">
        <v>144</v>
      </c>
      <c r="J95">
        <v>5.6000000000000001E-2</v>
      </c>
      <c r="K95">
        <v>15</v>
      </c>
      <c r="L95">
        <f t="shared" si="17"/>
        <v>5.938788212529805</v>
      </c>
      <c r="M95" t="s">
        <v>144</v>
      </c>
      <c r="N95" t="s">
        <v>144</v>
      </c>
      <c r="P95">
        <f t="shared" si="18"/>
        <v>0</v>
      </c>
      <c r="Q95" t="s">
        <v>144</v>
      </c>
      <c r="R95" t="s">
        <v>214</v>
      </c>
      <c r="S95">
        <v>15</v>
      </c>
      <c r="T95">
        <v>88.6</v>
      </c>
      <c r="U95">
        <v>35.5</v>
      </c>
      <c r="V95">
        <f t="shared" si="19"/>
        <v>2470.3128433339939</v>
      </c>
      <c r="W95">
        <f t="shared" si="21"/>
        <v>37054.692650009907</v>
      </c>
      <c r="X95">
        <v>0.23</v>
      </c>
      <c r="Y95">
        <v>0.23</v>
      </c>
      <c r="Z95">
        <v>0.22</v>
      </c>
      <c r="AA95">
        <f t="shared" si="20"/>
        <v>106.04978950946081</v>
      </c>
      <c r="AB95" t="s">
        <v>220</v>
      </c>
    </row>
    <row r="96" spans="1:28" x14ac:dyDescent="0.25">
      <c r="A96">
        <v>95</v>
      </c>
      <c r="B96" t="s">
        <v>221</v>
      </c>
      <c r="C96" t="s">
        <v>365</v>
      </c>
      <c r="E96" t="s">
        <v>222</v>
      </c>
      <c r="G96" t="s">
        <v>205</v>
      </c>
      <c r="H96">
        <v>7.1</v>
      </c>
      <c r="I96" t="s">
        <v>144</v>
      </c>
      <c r="J96">
        <v>6.8000000000000005E-2</v>
      </c>
      <c r="K96">
        <v>13</v>
      </c>
      <c r="L96">
        <f t="shared" si="17"/>
        <v>5.1469497841924978</v>
      </c>
      <c r="M96" t="s">
        <v>144</v>
      </c>
      <c r="N96" t="s">
        <v>144</v>
      </c>
      <c r="P96">
        <f t="shared" si="18"/>
        <v>0</v>
      </c>
      <c r="Q96" t="s">
        <v>144</v>
      </c>
      <c r="R96" t="s">
        <v>208</v>
      </c>
      <c r="S96" t="s">
        <v>144</v>
      </c>
      <c r="T96">
        <v>61.5</v>
      </c>
      <c r="U96">
        <v>36.5</v>
      </c>
      <c r="V96">
        <f t="shared" si="19"/>
        <v>1763.022527286422</v>
      </c>
      <c r="W96">
        <f t="shared" si="21"/>
        <v>1763.022527286422</v>
      </c>
      <c r="X96">
        <v>0.34</v>
      </c>
      <c r="Y96">
        <v>0.28999999999999998</v>
      </c>
      <c r="Z96">
        <v>0.25</v>
      </c>
      <c r="AA96">
        <f t="shared" si="20"/>
        <v>75.690438002830845</v>
      </c>
      <c r="AB96" t="s">
        <v>223</v>
      </c>
    </row>
    <row r="97" spans="1:28" x14ac:dyDescent="0.25">
      <c r="A97">
        <v>96</v>
      </c>
      <c r="B97" t="s">
        <v>224</v>
      </c>
      <c r="C97" t="s">
        <v>365</v>
      </c>
      <c r="E97" t="s">
        <v>222</v>
      </c>
      <c r="G97" t="s">
        <v>205</v>
      </c>
      <c r="H97">
        <v>7.1</v>
      </c>
      <c r="I97" t="s">
        <v>144</v>
      </c>
      <c r="J97">
        <v>7.8E-2</v>
      </c>
      <c r="K97">
        <v>15</v>
      </c>
      <c r="L97">
        <f t="shared" si="17"/>
        <v>5.938788212529805</v>
      </c>
      <c r="M97" t="s">
        <v>144</v>
      </c>
      <c r="N97" t="s">
        <v>144</v>
      </c>
      <c r="P97">
        <f t="shared" si="18"/>
        <v>0</v>
      </c>
      <c r="Q97" t="s">
        <v>144</v>
      </c>
      <c r="R97" t="s">
        <v>208</v>
      </c>
      <c r="S97" t="s">
        <v>144</v>
      </c>
      <c r="T97">
        <v>77.3</v>
      </c>
      <c r="U97">
        <v>24.36</v>
      </c>
      <c r="V97">
        <f t="shared" si="19"/>
        <v>1478.92673282597</v>
      </c>
      <c r="W97">
        <f t="shared" si="21"/>
        <v>1478.92673282597</v>
      </c>
      <c r="X97">
        <v>0.25</v>
      </c>
      <c r="Y97">
        <v>0.27</v>
      </c>
      <c r="Z97">
        <v>0.28000000000000003</v>
      </c>
      <c r="AA97">
        <f t="shared" si="20"/>
        <v>76.138310417048785</v>
      </c>
      <c r="AB97" t="s">
        <v>225</v>
      </c>
    </row>
    <row r="98" spans="1:28" x14ac:dyDescent="0.25">
      <c r="A98">
        <v>97</v>
      </c>
      <c r="B98" t="s">
        <v>226</v>
      </c>
      <c r="C98" t="s">
        <v>355</v>
      </c>
      <c r="E98" t="s">
        <v>227</v>
      </c>
      <c r="G98" t="s">
        <v>205</v>
      </c>
      <c r="H98">
        <v>7.1</v>
      </c>
      <c r="I98" t="s">
        <v>144</v>
      </c>
      <c r="J98">
        <v>8.2000000000000003E-2</v>
      </c>
      <c r="K98">
        <v>12</v>
      </c>
      <c r="L98">
        <f t="shared" si="17"/>
        <v>4.7510305700238442</v>
      </c>
      <c r="M98" t="s">
        <v>144</v>
      </c>
      <c r="N98" t="s">
        <v>144</v>
      </c>
      <c r="P98">
        <f t="shared" si="18"/>
        <v>0</v>
      </c>
      <c r="Q98" t="s">
        <v>144</v>
      </c>
      <c r="R98" t="s">
        <v>208</v>
      </c>
      <c r="S98" t="s">
        <v>144</v>
      </c>
      <c r="T98">
        <v>181.5</v>
      </c>
      <c r="U98">
        <v>81.510000000000005</v>
      </c>
      <c r="V98">
        <f t="shared" si="19"/>
        <v>11619.23148018247</v>
      </c>
      <c r="W98">
        <f t="shared" si="21"/>
        <v>11619.23148018247</v>
      </c>
      <c r="X98">
        <v>0.65</v>
      </c>
      <c r="Y98">
        <v>0.48</v>
      </c>
      <c r="Z98">
        <v>0.56000000000000005</v>
      </c>
      <c r="AA98">
        <f t="shared" si="20"/>
        <v>57.939397195412731</v>
      </c>
      <c r="AB98" t="s">
        <v>228</v>
      </c>
    </row>
    <row r="99" spans="1:28" x14ac:dyDescent="0.25">
      <c r="A99">
        <v>98</v>
      </c>
      <c r="B99" t="s">
        <v>229</v>
      </c>
      <c r="C99" t="s">
        <v>355</v>
      </c>
      <c r="E99" t="s">
        <v>227</v>
      </c>
      <c r="G99" t="s">
        <v>205</v>
      </c>
      <c r="H99">
        <v>7.1</v>
      </c>
      <c r="I99" t="s">
        <v>144</v>
      </c>
      <c r="J99">
        <v>8.6999999999999994E-2</v>
      </c>
      <c r="K99">
        <v>13</v>
      </c>
      <c r="L99">
        <f t="shared" si="17"/>
        <v>5.1469497841924978</v>
      </c>
      <c r="M99" t="s">
        <v>144</v>
      </c>
      <c r="N99" t="s">
        <v>144</v>
      </c>
      <c r="P99">
        <f t="shared" si="18"/>
        <v>0</v>
      </c>
      <c r="Q99" t="s">
        <v>144</v>
      </c>
      <c r="R99" t="s">
        <v>208</v>
      </c>
      <c r="S99" t="s">
        <v>144</v>
      </c>
      <c r="T99">
        <v>110.8</v>
      </c>
      <c r="U99">
        <v>53.54</v>
      </c>
      <c r="V99">
        <f t="shared" si="19"/>
        <v>4659.1641176475714</v>
      </c>
      <c r="W99">
        <f t="shared" si="21"/>
        <v>4659.1641176475714</v>
      </c>
      <c r="X99">
        <v>0.37</v>
      </c>
      <c r="Y99">
        <v>0.39</v>
      </c>
      <c r="Z99">
        <v>0.47</v>
      </c>
      <c r="AA99">
        <f t="shared" si="20"/>
        <v>59.160342347040206</v>
      </c>
      <c r="AB99" t="s">
        <v>230</v>
      </c>
    </row>
    <row r="100" spans="1:28" x14ac:dyDescent="0.25">
      <c r="A100">
        <v>99</v>
      </c>
      <c r="B100" t="s">
        <v>231</v>
      </c>
      <c r="C100" t="s">
        <v>364</v>
      </c>
      <c r="E100" t="s">
        <v>232</v>
      </c>
      <c r="G100" t="s">
        <v>205</v>
      </c>
      <c r="H100">
        <v>7.1</v>
      </c>
      <c r="I100" t="s">
        <v>144</v>
      </c>
      <c r="J100">
        <v>7.3999999999999996E-2</v>
      </c>
      <c r="K100">
        <v>16</v>
      </c>
      <c r="L100">
        <f t="shared" si="17"/>
        <v>6.3347074266984587</v>
      </c>
      <c r="M100" t="s">
        <v>144</v>
      </c>
      <c r="N100" t="s">
        <v>144</v>
      </c>
      <c r="P100">
        <f t="shared" si="18"/>
        <v>0</v>
      </c>
      <c r="Q100" t="s">
        <v>144</v>
      </c>
      <c r="R100" t="s">
        <v>214</v>
      </c>
      <c r="S100">
        <v>9</v>
      </c>
      <c r="T100">
        <v>54.92</v>
      </c>
      <c r="U100">
        <v>23.98</v>
      </c>
      <c r="V100">
        <f t="shared" si="19"/>
        <v>1034.3549298682328</v>
      </c>
      <c r="W100">
        <f t="shared" si="21"/>
        <v>9309.1943688140964</v>
      </c>
      <c r="X100">
        <v>0.28999999999999998</v>
      </c>
      <c r="Y100">
        <v>0.28000000000000003</v>
      </c>
      <c r="Z100">
        <v>0.33</v>
      </c>
      <c r="AA100">
        <f t="shared" si="20"/>
        <v>85.604154414844047</v>
      </c>
      <c r="AB100" t="s">
        <v>233</v>
      </c>
    </row>
    <row r="101" spans="1:28" x14ac:dyDescent="0.25">
      <c r="A101">
        <v>100</v>
      </c>
      <c r="B101" t="s">
        <v>234</v>
      </c>
      <c r="C101" t="s">
        <v>392</v>
      </c>
      <c r="E101" t="s">
        <v>235</v>
      </c>
      <c r="G101" t="s">
        <v>205</v>
      </c>
      <c r="H101">
        <v>7.1</v>
      </c>
      <c r="I101" t="s">
        <v>144</v>
      </c>
      <c r="J101">
        <v>7.6999999999999999E-2</v>
      </c>
      <c r="K101">
        <v>16</v>
      </c>
      <c r="L101">
        <f t="shared" si="17"/>
        <v>6.3347074266984587</v>
      </c>
      <c r="M101" t="s">
        <v>144</v>
      </c>
      <c r="N101" t="s">
        <v>144</v>
      </c>
      <c r="P101">
        <f t="shared" si="18"/>
        <v>0</v>
      </c>
      <c r="Q101" t="s">
        <v>144</v>
      </c>
      <c r="R101" t="s">
        <v>208</v>
      </c>
      <c r="S101" t="s">
        <v>144</v>
      </c>
      <c r="T101">
        <v>99.56</v>
      </c>
      <c r="U101">
        <v>67.069999999999993</v>
      </c>
      <c r="V101">
        <f t="shared" si="19"/>
        <v>5244.4877537862958</v>
      </c>
      <c r="W101">
        <f t="shared" si="21"/>
        <v>5244.4877537862958</v>
      </c>
      <c r="X101">
        <v>0.26</v>
      </c>
      <c r="Y101">
        <v>0.22</v>
      </c>
      <c r="Z101">
        <v>0.25</v>
      </c>
      <c r="AA101">
        <f t="shared" si="20"/>
        <v>82.268927619460499</v>
      </c>
      <c r="AB101" t="s">
        <v>236</v>
      </c>
    </row>
    <row r="102" spans="1:28" x14ac:dyDescent="0.25">
      <c r="A102">
        <v>101</v>
      </c>
      <c r="B102" t="s">
        <v>237</v>
      </c>
      <c r="C102" t="s">
        <v>391</v>
      </c>
      <c r="E102" t="s">
        <v>213</v>
      </c>
      <c r="G102" t="s">
        <v>205</v>
      </c>
      <c r="H102">
        <v>7.1</v>
      </c>
      <c r="I102" t="s">
        <v>144</v>
      </c>
      <c r="J102">
        <v>6.6000000000000003E-2</v>
      </c>
      <c r="K102">
        <v>18</v>
      </c>
      <c r="L102">
        <f t="shared" si="17"/>
        <v>7.1265458550357659</v>
      </c>
      <c r="M102" t="s">
        <v>144</v>
      </c>
      <c r="N102" t="s">
        <v>144</v>
      </c>
      <c r="P102">
        <f t="shared" si="18"/>
        <v>0</v>
      </c>
      <c r="Q102" t="s">
        <v>144</v>
      </c>
      <c r="R102" t="s">
        <v>214</v>
      </c>
      <c r="S102">
        <v>8</v>
      </c>
      <c r="T102">
        <v>86.4</v>
      </c>
      <c r="U102">
        <v>32.049999999999997</v>
      </c>
      <c r="V102">
        <f t="shared" si="19"/>
        <v>2174.8617622271418</v>
      </c>
      <c r="W102">
        <f t="shared" si="21"/>
        <v>17398.894097817134</v>
      </c>
      <c r="X102">
        <v>0.25</v>
      </c>
      <c r="Y102">
        <v>0.21</v>
      </c>
      <c r="Z102">
        <v>0.22</v>
      </c>
      <c r="AA102">
        <f t="shared" si="20"/>
        <v>107.97796750054191</v>
      </c>
      <c r="AB102" t="s">
        <v>238</v>
      </c>
    </row>
    <row r="103" spans="1:28" x14ac:dyDescent="0.25">
      <c r="A103">
        <v>102</v>
      </c>
      <c r="B103" t="s">
        <v>239</v>
      </c>
      <c r="C103" t="s">
        <v>393</v>
      </c>
      <c r="E103" t="s">
        <v>240</v>
      </c>
      <c r="G103" t="s">
        <v>205</v>
      </c>
      <c r="H103">
        <v>7.1</v>
      </c>
      <c r="I103" t="s">
        <v>144</v>
      </c>
      <c r="J103">
        <v>7.9000000000000001E-2</v>
      </c>
      <c r="K103">
        <v>14</v>
      </c>
      <c r="L103">
        <f t="shared" si="17"/>
        <v>5.5428689983611514</v>
      </c>
      <c r="M103" t="s">
        <v>144</v>
      </c>
      <c r="N103" t="s">
        <v>144</v>
      </c>
      <c r="P103">
        <f t="shared" si="18"/>
        <v>0</v>
      </c>
      <c r="Q103" t="s">
        <v>144</v>
      </c>
      <c r="R103" t="s">
        <v>208</v>
      </c>
      <c r="S103" t="s">
        <v>144</v>
      </c>
      <c r="T103">
        <v>53</v>
      </c>
      <c r="U103">
        <v>25</v>
      </c>
      <c r="V103">
        <f t="shared" si="19"/>
        <v>1040.652566501619</v>
      </c>
      <c r="W103">
        <f t="shared" si="21"/>
        <v>1040.652566501619</v>
      </c>
      <c r="X103">
        <v>0.24</v>
      </c>
      <c r="Y103">
        <v>0.24</v>
      </c>
      <c r="Z103">
        <v>0.25</v>
      </c>
      <c r="AA103">
        <f t="shared" si="20"/>
        <v>70.162898713432298</v>
      </c>
      <c r="AB103" t="s">
        <v>241</v>
      </c>
    </row>
    <row r="104" spans="1:28" x14ac:dyDescent="0.25">
      <c r="A104">
        <v>103</v>
      </c>
      <c r="B104" t="s">
        <v>242</v>
      </c>
      <c r="C104" t="s">
        <v>364</v>
      </c>
      <c r="E104" t="s">
        <v>232</v>
      </c>
      <c r="G104" t="s">
        <v>205</v>
      </c>
      <c r="H104">
        <v>7.1</v>
      </c>
      <c r="I104" t="s">
        <v>144</v>
      </c>
      <c r="J104">
        <v>6.8000000000000005E-2</v>
      </c>
      <c r="K104">
        <v>16</v>
      </c>
      <c r="L104">
        <f t="shared" si="17"/>
        <v>6.3347074266984587</v>
      </c>
      <c r="M104" t="s">
        <v>144</v>
      </c>
      <c r="N104" t="s">
        <v>144</v>
      </c>
      <c r="P104">
        <f t="shared" si="18"/>
        <v>0</v>
      </c>
      <c r="Q104" t="s">
        <v>144</v>
      </c>
      <c r="R104" t="s">
        <v>214</v>
      </c>
      <c r="S104">
        <v>9</v>
      </c>
      <c r="T104">
        <v>48.8</v>
      </c>
      <c r="U104">
        <v>23.17</v>
      </c>
      <c r="V104">
        <f t="shared" si="19"/>
        <v>888.04656176084109</v>
      </c>
      <c r="W104">
        <f t="shared" si="21"/>
        <v>7992.4190558475693</v>
      </c>
      <c r="X104">
        <v>0.24</v>
      </c>
      <c r="Y104">
        <v>0.25</v>
      </c>
      <c r="Z104">
        <v>0.24</v>
      </c>
      <c r="AA104">
        <f t="shared" si="20"/>
        <v>93.157462157330272</v>
      </c>
      <c r="AB104" t="s">
        <v>243</v>
      </c>
    </row>
    <row r="105" spans="1:28" x14ac:dyDescent="0.25">
      <c r="A105">
        <v>104</v>
      </c>
      <c r="B105" t="s">
        <v>246</v>
      </c>
      <c r="C105" t="s">
        <v>394</v>
      </c>
      <c r="E105" t="s">
        <v>247</v>
      </c>
      <c r="G105" t="s">
        <v>205</v>
      </c>
      <c r="H105">
        <v>7.1</v>
      </c>
      <c r="I105" t="s">
        <v>144</v>
      </c>
      <c r="J105">
        <v>5.8999999999999997E-2</v>
      </c>
      <c r="K105">
        <v>15</v>
      </c>
      <c r="L105">
        <f t="shared" si="17"/>
        <v>5.938788212529805</v>
      </c>
      <c r="M105" t="s">
        <v>144</v>
      </c>
      <c r="N105" t="s">
        <v>144</v>
      </c>
      <c r="P105">
        <f t="shared" si="18"/>
        <v>0</v>
      </c>
      <c r="Q105" t="s">
        <v>144</v>
      </c>
      <c r="R105" t="s">
        <v>208</v>
      </c>
      <c r="S105" t="s">
        <v>144</v>
      </c>
      <c r="T105">
        <v>63.85</v>
      </c>
      <c r="U105">
        <v>24.09</v>
      </c>
      <c r="V105">
        <f t="shared" si="19"/>
        <v>1208.0574361362133</v>
      </c>
      <c r="W105">
        <f t="shared" si="21"/>
        <v>1208.0574361362133</v>
      </c>
      <c r="X105">
        <v>0.2</v>
      </c>
      <c r="Y105">
        <v>0.25</v>
      </c>
      <c r="Z105">
        <v>0.25</v>
      </c>
      <c r="AA105">
        <f t="shared" si="20"/>
        <v>100.65742733101365</v>
      </c>
      <c r="AB105" t="s">
        <v>248</v>
      </c>
    </row>
    <row r="106" spans="1:28" x14ac:dyDescent="0.25">
      <c r="A106">
        <v>105</v>
      </c>
      <c r="B106" t="s">
        <v>249</v>
      </c>
      <c r="C106" t="s">
        <v>394</v>
      </c>
      <c r="E106" t="s">
        <v>247</v>
      </c>
      <c r="G106" t="s">
        <v>205</v>
      </c>
      <c r="H106">
        <v>7.1</v>
      </c>
      <c r="I106" t="s">
        <v>144</v>
      </c>
      <c r="J106">
        <v>6.3E-2</v>
      </c>
      <c r="K106">
        <v>14</v>
      </c>
      <c r="L106">
        <f t="shared" si="17"/>
        <v>5.5428689983611514</v>
      </c>
      <c r="M106" t="s">
        <v>144</v>
      </c>
      <c r="N106" t="s">
        <v>144</v>
      </c>
      <c r="P106">
        <f t="shared" si="18"/>
        <v>0</v>
      </c>
      <c r="Q106" t="s">
        <v>144</v>
      </c>
      <c r="R106" t="s">
        <v>208</v>
      </c>
      <c r="S106" t="s">
        <v>144</v>
      </c>
      <c r="T106">
        <v>68.069999999999993</v>
      </c>
      <c r="U106">
        <v>31.84</v>
      </c>
      <c r="V106">
        <f t="shared" si="19"/>
        <v>1702.2317669616632</v>
      </c>
      <c r="W106">
        <f t="shared" si="21"/>
        <v>1702.2317669616632</v>
      </c>
      <c r="X106">
        <v>0.34</v>
      </c>
      <c r="Y106">
        <v>0.32</v>
      </c>
      <c r="Z106">
        <v>0.28999999999999998</v>
      </c>
      <c r="AA106">
        <f t="shared" si="20"/>
        <v>87.982047593034153</v>
      </c>
      <c r="AB106" t="s">
        <v>250</v>
      </c>
    </row>
    <row r="107" spans="1:28" x14ac:dyDescent="0.25">
      <c r="A107">
        <v>106</v>
      </c>
      <c r="B107" t="s">
        <v>251</v>
      </c>
      <c r="C107" t="s">
        <v>395</v>
      </c>
      <c r="E107" t="s">
        <v>252</v>
      </c>
      <c r="G107" t="s">
        <v>205</v>
      </c>
      <c r="H107">
        <v>7.1</v>
      </c>
      <c r="I107" t="s">
        <v>144</v>
      </c>
      <c r="J107">
        <v>8.5999999999999993E-2</v>
      </c>
      <c r="K107">
        <v>14</v>
      </c>
      <c r="L107">
        <f t="shared" si="17"/>
        <v>5.5428689983611514</v>
      </c>
      <c r="M107" t="s">
        <v>144</v>
      </c>
      <c r="N107" t="s">
        <v>144</v>
      </c>
      <c r="P107">
        <f t="shared" si="18"/>
        <v>0</v>
      </c>
      <c r="Q107" t="s">
        <v>144</v>
      </c>
      <c r="R107" t="s">
        <v>208</v>
      </c>
      <c r="S107" t="s">
        <v>144</v>
      </c>
      <c r="T107">
        <v>182.82</v>
      </c>
      <c r="U107">
        <v>97.4</v>
      </c>
      <c r="V107">
        <f t="shared" si="19"/>
        <v>13985.324343428114</v>
      </c>
      <c r="W107">
        <f t="shared" si="21"/>
        <v>13985.324343428114</v>
      </c>
      <c r="X107">
        <v>0.5</v>
      </c>
      <c r="Y107">
        <v>0.48</v>
      </c>
      <c r="Z107">
        <v>0.5</v>
      </c>
      <c r="AA107">
        <f t="shared" si="20"/>
        <v>64.451965097222697</v>
      </c>
      <c r="AB107" t="s">
        <v>253</v>
      </c>
    </row>
    <row r="108" spans="1:28" x14ac:dyDescent="0.25">
      <c r="A108">
        <v>107</v>
      </c>
      <c r="B108" t="s">
        <v>490</v>
      </c>
      <c r="C108" t="s">
        <v>357</v>
      </c>
      <c r="D108">
        <v>3</v>
      </c>
      <c r="E108" t="s">
        <v>291</v>
      </c>
      <c r="G108" t="s">
        <v>205</v>
      </c>
      <c r="H108">
        <v>7.1</v>
      </c>
      <c r="I108" t="s">
        <v>144</v>
      </c>
      <c r="J108">
        <v>4.9000000000000002E-2</v>
      </c>
      <c r="K108">
        <v>13</v>
      </c>
      <c r="L108">
        <f t="shared" si="17"/>
        <v>5.1469497841924978</v>
      </c>
      <c r="M108" t="s">
        <v>144</v>
      </c>
      <c r="N108" t="s">
        <v>144</v>
      </c>
      <c r="P108">
        <f t="shared" si="18"/>
        <v>0</v>
      </c>
      <c r="Q108" t="s">
        <v>144</v>
      </c>
      <c r="R108" t="s">
        <v>208</v>
      </c>
      <c r="S108" t="s">
        <v>144</v>
      </c>
      <c r="T108">
        <v>80.5</v>
      </c>
      <c r="U108">
        <v>43.58</v>
      </c>
      <c r="V108">
        <f t="shared" si="19"/>
        <v>2755.3259828492942</v>
      </c>
      <c r="W108">
        <f t="shared" si="21"/>
        <v>2755.3259828492942</v>
      </c>
      <c r="X108">
        <v>0.23</v>
      </c>
      <c r="Y108">
        <v>0.28999999999999998</v>
      </c>
      <c r="Z108">
        <v>0.28000000000000003</v>
      </c>
      <c r="AA108">
        <f t="shared" si="20"/>
        <v>105.0397915141326</v>
      </c>
      <c r="AB108" t="s">
        <v>491</v>
      </c>
    </row>
    <row r="109" spans="1:28" x14ac:dyDescent="0.25">
      <c r="A109">
        <v>108</v>
      </c>
      <c r="B109" t="s">
        <v>244</v>
      </c>
      <c r="C109" t="s">
        <v>396</v>
      </c>
      <c r="E109" t="s">
        <v>245</v>
      </c>
      <c r="G109" t="s">
        <v>205</v>
      </c>
      <c r="H109">
        <v>7.1</v>
      </c>
      <c r="I109" t="s">
        <v>144</v>
      </c>
      <c r="J109">
        <v>0.06</v>
      </c>
      <c r="K109">
        <v>13</v>
      </c>
      <c r="L109">
        <f t="shared" si="17"/>
        <v>5.1469497841924978</v>
      </c>
      <c r="M109" t="s">
        <v>144</v>
      </c>
      <c r="N109" t="s">
        <v>144</v>
      </c>
      <c r="P109">
        <f t="shared" si="18"/>
        <v>0</v>
      </c>
      <c r="Q109" t="s">
        <v>144</v>
      </c>
      <c r="R109" t="s">
        <v>214</v>
      </c>
      <c r="S109">
        <v>7</v>
      </c>
      <c r="T109">
        <v>115.08</v>
      </c>
      <c r="U109">
        <v>24.84</v>
      </c>
      <c r="V109">
        <f t="shared" si="19"/>
        <v>2245.1291367914541</v>
      </c>
      <c r="W109">
        <f t="shared" si="21"/>
        <v>15715.903957540178</v>
      </c>
      <c r="X109">
        <v>0.35</v>
      </c>
      <c r="Y109">
        <v>0.35</v>
      </c>
      <c r="Z109">
        <v>0.34</v>
      </c>
      <c r="AA109">
        <f t="shared" si="20"/>
        <v>85.782496403208299</v>
      </c>
      <c r="AB109" t="s">
        <v>254</v>
      </c>
    </row>
    <row r="110" spans="1:28" x14ac:dyDescent="0.25">
      <c r="A110">
        <v>109</v>
      </c>
      <c r="B110" t="s">
        <v>255</v>
      </c>
      <c r="C110" t="s">
        <v>364</v>
      </c>
      <c r="E110" t="s">
        <v>232</v>
      </c>
      <c r="G110" t="s">
        <v>205</v>
      </c>
      <c r="H110">
        <v>7.1</v>
      </c>
      <c r="I110" t="s">
        <v>144</v>
      </c>
      <c r="J110">
        <v>5.3999999999999999E-2</v>
      </c>
      <c r="K110">
        <v>11</v>
      </c>
      <c r="L110">
        <f t="shared" si="17"/>
        <v>4.3551113558551906</v>
      </c>
      <c r="M110" t="s">
        <v>144</v>
      </c>
      <c r="N110" t="s">
        <v>144</v>
      </c>
      <c r="P110">
        <f t="shared" si="18"/>
        <v>0</v>
      </c>
      <c r="Q110" t="s">
        <v>144</v>
      </c>
      <c r="R110" t="s">
        <v>214</v>
      </c>
      <c r="S110">
        <v>9</v>
      </c>
      <c r="T110">
        <v>58.69</v>
      </c>
      <c r="U110">
        <v>25.94</v>
      </c>
      <c r="V110">
        <f t="shared" si="19"/>
        <v>1195.7047723621145</v>
      </c>
      <c r="W110">
        <f t="shared" si="21"/>
        <v>10761.34295125903</v>
      </c>
      <c r="X110">
        <v>0.28999999999999998</v>
      </c>
      <c r="Y110">
        <v>0.3</v>
      </c>
      <c r="Z110">
        <v>0.33</v>
      </c>
      <c r="AA110">
        <f t="shared" si="20"/>
        <v>80.650210293614649</v>
      </c>
      <c r="AB110" t="s">
        <v>256</v>
      </c>
    </row>
    <row r="111" spans="1:28" x14ac:dyDescent="0.25">
      <c r="A111">
        <v>110</v>
      </c>
      <c r="B111" t="s">
        <v>292</v>
      </c>
      <c r="C111" t="s">
        <v>392</v>
      </c>
      <c r="E111" t="s">
        <v>235</v>
      </c>
      <c r="G111" t="s">
        <v>205</v>
      </c>
      <c r="H111">
        <v>7.1</v>
      </c>
      <c r="I111" t="s">
        <v>144</v>
      </c>
      <c r="J111">
        <v>4.2000000000000003E-2</v>
      </c>
      <c r="K111">
        <v>9</v>
      </c>
      <c r="L111">
        <f t="shared" si="17"/>
        <v>3.5632729275178829</v>
      </c>
      <c r="M111" t="s">
        <v>144</v>
      </c>
      <c r="N111" t="s">
        <v>144</v>
      </c>
      <c r="P111">
        <f t="shared" si="18"/>
        <v>0</v>
      </c>
      <c r="Q111" t="s">
        <v>144</v>
      </c>
      <c r="R111" t="s">
        <v>208</v>
      </c>
      <c r="S111" t="s">
        <v>144</v>
      </c>
      <c r="T111">
        <v>66.17</v>
      </c>
      <c r="U111">
        <v>52.17</v>
      </c>
      <c r="V111">
        <f t="shared" si="19"/>
        <v>2711.2642819447178</v>
      </c>
      <c r="W111">
        <f t="shared" si="21"/>
        <v>2711.2642819447178</v>
      </c>
      <c r="X111">
        <v>0.25</v>
      </c>
      <c r="Y111">
        <v>0.24</v>
      </c>
      <c r="Z111">
        <v>0.26</v>
      </c>
      <c r="AA111">
        <f t="shared" si="20"/>
        <v>84.839831607568641</v>
      </c>
      <c r="AB111" t="s">
        <v>257</v>
      </c>
    </row>
    <row r="112" spans="1:28" x14ac:dyDescent="0.25">
      <c r="A112">
        <v>111</v>
      </c>
      <c r="B112" t="s">
        <v>258</v>
      </c>
      <c r="C112" t="s">
        <v>397</v>
      </c>
      <c r="E112" t="s">
        <v>259</v>
      </c>
      <c r="G112" t="s">
        <v>205</v>
      </c>
      <c r="H112">
        <v>7.1</v>
      </c>
      <c r="I112" t="s">
        <v>144</v>
      </c>
      <c r="J112">
        <v>4.5999999999999999E-2</v>
      </c>
      <c r="K112">
        <v>17</v>
      </c>
      <c r="L112">
        <f t="shared" si="17"/>
        <v>6.7306266408671123</v>
      </c>
      <c r="M112" t="s">
        <v>144</v>
      </c>
      <c r="N112" t="s">
        <v>144</v>
      </c>
      <c r="P112">
        <f t="shared" si="18"/>
        <v>0</v>
      </c>
      <c r="Q112" t="s">
        <v>144</v>
      </c>
      <c r="R112" t="s">
        <v>208</v>
      </c>
      <c r="S112" t="s">
        <v>144</v>
      </c>
      <c r="T112">
        <v>82.46</v>
      </c>
      <c r="U112">
        <v>19.32</v>
      </c>
      <c r="V112">
        <f t="shared" si="19"/>
        <v>1251.2391769385192</v>
      </c>
      <c r="W112">
        <f t="shared" si="21"/>
        <v>1251.2391769385192</v>
      </c>
      <c r="X112">
        <v>0.21</v>
      </c>
      <c r="Y112">
        <v>0.2</v>
      </c>
      <c r="Z112">
        <v>0.19</v>
      </c>
      <c r="AA112">
        <f t="shared" si="20"/>
        <v>146.31797045363288</v>
      </c>
      <c r="AB112" t="s">
        <v>260</v>
      </c>
    </row>
    <row r="113" spans="1:28" x14ac:dyDescent="0.25">
      <c r="A113">
        <v>112</v>
      </c>
      <c r="B113" t="s">
        <v>261</v>
      </c>
      <c r="C113" t="s">
        <v>398</v>
      </c>
      <c r="E113" t="s">
        <v>262</v>
      </c>
      <c r="G113" t="s">
        <v>205</v>
      </c>
      <c r="H113">
        <v>7.1</v>
      </c>
      <c r="I113" t="s">
        <v>144</v>
      </c>
      <c r="J113">
        <v>0.126</v>
      </c>
      <c r="K113">
        <v>21</v>
      </c>
      <c r="L113">
        <f t="shared" si="17"/>
        <v>8.3143034975417276</v>
      </c>
      <c r="M113" t="s">
        <v>144</v>
      </c>
      <c r="N113" t="s">
        <v>144</v>
      </c>
      <c r="P113">
        <f t="shared" si="18"/>
        <v>0</v>
      </c>
      <c r="Q113" t="s">
        <v>144</v>
      </c>
      <c r="R113" t="s">
        <v>208</v>
      </c>
      <c r="S113" t="s">
        <v>144</v>
      </c>
      <c r="T113">
        <v>120.7</v>
      </c>
      <c r="U113">
        <v>47.5</v>
      </c>
      <c r="V113">
        <f t="shared" si="19"/>
        <v>4502.8840202984202</v>
      </c>
      <c r="W113">
        <f t="shared" si="21"/>
        <v>4502.8840202984202</v>
      </c>
      <c r="X113">
        <v>0.4</v>
      </c>
      <c r="Y113">
        <v>0.37</v>
      </c>
      <c r="Z113">
        <v>0.39</v>
      </c>
      <c r="AA113">
        <f t="shared" si="20"/>
        <v>65.986535694775611</v>
      </c>
      <c r="AB113" t="s">
        <v>263</v>
      </c>
    </row>
    <row r="114" spans="1:28" x14ac:dyDescent="0.25">
      <c r="A114">
        <v>113</v>
      </c>
      <c r="B114" t="s">
        <v>264</v>
      </c>
      <c r="C114" t="s">
        <v>399</v>
      </c>
      <c r="E114" t="s">
        <v>265</v>
      </c>
      <c r="G114" t="s">
        <v>205</v>
      </c>
      <c r="H114">
        <v>7.1</v>
      </c>
      <c r="I114" t="s">
        <v>144</v>
      </c>
      <c r="J114">
        <v>5.6000000000000001E-2</v>
      </c>
      <c r="K114">
        <v>13</v>
      </c>
      <c r="L114">
        <f t="shared" si="17"/>
        <v>5.1469497841924978</v>
      </c>
      <c r="M114" t="s">
        <v>144</v>
      </c>
      <c r="N114" t="s">
        <v>144</v>
      </c>
      <c r="P114">
        <f t="shared" si="18"/>
        <v>0</v>
      </c>
      <c r="Q114" t="s">
        <v>144</v>
      </c>
      <c r="R114" t="s">
        <v>208</v>
      </c>
      <c r="S114" t="s">
        <v>144</v>
      </c>
      <c r="T114">
        <v>69.349999999999994</v>
      </c>
      <c r="U114">
        <v>55.86</v>
      </c>
      <c r="V114">
        <f t="shared" si="19"/>
        <v>3042.5468766019039</v>
      </c>
      <c r="W114">
        <f t="shared" si="21"/>
        <v>3042.5468766019039</v>
      </c>
      <c r="X114">
        <v>0.36</v>
      </c>
      <c r="Y114">
        <v>0.39</v>
      </c>
      <c r="Z114">
        <v>0.38</v>
      </c>
      <c r="AA114">
        <f t="shared" si="20"/>
        <v>91.909817574866025</v>
      </c>
      <c r="AB114" t="s">
        <v>280</v>
      </c>
    </row>
    <row r="115" spans="1:28" x14ac:dyDescent="0.25">
      <c r="A115">
        <v>114</v>
      </c>
      <c r="B115" t="s">
        <v>266</v>
      </c>
      <c r="C115" t="s">
        <v>398</v>
      </c>
      <c r="E115" t="s">
        <v>262</v>
      </c>
      <c r="G115" t="s">
        <v>205</v>
      </c>
      <c r="H115">
        <v>7.1</v>
      </c>
      <c r="I115" t="s">
        <v>144</v>
      </c>
      <c r="J115">
        <v>0.115</v>
      </c>
      <c r="K115">
        <v>17</v>
      </c>
      <c r="L115">
        <f t="shared" si="17"/>
        <v>6.7306266408671123</v>
      </c>
      <c r="M115" t="s">
        <v>144</v>
      </c>
      <c r="N115" t="s">
        <v>144</v>
      </c>
      <c r="P115">
        <f t="shared" si="18"/>
        <v>0</v>
      </c>
      <c r="Q115" t="s">
        <v>144</v>
      </c>
      <c r="R115" t="s">
        <v>208</v>
      </c>
      <c r="S115" t="s">
        <v>144</v>
      </c>
      <c r="T115">
        <v>61.74</v>
      </c>
      <c r="U115">
        <v>18.75</v>
      </c>
      <c r="V115">
        <f t="shared" si="19"/>
        <v>909.19654890297102</v>
      </c>
      <c r="W115">
        <f t="shared" si="21"/>
        <v>909.19654890297102</v>
      </c>
      <c r="X115">
        <v>0.43</v>
      </c>
      <c r="Y115">
        <v>0.44</v>
      </c>
      <c r="Z115">
        <v>0.42</v>
      </c>
      <c r="AA115">
        <f t="shared" si="20"/>
        <v>58.527188181453148</v>
      </c>
      <c r="AB115" t="s">
        <v>279</v>
      </c>
    </row>
    <row r="116" spans="1:28" x14ac:dyDescent="0.25">
      <c r="A116">
        <v>115</v>
      </c>
      <c r="B116" t="s">
        <v>290</v>
      </c>
      <c r="C116" t="s">
        <v>357</v>
      </c>
      <c r="E116" t="s">
        <v>291</v>
      </c>
      <c r="G116" t="s">
        <v>205</v>
      </c>
      <c r="H116">
        <v>7.1</v>
      </c>
      <c r="I116" t="s">
        <v>144</v>
      </c>
      <c r="J116">
        <v>3.7999999999999999E-2</v>
      </c>
      <c r="K116">
        <v>12</v>
      </c>
      <c r="L116">
        <f t="shared" si="17"/>
        <v>4.7510305700238442</v>
      </c>
      <c r="M116" t="s">
        <v>144</v>
      </c>
      <c r="N116" t="s">
        <v>144</v>
      </c>
      <c r="P116">
        <f t="shared" si="18"/>
        <v>0</v>
      </c>
      <c r="Q116" t="s">
        <v>144</v>
      </c>
      <c r="R116" t="s">
        <v>208</v>
      </c>
      <c r="S116" t="s">
        <v>144</v>
      </c>
      <c r="T116">
        <v>78.91</v>
      </c>
      <c r="U116">
        <v>34</v>
      </c>
      <c r="V116">
        <f t="shared" si="19"/>
        <v>2107.1761485055499</v>
      </c>
      <c r="W116">
        <f t="shared" si="21"/>
        <v>2107.1761485055499</v>
      </c>
      <c r="X116">
        <v>0.31</v>
      </c>
      <c r="Y116">
        <v>0.26</v>
      </c>
      <c r="Z116">
        <v>0.28999999999999998</v>
      </c>
      <c r="AA116">
        <f t="shared" si="20"/>
        <v>125.02712026378538</v>
      </c>
      <c r="AB116" t="s">
        <v>278</v>
      </c>
    </row>
    <row r="117" spans="1:28" x14ac:dyDescent="0.25">
      <c r="A117">
        <v>116</v>
      </c>
      <c r="B117" t="s">
        <v>267</v>
      </c>
      <c r="C117" t="s">
        <v>400</v>
      </c>
      <c r="E117" t="s">
        <v>268</v>
      </c>
      <c r="G117" t="s">
        <v>205</v>
      </c>
      <c r="H117">
        <v>7.1</v>
      </c>
      <c r="I117" t="s">
        <v>144</v>
      </c>
      <c r="J117">
        <v>7.8E-2</v>
      </c>
      <c r="K117">
        <v>21</v>
      </c>
      <c r="L117">
        <f t="shared" si="17"/>
        <v>8.3143034975417276</v>
      </c>
      <c r="M117" t="s">
        <v>144</v>
      </c>
      <c r="N117" t="s">
        <v>144</v>
      </c>
      <c r="P117">
        <f t="shared" si="18"/>
        <v>0</v>
      </c>
      <c r="Q117" t="s">
        <v>144</v>
      </c>
      <c r="R117" t="s">
        <v>214</v>
      </c>
      <c r="S117">
        <v>5</v>
      </c>
      <c r="T117">
        <v>115.87</v>
      </c>
      <c r="U117">
        <v>40.86</v>
      </c>
      <c r="V117">
        <f t="shared" si="19"/>
        <v>3718.4269209803547</v>
      </c>
      <c r="W117">
        <f t="shared" si="21"/>
        <v>18592.134604901774</v>
      </c>
      <c r="X117">
        <v>0.43</v>
      </c>
      <c r="Y117">
        <v>0.44</v>
      </c>
      <c r="Z117">
        <v>0.4</v>
      </c>
      <c r="AA117">
        <f t="shared" si="20"/>
        <v>106.59363458386831</v>
      </c>
      <c r="AB117" t="s">
        <v>277</v>
      </c>
    </row>
    <row r="118" spans="1:28" x14ac:dyDescent="0.25">
      <c r="A118">
        <v>117</v>
      </c>
      <c r="B118" t="s">
        <v>269</v>
      </c>
      <c r="C118" t="s">
        <v>371</v>
      </c>
      <c r="E118" t="s">
        <v>270</v>
      </c>
      <c r="G118" t="s">
        <v>205</v>
      </c>
      <c r="H118">
        <v>7.1</v>
      </c>
      <c r="I118" t="s">
        <v>144</v>
      </c>
      <c r="J118">
        <v>4.5999999999999999E-2</v>
      </c>
      <c r="K118">
        <v>12</v>
      </c>
      <c r="L118">
        <f t="shared" si="17"/>
        <v>4.7510305700238442</v>
      </c>
      <c r="M118" t="s">
        <v>144</v>
      </c>
      <c r="N118" t="s">
        <v>144</v>
      </c>
      <c r="P118">
        <f t="shared" si="18"/>
        <v>0</v>
      </c>
      <c r="Q118" t="s">
        <v>144</v>
      </c>
      <c r="R118" t="s">
        <v>208</v>
      </c>
      <c r="S118" t="s">
        <v>144</v>
      </c>
      <c r="T118">
        <v>27.9</v>
      </c>
      <c r="U118">
        <v>11.12</v>
      </c>
      <c r="V118">
        <f t="shared" si="19"/>
        <v>243.66820939773152</v>
      </c>
      <c r="W118">
        <f t="shared" si="21"/>
        <v>243.66820939773152</v>
      </c>
      <c r="X118">
        <v>0.26</v>
      </c>
      <c r="Y118">
        <v>0.26</v>
      </c>
      <c r="Z118">
        <v>0.24</v>
      </c>
      <c r="AA118">
        <f t="shared" si="20"/>
        <v>103.28327326138792</v>
      </c>
      <c r="AB118" t="s">
        <v>276</v>
      </c>
    </row>
    <row r="119" spans="1:28" x14ac:dyDescent="0.25">
      <c r="A119">
        <v>118</v>
      </c>
      <c r="B119" t="s">
        <v>271</v>
      </c>
      <c r="C119" t="s">
        <v>365</v>
      </c>
      <c r="E119" t="s">
        <v>222</v>
      </c>
      <c r="G119" t="s">
        <v>205</v>
      </c>
      <c r="H119">
        <v>7.1</v>
      </c>
      <c r="I119" t="s">
        <v>144</v>
      </c>
      <c r="J119">
        <v>8.2000000000000003E-2</v>
      </c>
      <c r="K119">
        <v>17</v>
      </c>
      <c r="L119">
        <f t="shared" si="17"/>
        <v>6.7306266408671123</v>
      </c>
      <c r="M119" t="s">
        <v>144</v>
      </c>
      <c r="N119" t="s">
        <v>144</v>
      </c>
      <c r="P119">
        <f t="shared" si="18"/>
        <v>0</v>
      </c>
      <c r="Q119" t="s">
        <v>144</v>
      </c>
      <c r="R119" t="s">
        <v>208</v>
      </c>
      <c r="S119" t="s">
        <v>144</v>
      </c>
      <c r="T119">
        <v>81.290000000000006</v>
      </c>
      <c r="U119">
        <v>30.49</v>
      </c>
      <c r="V119">
        <f t="shared" si="19"/>
        <v>1946.6345592616206</v>
      </c>
      <c r="W119">
        <f t="shared" si="21"/>
        <v>1946.6345592616206</v>
      </c>
      <c r="X119">
        <v>0.28000000000000003</v>
      </c>
      <c r="Y119">
        <v>0.26</v>
      </c>
      <c r="Z119">
        <v>0.26</v>
      </c>
      <c r="AA119">
        <f t="shared" si="20"/>
        <v>82.080812693501372</v>
      </c>
      <c r="AB119" t="s">
        <v>275</v>
      </c>
    </row>
    <row r="120" spans="1:28" x14ac:dyDescent="0.25">
      <c r="A120">
        <v>119</v>
      </c>
      <c r="B120" t="s">
        <v>272</v>
      </c>
      <c r="C120" t="s">
        <v>401</v>
      </c>
      <c r="E120" t="s">
        <v>273</v>
      </c>
      <c r="G120" t="s">
        <v>205</v>
      </c>
      <c r="H120">
        <v>7.1</v>
      </c>
      <c r="I120" t="s">
        <v>144</v>
      </c>
      <c r="J120">
        <v>7.0000000000000007E-2</v>
      </c>
      <c r="K120">
        <v>11</v>
      </c>
      <c r="L120">
        <f t="shared" si="17"/>
        <v>4.3551113558551906</v>
      </c>
      <c r="M120" t="s">
        <v>144</v>
      </c>
      <c r="N120" t="s">
        <v>144</v>
      </c>
      <c r="P120">
        <f t="shared" si="18"/>
        <v>0</v>
      </c>
      <c r="Q120" t="s">
        <v>144</v>
      </c>
      <c r="R120" t="s">
        <v>208</v>
      </c>
      <c r="S120" t="s">
        <v>144</v>
      </c>
      <c r="T120">
        <v>63.88</v>
      </c>
      <c r="U120">
        <v>27.02</v>
      </c>
      <c r="V120">
        <f t="shared" si="19"/>
        <v>1355.6267609949396</v>
      </c>
      <c r="W120">
        <f t="shared" si="21"/>
        <v>1355.6267609949396</v>
      </c>
      <c r="X120">
        <v>0.45</v>
      </c>
      <c r="Y120">
        <v>0.38</v>
      </c>
      <c r="Z120">
        <v>0.4</v>
      </c>
      <c r="AA120">
        <f t="shared" si="20"/>
        <v>62.215876512217001</v>
      </c>
      <c r="AB120" t="s">
        <v>274</v>
      </c>
    </row>
    <row r="121" spans="1:28" x14ac:dyDescent="0.25">
      <c r="A121">
        <v>120</v>
      </c>
      <c r="B121" t="s">
        <v>281</v>
      </c>
      <c r="C121" t="s">
        <v>379</v>
      </c>
      <c r="E121" t="s">
        <v>282</v>
      </c>
      <c r="G121" t="s">
        <v>205</v>
      </c>
      <c r="H121">
        <v>7.1</v>
      </c>
      <c r="I121" t="s">
        <v>144</v>
      </c>
      <c r="J121">
        <v>3.6999999999999998E-2</v>
      </c>
      <c r="K121">
        <v>10</v>
      </c>
      <c r="L121">
        <f t="shared" si="17"/>
        <v>3.9591921416865365</v>
      </c>
      <c r="M121" t="s">
        <v>144</v>
      </c>
      <c r="N121" t="s">
        <v>144</v>
      </c>
      <c r="P121">
        <f t="shared" si="18"/>
        <v>0</v>
      </c>
      <c r="Q121" t="s">
        <v>144</v>
      </c>
      <c r="R121" t="s">
        <v>214</v>
      </c>
      <c r="S121">
        <v>7</v>
      </c>
      <c r="T121">
        <v>89.7</v>
      </c>
      <c r="U121">
        <v>32</v>
      </c>
      <c r="V121">
        <f t="shared" si="19"/>
        <v>2254.4068882160354</v>
      </c>
      <c r="W121">
        <f t="shared" si="21"/>
        <v>15780.848217512248</v>
      </c>
      <c r="X121">
        <v>0.34</v>
      </c>
      <c r="Y121">
        <v>0.32</v>
      </c>
      <c r="Z121">
        <v>0.34</v>
      </c>
      <c r="AA121">
        <f t="shared" si="20"/>
        <v>107.00519301855505</v>
      </c>
      <c r="AB121" t="s">
        <v>283</v>
      </c>
    </row>
    <row r="122" spans="1:28" x14ac:dyDescent="0.25">
      <c r="A122">
        <v>121</v>
      </c>
      <c r="B122" t="s">
        <v>284</v>
      </c>
      <c r="C122" t="s">
        <v>370</v>
      </c>
      <c r="E122" t="s">
        <v>285</v>
      </c>
      <c r="G122" t="s">
        <v>205</v>
      </c>
      <c r="H122">
        <v>7.1</v>
      </c>
      <c r="I122" t="s">
        <v>144</v>
      </c>
      <c r="J122">
        <v>3.6999999999999998E-2</v>
      </c>
      <c r="K122">
        <v>11</v>
      </c>
      <c r="L122">
        <f t="shared" si="17"/>
        <v>4.3551113558551906</v>
      </c>
      <c r="M122" t="s">
        <v>144</v>
      </c>
      <c r="N122" t="s">
        <v>144</v>
      </c>
      <c r="P122">
        <f t="shared" si="18"/>
        <v>0</v>
      </c>
      <c r="Q122" t="s">
        <v>144</v>
      </c>
      <c r="R122" t="s">
        <v>208</v>
      </c>
      <c r="S122" t="s">
        <v>144</v>
      </c>
      <c r="T122">
        <v>135.05000000000001</v>
      </c>
      <c r="U122">
        <v>52</v>
      </c>
      <c r="V122">
        <f t="shared" si="19"/>
        <v>5515.5371422749204</v>
      </c>
      <c r="W122">
        <f t="shared" si="21"/>
        <v>5515.5371422749204</v>
      </c>
      <c r="X122">
        <v>0.35</v>
      </c>
      <c r="Y122">
        <v>0.33</v>
      </c>
      <c r="Z122">
        <v>0.27</v>
      </c>
      <c r="AA122">
        <f t="shared" si="20"/>
        <v>117.70571232041057</v>
      </c>
      <c r="AB122" t="s">
        <v>286</v>
      </c>
    </row>
    <row r="123" spans="1:28" x14ac:dyDescent="0.25">
      <c r="A123">
        <v>122</v>
      </c>
      <c r="B123" t="s">
        <v>287</v>
      </c>
      <c r="C123" t="s">
        <v>394</v>
      </c>
      <c r="E123" t="s">
        <v>247</v>
      </c>
      <c r="G123" t="s">
        <v>205</v>
      </c>
      <c r="H123">
        <v>7.1</v>
      </c>
      <c r="I123" t="s">
        <v>144</v>
      </c>
      <c r="J123">
        <v>5.5E-2</v>
      </c>
      <c r="K123">
        <v>14</v>
      </c>
      <c r="L123">
        <f t="shared" si="17"/>
        <v>5.5428689983611514</v>
      </c>
      <c r="M123" t="s">
        <v>144</v>
      </c>
      <c r="N123" t="s">
        <v>144</v>
      </c>
      <c r="P123">
        <f t="shared" si="18"/>
        <v>0</v>
      </c>
      <c r="Q123" t="s">
        <v>144</v>
      </c>
      <c r="R123" t="s">
        <v>208</v>
      </c>
      <c r="S123" t="s">
        <v>144</v>
      </c>
      <c r="T123">
        <v>56.03</v>
      </c>
      <c r="U123">
        <v>29</v>
      </c>
      <c r="V123">
        <f t="shared" ref="V123:V154" si="22">(((T123/2) * (U123/2)) * PI())</f>
        <v>1276.169913759612</v>
      </c>
      <c r="W123">
        <f t="shared" si="21"/>
        <v>1276.169913759612</v>
      </c>
      <c r="X123">
        <v>0.2</v>
      </c>
      <c r="Y123">
        <v>0.19</v>
      </c>
      <c r="Z123">
        <v>0.19</v>
      </c>
      <c r="AA123">
        <f t="shared" si="20"/>
        <v>100.77943633383912</v>
      </c>
    </row>
    <row r="124" spans="1:28" x14ac:dyDescent="0.25">
      <c r="A124">
        <v>123</v>
      </c>
      <c r="B124" t="s">
        <v>288</v>
      </c>
      <c r="C124" t="s">
        <v>391</v>
      </c>
      <c r="E124" t="s">
        <v>213</v>
      </c>
      <c r="G124" t="s">
        <v>205</v>
      </c>
      <c r="H124">
        <v>7.1</v>
      </c>
      <c r="I124" t="s">
        <v>144</v>
      </c>
      <c r="J124">
        <v>0.114</v>
      </c>
      <c r="K124">
        <v>20</v>
      </c>
      <c r="L124">
        <f t="shared" si="17"/>
        <v>7.9183842833730731</v>
      </c>
      <c r="M124" t="s">
        <v>144</v>
      </c>
      <c r="N124" t="s">
        <v>144</v>
      </c>
      <c r="P124">
        <f t="shared" si="18"/>
        <v>0</v>
      </c>
      <c r="Q124" t="s">
        <v>144</v>
      </c>
      <c r="R124" t="s">
        <v>214</v>
      </c>
      <c r="S124">
        <v>9</v>
      </c>
      <c r="T124">
        <v>76.34</v>
      </c>
      <c r="U124">
        <v>26.9</v>
      </c>
      <c r="V124">
        <f t="shared" si="22"/>
        <v>1612.8512568521762</v>
      </c>
      <c r="W124">
        <f t="shared" si="21"/>
        <v>14515.661311669586</v>
      </c>
      <c r="X124">
        <v>0.28000000000000003</v>
      </c>
      <c r="Y124">
        <v>0.27</v>
      </c>
      <c r="Z124">
        <v>0.27</v>
      </c>
      <c r="AA124">
        <f t="shared" si="20"/>
        <v>69.459511257658534</v>
      </c>
      <c r="AB124" t="s">
        <v>289</v>
      </c>
    </row>
    <row r="125" spans="1:28" x14ac:dyDescent="0.25">
      <c r="A125">
        <v>124</v>
      </c>
      <c r="B125" t="s">
        <v>293</v>
      </c>
      <c r="C125" t="s">
        <v>402</v>
      </c>
      <c r="E125" t="s">
        <v>294</v>
      </c>
      <c r="G125" t="s">
        <v>205</v>
      </c>
      <c r="H125">
        <v>7.1</v>
      </c>
      <c r="I125" t="s">
        <v>144</v>
      </c>
      <c r="J125">
        <v>0.03</v>
      </c>
      <c r="K125">
        <v>11</v>
      </c>
      <c r="L125">
        <f t="shared" si="17"/>
        <v>4.3551113558551906</v>
      </c>
      <c r="M125" t="s">
        <v>144</v>
      </c>
      <c r="N125" t="s">
        <v>144</v>
      </c>
      <c r="P125">
        <f t="shared" si="18"/>
        <v>0</v>
      </c>
      <c r="Q125" t="s">
        <v>144</v>
      </c>
      <c r="R125" t="s">
        <v>208</v>
      </c>
      <c r="S125" t="s">
        <v>144</v>
      </c>
      <c r="T125">
        <v>29.15</v>
      </c>
      <c r="U125">
        <v>15.78</v>
      </c>
      <c r="V125">
        <f t="shared" si="22"/>
        <v>361.27294498670204</v>
      </c>
      <c r="W125">
        <f t="shared" si="21"/>
        <v>361.27294498670204</v>
      </c>
      <c r="X125">
        <v>0.17</v>
      </c>
      <c r="Y125">
        <v>0.18</v>
      </c>
      <c r="Z125">
        <v>0.18</v>
      </c>
      <c r="AA125">
        <f t="shared" si="20"/>
        <v>145.17037852850635</v>
      </c>
    </row>
    <row r="126" spans="1:28" x14ac:dyDescent="0.25">
      <c r="A126">
        <v>125</v>
      </c>
      <c r="B126" t="s">
        <v>295</v>
      </c>
      <c r="C126" t="s">
        <v>391</v>
      </c>
      <c r="E126" t="s">
        <v>213</v>
      </c>
      <c r="G126" t="s">
        <v>205</v>
      </c>
      <c r="H126">
        <v>7.1</v>
      </c>
      <c r="I126" t="s">
        <v>144</v>
      </c>
      <c r="J126">
        <v>5.7000000000000002E-2</v>
      </c>
      <c r="K126">
        <v>14</v>
      </c>
      <c r="L126">
        <f t="shared" si="17"/>
        <v>5.5428689983611514</v>
      </c>
      <c r="M126" t="s">
        <v>144</v>
      </c>
      <c r="N126" t="s">
        <v>144</v>
      </c>
      <c r="P126">
        <f t="shared" si="18"/>
        <v>0</v>
      </c>
      <c r="Q126" t="s">
        <v>144</v>
      </c>
      <c r="R126" t="s">
        <v>214</v>
      </c>
      <c r="S126">
        <v>5</v>
      </c>
      <c r="T126">
        <v>77.819999999999993</v>
      </c>
      <c r="U126">
        <v>17.79</v>
      </c>
      <c r="V126">
        <f t="shared" si="22"/>
        <v>1087.3191974947356</v>
      </c>
      <c r="W126">
        <f t="shared" ref="W126:W157" si="23">IF(ISNUMBER(S126), S126*V126, V126)</f>
        <v>5436.5959874736782</v>
      </c>
      <c r="X126">
        <v>0.2</v>
      </c>
      <c r="Y126">
        <v>0.21</v>
      </c>
      <c r="Z126">
        <v>0.19</v>
      </c>
      <c r="AA126">
        <f t="shared" si="20"/>
        <v>97.243315760721956</v>
      </c>
    </row>
    <row r="127" spans="1:28" x14ac:dyDescent="0.25">
      <c r="A127">
        <v>126</v>
      </c>
      <c r="B127" t="s">
        <v>296</v>
      </c>
      <c r="C127" t="s">
        <v>403</v>
      </c>
      <c r="E127" t="s">
        <v>297</v>
      </c>
      <c r="G127" t="s">
        <v>205</v>
      </c>
      <c r="H127">
        <v>7.1</v>
      </c>
      <c r="I127" t="s">
        <v>144</v>
      </c>
      <c r="J127">
        <v>5.5E-2</v>
      </c>
      <c r="K127">
        <v>11</v>
      </c>
      <c r="L127">
        <f t="shared" si="17"/>
        <v>4.3551113558551906</v>
      </c>
      <c r="M127" t="s">
        <v>144</v>
      </c>
      <c r="N127" t="s">
        <v>144</v>
      </c>
      <c r="P127">
        <f t="shared" si="18"/>
        <v>0</v>
      </c>
      <c r="Q127" t="s">
        <v>144</v>
      </c>
      <c r="R127" t="s">
        <v>208</v>
      </c>
      <c r="S127" t="s">
        <v>144</v>
      </c>
      <c r="T127">
        <v>79.23</v>
      </c>
      <c r="U127">
        <v>25.92</v>
      </c>
      <c r="V127">
        <f t="shared" si="22"/>
        <v>1612.9263409165974</v>
      </c>
      <c r="W127">
        <f t="shared" si="23"/>
        <v>1612.9263409165974</v>
      </c>
      <c r="X127">
        <v>0.36</v>
      </c>
      <c r="Y127">
        <v>0.38</v>
      </c>
      <c r="Z127">
        <v>0.31</v>
      </c>
      <c r="AA127">
        <f t="shared" si="20"/>
        <v>79.183842833730736</v>
      </c>
    </row>
    <row r="128" spans="1:28" x14ac:dyDescent="0.25">
      <c r="A128">
        <v>127</v>
      </c>
      <c r="B128" t="s">
        <v>298</v>
      </c>
      <c r="C128" t="s">
        <v>403</v>
      </c>
      <c r="E128" t="s">
        <v>297</v>
      </c>
      <c r="G128" t="s">
        <v>205</v>
      </c>
      <c r="H128">
        <v>7.1</v>
      </c>
      <c r="I128" t="s">
        <v>144</v>
      </c>
      <c r="J128">
        <v>7.5999999999999998E-2</v>
      </c>
      <c r="K128">
        <v>12</v>
      </c>
      <c r="L128">
        <f t="shared" si="17"/>
        <v>4.7510305700238442</v>
      </c>
      <c r="M128" t="s">
        <v>144</v>
      </c>
      <c r="N128" t="s">
        <v>144</v>
      </c>
      <c r="P128">
        <f t="shared" si="18"/>
        <v>0</v>
      </c>
      <c r="Q128" t="s">
        <v>144</v>
      </c>
      <c r="R128" t="s">
        <v>208</v>
      </c>
      <c r="S128" t="s">
        <v>144</v>
      </c>
      <c r="T128">
        <v>86.21</v>
      </c>
      <c r="U128">
        <v>24.76</v>
      </c>
      <c r="V128">
        <f t="shared" si="22"/>
        <v>1676.4791895023918</v>
      </c>
      <c r="W128">
        <f t="shared" si="23"/>
        <v>1676.4791895023918</v>
      </c>
      <c r="X128">
        <v>0.37</v>
      </c>
      <c r="Y128">
        <v>0.34</v>
      </c>
      <c r="Z128">
        <v>0.37</v>
      </c>
      <c r="AA128">
        <f t="shared" si="20"/>
        <v>62.513560131892689</v>
      </c>
    </row>
    <row r="129" spans="1:28" x14ac:dyDescent="0.25">
      <c r="A129">
        <v>128</v>
      </c>
      <c r="B129" t="s">
        <v>299</v>
      </c>
      <c r="C129" t="s">
        <v>393</v>
      </c>
      <c r="E129" t="s">
        <v>240</v>
      </c>
      <c r="G129" t="s">
        <v>205</v>
      </c>
      <c r="H129">
        <v>7.1</v>
      </c>
      <c r="I129" t="s">
        <v>144</v>
      </c>
      <c r="J129">
        <v>0.09</v>
      </c>
      <c r="K129">
        <v>12</v>
      </c>
      <c r="L129">
        <f t="shared" si="17"/>
        <v>4.7510305700238442</v>
      </c>
      <c r="M129" t="s">
        <v>144</v>
      </c>
      <c r="N129" t="s">
        <v>144</v>
      </c>
      <c r="P129">
        <f t="shared" si="18"/>
        <v>0</v>
      </c>
      <c r="Q129" t="s">
        <v>144</v>
      </c>
      <c r="R129" t="s">
        <v>208</v>
      </c>
      <c r="S129" t="s">
        <v>144</v>
      </c>
      <c r="T129">
        <v>40.75</v>
      </c>
      <c r="U129">
        <v>21.14</v>
      </c>
      <c r="V129">
        <f t="shared" si="22"/>
        <v>676.58517484954882</v>
      </c>
      <c r="W129">
        <f t="shared" si="23"/>
        <v>676.58517484954882</v>
      </c>
      <c r="X129">
        <v>0.34</v>
      </c>
      <c r="Y129">
        <v>0.35</v>
      </c>
      <c r="Z129">
        <v>0.35</v>
      </c>
      <c r="AA129">
        <f t="shared" si="20"/>
        <v>52.789228555820493</v>
      </c>
    </row>
    <row r="130" spans="1:28" x14ac:dyDescent="0.25">
      <c r="A130">
        <v>129</v>
      </c>
      <c r="B130" t="s">
        <v>105</v>
      </c>
      <c r="C130" t="s">
        <v>397</v>
      </c>
      <c r="E130" t="s">
        <v>259</v>
      </c>
      <c r="G130" t="s">
        <v>205</v>
      </c>
      <c r="H130">
        <v>7.1</v>
      </c>
      <c r="I130" t="s">
        <v>144</v>
      </c>
      <c r="J130">
        <v>4.2000000000000003E-2</v>
      </c>
      <c r="K130">
        <v>15</v>
      </c>
      <c r="L130">
        <f t="shared" si="17"/>
        <v>5.938788212529805</v>
      </c>
      <c r="M130" t="s">
        <v>144</v>
      </c>
      <c r="N130" t="s">
        <v>144</v>
      </c>
      <c r="P130">
        <f t="shared" si="18"/>
        <v>0</v>
      </c>
      <c r="Q130" t="s">
        <v>144</v>
      </c>
      <c r="R130" t="s">
        <v>208</v>
      </c>
      <c r="S130" t="s">
        <v>144</v>
      </c>
      <c r="T130">
        <v>106.55</v>
      </c>
      <c r="U130">
        <v>29.24</v>
      </c>
      <c r="V130">
        <f t="shared" si="22"/>
        <v>2446.9252568243446</v>
      </c>
      <c r="W130">
        <f t="shared" si="23"/>
        <v>2446.9252568243446</v>
      </c>
      <c r="X130">
        <v>0.26</v>
      </c>
      <c r="Y130">
        <v>0.24</v>
      </c>
      <c r="Z130">
        <v>0.22</v>
      </c>
      <c r="AA130">
        <f t="shared" si="20"/>
        <v>141.39971934594774</v>
      </c>
      <c r="AB130" t="s">
        <v>763</v>
      </c>
    </row>
    <row r="131" spans="1:28" x14ac:dyDescent="0.25">
      <c r="A131">
        <v>130</v>
      </c>
      <c r="B131" t="s">
        <v>300</v>
      </c>
      <c r="C131" t="s">
        <v>403</v>
      </c>
      <c r="E131" t="s">
        <v>297</v>
      </c>
      <c r="G131" t="s">
        <v>205</v>
      </c>
      <c r="H131">
        <v>7.1</v>
      </c>
      <c r="I131" t="s">
        <v>144</v>
      </c>
      <c r="J131">
        <v>7.2999999999999995E-2</v>
      </c>
      <c r="K131">
        <v>13</v>
      </c>
      <c r="L131">
        <f t="shared" si="17"/>
        <v>5.1469497841924978</v>
      </c>
      <c r="M131" t="s">
        <v>144</v>
      </c>
      <c r="N131" t="s">
        <v>144</v>
      </c>
      <c r="P131">
        <f t="shared" si="18"/>
        <v>0</v>
      </c>
      <c r="Q131" t="s">
        <v>144</v>
      </c>
      <c r="R131" t="s">
        <v>208</v>
      </c>
      <c r="S131" t="s">
        <v>144</v>
      </c>
      <c r="T131">
        <v>90.13</v>
      </c>
      <c r="U131">
        <v>45.33</v>
      </c>
      <c r="V131">
        <f t="shared" si="22"/>
        <v>3208.8171600496544</v>
      </c>
      <c r="W131">
        <f t="shared" si="23"/>
        <v>3208.8171600496544</v>
      </c>
      <c r="X131">
        <v>0.35</v>
      </c>
      <c r="Y131">
        <v>0.32</v>
      </c>
      <c r="Z131">
        <v>0.35</v>
      </c>
      <c r="AA131">
        <f t="shared" si="20"/>
        <v>70.506161427294501</v>
      </c>
    </row>
    <row r="132" spans="1:28" x14ac:dyDescent="0.25">
      <c r="A132">
        <v>131</v>
      </c>
      <c r="B132" t="s">
        <v>301</v>
      </c>
      <c r="C132" t="s">
        <v>393</v>
      </c>
      <c r="E132" t="s">
        <v>240</v>
      </c>
      <c r="G132" t="s">
        <v>205</v>
      </c>
      <c r="H132">
        <v>7.1</v>
      </c>
      <c r="I132" t="s">
        <v>144</v>
      </c>
      <c r="J132">
        <v>0.113</v>
      </c>
      <c r="K132">
        <v>16</v>
      </c>
      <c r="L132">
        <f t="shared" si="17"/>
        <v>6.3347074266984587</v>
      </c>
      <c r="M132" t="s">
        <v>144</v>
      </c>
      <c r="N132" t="s">
        <v>144</v>
      </c>
      <c r="P132">
        <f t="shared" si="18"/>
        <v>0</v>
      </c>
      <c r="Q132" t="s">
        <v>144</v>
      </c>
      <c r="R132" t="s">
        <v>208</v>
      </c>
      <c r="S132" t="s">
        <v>144</v>
      </c>
      <c r="T132">
        <v>52.17</v>
      </c>
      <c r="U132">
        <v>22.43</v>
      </c>
      <c r="V132">
        <f t="shared" si="22"/>
        <v>919.05180359709857</v>
      </c>
      <c r="W132">
        <f t="shared" si="23"/>
        <v>919.05180359709857</v>
      </c>
      <c r="X132">
        <v>0.33</v>
      </c>
      <c r="Y132">
        <v>0.31</v>
      </c>
      <c r="Z132">
        <v>0.27</v>
      </c>
      <c r="AA132">
        <f t="shared" si="20"/>
        <v>56.059357758393439</v>
      </c>
    </row>
    <row r="133" spans="1:28" x14ac:dyDescent="0.25">
      <c r="A133">
        <v>132</v>
      </c>
      <c r="B133" t="s">
        <v>302</v>
      </c>
      <c r="C133" t="s">
        <v>404</v>
      </c>
      <c r="E133" t="s">
        <v>303</v>
      </c>
      <c r="G133" t="s">
        <v>205</v>
      </c>
      <c r="H133">
        <v>7.1</v>
      </c>
      <c r="I133" t="s">
        <v>144</v>
      </c>
      <c r="J133">
        <v>5.1999999999999998E-2</v>
      </c>
      <c r="K133">
        <v>14</v>
      </c>
      <c r="L133">
        <f t="shared" si="17"/>
        <v>5.5428689983611514</v>
      </c>
      <c r="M133" t="s">
        <v>144</v>
      </c>
      <c r="N133" t="s">
        <v>144</v>
      </c>
      <c r="P133">
        <f t="shared" si="18"/>
        <v>0</v>
      </c>
      <c r="Q133" t="s">
        <v>144</v>
      </c>
      <c r="R133" t="s">
        <v>214</v>
      </c>
      <c r="S133">
        <v>7</v>
      </c>
      <c r="T133">
        <v>54.32</v>
      </c>
      <c r="U133">
        <v>23.5</v>
      </c>
      <c r="V133">
        <f t="shared" si="22"/>
        <v>1002.5764635401107</v>
      </c>
      <c r="W133">
        <f t="shared" si="23"/>
        <v>7018.0352447807745</v>
      </c>
      <c r="X133">
        <v>0.16</v>
      </c>
      <c r="Y133">
        <v>0.14000000000000001</v>
      </c>
      <c r="Z133">
        <v>0.15</v>
      </c>
      <c r="AA133">
        <f t="shared" si="20"/>
        <v>106.59363458386831</v>
      </c>
    </row>
    <row r="134" spans="1:28" x14ac:dyDescent="0.25">
      <c r="A134">
        <v>133</v>
      </c>
      <c r="B134" t="s">
        <v>304</v>
      </c>
      <c r="C134" t="s">
        <v>396</v>
      </c>
      <c r="E134" t="s">
        <v>245</v>
      </c>
      <c r="G134" t="s">
        <v>205</v>
      </c>
      <c r="H134">
        <v>7.1</v>
      </c>
      <c r="I134" t="s">
        <v>144</v>
      </c>
      <c r="J134">
        <v>0.122</v>
      </c>
      <c r="K134">
        <v>22</v>
      </c>
      <c r="L134">
        <f t="shared" si="17"/>
        <v>8.7102227117103812</v>
      </c>
      <c r="M134" t="s">
        <v>144</v>
      </c>
      <c r="N134" t="s">
        <v>144</v>
      </c>
      <c r="P134">
        <f t="shared" si="18"/>
        <v>0</v>
      </c>
      <c r="Q134" t="s">
        <v>144</v>
      </c>
      <c r="R134" t="s">
        <v>214</v>
      </c>
      <c r="S134">
        <v>7</v>
      </c>
      <c r="T134">
        <v>91.67</v>
      </c>
      <c r="U134">
        <v>25.01</v>
      </c>
      <c r="V134">
        <f t="shared" si="22"/>
        <v>1800.6562154624887</v>
      </c>
      <c r="W134">
        <f t="shared" si="23"/>
        <v>12604.593508237422</v>
      </c>
      <c r="X134">
        <v>0.35</v>
      </c>
      <c r="Y134">
        <v>0.35</v>
      </c>
      <c r="Z134">
        <v>0.35</v>
      </c>
      <c r="AA134">
        <f t="shared" si="20"/>
        <v>71.395268128773623</v>
      </c>
    </row>
    <row r="135" spans="1:28" x14ac:dyDescent="0.25">
      <c r="A135">
        <v>134</v>
      </c>
      <c r="B135" t="s">
        <v>305</v>
      </c>
      <c r="C135" t="s">
        <v>402</v>
      </c>
      <c r="E135" t="s">
        <v>294</v>
      </c>
      <c r="G135" t="s">
        <v>205</v>
      </c>
      <c r="H135">
        <v>7.1</v>
      </c>
      <c r="I135" t="s">
        <v>144</v>
      </c>
      <c r="J135">
        <v>6.0999999999999999E-2</v>
      </c>
      <c r="K135">
        <v>15</v>
      </c>
      <c r="L135">
        <f t="shared" si="17"/>
        <v>5.938788212529805</v>
      </c>
      <c r="M135" t="s">
        <v>144</v>
      </c>
      <c r="N135" t="s">
        <v>144</v>
      </c>
      <c r="P135">
        <f t="shared" si="18"/>
        <v>0</v>
      </c>
      <c r="Q135" t="s">
        <v>144</v>
      </c>
      <c r="R135" t="s">
        <v>208</v>
      </c>
      <c r="S135" t="s">
        <v>144</v>
      </c>
      <c r="T135">
        <v>21.95</v>
      </c>
      <c r="U135">
        <v>11.17</v>
      </c>
      <c r="V135">
        <f t="shared" si="22"/>
        <v>192.56509979903146</v>
      </c>
      <c r="W135">
        <f t="shared" si="23"/>
        <v>192.56509979903146</v>
      </c>
      <c r="X135">
        <v>0.18</v>
      </c>
      <c r="Y135">
        <v>0.19</v>
      </c>
      <c r="Z135">
        <v>0.19</v>
      </c>
      <c r="AA135">
        <f t="shared" si="20"/>
        <v>97.35718381196402</v>
      </c>
    </row>
    <row r="136" spans="1:28" x14ac:dyDescent="0.25">
      <c r="A136">
        <v>135</v>
      </c>
      <c r="B136" t="s">
        <v>306</v>
      </c>
      <c r="C136" t="s">
        <v>371</v>
      </c>
      <c r="E136" t="s">
        <v>270</v>
      </c>
      <c r="G136" t="s">
        <v>205</v>
      </c>
      <c r="H136">
        <v>7.1</v>
      </c>
      <c r="I136" t="s">
        <v>144</v>
      </c>
      <c r="J136">
        <v>5.8000000000000003E-2</v>
      </c>
      <c r="K136">
        <v>11</v>
      </c>
      <c r="L136">
        <f t="shared" si="17"/>
        <v>4.3551113558551906</v>
      </c>
      <c r="M136" t="s">
        <v>144</v>
      </c>
      <c r="N136" t="s">
        <v>144</v>
      </c>
      <c r="P136">
        <f t="shared" si="18"/>
        <v>0</v>
      </c>
      <c r="Q136" t="s">
        <v>144</v>
      </c>
      <c r="R136" t="s">
        <v>208</v>
      </c>
      <c r="S136" t="s">
        <v>144</v>
      </c>
      <c r="T136">
        <v>34.43</v>
      </c>
      <c r="U136">
        <v>12.5</v>
      </c>
      <c r="V136">
        <f t="shared" si="22"/>
        <v>338.01573457217683</v>
      </c>
      <c r="W136">
        <f t="shared" si="23"/>
        <v>338.01573457217683</v>
      </c>
      <c r="X136">
        <v>0.3</v>
      </c>
      <c r="Y136">
        <v>0.27</v>
      </c>
      <c r="Z136">
        <v>0.26</v>
      </c>
      <c r="AA136">
        <f t="shared" si="20"/>
        <v>75.088126825089489</v>
      </c>
    </row>
    <row r="137" spans="1:28" x14ac:dyDescent="0.25">
      <c r="A137">
        <v>136</v>
      </c>
      <c r="B137" t="s">
        <v>307</v>
      </c>
      <c r="C137" t="s">
        <v>364</v>
      </c>
      <c r="E137" t="s">
        <v>232</v>
      </c>
      <c r="G137" t="s">
        <v>205</v>
      </c>
      <c r="H137">
        <v>7.1</v>
      </c>
      <c r="I137" t="s">
        <v>144</v>
      </c>
      <c r="J137">
        <v>0.106</v>
      </c>
      <c r="K137">
        <v>16</v>
      </c>
      <c r="L137">
        <f t="shared" si="17"/>
        <v>6.3347074266984587</v>
      </c>
      <c r="M137" t="s">
        <v>144</v>
      </c>
      <c r="N137" t="s">
        <v>144</v>
      </c>
      <c r="P137">
        <f t="shared" si="18"/>
        <v>0</v>
      </c>
      <c r="Q137" t="s">
        <v>144</v>
      </c>
      <c r="R137" t="s">
        <v>214</v>
      </c>
      <c r="S137">
        <v>11</v>
      </c>
      <c r="T137">
        <v>45.93</v>
      </c>
      <c r="U137">
        <v>20.399999999999999</v>
      </c>
      <c r="V137">
        <f t="shared" si="22"/>
        <v>735.89608795483389</v>
      </c>
      <c r="W137">
        <f t="shared" si="23"/>
        <v>8094.8569675031731</v>
      </c>
      <c r="X137">
        <v>0.33</v>
      </c>
      <c r="Y137">
        <v>0.34</v>
      </c>
      <c r="Z137">
        <v>0.34</v>
      </c>
      <c r="AA137">
        <f t="shared" si="20"/>
        <v>59.761390817909991</v>
      </c>
    </row>
    <row r="138" spans="1:28" x14ac:dyDescent="0.25">
      <c r="A138">
        <v>137</v>
      </c>
      <c r="B138" t="s">
        <v>308</v>
      </c>
      <c r="C138" t="s">
        <v>388</v>
      </c>
      <c r="E138" t="s">
        <v>198</v>
      </c>
      <c r="G138" t="s">
        <v>205</v>
      </c>
      <c r="H138">
        <v>9.6999999999999993</v>
      </c>
      <c r="I138" t="s">
        <v>144</v>
      </c>
      <c r="J138">
        <v>0.14499999999999999</v>
      </c>
      <c r="K138">
        <v>15</v>
      </c>
      <c r="L138">
        <f t="shared" si="17"/>
        <v>11.084716979109885</v>
      </c>
      <c r="M138" t="s">
        <v>144</v>
      </c>
      <c r="N138" t="s">
        <v>144</v>
      </c>
      <c r="P138">
        <f t="shared" si="18"/>
        <v>0</v>
      </c>
      <c r="Q138" t="s">
        <v>144</v>
      </c>
      <c r="R138" t="s">
        <v>214</v>
      </c>
      <c r="S138">
        <v>3</v>
      </c>
      <c r="T138">
        <v>95.78</v>
      </c>
      <c r="U138">
        <v>89.14</v>
      </c>
      <c r="V138">
        <f t="shared" si="22"/>
        <v>6705.5953730811052</v>
      </c>
      <c r="W138">
        <f t="shared" si="23"/>
        <v>20116.786119243316</v>
      </c>
      <c r="X138">
        <v>0.49</v>
      </c>
      <c r="Y138">
        <v>0.43</v>
      </c>
      <c r="Z138">
        <v>0.42</v>
      </c>
      <c r="AA138">
        <f t="shared" si="20"/>
        <v>76.446323993861284</v>
      </c>
      <c r="AB138" t="s">
        <v>309</v>
      </c>
    </row>
    <row r="139" spans="1:28" x14ac:dyDescent="0.25">
      <c r="A139">
        <v>138</v>
      </c>
      <c r="B139" t="s">
        <v>310</v>
      </c>
      <c r="C139" t="s">
        <v>405</v>
      </c>
      <c r="E139" t="s">
        <v>311</v>
      </c>
      <c r="G139" t="s">
        <v>205</v>
      </c>
      <c r="H139">
        <v>9.6999999999999993</v>
      </c>
      <c r="I139" t="s">
        <v>144</v>
      </c>
      <c r="J139">
        <v>0.215</v>
      </c>
      <c r="K139">
        <v>18</v>
      </c>
      <c r="L139">
        <f t="shared" si="17"/>
        <v>13.301660374931862</v>
      </c>
      <c r="M139" t="s">
        <v>144</v>
      </c>
      <c r="N139" t="s">
        <v>144</v>
      </c>
      <c r="P139">
        <f t="shared" si="18"/>
        <v>0</v>
      </c>
      <c r="Q139" t="s">
        <v>144</v>
      </c>
      <c r="R139" t="s">
        <v>208</v>
      </c>
      <c r="S139" t="s">
        <v>144</v>
      </c>
      <c r="T139">
        <v>106.09</v>
      </c>
      <c r="U139">
        <v>41.25</v>
      </c>
      <c r="V139">
        <f t="shared" si="22"/>
        <v>3437.069260136956</v>
      </c>
      <c r="W139">
        <f t="shared" si="23"/>
        <v>3437.069260136956</v>
      </c>
      <c r="X139">
        <v>0.5</v>
      </c>
      <c r="Y139">
        <v>0.47</v>
      </c>
      <c r="Z139">
        <v>0.45</v>
      </c>
      <c r="AA139">
        <f t="shared" si="20"/>
        <v>61.868187790380752</v>
      </c>
    </row>
    <row r="140" spans="1:28" x14ac:dyDescent="0.25">
      <c r="A140">
        <v>139</v>
      </c>
      <c r="B140" t="s">
        <v>312</v>
      </c>
      <c r="C140" t="s">
        <v>398</v>
      </c>
      <c r="E140" t="s">
        <v>262</v>
      </c>
      <c r="G140" t="s">
        <v>205</v>
      </c>
      <c r="H140">
        <v>7.1</v>
      </c>
      <c r="I140" t="s">
        <v>144</v>
      </c>
      <c r="J140">
        <v>9.0999999999999998E-2</v>
      </c>
      <c r="K140">
        <v>16</v>
      </c>
      <c r="L140">
        <f t="shared" si="17"/>
        <v>6.3347074266984587</v>
      </c>
      <c r="M140" t="s">
        <v>144</v>
      </c>
      <c r="N140" t="s">
        <v>144</v>
      </c>
      <c r="P140">
        <f t="shared" si="18"/>
        <v>0</v>
      </c>
      <c r="Q140" t="s">
        <v>144</v>
      </c>
      <c r="R140" t="s">
        <v>208</v>
      </c>
      <c r="S140" t="s">
        <v>144</v>
      </c>
      <c r="T140">
        <v>39.479999999999997</v>
      </c>
      <c r="U140">
        <v>19.059999999999999</v>
      </c>
      <c r="V140">
        <f t="shared" si="22"/>
        <v>591.00332149714961</v>
      </c>
      <c r="W140">
        <f t="shared" si="23"/>
        <v>591.00332149714961</v>
      </c>
      <c r="X140">
        <v>0.31</v>
      </c>
      <c r="Y140">
        <v>0.31</v>
      </c>
      <c r="Z140">
        <v>0.31</v>
      </c>
      <c r="AA140">
        <f t="shared" si="20"/>
        <v>69.612169524158887</v>
      </c>
      <c r="AB140" t="s">
        <v>314</v>
      </c>
    </row>
    <row r="141" spans="1:28" x14ac:dyDescent="0.25">
      <c r="A141">
        <v>140</v>
      </c>
      <c r="B141" t="s">
        <v>315</v>
      </c>
      <c r="C141" t="s">
        <v>403</v>
      </c>
      <c r="E141" t="s">
        <v>297</v>
      </c>
      <c r="G141" t="s">
        <v>205</v>
      </c>
      <c r="H141">
        <v>9.6999999999999993</v>
      </c>
      <c r="I141" t="s">
        <v>144</v>
      </c>
      <c r="J141">
        <v>0.14899999999999999</v>
      </c>
      <c r="K141">
        <v>14</v>
      </c>
      <c r="L141">
        <f t="shared" si="17"/>
        <v>10.345735847169225</v>
      </c>
      <c r="M141" t="s">
        <v>144</v>
      </c>
      <c r="N141" t="s">
        <v>144</v>
      </c>
      <c r="P141">
        <f t="shared" si="18"/>
        <v>0</v>
      </c>
      <c r="Q141" t="s">
        <v>144</v>
      </c>
      <c r="R141" t="s">
        <v>208</v>
      </c>
      <c r="S141" t="s">
        <v>144</v>
      </c>
      <c r="T141">
        <v>124.11</v>
      </c>
      <c r="U141">
        <v>40.31</v>
      </c>
      <c r="V141">
        <f t="shared" si="22"/>
        <v>3929.2481298486618</v>
      </c>
      <c r="W141">
        <f t="shared" si="23"/>
        <v>3929.2481298486618</v>
      </c>
      <c r="X141">
        <v>0.34</v>
      </c>
      <c r="Y141">
        <v>0.36</v>
      </c>
      <c r="Z141">
        <v>0.33</v>
      </c>
      <c r="AA141">
        <f t="shared" si="20"/>
        <v>69.434468772947824</v>
      </c>
    </row>
    <row r="142" spans="1:28" x14ac:dyDescent="0.25">
      <c r="A142">
        <v>141</v>
      </c>
      <c r="B142" t="s">
        <v>316</v>
      </c>
      <c r="C142" t="s">
        <v>393</v>
      </c>
      <c r="E142" t="s">
        <v>240</v>
      </c>
      <c r="G142" t="s">
        <v>205</v>
      </c>
      <c r="H142">
        <v>7.1</v>
      </c>
      <c r="I142" t="s">
        <v>144</v>
      </c>
      <c r="J142">
        <v>0.123</v>
      </c>
      <c r="K142">
        <v>21</v>
      </c>
      <c r="L142">
        <f t="shared" si="17"/>
        <v>8.3143034975417276</v>
      </c>
      <c r="M142" t="s">
        <v>144</v>
      </c>
      <c r="N142" t="s">
        <v>144</v>
      </c>
      <c r="P142">
        <f t="shared" si="18"/>
        <v>0</v>
      </c>
      <c r="Q142" t="s">
        <v>144</v>
      </c>
      <c r="R142" t="s">
        <v>208</v>
      </c>
      <c r="S142" t="s">
        <v>144</v>
      </c>
      <c r="T142">
        <v>54.25</v>
      </c>
      <c r="U142">
        <v>26.02</v>
      </c>
      <c r="V142">
        <f t="shared" si="22"/>
        <v>1108.6562664793871</v>
      </c>
      <c r="W142">
        <f t="shared" si="23"/>
        <v>1108.6562664793871</v>
      </c>
      <c r="X142">
        <v>0.27</v>
      </c>
      <c r="Y142">
        <v>0.25</v>
      </c>
      <c r="Z142">
        <v>0.27</v>
      </c>
      <c r="AA142">
        <f t="shared" si="20"/>
        <v>67.595963394648194</v>
      </c>
    </row>
    <row r="143" spans="1:28" x14ac:dyDescent="0.25">
      <c r="A143">
        <v>142</v>
      </c>
      <c r="B143" t="s">
        <v>317</v>
      </c>
      <c r="C143" t="s">
        <v>368</v>
      </c>
      <c r="E143" t="s">
        <v>318</v>
      </c>
      <c r="G143" t="s">
        <v>205</v>
      </c>
      <c r="H143">
        <v>7.1</v>
      </c>
      <c r="I143" t="s">
        <v>144</v>
      </c>
      <c r="J143">
        <v>2.8000000000000001E-2</v>
      </c>
      <c r="K143">
        <v>7</v>
      </c>
      <c r="L143">
        <f t="shared" si="17"/>
        <v>2.7714344991805757</v>
      </c>
      <c r="M143" t="s">
        <v>144</v>
      </c>
      <c r="N143" t="s">
        <v>144</v>
      </c>
      <c r="P143">
        <f t="shared" si="18"/>
        <v>0</v>
      </c>
      <c r="Q143" t="s">
        <v>144</v>
      </c>
      <c r="R143" t="s">
        <v>208</v>
      </c>
      <c r="S143" t="s">
        <v>144</v>
      </c>
      <c r="T143">
        <v>18.93</v>
      </c>
      <c r="U143">
        <v>8.9</v>
      </c>
      <c r="V143">
        <f t="shared" si="22"/>
        <v>132.32152637471191</v>
      </c>
      <c r="W143">
        <f t="shared" si="23"/>
        <v>132.32152637471191</v>
      </c>
      <c r="X143">
        <v>0.19</v>
      </c>
      <c r="Y143">
        <v>0.13</v>
      </c>
      <c r="Z143">
        <v>0.14000000000000001</v>
      </c>
      <c r="AA143">
        <f t="shared" si="20"/>
        <v>98.97980354216341</v>
      </c>
      <c r="AB143" t="s">
        <v>319</v>
      </c>
    </row>
    <row r="144" spans="1:28" x14ac:dyDescent="0.25">
      <c r="A144">
        <v>143</v>
      </c>
      <c r="B144" t="s">
        <v>320</v>
      </c>
      <c r="C144" t="s">
        <v>355</v>
      </c>
      <c r="E144" t="s">
        <v>227</v>
      </c>
      <c r="G144" t="s">
        <v>205</v>
      </c>
      <c r="H144">
        <v>9.6999999999999993</v>
      </c>
      <c r="I144" t="s">
        <v>144</v>
      </c>
      <c r="J144">
        <v>0.105</v>
      </c>
      <c r="K144">
        <v>11</v>
      </c>
      <c r="L144">
        <f t="shared" si="17"/>
        <v>8.1287924513472483</v>
      </c>
      <c r="M144" t="s">
        <v>144</v>
      </c>
      <c r="N144" t="s">
        <v>144</v>
      </c>
      <c r="P144">
        <f t="shared" si="18"/>
        <v>0</v>
      </c>
      <c r="Q144" t="s">
        <v>144</v>
      </c>
      <c r="R144" t="s">
        <v>208</v>
      </c>
      <c r="S144" t="s">
        <v>144</v>
      </c>
      <c r="T144">
        <v>106.97</v>
      </c>
      <c r="U144">
        <v>60.5</v>
      </c>
      <c r="V144">
        <f t="shared" si="22"/>
        <v>5082.849513086815</v>
      </c>
      <c r="W144">
        <f t="shared" si="23"/>
        <v>5082.849513086815</v>
      </c>
      <c r="X144">
        <v>0.33</v>
      </c>
      <c r="Y144">
        <v>0.31</v>
      </c>
      <c r="Z144">
        <v>0.33</v>
      </c>
      <c r="AA144">
        <f t="shared" si="20"/>
        <v>77.417070965211892</v>
      </c>
      <c r="AB144" t="s">
        <v>321</v>
      </c>
    </row>
    <row r="145" spans="1:28" x14ac:dyDescent="0.25">
      <c r="A145">
        <v>144</v>
      </c>
      <c r="B145" t="s">
        <v>418</v>
      </c>
      <c r="C145" t="s">
        <v>419</v>
      </c>
      <c r="D145">
        <v>1</v>
      </c>
      <c r="E145" t="s">
        <v>420</v>
      </c>
      <c r="G145" t="s">
        <v>205</v>
      </c>
      <c r="H145">
        <v>9.6999999999999993</v>
      </c>
      <c r="I145" t="s">
        <v>144</v>
      </c>
      <c r="J145">
        <v>8.2000000000000003E-2</v>
      </c>
      <c r="K145">
        <v>14</v>
      </c>
      <c r="L145">
        <f t="shared" si="17"/>
        <v>10.345735847169225</v>
      </c>
      <c r="M145" t="s">
        <v>144</v>
      </c>
      <c r="N145" t="s">
        <v>144</v>
      </c>
      <c r="P145">
        <f t="shared" si="18"/>
        <v>0</v>
      </c>
      <c r="Q145" t="s">
        <v>144</v>
      </c>
      <c r="R145" t="s">
        <v>208</v>
      </c>
      <c r="S145" t="s">
        <v>144</v>
      </c>
      <c r="T145">
        <f>46.56+152</f>
        <v>198.56</v>
      </c>
      <c r="U145">
        <v>68.7</v>
      </c>
      <c r="V145">
        <f t="shared" si="22"/>
        <v>10713.672895572357</v>
      </c>
      <c r="W145">
        <f t="shared" si="23"/>
        <v>10713.672895572357</v>
      </c>
      <c r="X145">
        <v>0.24</v>
      </c>
      <c r="Y145">
        <v>0.25</v>
      </c>
      <c r="Z145">
        <v>0.24</v>
      </c>
      <c r="AA145">
        <f t="shared" si="20"/>
        <v>126.16751033133201</v>
      </c>
    </row>
    <row r="146" spans="1:28" x14ac:dyDescent="0.25">
      <c r="A146">
        <v>145</v>
      </c>
      <c r="B146" t="s">
        <v>421</v>
      </c>
      <c r="C146" t="s">
        <v>421</v>
      </c>
      <c r="E146" t="s">
        <v>422</v>
      </c>
      <c r="G146" t="s">
        <v>205</v>
      </c>
      <c r="H146">
        <v>9.6999999999999993</v>
      </c>
      <c r="I146" t="s">
        <v>144</v>
      </c>
      <c r="J146">
        <v>5.1999999999999998E-2</v>
      </c>
      <c r="K146">
        <v>10</v>
      </c>
      <c r="L146">
        <f t="shared" si="17"/>
        <v>7.38981131940659</v>
      </c>
      <c r="M146" t="s">
        <v>144</v>
      </c>
      <c r="N146" t="s">
        <v>144</v>
      </c>
      <c r="P146">
        <f t="shared" si="18"/>
        <v>0</v>
      </c>
      <c r="Q146" t="s">
        <v>144</v>
      </c>
      <c r="R146" t="s">
        <v>208</v>
      </c>
      <c r="S146" t="s">
        <v>144</v>
      </c>
      <c r="T146">
        <v>137.44999999999999</v>
      </c>
      <c r="U146">
        <v>49.82</v>
      </c>
      <c r="V146">
        <f t="shared" si="22"/>
        <v>5378.2173419883466</v>
      </c>
      <c r="W146">
        <f t="shared" si="23"/>
        <v>5378.2173419883466</v>
      </c>
      <c r="X146">
        <v>0.25</v>
      </c>
      <c r="Y146">
        <v>0.23</v>
      </c>
      <c r="Z146">
        <v>0.25</v>
      </c>
      <c r="AA146">
        <f t="shared" si="20"/>
        <v>142.11175614243442</v>
      </c>
    </row>
    <row r="147" spans="1:28" x14ac:dyDescent="0.25">
      <c r="A147">
        <v>146</v>
      </c>
      <c r="B147" t="s">
        <v>423</v>
      </c>
      <c r="C147" t="s">
        <v>358</v>
      </c>
      <c r="D147">
        <v>4</v>
      </c>
      <c r="E147" t="s">
        <v>363</v>
      </c>
      <c r="G147" t="s">
        <v>205</v>
      </c>
      <c r="H147">
        <v>9.6999999999999993</v>
      </c>
      <c r="I147" t="s">
        <v>144</v>
      </c>
      <c r="J147">
        <v>0.11700000000000001</v>
      </c>
      <c r="K147">
        <v>12</v>
      </c>
      <c r="L147">
        <f t="shared" si="17"/>
        <v>8.8677735832879065</v>
      </c>
      <c r="M147" t="s">
        <v>144</v>
      </c>
      <c r="N147" t="s">
        <v>144</v>
      </c>
      <c r="P147">
        <f t="shared" si="18"/>
        <v>0</v>
      </c>
      <c r="Q147" t="s">
        <v>144</v>
      </c>
      <c r="R147" t="s">
        <v>208</v>
      </c>
      <c r="S147" t="s">
        <v>144</v>
      </c>
      <c r="T147">
        <v>145.96</v>
      </c>
      <c r="U147">
        <v>23.41</v>
      </c>
      <c r="V147">
        <f t="shared" si="22"/>
        <v>2683.6455199093971</v>
      </c>
      <c r="W147">
        <f t="shared" si="23"/>
        <v>2683.6455199093971</v>
      </c>
      <c r="X147">
        <v>0.41</v>
      </c>
      <c r="Y147">
        <v>0.38</v>
      </c>
      <c r="Z147">
        <v>0.4</v>
      </c>
      <c r="AA147">
        <f t="shared" si="20"/>
        <v>75.792936609298337</v>
      </c>
    </row>
    <row r="148" spans="1:28" x14ac:dyDescent="0.25">
      <c r="A148">
        <v>147</v>
      </c>
      <c r="B148" t="s">
        <v>424</v>
      </c>
      <c r="C148" t="s">
        <v>392</v>
      </c>
      <c r="D148">
        <v>3</v>
      </c>
      <c r="E148" t="s">
        <v>235</v>
      </c>
      <c r="G148" t="s">
        <v>205</v>
      </c>
      <c r="H148">
        <v>7.1</v>
      </c>
      <c r="I148" t="s">
        <v>144</v>
      </c>
      <c r="J148">
        <v>0.10199999999999999</v>
      </c>
      <c r="K148">
        <v>15</v>
      </c>
      <c r="L148">
        <f t="shared" si="17"/>
        <v>5.938788212529805</v>
      </c>
      <c r="M148" t="s">
        <v>144</v>
      </c>
      <c r="N148" t="s">
        <v>144</v>
      </c>
      <c r="P148">
        <f t="shared" si="18"/>
        <v>0</v>
      </c>
      <c r="Q148" t="s">
        <v>144</v>
      </c>
      <c r="R148" t="s">
        <v>208</v>
      </c>
      <c r="S148" t="s">
        <v>144</v>
      </c>
      <c r="T148">
        <v>88.13</v>
      </c>
      <c r="U148">
        <v>54.29</v>
      </c>
      <c r="V148">
        <f t="shared" si="22"/>
        <v>3757.798538212387</v>
      </c>
      <c r="W148">
        <f t="shared" si="23"/>
        <v>3757.798538212387</v>
      </c>
      <c r="X148">
        <v>0.31</v>
      </c>
      <c r="Y148">
        <v>0.28000000000000003</v>
      </c>
      <c r="Z148">
        <v>0.27</v>
      </c>
      <c r="AA148">
        <f t="shared" si="20"/>
        <v>58.223413848331425</v>
      </c>
    </row>
    <row r="149" spans="1:28" x14ac:dyDescent="0.25">
      <c r="A149">
        <v>148</v>
      </c>
      <c r="B149" t="s">
        <v>425</v>
      </c>
      <c r="C149" t="s">
        <v>396</v>
      </c>
      <c r="D149">
        <v>4</v>
      </c>
      <c r="E149" t="s">
        <v>245</v>
      </c>
      <c r="G149" t="s">
        <v>205</v>
      </c>
      <c r="H149">
        <v>9.6999999999999993</v>
      </c>
      <c r="I149" t="s">
        <v>144</v>
      </c>
      <c r="J149">
        <v>9.9000000000000005E-2</v>
      </c>
      <c r="K149">
        <v>10</v>
      </c>
      <c r="L149">
        <f t="shared" si="17"/>
        <v>7.38981131940659</v>
      </c>
      <c r="M149" t="s">
        <v>144</v>
      </c>
      <c r="N149" t="s">
        <v>144</v>
      </c>
      <c r="P149">
        <f t="shared" si="18"/>
        <v>0</v>
      </c>
      <c r="Q149" t="s">
        <v>144</v>
      </c>
      <c r="R149" t="s">
        <v>214</v>
      </c>
      <c r="S149">
        <v>7</v>
      </c>
      <c r="T149">
        <v>115.26</v>
      </c>
      <c r="U149">
        <v>34.85</v>
      </c>
      <c r="V149">
        <f t="shared" si="22"/>
        <v>3154.7959821146678</v>
      </c>
      <c r="W149">
        <f t="shared" si="23"/>
        <v>22083.571874802674</v>
      </c>
      <c r="X149">
        <v>0.37</v>
      </c>
      <c r="Y149">
        <v>0.39</v>
      </c>
      <c r="Z149">
        <v>0.38</v>
      </c>
      <c r="AA149">
        <f t="shared" si="20"/>
        <v>74.64455878188474</v>
      </c>
    </row>
    <row r="150" spans="1:28" x14ac:dyDescent="0.25">
      <c r="A150">
        <v>149</v>
      </c>
      <c r="B150" t="s">
        <v>426</v>
      </c>
      <c r="C150" t="s">
        <v>393</v>
      </c>
      <c r="D150">
        <v>5</v>
      </c>
      <c r="E150" t="s">
        <v>240</v>
      </c>
      <c r="G150" t="s">
        <v>205</v>
      </c>
      <c r="H150">
        <v>7.1</v>
      </c>
      <c r="I150" t="s">
        <v>144</v>
      </c>
      <c r="J150">
        <v>9.2999999999999999E-2</v>
      </c>
      <c r="K150">
        <v>15</v>
      </c>
      <c r="L150">
        <f t="shared" si="17"/>
        <v>5.938788212529805</v>
      </c>
      <c r="M150" t="s">
        <v>144</v>
      </c>
      <c r="N150" t="s">
        <v>144</v>
      </c>
      <c r="P150">
        <f t="shared" si="18"/>
        <v>0</v>
      </c>
      <c r="Q150" t="s">
        <v>144</v>
      </c>
      <c r="R150" t="s">
        <v>208</v>
      </c>
      <c r="S150" t="s">
        <v>144</v>
      </c>
      <c r="T150">
        <v>41.75</v>
      </c>
      <c r="U150">
        <v>16.22</v>
      </c>
      <c r="V150">
        <f t="shared" si="22"/>
        <v>531.85985528030096</v>
      </c>
      <c r="W150">
        <f t="shared" si="23"/>
        <v>531.85985528030096</v>
      </c>
      <c r="X150">
        <v>0.3</v>
      </c>
      <c r="Y150">
        <v>0.26</v>
      </c>
      <c r="Z150">
        <v>0.26</v>
      </c>
      <c r="AA150">
        <f t="shared" si="20"/>
        <v>63.857937769137692</v>
      </c>
    </row>
    <row r="151" spans="1:28" x14ac:dyDescent="0.25">
      <c r="A151">
        <v>150</v>
      </c>
      <c r="B151" t="s">
        <v>427</v>
      </c>
      <c r="C151" t="s">
        <v>368</v>
      </c>
      <c r="D151">
        <v>5</v>
      </c>
      <c r="E151" t="s">
        <v>318</v>
      </c>
      <c r="G151" t="s">
        <v>205</v>
      </c>
      <c r="H151">
        <v>7.1</v>
      </c>
      <c r="I151" t="s">
        <v>144</v>
      </c>
      <c r="J151">
        <v>4.7E-2</v>
      </c>
      <c r="K151">
        <v>11</v>
      </c>
      <c r="L151">
        <f t="shared" si="17"/>
        <v>4.3551113558551906</v>
      </c>
      <c r="M151" t="s">
        <v>144</v>
      </c>
      <c r="N151" t="s">
        <v>144</v>
      </c>
      <c r="P151">
        <f t="shared" si="18"/>
        <v>0</v>
      </c>
      <c r="Q151" t="s">
        <v>144</v>
      </c>
      <c r="R151" t="s">
        <v>208</v>
      </c>
      <c r="S151" t="s">
        <v>144</v>
      </c>
      <c r="T151">
        <v>10.5</v>
      </c>
      <c r="U151">
        <v>3.96</v>
      </c>
      <c r="V151">
        <f t="shared" si="22"/>
        <v>32.656855634065899</v>
      </c>
      <c r="W151">
        <f t="shared" si="23"/>
        <v>32.656855634065899</v>
      </c>
      <c r="X151">
        <v>0.19</v>
      </c>
      <c r="Y151">
        <v>0.18</v>
      </c>
      <c r="Z151">
        <v>0.16</v>
      </c>
      <c r="AA151">
        <f t="shared" si="20"/>
        <v>92.661943741599799</v>
      </c>
    </row>
    <row r="152" spans="1:28" x14ac:dyDescent="0.25">
      <c r="A152">
        <v>151</v>
      </c>
      <c r="B152" t="s">
        <v>428</v>
      </c>
      <c r="C152" t="s">
        <v>394</v>
      </c>
      <c r="D152">
        <v>4</v>
      </c>
      <c r="E152" t="s">
        <v>247</v>
      </c>
      <c r="G152" t="s">
        <v>205</v>
      </c>
      <c r="H152">
        <v>7.1</v>
      </c>
      <c r="I152" t="s">
        <v>144</v>
      </c>
      <c r="J152">
        <v>0.1</v>
      </c>
      <c r="K152">
        <v>18</v>
      </c>
      <c r="L152">
        <f t="shared" si="17"/>
        <v>7.1265458550357659</v>
      </c>
      <c r="M152" t="s">
        <v>144</v>
      </c>
      <c r="N152" t="s">
        <v>144</v>
      </c>
      <c r="P152">
        <f t="shared" si="18"/>
        <v>0</v>
      </c>
      <c r="Q152" t="s">
        <v>144</v>
      </c>
      <c r="R152" t="s">
        <v>208</v>
      </c>
      <c r="S152" t="s">
        <v>144</v>
      </c>
      <c r="T152">
        <v>55.88</v>
      </c>
      <c r="U152">
        <v>26.31</v>
      </c>
      <c r="V152">
        <f t="shared" si="22"/>
        <v>1154.6945789417859</v>
      </c>
      <c r="W152">
        <f t="shared" si="23"/>
        <v>1154.6945789417859</v>
      </c>
      <c r="X152">
        <v>0.27</v>
      </c>
      <c r="Y152">
        <v>0.32</v>
      </c>
      <c r="Z152">
        <v>0.23</v>
      </c>
      <c r="AA152">
        <f t="shared" si="20"/>
        <v>71.26545855035765</v>
      </c>
    </row>
    <row r="153" spans="1:28" x14ac:dyDescent="0.25">
      <c r="A153">
        <v>152</v>
      </c>
      <c r="B153" t="s">
        <v>429</v>
      </c>
      <c r="C153" t="s">
        <v>388</v>
      </c>
      <c r="D153">
        <v>5</v>
      </c>
      <c r="E153" t="s">
        <v>198</v>
      </c>
      <c r="G153" t="s">
        <v>205</v>
      </c>
      <c r="H153">
        <v>9.6999999999999993</v>
      </c>
      <c r="I153" t="s">
        <v>144</v>
      </c>
      <c r="J153">
        <v>7.3999999999999996E-2</v>
      </c>
      <c r="K153">
        <v>10</v>
      </c>
      <c r="L153">
        <f t="shared" si="17"/>
        <v>7.38981131940659</v>
      </c>
      <c r="M153" t="s">
        <v>144</v>
      </c>
      <c r="N153" t="s">
        <v>144</v>
      </c>
      <c r="P153">
        <f t="shared" si="18"/>
        <v>0</v>
      </c>
      <c r="Q153" t="s">
        <v>144</v>
      </c>
      <c r="R153" t="s">
        <v>214</v>
      </c>
      <c r="S153">
        <v>3</v>
      </c>
      <c r="T153">
        <v>88.4</v>
      </c>
      <c r="U153">
        <v>68.849999999999994</v>
      </c>
      <c r="V153">
        <f t="shared" si="22"/>
        <v>4780.2002578124257</v>
      </c>
      <c r="W153">
        <f t="shared" si="23"/>
        <v>14340.600773437276</v>
      </c>
      <c r="X153">
        <v>0.42</v>
      </c>
      <c r="Y153">
        <v>0.4</v>
      </c>
      <c r="Z153">
        <v>0.42</v>
      </c>
      <c r="AA153">
        <f t="shared" si="20"/>
        <v>99.862315127116091</v>
      </c>
    </row>
    <row r="154" spans="1:28" x14ac:dyDescent="0.25">
      <c r="A154">
        <v>153</v>
      </c>
      <c r="B154" t="s">
        <v>430</v>
      </c>
      <c r="C154" t="s">
        <v>360</v>
      </c>
      <c r="D154">
        <v>3</v>
      </c>
      <c r="E154" t="s">
        <v>374</v>
      </c>
      <c r="G154" t="s">
        <v>205</v>
      </c>
      <c r="H154">
        <v>9.6999999999999993</v>
      </c>
      <c r="I154" t="s">
        <v>144</v>
      </c>
      <c r="J154">
        <v>9.1999999999999998E-2</v>
      </c>
      <c r="K154">
        <v>12</v>
      </c>
      <c r="L154">
        <f t="shared" si="17"/>
        <v>8.8677735832879065</v>
      </c>
      <c r="M154" t="s">
        <v>144</v>
      </c>
      <c r="N154" t="s">
        <v>144</v>
      </c>
      <c r="P154">
        <f t="shared" si="18"/>
        <v>0</v>
      </c>
      <c r="Q154" t="s">
        <v>144</v>
      </c>
      <c r="R154" t="s">
        <v>208</v>
      </c>
      <c r="S154" t="s">
        <v>144</v>
      </c>
      <c r="T154">
        <v>137.26</v>
      </c>
      <c r="U154">
        <v>73.47</v>
      </c>
      <c r="V154">
        <f t="shared" si="22"/>
        <v>7920.341652675892</v>
      </c>
      <c r="W154">
        <f t="shared" si="23"/>
        <v>7920.341652675892</v>
      </c>
      <c r="X154">
        <v>0.56999999999999995</v>
      </c>
      <c r="Y154">
        <v>0.55000000000000004</v>
      </c>
      <c r="Z154">
        <v>0.63</v>
      </c>
      <c r="AA154">
        <f t="shared" si="20"/>
        <v>96.388843296607675</v>
      </c>
    </row>
    <row r="155" spans="1:28" x14ac:dyDescent="0.25">
      <c r="A155">
        <v>154</v>
      </c>
      <c r="B155" t="s">
        <v>756</v>
      </c>
      <c r="C155" t="s">
        <v>522</v>
      </c>
      <c r="E155" t="s">
        <v>523</v>
      </c>
      <c r="G155" t="s">
        <v>205</v>
      </c>
      <c r="H155">
        <v>7.1</v>
      </c>
      <c r="I155" t="s">
        <v>144</v>
      </c>
      <c r="J155">
        <v>6.4000000000000001E-2</v>
      </c>
      <c r="K155">
        <v>13</v>
      </c>
      <c r="L155">
        <f t="shared" ref="L155:L218" si="24">PI()*((H155/2)^2)/100 * K155</f>
        <v>5.1469497841924978</v>
      </c>
      <c r="M155" t="s">
        <v>144</v>
      </c>
      <c r="N155" t="s">
        <v>144</v>
      </c>
      <c r="P155">
        <f t="shared" ref="P155:P218" si="25">O155 / (300 * 300) * 2.54</f>
        <v>0</v>
      </c>
      <c r="Q155" t="s">
        <v>144</v>
      </c>
      <c r="R155" t="s">
        <v>208</v>
      </c>
      <c r="S155" t="s">
        <v>144</v>
      </c>
      <c r="T155">
        <v>84.81</v>
      </c>
      <c r="U155">
        <v>81.89</v>
      </c>
      <c r="V155">
        <f t="shared" ref="V155:V186" si="26">(((T155/2) * (U155/2)) * PI())</f>
        <v>5454.6616374883315</v>
      </c>
      <c r="W155">
        <f t="shared" si="23"/>
        <v>5454.6616374883315</v>
      </c>
      <c r="X155">
        <v>0.46</v>
      </c>
      <c r="Y155">
        <v>0.39</v>
      </c>
      <c r="Z155">
        <v>0.5</v>
      </c>
      <c r="AA155">
        <f t="shared" ref="AA155:AA218" si="27">L155/J155</f>
        <v>80.421090378007776</v>
      </c>
      <c r="AB155" t="s">
        <v>1140</v>
      </c>
    </row>
    <row r="156" spans="1:28" x14ac:dyDescent="0.25">
      <c r="A156">
        <v>155</v>
      </c>
      <c r="B156" t="s">
        <v>431</v>
      </c>
      <c r="C156" t="s">
        <v>432</v>
      </c>
      <c r="D156">
        <v>2</v>
      </c>
      <c r="E156" t="s">
        <v>433</v>
      </c>
      <c r="G156" t="s">
        <v>205</v>
      </c>
      <c r="H156">
        <v>9.6999999999999993</v>
      </c>
      <c r="I156" t="s">
        <v>144</v>
      </c>
      <c r="J156">
        <v>0.106</v>
      </c>
      <c r="K156">
        <v>13</v>
      </c>
      <c r="L156">
        <f t="shared" si="24"/>
        <v>9.6067547152285666</v>
      </c>
      <c r="M156" t="s">
        <v>144</v>
      </c>
      <c r="N156" t="s">
        <v>144</v>
      </c>
      <c r="P156">
        <f t="shared" si="25"/>
        <v>0</v>
      </c>
      <c r="Q156" t="s">
        <v>144</v>
      </c>
      <c r="R156" t="s">
        <v>214</v>
      </c>
      <c r="S156">
        <v>17</v>
      </c>
      <c r="T156">
        <v>60.96</v>
      </c>
      <c r="U156">
        <v>21.16</v>
      </c>
      <c r="V156">
        <f t="shared" si="26"/>
        <v>1013.0957723813908</v>
      </c>
      <c r="W156">
        <f t="shared" si="23"/>
        <v>17222.628130483645</v>
      </c>
      <c r="X156">
        <v>0.31</v>
      </c>
      <c r="Y156">
        <v>0.28000000000000003</v>
      </c>
      <c r="Z156">
        <v>0.27</v>
      </c>
      <c r="AA156">
        <f t="shared" si="27"/>
        <v>90.62976146442044</v>
      </c>
    </row>
    <row r="157" spans="1:28" x14ac:dyDescent="0.25">
      <c r="A157">
        <v>156</v>
      </c>
      <c r="B157" t="s">
        <v>434</v>
      </c>
      <c r="C157" t="s">
        <v>347</v>
      </c>
      <c r="D157">
        <v>3</v>
      </c>
      <c r="E157" t="s">
        <v>378</v>
      </c>
      <c r="G157" t="s">
        <v>205</v>
      </c>
      <c r="H157">
        <v>9.6999999999999993</v>
      </c>
      <c r="I157" t="s">
        <v>144</v>
      </c>
      <c r="J157">
        <v>6.4000000000000001E-2</v>
      </c>
      <c r="K157">
        <v>12</v>
      </c>
      <c r="L157">
        <f t="shared" si="24"/>
        <v>8.8677735832879065</v>
      </c>
      <c r="M157" t="s">
        <v>144</v>
      </c>
      <c r="N157" t="s">
        <v>144</v>
      </c>
      <c r="P157">
        <f t="shared" si="25"/>
        <v>0</v>
      </c>
      <c r="Q157" t="s">
        <v>144</v>
      </c>
      <c r="R157" t="s">
        <v>208</v>
      </c>
      <c r="S157" t="s">
        <v>144</v>
      </c>
      <c r="T157">
        <f>52.9+152.66</f>
        <v>205.56</v>
      </c>
      <c r="U157">
        <v>76.88</v>
      </c>
      <c r="V157">
        <f t="shared" si="26"/>
        <v>12412.002804458261</v>
      </c>
      <c r="W157">
        <f t="shared" si="23"/>
        <v>12412.002804458261</v>
      </c>
      <c r="X157">
        <v>0.46</v>
      </c>
      <c r="Y157">
        <v>0.49</v>
      </c>
      <c r="Z157">
        <v>0.48</v>
      </c>
      <c r="AA157">
        <f t="shared" si="27"/>
        <v>138.55896223887353</v>
      </c>
    </row>
    <row r="158" spans="1:28" x14ac:dyDescent="0.25">
      <c r="A158">
        <v>157</v>
      </c>
      <c r="B158" t="s">
        <v>435</v>
      </c>
      <c r="C158" t="s">
        <v>347</v>
      </c>
      <c r="D158">
        <v>2</v>
      </c>
      <c r="E158" t="s">
        <v>378</v>
      </c>
      <c r="G158" t="s">
        <v>205</v>
      </c>
      <c r="H158">
        <v>9.6999999999999993</v>
      </c>
      <c r="I158" t="s">
        <v>144</v>
      </c>
      <c r="J158">
        <v>0.06</v>
      </c>
      <c r="K158">
        <v>12</v>
      </c>
      <c r="L158">
        <f t="shared" si="24"/>
        <v>8.8677735832879065</v>
      </c>
      <c r="M158" t="s">
        <v>144</v>
      </c>
      <c r="N158" t="s">
        <v>144</v>
      </c>
      <c r="P158">
        <f t="shared" si="25"/>
        <v>0</v>
      </c>
      <c r="Q158" t="s">
        <v>144</v>
      </c>
      <c r="R158" t="s">
        <v>208</v>
      </c>
      <c r="S158" t="s">
        <v>144</v>
      </c>
      <c r="T158">
        <f>154.29+46.57</f>
        <v>200.85999999999999</v>
      </c>
      <c r="U158">
        <v>88.84</v>
      </c>
      <c r="V158">
        <f t="shared" si="26"/>
        <v>14014.960871885018</v>
      </c>
      <c r="W158">
        <f t="shared" ref="W158:W189" si="28">IF(ISNUMBER(S158), S158*V158, V158)</f>
        <v>14014.960871885018</v>
      </c>
      <c r="X158">
        <v>0.49</v>
      </c>
      <c r="Y158">
        <v>0.48</v>
      </c>
      <c r="Z158">
        <v>0.48</v>
      </c>
      <c r="AA158">
        <f t="shared" si="27"/>
        <v>147.79622638813177</v>
      </c>
    </row>
    <row r="159" spans="1:28" x14ac:dyDescent="0.25">
      <c r="A159">
        <v>158</v>
      </c>
      <c r="B159" t="s">
        <v>436</v>
      </c>
      <c r="C159" t="s">
        <v>437</v>
      </c>
      <c r="D159">
        <v>3</v>
      </c>
      <c r="E159" t="s">
        <v>438</v>
      </c>
      <c r="G159" t="s">
        <v>205</v>
      </c>
      <c r="H159">
        <v>7.1</v>
      </c>
      <c r="I159" t="s">
        <v>144</v>
      </c>
      <c r="J159">
        <v>4.3999999999999997E-2</v>
      </c>
      <c r="K159">
        <v>12</v>
      </c>
      <c r="L159">
        <f t="shared" si="24"/>
        <v>4.7510305700238442</v>
      </c>
      <c r="M159" t="s">
        <v>144</v>
      </c>
      <c r="N159" t="s">
        <v>144</v>
      </c>
      <c r="P159">
        <f t="shared" si="25"/>
        <v>0</v>
      </c>
      <c r="Q159" t="s">
        <v>144</v>
      </c>
      <c r="R159" t="s">
        <v>208</v>
      </c>
      <c r="S159" t="s">
        <v>144</v>
      </c>
      <c r="T159">
        <v>125.88</v>
      </c>
      <c r="U159">
        <v>41.69</v>
      </c>
      <c r="V159">
        <f t="shared" si="26"/>
        <v>4121.7202385051469</v>
      </c>
      <c r="W159">
        <f t="shared" si="28"/>
        <v>4121.7202385051469</v>
      </c>
      <c r="X159">
        <v>0.21</v>
      </c>
      <c r="Y159">
        <v>0.18</v>
      </c>
      <c r="Z159">
        <v>0.21</v>
      </c>
      <c r="AA159">
        <f t="shared" si="27"/>
        <v>107.97796750054192</v>
      </c>
      <c r="AB159" t="s">
        <v>439</v>
      </c>
    </row>
    <row r="160" spans="1:28" x14ac:dyDescent="0.25">
      <c r="A160">
        <v>159</v>
      </c>
      <c r="B160" t="s">
        <v>440</v>
      </c>
      <c r="C160" t="s">
        <v>441</v>
      </c>
      <c r="D160">
        <v>3</v>
      </c>
      <c r="E160" t="s">
        <v>442</v>
      </c>
      <c r="G160" t="s">
        <v>205</v>
      </c>
      <c r="H160">
        <v>9.6999999999999993</v>
      </c>
      <c r="I160" t="s">
        <v>144</v>
      </c>
      <c r="J160">
        <v>9.1999999999999998E-2</v>
      </c>
      <c r="K160">
        <v>10</v>
      </c>
      <c r="L160">
        <f t="shared" si="24"/>
        <v>7.38981131940659</v>
      </c>
      <c r="M160" t="s">
        <v>144</v>
      </c>
      <c r="N160" t="s">
        <v>144</v>
      </c>
      <c r="P160">
        <f t="shared" si="25"/>
        <v>0</v>
      </c>
      <c r="Q160" t="s">
        <v>144</v>
      </c>
      <c r="R160" t="s">
        <v>208</v>
      </c>
      <c r="S160" t="s">
        <v>144</v>
      </c>
      <c r="T160">
        <v>91.41</v>
      </c>
      <c r="U160">
        <v>63.9</v>
      </c>
      <c r="V160">
        <f t="shared" si="26"/>
        <v>4587.588426822671</v>
      </c>
      <c r="W160">
        <f t="shared" si="28"/>
        <v>4587.588426822671</v>
      </c>
      <c r="X160">
        <v>0.41</v>
      </c>
      <c r="Y160">
        <v>0.42</v>
      </c>
      <c r="Z160">
        <v>0.43</v>
      </c>
      <c r="AA160">
        <f t="shared" si="27"/>
        <v>80.324036080506417</v>
      </c>
    </row>
    <row r="161" spans="1:28" x14ac:dyDescent="0.25">
      <c r="A161">
        <v>160</v>
      </c>
      <c r="B161" t="s">
        <v>443</v>
      </c>
      <c r="C161" t="s">
        <v>405</v>
      </c>
      <c r="D161">
        <v>3</v>
      </c>
      <c r="E161" t="s">
        <v>311</v>
      </c>
      <c r="G161" t="s">
        <v>205</v>
      </c>
      <c r="H161">
        <v>7.1</v>
      </c>
      <c r="J161">
        <v>0.109</v>
      </c>
      <c r="K161">
        <v>15</v>
      </c>
      <c r="L161">
        <f t="shared" si="24"/>
        <v>5.938788212529805</v>
      </c>
      <c r="P161">
        <f t="shared" si="25"/>
        <v>0</v>
      </c>
      <c r="Q161" t="s">
        <v>144</v>
      </c>
      <c r="R161" t="s">
        <v>208</v>
      </c>
      <c r="S161" t="s">
        <v>144</v>
      </c>
      <c r="T161">
        <v>90.05</v>
      </c>
      <c r="U161">
        <v>53.19</v>
      </c>
      <c r="V161">
        <f t="shared" si="26"/>
        <v>3761.8683144154797</v>
      </c>
      <c r="W161">
        <f t="shared" si="28"/>
        <v>3761.8683144154797</v>
      </c>
      <c r="X161">
        <v>0.48</v>
      </c>
      <c r="Y161">
        <v>0.44</v>
      </c>
      <c r="Z161">
        <v>0.43</v>
      </c>
      <c r="AA161">
        <f t="shared" si="27"/>
        <v>54.484295527796377</v>
      </c>
      <c r="AB161" t="s">
        <v>1137</v>
      </c>
    </row>
    <row r="162" spans="1:28" x14ac:dyDescent="0.25">
      <c r="A162">
        <v>161</v>
      </c>
      <c r="B162" t="s">
        <v>444</v>
      </c>
      <c r="C162" t="s">
        <v>405</v>
      </c>
      <c r="D162">
        <v>2</v>
      </c>
      <c r="E162" t="s">
        <v>311</v>
      </c>
      <c r="G162" t="s">
        <v>205</v>
      </c>
      <c r="H162">
        <v>7.1</v>
      </c>
      <c r="J162">
        <v>6.2E-2</v>
      </c>
      <c r="K162">
        <v>12</v>
      </c>
      <c r="L162">
        <f t="shared" si="24"/>
        <v>4.7510305700238442</v>
      </c>
      <c r="P162">
        <f t="shared" si="25"/>
        <v>0</v>
      </c>
      <c r="Q162" t="s">
        <v>144</v>
      </c>
      <c r="R162" t="s">
        <v>208</v>
      </c>
      <c r="S162" t="s">
        <v>144</v>
      </c>
      <c r="T162">
        <v>72.83</v>
      </c>
      <c r="U162">
        <v>37.020000000000003</v>
      </c>
      <c r="V162">
        <f t="shared" si="26"/>
        <v>2117.5642958535427</v>
      </c>
      <c r="W162">
        <f t="shared" si="28"/>
        <v>2117.5642958535427</v>
      </c>
      <c r="X162">
        <v>0.42</v>
      </c>
      <c r="Y162">
        <v>0.4</v>
      </c>
      <c r="Z162">
        <v>0.39</v>
      </c>
      <c r="AA162">
        <f t="shared" si="27"/>
        <v>76.629525322965236</v>
      </c>
    </row>
    <row r="163" spans="1:28" x14ac:dyDescent="0.25">
      <c r="A163">
        <v>162</v>
      </c>
      <c r="B163" t="s">
        <v>445</v>
      </c>
      <c r="C163" t="s">
        <v>372</v>
      </c>
      <c r="D163">
        <v>2</v>
      </c>
      <c r="E163" t="s">
        <v>384</v>
      </c>
      <c r="G163" t="s">
        <v>205</v>
      </c>
      <c r="H163">
        <v>9.6999999999999993</v>
      </c>
      <c r="J163">
        <v>9.4E-2</v>
      </c>
      <c r="K163">
        <v>14</v>
      </c>
      <c r="L163">
        <f t="shared" si="24"/>
        <v>10.345735847169225</v>
      </c>
      <c r="P163">
        <f t="shared" si="25"/>
        <v>0</v>
      </c>
      <c r="Q163" t="s">
        <v>144</v>
      </c>
      <c r="R163" t="s">
        <v>208</v>
      </c>
      <c r="S163" t="s">
        <v>144</v>
      </c>
      <c r="T163">
        <v>57.8</v>
      </c>
      <c r="U163">
        <v>23.06</v>
      </c>
      <c r="V163">
        <f t="shared" si="26"/>
        <v>1046.83207925123</v>
      </c>
      <c r="W163">
        <f t="shared" si="28"/>
        <v>1046.83207925123</v>
      </c>
      <c r="X163">
        <v>0.23</v>
      </c>
      <c r="Y163">
        <v>0.23</v>
      </c>
      <c r="Z163">
        <v>0.23</v>
      </c>
      <c r="AA163">
        <f t="shared" si="27"/>
        <v>110.06101965073644</v>
      </c>
    </row>
    <row r="164" spans="1:28" x14ac:dyDescent="0.25">
      <c r="A164">
        <v>163</v>
      </c>
      <c r="B164" t="s">
        <v>446</v>
      </c>
      <c r="C164" t="s">
        <v>447</v>
      </c>
      <c r="D164">
        <v>1</v>
      </c>
      <c r="E164" t="s">
        <v>448</v>
      </c>
      <c r="G164" t="s">
        <v>205</v>
      </c>
      <c r="H164">
        <v>9.6999999999999993</v>
      </c>
      <c r="J164">
        <v>5.3999999999999999E-2</v>
      </c>
      <c r="K164">
        <v>10</v>
      </c>
      <c r="L164">
        <f t="shared" si="24"/>
        <v>7.38981131940659</v>
      </c>
      <c r="P164">
        <f t="shared" si="25"/>
        <v>0</v>
      </c>
      <c r="Q164" t="s">
        <v>144</v>
      </c>
      <c r="R164" t="s">
        <v>214</v>
      </c>
      <c r="S164">
        <v>11</v>
      </c>
      <c r="T164">
        <f>152.25+33.35</f>
        <v>185.6</v>
      </c>
      <c r="U164">
        <v>45.65</v>
      </c>
      <c r="V164">
        <f t="shared" si="26"/>
        <v>6654.3958951277555</v>
      </c>
      <c r="W164">
        <f t="shared" si="28"/>
        <v>73198.354846405316</v>
      </c>
      <c r="X164">
        <v>0.19</v>
      </c>
      <c r="Y164">
        <v>0.18</v>
      </c>
      <c r="Z164">
        <v>0.19</v>
      </c>
      <c r="AA164">
        <f t="shared" si="27"/>
        <v>136.84835776678869</v>
      </c>
    </row>
    <row r="165" spans="1:28" x14ac:dyDescent="0.25">
      <c r="A165">
        <v>164</v>
      </c>
      <c r="B165" t="s">
        <v>449</v>
      </c>
      <c r="C165" t="s">
        <v>360</v>
      </c>
      <c r="D165">
        <v>2</v>
      </c>
      <c r="E165" t="s">
        <v>374</v>
      </c>
      <c r="G165" t="s">
        <v>205</v>
      </c>
      <c r="H165">
        <v>9.6999999999999993</v>
      </c>
      <c r="J165">
        <v>0.1222</v>
      </c>
      <c r="K165">
        <v>14</v>
      </c>
      <c r="L165">
        <f t="shared" si="24"/>
        <v>10.345735847169225</v>
      </c>
      <c r="P165">
        <f t="shared" si="25"/>
        <v>0</v>
      </c>
      <c r="Q165" t="s">
        <v>144</v>
      </c>
      <c r="R165" t="s">
        <v>208</v>
      </c>
      <c r="S165" t="s">
        <v>144</v>
      </c>
      <c r="T165">
        <v>129.91</v>
      </c>
      <c r="U165">
        <v>84.48</v>
      </c>
      <c r="V165">
        <f t="shared" si="26"/>
        <v>8619.5852503801925</v>
      </c>
      <c r="W165">
        <f t="shared" si="28"/>
        <v>8619.5852503801925</v>
      </c>
      <c r="X165">
        <v>0.62</v>
      </c>
      <c r="Y165">
        <v>0.69</v>
      </c>
      <c r="Z165">
        <v>0.67</v>
      </c>
      <c r="AA165">
        <f t="shared" si="27"/>
        <v>84.662322808258793</v>
      </c>
    </row>
    <row r="166" spans="1:28" x14ac:dyDescent="0.25">
      <c r="A166">
        <v>165</v>
      </c>
      <c r="B166" t="s">
        <v>450</v>
      </c>
      <c r="C166" t="s">
        <v>451</v>
      </c>
      <c r="D166">
        <v>1</v>
      </c>
      <c r="E166" t="s">
        <v>452</v>
      </c>
      <c r="G166" t="s">
        <v>205</v>
      </c>
      <c r="H166">
        <v>9.6999999999999993</v>
      </c>
      <c r="J166">
        <v>0.115</v>
      </c>
      <c r="K166">
        <v>12</v>
      </c>
      <c r="L166">
        <f t="shared" si="24"/>
        <v>8.8677735832879065</v>
      </c>
      <c r="P166">
        <f t="shared" si="25"/>
        <v>0</v>
      </c>
      <c r="Q166" t="s">
        <v>144</v>
      </c>
      <c r="R166" t="s">
        <v>208</v>
      </c>
      <c r="S166" t="s">
        <v>144</v>
      </c>
      <c r="T166">
        <v>93.4</v>
      </c>
      <c r="U166">
        <v>42.9</v>
      </c>
      <c r="V166">
        <f t="shared" si="26"/>
        <v>3146.9804849906996</v>
      </c>
      <c r="W166">
        <f t="shared" si="28"/>
        <v>3146.9804849906996</v>
      </c>
      <c r="X166">
        <v>0.37</v>
      </c>
      <c r="Y166">
        <v>0.38</v>
      </c>
      <c r="Z166">
        <v>0.39</v>
      </c>
      <c r="AA166">
        <f t="shared" si="27"/>
        <v>77.111074637286137</v>
      </c>
    </row>
    <row r="167" spans="1:28" x14ac:dyDescent="0.25">
      <c r="A167">
        <v>166</v>
      </c>
      <c r="B167" t="s">
        <v>453</v>
      </c>
      <c r="C167" t="s">
        <v>432</v>
      </c>
      <c r="D167">
        <v>1</v>
      </c>
      <c r="E167" t="s">
        <v>433</v>
      </c>
      <c r="G167" t="s">
        <v>205</v>
      </c>
      <c r="H167">
        <v>9.6999999999999993</v>
      </c>
      <c r="J167">
        <v>0.125</v>
      </c>
      <c r="K167">
        <v>16</v>
      </c>
      <c r="L167">
        <f t="shared" si="24"/>
        <v>11.823698111050543</v>
      </c>
      <c r="P167">
        <f t="shared" si="25"/>
        <v>0</v>
      </c>
      <c r="Q167" t="s">
        <v>144</v>
      </c>
      <c r="R167" t="s">
        <v>214</v>
      </c>
      <c r="S167">
        <v>13</v>
      </c>
      <c r="T167">
        <v>73.400000000000006</v>
      </c>
      <c r="U167">
        <v>20.97</v>
      </c>
      <c r="V167">
        <f t="shared" si="26"/>
        <v>1208.8832823050257</v>
      </c>
      <c r="W167">
        <f t="shared" si="28"/>
        <v>15715.482669965333</v>
      </c>
      <c r="X167">
        <v>0.27</v>
      </c>
      <c r="Y167">
        <v>0.26</v>
      </c>
      <c r="Z167">
        <v>0.26</v>
      </c>
      <c r="AA167">
        <f t="shared" si="27"/>
        <v>94.589584888404346</v>
      </c>
    </row>
    <row r="168" spans="1:28" x14ac:dyDescent="0.25">
      <c r="A168">
        <v>167</v>
      </c>
      <c r="B168" t="s">
        <v>454</v>
      </c>
      <c r="C168" t="s">
        <v>388</v>
      </c>
      <c r="D168">
        <v>4</v>
      </c>
      <c r="E168" t="s">
        <v>198</v>
      </c>
      <c r="G168" t="s">
        <v>205</v>
      </c>
      <c r="H168">
        <v>7.1</v>
      </c>
      <c r="J168">
        <v>0.104</v>
      </c>
      <c r="K168">
        <v>20</v>
      </c>
      <c r="L168">
        <f t="shared" si="24"/>
        <v>7.9183842833730731</v>
      </c>
      <c r="P168">
        <f t="shared" si="25"/>
        <v>0</v>
      </c>
      <c r="R168" t="s">
        <v>214</v>
      </c>
      <c r="S168">
        <v>3</v>
      </c>
      <c r="T168">
        <v>84.7</v>
      </c>
      <c r="U168">
        <v>71.650000000000006</v>
      </c>
      <c r="V168">
        <f t="shared" si="26"/>
        <v>4766.3890311090818</v>
      </c>
      <c r="W168">
        <f t="shared" si="28"/>
        <v>14299.167093327245</v>
      </c>
      <c r="X168">
        <v>0.55000000000000004</v>
      </c>
      <c r="Y168">
        <v>0.54</v>
      </c>
      <c r="Z168">
        <v>0.45</v>
      </c>
      <c r="AA168">
        <f t="shared" si="27"/>
        <v>76.138310417048785</v>
      </c>
    </row>
    <row r="169" spans="1:28" x14ac:dyDescent="0.25">
      <c r="A169">
        <v>168</v>
      </c>
      <c r="B169" t="s">
        <v>463</v>
      </c>
      <c r="C169" t="s">
        <v>347</v>
      </c>
      <c r="D169">
        <v>1</v>
      </c>
      <c r="E169" t="s">
        <v>378</v>
      </c>
      <c r="G169" t="s">
        <v>205</v>
      </c>
      <c r="H169">
        <v>9.6999999999999993</v>
      </c>
      <c r="J169">
        <v>7.1999999999999995E-2</v>
      </c>
      <c r="K169">
        <v>11</v>
      </c>
      <c r="L169">
        <f>PI()*((H169/2)^2)/100 * K169</f>
        <v>8.1287924513472483</v>
      </c>
      <c r="P169">
        <f>O169 / (300 * 300) * 2.54</f>
        <v>0</v>
      </c>
      <c r="R169" t="s">
        <v>208</v>
      </c>
      <c r="S169" t="s">
        <v>144</v>
      </c>
      <c r="T169">
        <f>33.58+153</f>
        <v>186.57999999999998</v>
      </c>
      <c r="U169">
        <v>67.27</v>
      </c>
      <c r="V169">
        <f>(((T169/2) * (U169/2)) * PI())</f>
        <v>9857.7181740068318</v>
      </c>
      <c r="W169">
        <f>IF(ISNUMBER(S169), S169*V169, V169)</f>
        <v>9857.7181740068318</v>
      </c>
      <c r="X169">
        <v>0.52</v>
      </c>
      <c r="Y169">
        <v>0.48</v>
      </c>
      <c r="Z169">
        <v>0.51</v>
      </c>
      <c r="AA169">
        <f>L169/J169</f>
        <v>112.89989515760068</v>
      </c>
      <c r="AB169" t="s">
        <v>1138</v>
      </c>
    </row>
    <row r="170" spans="1:28" x14ac:dyDescent="0.25">
      <c r="A170">
        <v>169</v>
      </c>
      <c r="B170" t="s">
        <v>456</v>
      </c>
      <c r="C170" t="s">
        <v>392</v>
      </c>
      <c r="D170">
        <v>4</v>
      </c>
      <c r="E170" t="s">
        <v>235</v>
      </c>
      <c r="G170" t="s">
        <v>205</v>
      </c>
      <c r="H170">
        <v>7.1</v>
      </c>
      <c r="J170">
        <v>0.10299999999999999</v>
      </c>
      <c r="K170">
        <v>17</v>
      </c>
      <c r="L170">
        <f t="shared" si="24"/>
        <v>6.7306266408671123</v>
      </c>
      <c r="P170">
        <f t="shared" si="25"/>
        <v>0</v>
      </c>
      <c r="R170" t="s">
        <v>208</v>
      </c>
      <c r="S170" t="s">
        <v>144</v>
      </c>
      <c r="T170">
        <v>38.49</v>
      </c>
      <c r="U170">
        <v>19.78</v>
      </c>
      <c r="V170">
        <f t="shared" si="26"/>
        <v>597.94891161533883</v>
      </c>
      <c r="W170">
        <f t="shared" si="28"/>
        <v>597.94891161533883</v>
      </c>
      <c r="X170">
        <v>0.24</v>
      </c>
      <c r="Y170">
        <v>0.32</v>
      </c>
      <c r="Z170">
        <v>0.19</v>
      </c>
      <c r="AA170">
        <f t="shared" si="27"/>
        <v>65.345889717156439</v>
      </c>
    </row>
    <row r="171" spans="1:28" x14ac:dyDescent="0.25">
      <c r="A171">
        <v>170</v>
      </c>
      <c r="B171" t="s">
        <v>443</v>
      </c>
      <c r="C171" t="s">
        <v>405</v>
      </c>
      <c r="D171">
        <v>3</v>
      </c>
      <c r="E171" t="s">
        <v>311</v>
      </c>
      <c r="G171" t="s">
        <v>205</v>
      </c>
      <c r="H171">
        <v>7.1</v>
      </c>
      <c r="J171">
        <v>8.2000000000000003E-2</v>
      </c>
      <c r="K171">
        <v>15</v>
      </c>
      <c r="L171">
        <f t="shared" si="24"/>
        <v>5.938788212529805</v>
      </c>
      <c r="P171">
        <f t="shared" si="25"/>
        <v>0</v>
      </c>
      <c r="R171" t="s">
        <v>208</v>
      </c>
      <c r="S171" t="s">
        <v>144</v>
      </c>
      <c r="T171">
        <v>72.22</v>
      </c>
      <c r="U171">
        <v>38.28</v>
      </c>
      <c r="V171">
        <f t="shared" si="26"/>
        <v>2171.2973112023792</v>
      </c>
      <c r="W171">
        <f t="shared" si="28"/>
        <v>2171.2973112023792</v>
      </c>
      <c r="X171">
        <v>0.56000000000000005</v>
      </c>
      <c r="Y171">
        <v>0.56000000000000005</v>
      </c>
      <c r="Z171">
        <v>0.55000000000000004</v>
      </c>
      <c r="AA171">
        <f t="shared" si="27"/>
        <v>72.424246494265915</v>
      </c>
      <c r="AB171" t="s">
        <v>1137</v>
      </c>
    </row>
    <row r="172" spans="1:28" x14ac:dyDescent="0.25">
      <c r="A172">
        <v>171</v>
      </c>
      <c r="B172" t="s">
        <v>457</v>
      </c>
      <c r="C172" t="s">
        <v>405</v>
      </c>
      <c r="D172">
        <v>4</v>
      </c>
      <c r="E172" t="s">
        <v>311</v>
      </c>
      <c r="G172" t="s">
        <v>205</v>
      </c>
      <c r="H172">
        <v>7.1</v>
      </c>
      <c r="J172">
        <v>9.6000000000000002E-2</v>
      </c>
      <c r="K172">
        <v>13</v>
      </c>
      <c r="L172">
        <f t="shared" si="24"/>
        <v>5.1469497841924978</v>
      </c>
      <c r="P172">
        <f t="shared" si="25"/>
        <v>0</v>
      </c>
      <c r="R172" t="s">
        <v>208</v>
      </c>
      <c r="S172" t="s">
        <v>144</v>
      </c>
      <c r="T172">
        <v>67.650000000000006</v>
      </c>
      <c r="U172">
        <v>49.94</v>
      </c>
      <c r="V172">
        <f t="shared" si="26"/>
        <v>2653.4213565466389</v>
      </c>
      <c r="W172">
        <f t="shared" si="28"/>
        <v>2653.4213565466389</v>
      </c>
      <c r="X172">
        <v>0.56000000000000005</v>
      </c>
      <c r="Y172">
        <v>0.45</v>
      </c>
      <c r="Z172">
        <v>0.55000000000000004</v>
      </c>
      <c r="AA172">
        <f t="shared" si="27"/>
        <v>53.614060252005181</v>
      </c>
    </row>
    <row r="173" spans="1:28" x14ac:dyDescent="0.25">
      <c r="A173">
        <v>172</v>
      </c>
      <c r="B173" t="s">
        <v>458</v>
      </c>
      <c r="C173" t="s">
        <v>371</v>
      </c>
      <c r="D173">
        <v>5</v>
      </c>
      <c r="E173" t="s">
        <v>270</v>
      </c>
      <c r="G173" t="s">
        <v>205</v>
      </c>
      <c r="H173">
        <v>7.1</v>
      </c>
      <c r="J173">
        <v>0.09</v>
      </c>
      <c r="K173">
        <v>12</v>
      </c>
      <c r="L173">
        <f t="shared" si="24"/>
        <v>4.7510305700238442</v>
      </c>
      <c r="P173">
        <f t="shared" si="25"/>
        <v>0</v>
      </c>
      <c r="R173" t="s">
        <v>208</v>
      </c>
      <c r="S173" t="s">
        <v>144</v>
      </c>
      <c r="T173">
        <v>41.6</v>
      </c>
      <c r="U173">
        <v>8.17</v>
      </c>
      <c r="V173">
        <f t="shared" si="26"/>
        <v>266.93484459021755</v>
      </c>
      <c r="W173">
        <f t="shared" si="28"/>
        <v>266.93484459021755</v>
      </c>
      <c r="X173">
        <v>0.27</v>
      </c>
      <c r="Y173">
        <v>0.28999999999999998</v>
      </c>
      <c r="Z173">
        <v>0.28000000000000003</v>
      </c>
      <c r="AA173">
        <f t="shared" si="27"/>
        <v>52.789228555820493</v>
      </c>
    </row>
    <row r="174" spans="1:28" x14ac:dyDescent="0.25">
      <c r="A174">
        <v>173</v>
      </c>
      <c r="B174" t="s">
        <v>459</v>
      </c>
      <c r="C174" t="s">
        <v>402</v>
      </c>
      <c r="D174">
        <v>3</v>
      </c>
      <c r="E174" t="s">
        <v>294</v>
      </c>
      <c r="G174" t="s">
        <v>205</v>
      </c>
      <c r="H174">
        <v>7.1</v>
      </c>
      <c r="J174">
        <v>8.5999999999999993E-2</v>
      </c>
      <c r="K174">
        <v>18</v>
      </c>
      <c r="L174">
        <f t="shared" si="24"/>
        <v>7.1265458550357659</v>
      </c>
      <c r="P174">
        <f t="shared" si="25"/>
        <v>0</v>
      </c>
      <c r="R174" t="s">
        <v>208</v>
      </c>
      <c r="S174" t="s">
        <v>144</v>
      </c>
      <c r="T174">
        <v>33.700000000000003</v>
      </c>
      <c r="U174">
        <v>19.28</v>
      </c>
      <c r="V174">
        <f t="shared" si="26"/>
        <v>510.30146109320452</v>
      </c>
      <c r="W174">
        <f t="shared" si="28"/>
        <v>510.30146109320452</v>
      </c>
      <c r="X174">
        <v>0.25</v>
      </c>
      <c r="Y174">
        <v>0.22</v>
      </c>
      <c r="Z174">
        <v>0.22</v>
      </c>
      <c r="AA174">
        <f t="shared" si="27"/>
        <v>82.866812267857753</v>
      </c>
    </row>
    <row r="175" spans="1:28" x14ac:dyDescent="0.25">
      <c r="A175">
        <v>174</v>
      </c>
      <c r="B175" t="s">
        <v>460</v>
      </c>
      <c r="C175" t="s">
        <v>437</v>
      </c>
      <c r="D175">
        <v>4</v>
      </c>
      <c r="E175" t="s">
        <v>438</v>
      </c>
      <c r="G175" t="s">
        <v>205</v>
      </c>
      <c r="H175">
        <v>9.6999999999999993</v>
      </c>
      <c r="J175">
        <v>9.0999999999999998E-2</v>
      </c>
      <c r="K175">
        <v>17</v>
      </c>
      <c r="L175">
        <f t="shared" si="24"/>
        <v>12.562679242991202</v>
      </c>
      <c r="P175">
        <f t="shared" si="25"/>
        <v>0</v>
      </c>
      <c r="R175" t="s">
        <v>208</v>
      </c>
      <c r="S175" t="s">
        <v>144</v>
      </c>
      <c r="T175">
        <f>153+70.49</f>
        <v>223.49</v>
      </c>
      <c r="U175">
        <v>71.95</v>
      </c>
      <c r="V175">
        <f t="shared" si="26"/>
        <v>12629.285326937208</v>
      </c>
      <c r="W175">
        <f t="shared" si="28"/>
        <v>12629.285326937208</v>
      </c>
      <c r="X175">
        <v>0.2</v>
      </c>
      <c r="Y175">
        <v>0.21</v>
      </c>
      <c r="Z175">
        <v>0.22</v>
      </c>
      <c r="AA175">
        <f t="shared" si="27"/>
        <v>138.05142025265056</v>
      </c>
    </row>
    <row r="176" spans="1:28" x14ac:dyDescent="0.25">
      <c r="A176">
        <v>175</v>
      </c>
      <c r="B176" t="s">
        <v>461</v>
      </c>
      <c r="C176" t="s">
        <v>396</v>
      </c>
      <c r="D176">
        <v>3</v>
      </c>
      <c r="E176" t="s">
        <v>245</v>
      </c>
      <c r="G176" t="s">
        <v>205</v>
      </c>
      <c r="H176">
        <v>7.1</v>
      </c>
      <c r="J176">
        <v>5.8000000000000003E-2</v>
      </c>
      <c r="K176">
        <v>14</v>
      </c>
      <c r="L176">
        <f t="shared" si="24"/>
        <v>5.5428689983611514</v>
      </c>
      <c r="P176">
        <f t="shared" si="25"/>
        <v>0</v>
      </c>
      <c r="R176" t="s">
        <v>214</v>
      </c>
      <c r="S176">
        <v>7</v>
      </c>
      <c r="T176">
        <v>96.42</v>
      </c>
      <c r="U176">
        <v>26.32</v>
      </c>
      <c r="V176">
        <f t="shared" si="26"/>
        <v>1993.1633528770615</v>
      </c>
      <c r="W176">
        <f t="shared" si="28"/>
        <v>13952.14347013943</v>
      </c>
      <c r="X176">
        <v>0.35</v>
      </c>
      <c r="Y176">
        <v>0.28999999999999998</v>
      </c>
      <c r="Z176">
        <v>0.28999999999999998</v>
      </c>
      <c r="AA176">
        <f t="shared" si="27"/>
        <v>95.566706868295711</v>
      </c>
    </row>
    <row r="177" spans="1:28" x14ac:dyDescent="0.25">
      <c r="A177">
        <v>176</v>
      </c>
      <c r="B177" t="s">
        <v>306</v>
      </c>
      <c r="C177" t="s">
        <v>371</v>
      </c>
      <c r="D177">
        <v>4</v>
      </c>
      <c r="E177" t="s">
        <v>270</v>
      </c>
      <c r="G177" t="s">
        <v>205</v>
      </c>
      <c r="H177">
        <v>7.1</v>
      </c>
      <c r="J177">
        <v>7.6999999999999999E-2</v>
      </c>
      <c r="K177">
        <v>13</v>
      </c>
      <c r="L177">
        <f t="shared" si="24"/>
        <v>5.1469497841924978</v>
      </c>
      <c r="P177">
        <f t="shared" si="25"/>
        <v>0</v>
      </c>
      <c r="R177" t="s">
        <v>208</v>
      </c>
      <c r="S177" t="s">
        <v>144</v>
      </c>
      <c r="T177">
        <v>19.190000000000001</v>
      </c>
      <c r="U177">
        <v>8.6300000000000008</v>
      </c>
      <c r="V177">
        <f t="shared" si="26"/>
        <v>130.06955422080242</v>
      </c>
      <c r="W177">
        <f t="shared" si="28"/>
        <v>130.06955422080242</v>
      </c>
      <c r="X177">
        <v>0.19</v>
      </c>
      <c r="Y177">
        <v>0.21</v>
      </c>
      <c r="Z177">
        <v>0.2</v>
      </c>
      <c r="AA177">
        <f t="shared" si="27"/>
        <v>66.843503690811659</v>
      </c>
    </row>
    <row r="178" spans="1:28" x14ac:dyDescent="0.25">
      <c r="A178">
        <v>177</v>
      </c>
      <c r="B178" t="s">
        <v>462</v>
      </c>
      <c r="C178" t="s">
        <v>358</v>
      </c>
      <c r="D178">
        <v>2</v>
      </c>
      <c r="E178" t="s">
        <v>363</v>
      </c>
      <c r="G178" t="s">
        <v>205</v>
      </c>
      <c r="H178">
        <v>9.6999999999999993</v>
      </c>
      <c r="J178">
        <v>0.156</v>
      </c>
      <c r="K178">
        <v>17</v>
      </c>
      <c r="L178">
        <f t="shared" si="24"/>
        <v>12.562679242991202</v>
      </c>
      <c r="P178">
        <f t="shared" si="25"/>
        <v>0</v>
      </c>
      <c r="R178" t="s">
        <v>208</v>
      </c>
      <c r="S178" t="s">
        <v>144</v>
      </c>
      <c r="T178">
        <f>40.36+153.97</f>
        <v>194.32999999999998</v>
      </c>
      <c r="U178">
        <v>49.93</v>
      </c>
      <c r="V178">
        <f t="shared" si="26"/>
        <v>7620.6374048947946</v>
      </c>
      <c r="W178">
        <f t="shared" si="28"/>
        <v>7620.6374048947946</v>
      </c>
      <c r="X178">
        <v>0.36</v>
      </c>
      <c r="Y178">
        <v>0.37</v>
      </c>
      <c r="Z178">
        <v>0.37</v>
      </c>
      <c r="AA178">
        <f t="shared" si="27"/>
        <v>80.529995147379495</v>
      </c>
    </row>
    <row r="179" spans="1:28" x14ac:dyDescent="0.25">
      <c r="A179">
        <v>178</v>
      </c>
      <c r="B179" t="s">
        <v>455</v>
      </c>
      <c r="C179" t="s">
        <v>347</v>
      </c>
      <c r="D179">
        <v>4</v>
      </c>
      <c r="E179" t="s">
        <v>378</v>
      </c>
      <c r="G179" t="s">
        <v>205</v>
      </c>
      <c r="H179">
        <v>9.6999999999999993</v>
      </c>
      <c r="J179">
        <v>0.09</v>
      </c>
      <c r="K179">
        <v>15</v>
      </c>
      <c r="L179">
        <f t="shared" si="24"/>
        <v>11.084716979109885</v>
      </c>
      <c r="AA179">
        <f t="shared" si="27"/>
        <v>123.16352199010984</v>
      </c>
    </row>
    <row r="180" spans="1:28" x14ac:dyDescent="0.25">
      <c r="A180">
        <v>179</v>
      </c>
      <c r="B180" t="s">
        <v>464</v>
      </c>
      <c r="C180" t="s">
        <v>358</v>
      </c>
      <c r="D180">
        <v>3</v>
      </c>
      <c r="E180" t="s">
        <v>363</v>
      </c>
      <c r="G180" t="s">
        <v>205</v>
      </c>
      <c r="H180">
        <v>9.6999999999999993</v>
      </c>
      <c r="J180">
        <v>9.1999999999999998E-2</v>
      </c>
      <c r="K180">
        <v>10</v>
      </c>
      <c r="L180">
        <f t="shared" si="24"/>
        <v>7.38981131940659</v>
      </c>
      <c r="P180">
        <f t="shared" si="25"/>
        <v>0</v>
      </c>
      <c r="R180" t="s">
        <v>208</v>
      </c>
      <c r="S180" t="s">
        <v>144</v>
      </c>
      <c r="T180">
        <v>129.87</v>
      </c>
      <c r="U180">
        <v>40.85</v>
      </c>
      <c r="V180">
        <f t="shared" si="26"/>
        <v>4166.6860897754268</v>
      </c>
      <c r="W180">
        <f t="shared" si="28"/>
        <v>4166.6860897754268</v>
      </c>
      <c r="X180">
        <v>0.37</v>
      </c>
      <c r="Y180">
        <v>0.39</v>
      </c>
      <c r="Z180">
        <v>0.38</v>
      </c>
      <c r="AA180">
        <f t="shared" si="27"/>
        <v>80.324036080506417</v>
      </c>
    </row>
    <row r="181" spans="1:28" x14ac:dyDescent="0.25">
      <c r="A181">
        <v>180</v>
      </c>
      <c r="B181" t="s">
        <v>465</v>
      </c>
      <c r="C181" t="s">
        <v>360</v>
      </c>
      <c r="D181">
        <v>4</v>
      </c>
      <c r="E181" t="s">
        <v>374</v>
      </c>
      <c r="G181" t="s">
        <v>205</v>
      </c>
      <c r="H181">
        <v>9.6999999999999993</v>
      </c>
      <c r="J181">
        <v>0.106</v>
      </c>
      <c r="K181">
        <v>12</v>
      </c>
      <c r="L181">
        <f t="shared" si="24"/>
        <v>8.8677735832879065</v>
      </c>
      <c r="P181">
        <f t="shared" si="25"/>
        <v>0</v>
      </c>
      <c r="R181" t="s">
        <v>208</v>
      </c>
      <c r="S181" t="s">
        <v>144</v>
      </c>
      <c r="T181">
        <v>112.91</v>
      </c>
      <c r="U181">
        <v>63.91</v>
      </c>
      <c r="V181">
        <f t="shared" si="26"/>
        <v>5667.4944866725482</v>
      </c>
      <c r="W181">
        <f t="shared" si="28"/>
        <v>5667.4944866725482</v>
      </c>
      <c r="X181">
        <v>0.49</v>
      </c>
      <c r="Y181">
        <v>0.49</v>
      </c>
      <c r="Z181">
        <v>0.56000000000000005</v>
      </c>
      <c r="AA181">
        <f t="shared" si="27"/>
        <v>83.658241351772702</v>
      </c>
    </row>
    <row r="182" spans="1:28" x14ac:dyDescent="0.25">
      <c r="A182">
        <v>181</v>
      </c>
      <c r="B182" t="s">
        <v>466</v>
      </c>
      <c r="C182" t="s">
        <v>467</v>
      </c>
      <c r="D182">
        <v>2</v>
      </c>
      <c r="E182" t="s">
        <v>468</v>
      </c>
      <c r="G182" t="s">
        <v>205</v>
      </c>
      <c r="H182">
        <v>7.1</v>
      </c>
      <c r="J182">
        <v>7.3999999999999996E-2</v>
      </c>
      <c r="K182">
        <v>14</v>
      </c>
      <c r="L182">
        <f t="shared" si="24"/>
        <v>5.5428689983611514</v>
      </c>
      <c r="P182">
        <f t="shared" si="25"/>
        <v>0</v>
      </c>
      <c r="R182" t="s">
        <v>208</v>
      </c>
      <c r="S182" t="s">
        <v>144</v>
      </c>
      <c r="T182">
        <v>110.9</v>
      </c>
      <c r="U182">
        <v>32.94</v>
      </c>
      <c r="V182">
        <f t="shared" si="26"/>
        <v>2869.0956192063945</v>
      </c>
      <c r="W182">
        <f t="shared" si="28"/>
        <v>2869.0956192063945</v>
      </c>
      <c r="X182">
        <v>0.4</v>
      </c>
      <c r="Y182">
        <v>0.39</v>
      </c>
      <c r="Z182">
        <v>0.33</v>
      </c>
      <c r="AA182">
        <f t="shared" si="27"/>
        <v>74.903635112988539</v>
      </c>
    </row>
    <row r="183" spans="1:28" x14ac:dyDescent="0.25">
      <c r="A183">
        <v>182</v>
      </c>
      <c r="B183" t="s">
        <v>469</v>
      </c>
      <c r="C183" t="s">
        <v>470</v>
      </c>
      <c r="D183">
        <v>1</v>
      </c>
      <c r="E183" t="s">
        <v>471</v>
      </c>
      <c r="G183" t="s">
        <v>205</v>
      </c>
      <c r="H183">
        <v>9.6999999999999993</v>
      </c>
      <c r="J183">
        <v>0.16800000000000001</v>
      </c>
      <c r="K183">
        <v>18</v>
      </c>
      <c r="L183">
        <f t="shared" si="24"/>
        <v>13.301660374931862</v>
      </c>
      <c r="P183">
        <f t="shared" si="25"/>
        <v>0</v>
      </c>
      <c r="R183" t="s">
        <v>208</v>
      </c>
      <c r="S183" t="s">
        <v>144</v>
      </c>
      <c r="T183">
        <v>142.4</v>
      </c>
      <c r="U183">
        <v>69.44</v>
      </c>
      <c r="V183">
        <f t="shared" si="26"/>
        <v>7766.2181016037975</v>
      </c>
      <c r="W183">
        <f t="shared" si="28"/>
        <v>7766.2181016037975</v>
      </c>
      <c r="X183">
        <v>0.3</v>
      </c>
      <c r="Y183">
        <v>0.32</v>
      </c>
      <c r="Z183">
        <v>0.27</v>
      </c>
      <c r="AA183">
        <f t="shared" si="27"/>
        <v>79.17654985078488</v>
      </c>
    </row>
    <row r="184" spans="1:28" x14ac:dyDescent="0.25">
      <c r="A184">
        <v>183</v>
      </c>
      <c r="B184" t="s">
        <v>473</v>
      </c>
      <c r="C184" t="s">
        <v>488</v>
      </c>
      <c r="E184" t="s">
        <v>472</v>
      </c>
      <c r="G184" t="s">
        <v>205</v>
      </c>
      <c r="H184">
        <v>7.1</v>
      </c>
      <c r="J184">
        <v>8.7999999999999995E-2</v>
      </c>
      <c r="K184">
        <v>16</v>
      </c>
      <c r="L184">
        <f t="shared" si="24"/>
        <v>6.3347074266984587</v>
      </c>
      <c r="P184">
        <f t="shared" si="25"/>
        <v>0</v>
      </c>
      <c r="R184" t="s">
        <v>208</v>
      </c>
      <c r="S184" t="s">
        <v>144</v>
      </c>
      <c r="T184">
        <v>115.65</v>
      </c>
      <c r="U184">
        <v>51.11</v>
      </c>
      <c r="V184">
        <f t="shared" si="26"/>
        <v>4642.3876201783205</v>
      </c>
      <c r="W184">
        <f t="shared" si="28"/>
        <v>4642.3876201783205</v>
      </c>
      <c r="X184">
        <v>0.31</v>
      </c>
      <c r="Y184">
        <v>0.26</v>
      </c>
      <c r="Z184">
        <v>0.25</v>
      </c>
      <c r="AA184">
        <f t="shared" si="27"/>
        <v>71.985311667027943</v>
      </c>
    </row>
    <row r="185" spans="1:28" x14ac:dyDescent="0.25">
      <c r="A185">
        <v>184</v>
      </c>
      <c r="B185" t="s">
        <v>486</v>
      </c>
      <c r="C185" t="s">
        <v>485</v>
      </c>
      <c r="D185">
        <v>1</v>
      </c>
      <c r="E185" t="s">
        <v>487</v>
      </c>
      <c r="G185" t="s">
        <v>205</v>
      </c>
      <c r="H185">
        <v>9.6999999999999993</v>
      </c>
      <c r="J185">
        <v>0.17699999999999999</v>
      </c>
      <c r="K185">
        <v>17</v>
      </c>
      <c r="L185">
        <f t="shared" si="24"/>
        <v>12.562679242991202</v>
      </c>
      <c r="P185">
        <f t="shared" si="25"/>
        <v>0</v>
      </c>
      <c r="R185" t="s">
        <v>208</v>
      </c>
      <c r="S185" t="s">
        <v>144</v>
      </c>
      <c r="T185">
        <v>87.3</v>
      </c>
      <c r="U185">
        <v>43.27</v>
      </c>
      <c r="V185">
        <f t="shared" si="26"/>
        <v>2966.8187856871223</v>
      </c>
      <c r="W185">
        <f t="shared" si="28"/>
        <v>2966.8187856871223</v>
      </c>
      <c r="X185">
        <v>0.47</v>
      </c>
      <c r="Y185">
        <v>0.42</v>
      </c>
      <c r="Z185">
        <v>0.44</v>
      </c>
      <c r="AA185">
        <f t="shared" si="27"/>
        <v>70.975588943453118</v>
      </c>
      <c r="AB185" t="s">
        <v>573</v>
      </c>
    </row>
    <row r="186" spans="1:28" x14ac:dyDescent="0.25">
      <c r="A186">
        <v>185</v>
      </c>
      <c r="B186" t="s">
        <v>474</v>
      </c>
      <c r="C186" t="s">
        <v>405</v>
      </c>
      <c r="D186">
        <v>5</v>
      </c>
      <c r="E186" t="s">
        <v>311</v>
      </c>
      <c r="G186" t="s">
        <v>205</v>
      </c>
      <c r="H186">
        <v>7.1</v>
      </c>
      <c r="J186">
        <v>6.8000000000000005E-2</v>
      </c>
      <c r="K186">
        <v>11</v>
      </c>
      <c r="L186">
        <f t="shared" si="24"/>
        <v>4.3551113558551906</v>
      </c>
      <c r="P186">
        <f t="shared" si="25"/>
        <v>0</v>
      </c>
      <c r="R186" t="s">
        <v>208</v>
      </c>
      <c r="S186" t="s">
        <v>144</v>
      </c>
      <c r="T186">
        <v>95.33</v>
      </c>
      <c r="U186">
        <v>44.23</v>
      </c>
      <c r="V186">
        <f t="shared" si="26"/>
        <v>3311.5888659247007</v>
      </c>
      <c r="W186">
        <f t="shared" si="28"/>
        <v>3311.5888659247007</v>
      </c>
      <c r="X186">
        <v>0.53</v>
      </c>
      <c r="Y186">
        <v>0.41</v>
      </c>
      <c r="Z186">
        <v>0.5</v>
      </c>
      <c r="AA186">
        <f t="shared" si="27"/>
        <v>64.04575523316457</v>
      </c>
    </row>
    <row r="187" spans="1:28" x14ac:dyDescent="0.25">
      <c r="A187">
        <v>186</v>
      </c>
      <c r="B187" t="s">
        <v>475</v>
      </c>
      <c r="C187" t="s">
        <v>470</v>
      </c>
      <c r="D187">
        <v>2</v>
      </c>
      <c r="E187" t="s">
        <v>471</v>
      </c>
      <c r="G187" t="s">
        <v>205</v>
      </c>
      <c r="H187">
        <v>7.1</v>
      </c>
      <c r="J187">
        <v>0.13100000000000001</v>
      </c>
      <c r="K187">
        <v>24</v>
      </c>
      <c r="L187">
        <f t="shared" si="24"/>
        <v>9.5020611400476884</v>
      </c>
      <c r="P187">
        <f t="shared" si="25"/>
        <v>0</v>
      </c>
      <c r="R187" t="s">
        <v>208</v>
      </c>
      <c r="S187" t="s">
        <v>144</v>
      </c>
      <c r="T187">
        <v>98</v>
      </c>
      <c r="U187">
        <v>54</v>
      </c>
      <c r="V187">
        <f t="shared" ref="V187:V218" si="29">(((T187/2) * (U187/2)) * PI())</f>
        <v>4156.3270806992959</v>
      </c>
      <c r="W187">
        <f t="shared" si="28"/>
        <v>4156.3270806992959</v>
      </c>
      <c r="X187">
        <v>0.28000000000000003</v>
      </c>
      <c r="Y187">
        <v>0.3</v>
      </c>
      <c r="Z187">
        <v>0.27</v>
      </c>
      <c r="AA187">
        <f t="shared" si="27"/>
        <v>72.534817862959457</v>
      </c>
    </row>
    <row r="188" spans="1:28" x14ac:dyDescent="0.25">
      <c r="A188">
        <v>187</v>
      </c>
      <c r="B188" t="s">
        <v>476</v>
      </c>
      <c r="C188" t="s">
        <v>451</v>
      </c>
      <c r="D188">
        <v>3</v>
      </c>
      <c r="E188" t="s">
        <v>452</v>
      </c>
      <c r="G188" t="s">
        <v>205</v>
      </c>
      <c r="H188">
        <v>9.6999999999999993</v>
      </c>
      <c r="J188">
        <v>0.154</v>
      </c>
      <c r="K188">
        <v>18</v>
      </c>
      <c r="L188">
        <f t="shared" si="24"/>
        <v>13.301660374931862</v>
      </c>
      <c r="P188">
        <f t="shared" si="25"/>
        <v>0</v>
      </c>
      <c r="R188" t="s">
        <v>208</v>
      </c>
      <c r="S188" t="s">
        <v>144</v>
      </c>
      <c r="T188">
        <v>85.4</v>
      </c>
      <c r="U188">
        <v>38.869999999999997</v>
      </c>
      <c r="V188">
        <f t="shared" si="29"/>
        <v>2607.1276326015027</v>
      </c>
      <c r="W188">
        <f t="shared" si="28"/>
        <v>2607.1276326015027</v>
      </c>
      <c r="X188">
        <v>0.31</v>
      </c>
      <c r="Y188">
        <v>0.3</v>
      </c>
      <c r="Z188">
        <v>0.33</v>
      </c>
      <c r="AA188">
        <f t="shared" si="27"/>
        <v>86.37441801903806</v>
      </c>
    </row>
    <row r="189" spans="1:28" x14ac:dyDescent="0.25">
      <c r="A189">
        <v>188</v>
      </c>
      <c r="B189" t="s">
        <v>477</v>
      </c>
      <c r="C189" t="s">
        <v>451</v>
      </c>
      <c r="D189">
        <v>2</v>
      </c>
      <c r="E189" t="s">
        <v>452</v>
      </c>
      <c r="G189" t="s">
        <v>205</v>
      </c>
      <c r="H189">
        <v>7.1</v>
      </c>
      <c r="J189">
        <v>9.5000000000000001E-2</v>
      </c>
      <c r="K189">
        <v>14</v>
      </c>
      <c r="L189">
        <f t="shared" si="24"/>
        <v>5.5428689983611514</v>
      </c>
      <c r="P189">
        <f t="shared" si="25"/>
        <v>0</v>
      </c>
      <c r="R189" t="s">
        <v>208</v>
      </c>
      <c r="S189" t="s">
        <v>144</v>
      </c>
      <c r="T189">
        <v>67.83</v>
      </c>
      <c r="U189">
        <v>24.64</v>
      </c>
      <c r="V189">
        <f t="shared" si="29"/>
        <v>1312.6604549088534</v>
      </c>
      <c r="W189">
        <f t="shared" si="28"/>
        <v>1312.6604549088534</v>
      </c>
      <c r="X189">
        <v>0.37</v>
      </c>
      <c r="Y189">
        <v>0.39</v>
      </c>
      <c r="Z189">
        <v>0.4</v>
      </c>
      <c r="AA189">
        <f t="shared" si="27"/>
        <v>58.345989456433173</v>
      </c>
    </row>
    <row r="190" spans="1:28" x14ac:dyDescent="0.25">
      <c r="A190">
        <v>189</v>
      </c>
      <c r="B190" t="s">
        <v>478</v>
      </c>
      <c r="C190" t="s">
        <v>355</v>
      </c>
      <c r="D190">
        <v>5</v>
      </c>
      <c r="E190" t="s">
        <v>227</v>
      </c>
      <c r="G190" t="s">
        <v>205</v>
      </c>
      <c r="H190">
        <v>9.6999999999999993</v>
      </c>
      <c r="J190">
        <v>0.17</v>
      </c>
      <c r="K190">
        <v>14</v>
      </c>
      <c r="L190">
        <f t="shared" si="24"/>
        <v>10.345735847169225</v>
      </c>
      <c r="P190">
        <f t="shared" si="25"/>
        <v>0</v>
      </c>
      <c r="R190" t="s">
        <v>208</v>
      </c>
      <c r="S190" t="s">
        <v>144</v>
      </c>
      <c r="T190">
        <v>91.69</v>
      </c>
      <c r="U190">
        <v>34.799999999999997</v>
      </c>
      <c r="V190">
        <f t="shared" si="29"/>
        <v>2506.0578845465384</v>
      </c>
      <c r="W190">
        <f t="shared" ref="W190:W221" si="30">IF(ISNUMBER(S190), S190*V190, V190)</f>
        <v>2506.0578845465384</v>
      </c>
      <c r="X190">
        <v>0.44</v>
      </c>
      <c r="Y190">
        <v>0.45</v>
      </c>
      <c r="Z190">
        <v>0.38</v>
      </c>
      <c r="AA190">
        <f t="shared" si="27"/>
        <v>60.857269689230733</v>
      </c>
    </row>
    <row r="191" spans="1:28" x14ac:dyDescent="0.25">
      <c r="A191">
        <v>190</v>
      </c>
      <c r="B191" t="s">
        <v>479</v>
      </c>
      <c r="C191" t="s">
        <v>437</v>
      </c>
      <c r="D191">
        <v>2</v>
      </c>
      <c r="E191" t="s">
        <v>438</v>
      </c>
      <c r="G191" t="s">
        <v>205</v>
      </c>
      <c r="H191">
        <v>9.6999999999999993</v>
      </c>
      <c r="J191">
        <v>9.5000000000000001E-2</v>
      </c>
      <c r="K191">
        <v>15</v>
      </c>
      <c r="L191">
        <f t="shared" si="24"/>
        <v>11.084716979109885</v>
      </c>
      <c r="P191">
        <f t="shared" si="25"/>
        <v>0</v>
      </c>
      <c r="R191" t="s">
        <v>208</v>
      </c>
      <c r="S191" t="s">
        <v>144</v>
      </c>
      <c r="T191">
        <v>133.88999999999999</v>
      </c>
      <c r="U191">
        <v>44.92</v>
      </c>
      <c r="V191">
        <f t="shared" si="29"/>
        <v>4723.6506475700126</v>
      </c>
      <c r="W191">
        <f t="shared" si="30"/>
        <v>4723.6506475700126</v>
      </c>
      <c r="X191">
        <v>0.34</v>
      </c>
      <c r="Y191">
        <v>0.23</v>
      </c>
      <c r="Z191">
        <v>0.2</v>
      </c>
      <c r="AA191">
        <f t="shared" si="27"/>
        <v>116.68123135905142</v>
      </c>
    </row>
    <row r="192" spans="1:28" x14ac:dyDescent="0.25">
      <c r="A192">
        <v>191</v>
      </c>
      <c r="B192" t="s">
        <v>480</v>
      </c>
      <c r="C192" t="s">
        <v>437</v>
      </c>
      <c r="D192">
        <v>1</v>
      </c>
      <c r="E192" t="s">
        <v>438</v>
      </c>
      <c r="G192" t="s">
        <v>205</v>
      </c>
      <c r="H192">
        <v>9.6999999999999993</v>
      </c>
      <c r="J192">
        <v>7.0999999999999994E-2</v>
      </c>
      <c r="K192">
        <v>14</v>
      </c>
      <c r="L192">
        <f t="shared" si="24"/>
        <v>10.345735847169225</v>
      </c>
      <c r="P192">
        <f t="shared" si="25"/>
        <v>0</v>
      </c>
      <c r="R192" t="s">
        <v>208</v>
      </c>
      <c r="S192" t="s">
        <v>144</v>
      </c>
      <c r="T192">
        <v>82.44</v>
      </c>
      <c r="U192">
        <v>37.39</v>
      </c>
      <c r="V192">
        <f t="shared" si="29"/>
        <v>2420.936117438258</v>
      </c>
      <c r="W192">
        <f t="shared" si="30"/>
        <v>2420.936117438258</v>
      </c>
      <c r="X192">
        <v>0.34</v>
      </c>
      <c r="Y192">
        <v>0.24</v>
      </c>
      <c r="Z192">
        <v>0.28000000000000003</v>
      </c>
      <c r="AA192">
        <f t="shared" si="27"/>
        <v>145.71458939674966</v>
      </c>
    </row>
    <row r="193" spans="1:28" x14ac:dyDescent="0.25">
      <c r="A193">
        <v>192</v>
      </c>
      <c r="B193" t="s">
        <v>481</v>
      </c>
      <c r="C193" t="s">
        <v>345</v>
      </c>
      <c r="D193">
        <v>5</v>
      </c>
      <c r="E193" t="s">
        <v>376</v>
      </c>
      <c r="G193" t="s">
        <v>205</v>
      </c>
      <c r="H193">
        <v>9.6999999999999993</v>
      </c>
      <c r="J193">
        <v>0.105</v>
      </c>
      <c r="K193">
        <v>10</v>
      </c>
      <c r="L193">
        <f t="shared" si="24"/>
        <v>7.38981131940659</v>
      </c>
      <c r="P193">
        <f t="shared" si="25"/>
        <v>0</v>
      </c>
      <c r="R193" t="s">
        <v>208</v>
      </c>
      <c r="S193" t="s">
        <v>144</v>
      </c>
      <c r="T193">
        <v>119.75</v>
      </c>
      <c r="U193">
        <v>58.59</v>
      </c>
      <c r="V193">
        <f t="shared" si="29"/>
        <v>5510.4732876164153</v>
      </c>
      <c r="W193">
        <f t="shared" si="30"/>
        <v>5510.4732876164153</v>
      </c>
      <c r="X193">
        <v>0.35</v>
      </c>
      <c r="Y193">
        <v>0.39</v>
      </c>
      <c r="Z193">
        <v>0.42</v>
      </c>
      <c r="AA193">
        <f t="shared" si="27"/>
        <v>70.379155422919908</v>
      </c>
    </row>
    <row r="194" spans="1:28" x14ac:dyDescent="0.25">
      <c r="A194">
        <v>193</v>
      </c>
      <c r="B194" t="s">
        <v>482</v>
      </c>
      <c r="C194" t="s">
        <v>361</v>
      </c>
      <c r="D194">
        <v>3</v>
      </c>
      <c r="E194" t="s">
        <v>341</v>
      </c>
      <c r="G194" t="s">
        <v>205</v>
      </c>
      <c r="H194">
        <v>7.1</v>
      </c>
      <c r="J194">
        <v>8.5000000000000006E-2</v>
      </c>
      <c r="K194">
        <v>16</v>
      </c>
      <c r="L194">
        <f t="shared" si="24"/>
        <v>6.3347074266984587</v>
      </c>
      <c r="P194">
        <f t="shared" si="25"/>
        <v>0</v>
      </c>
      <c r="R194" t="s">
        <v>208</v>
      </c>
      <c r="S194" t="s">
        <v>144</v>
      </c>
      <c r="T194">
        <v>129.28</v>
      </c>
      <c r="U194">
        <v>52.58</v>
      </c>
      <c r="V194">
        <f t="shared" si="29"/>
        <v>5338.7773165762828</v>
      </c>
      <c r="W194">
        <f t="shared" si="30"/>
        <v>5338.7773165762828</v>
      </c>
      <c r="X194">
        <v>0.5</v>
      </c>
      <c r="Y194">
        <v>0.43</v>
      </c>
      <c r="Z194">
        <v>0.55000000000000004</v>
      </c>
      <c r="AA194">
        <f t="shared" si="27"/>
        <v>74.525969725864215</v>
      </c>
    </row>
    <row r="195" spans="1:28" x14ac:dyDescent="0.25">
      <c r="A195">
        <v>194</v>
      </c>
      <c r="B195" t="s">
        <v>483</v>
      </c>
      <c r="C195" t="s">
        <v>370</v>
      </c>
      <c r="D195">
        <v>5</v>
      </c>
      <c r="E195" t="s">
        <v>285</v>
      </c>
      <c r="G195" t="s">
        <v>205</v>
      </c>
      <c r="H195">
        <v>9.6999999999999993</v>
      </c>
      <c r="J195">
        <v>0.114</v>
      </c>
      <c r="K195">
        <v>16</v>
      </c>
      <c r="L195">
        <f t="shared" si="24"/>
        <v>11.823698111050543</v>
      </c>
      <c r="P195">
        <f t="shared" si="25"/>
        <v>0</v>
      </c>
      <c r="R195" t="s">
        <v>208</v>
      </c>
      <c r="S195" t="s">
        <v>144</v>
      </c>
      <c r="T195">
        <v>116.63</v>
      </c>
      <c r="U195">
        <v>61.79</v>
      </c>
      <c r="V195">
        <f t="shared" si="29"/>
        <v>5660.0250359793727</v>
      </c>
      <c r="W195">
        <f t="shared" si="30"/>
        <v>5660.0250359793727</v>
      </c>
      <c r="X195">
        <v>0.28999999999999998</v>
      </c>
      <c r="Y195">
        <v>0.34</v>
      </c>
      <c r="Z195">
        <v>0.33</v>
      </c>
      <c r="AA195">
        <f t="shared" si="27"/>
        <v>103.71665009693459</v>
      </c>
    </row>
    <row r="196" spans="1:28" x14ac:dyDescent="0.25">
      <c r="A196">
        <v>195</v>
      </c>
      <c r="B196" t="s">
        <v>484</v>
      </c>
      <c r="C196" t="s">
        <v>467</v>
      </c>
      <c r="D196">
        <v>1</v>
      </c>
      <c r="E196" t="s">
        <v>468</v>
      </c>
      <c r="G196" t="s">
        <v>205</v>
      </c>
      <c r="H196">
        <v>7.1</v>
      </c>
      <c r="J196">
        <v>6.2E-2</v>
      </c>
      <c r="K196">
        <v>14</v>
      </c>
      <c r="L196">
        <f t="shared" si="24"/>
        <v>5.5428689983611514</v>
      </c>
      <c r="P196">
        <f t="shared" si="25"/>
        <v>0</v>
      </c>
      <c r="R196" t="s">
        <v>208</v>
      </c>
      <c r="S196" t="s">
        <v>144</v>
      </c>
      <c r="T196">
        <v>116.55</v>
      </c>
      <c r="U196">
        <v>52.03</v>
      </c>
      <c r="V196">
        <f t="shared" si="29"/>
        <v>4762.7302537648939</v>
      </c>
      <c r="W196">
        <f t="shared" si="30"/>
        <v>4762.7302537648939</v>
      </c>
      <c r="X196">
        <v>0.36</v>
      </c>
      <c r="Y196">
        <v>0.28000000000000003</v>
      </c>
      <c r="Z196">
        <v>0.28999999999999998</v>
      </c>
      <c r="AA196">
        <f t="shared" si="27"/>
        <v>89.401112876792766</v>
      </c>
    </row>
    <row r="197" spans="1:28" x14ac:dyDescent="0.25">
      <c r="A197">
        <v>196</v>
      </c>
      <c r="B197" t="s">
        <v>511</v>
      </c>
      <c r="C197" t="s">
        <v>512</v>
      </c>
      <c r="D197">
        <v>1</v>
      </c>
      <c r="E197" t="s">
        <v>513</v>
      </c>
      <c r="G197" t="s">
        <v>205</v>
      </c>
      <c r="H197">
        <v>9.6999999999999993</v>
      </c>
      <c r="J197">
        <v>7.5999999999999998E-2</v>
      </c>
      <c r="K197">
        <v>10</v>
      </c>
      <c r="L197">
        <f t="shared" si="24"/>
        <v>7.38981131940659</v>
      </c>
      <c r="P197">
        <f t="shared" si="25"/>
        <v>0</v>
      </c>
      <c r="R197" t="s">
        <v>208</v>
      </c>
      <c r="S197" t="s">
        <v>144</v>
      </c>
      <c r="T197">
        <v>120.53</v>
      </c>
      <c r="U197">
        <v>53.56</v>
      </c>
      <c r="V197">
        <f t="shared" si="29"/>
        <v>5070.2060163728102</v>
      </c>
      <c r="W197">
        <f t="shared" si="30"/>
        <v>5070.2060163728102</v>
      </c>
      <c r="X197">
        <v>0.27</v>
      </c>
      <c r="Y197">
        <v>0.28000000000000003</v>
      </c>
      <c r="Z197">
        <v>0.28999999999999998</v>
      </c>
      <c r="AA197">
        <f t="shared" si="27"/>
        <v>97.234359465876182</v>
      </c>
    </row>
    <row r="198" spans="1:28" x14ac:dyDescent="0.25">
      <c r="A198">
        <v>197</v>
      </c>
      <c r="B198" t="s">
        <v>514</v>
      </c>
      <c r="C198" t="s">
        <v>515</v>
      </c>
      <c r="D198">
        <v>2</v>
      </c>
      <c r="E198" t="s">
        <v>516</v>
      </c>
      <c r="G198" t="s">
        <v>205</v>
      </c>
      <c r="H198">
        <v>9.6999999999999993</v>
      </c>
      <c r="J198">
        <v>0.13800000000000001</v>
      </c>
      <c r="K198">
        <v>10</v>
      </c>
      <c r="L198">
        <f t="shared" si="24"/>
        <v>7.38981131940659</v>
      </c>
      <c r="P198">
        <f t="shared" si="25"/>
        <v>0</v>
      </c>
      <c r="R198" t="s">
        <v>208</v>
      </c>
      <c r="S198" t="s">
        <v>144</v>
      </c>
      <c r="T198">
        <v>203.2</v>
      </c>
      <c r="U198">
        <v>88.1</v>
      </c>
      <c r="V198">
        <f t="shared" si="29"/>
        <v>14060.135089288045</v>
      </c>
      <c r="W198">
        <f t="shared" si="30"/>
        <v>14060.135089288045</v>
      </c>
      <c r="X198">
        <v>0.36</v>
      </c>
      <c r="Y198">
        <v>0.4</v>
      </c>
      <c r="Z198">
        <v>0.35</v>
      </c>
      <c r="AA198">
        <f t="shared" si="27"/>
        <v>53.549357387004271</v>
      </c>
    </row>
    <row r="199" spans="1:28" x14ac:dyDescent="0.25">
      <c r="A199">
        <v>198</v>
      </c>
      <c r="B199" t="s">
        <v>517</v>
      </c>
      <c r="C199" t="s">
        <v>518</v>
      </c>
      <c r="D199">
        <v>3</v>
      </c>
      <c r="E199" t="s">
        <v>519</v>
      </c>
      <c r="G199" t="s">
        <v>205</v>
      </c>
      <c r="H199">
        <v>7.1</v>
      </c>
      <c r="J199">
        <v>0.11899999999999999</v>
      </c>
      <c r="K199">
        <v>14</v>
      </c>
      <c r="L199">
        <f t="shared" si="24"/>
        <v>5.5428689983611514</v>
      </c>
      <c r="P199">
        <f t="shared" si="25"/>
        <v>0</v>
      </c>
      <c r="R199" t="s">
        <v>208</v>
      </c>
      <c r="S199" t="s">
        <v>144</v>
      </c>
      <c r="T199">
        <v>86.15</v>
      </c>
      <c r="U199">
        <v>36.4</v>
      </c>
      <c r="V199">
        <f t="shared" si="29"/>
        <v>2462.8986846715225</v>
      </c>
      <c r="W199">
        <f t="shared" si="30"/>
        <v>2462.8986846715225</v>
      </c>
      <c r="X199">
        <v>0.36</v>
      </c>
      <c r="Y199">
        <v>0.35</v>
      </c>
      <c r="Z199">
        <v>0.35</v>
      </c>
      <c r="AA199">
        <f t="shared" si="27"/>
        <v>46.578731078665143</v>
      </c>
    </row>
    <row r="200" spans="1:28" x14ac:dyDescent="0.25">
      <c r="A200">
        <v>199</v>
      </c>
      <c r="B200" t="s">
        <v>520</v>
      </c>
      <c r="C200" t="s">
        <v>518</v>
      </c>
      <c r="D200">
        <v>4</v>
      </c>
      <c r="E200" t="s">
        <v>519</v>
      </c>
      <c r="G200" t="s">
        <v>205</v>
      </c>
      <c r="H200">
        <v>9.6999999999999993</v>
      </c>
      <c r="J200">
        <v>0.14000000000000001</v>
      </c>
      <c r="K200">
        <v>10</v>
      </c>
      <c r="L200">
        <f t="shared" si="24"/>
        <v>7.38981131940659</v>
      </c>
      <c r="P200">
        <f t="shared" si="25"/>
        <v>0</v>
      </c>
      <c r="R200" t="s">
        <v>208</v>
      </c>
      <c r="S200" t="s">
        <v>144</v>
      </c>
      <c r="T200">
        <v>135.63</v>
      </c>
      <c r="U200">
        <v>77.36</v>
      </c>
      <c r="V200">
        <f t="shared" si="29"/>
        <v>8240.6620524674581</v>
      </c>
      <c r="W200">
        <f t="shared" si="30"/>
        <v>8240.6620524674581</v>
      </c>
      <c r="X200">
        <v>0.38</v>
      </c>
      <c r="Y200">
        <v>0.38</v>
      </c>
      <c r="Z200">
        <v>0.39</v>
      </c>
      <c r="AA200">
        <f t="shared" si="27"/>
        <v>52.78436656718992</v>
      </c>
    </row>
    <row r="201" spans="1:28" x14ac:dyDescent="0.25">
      <c r="A201">
        <v>200</v>
      </c>
      <c r="B201" t="s">
        <v>521</v>
      </c>
      <c r="C201" t="s">
        <v>522</v>
      </c>
      <c r="D201">
        <v>1</v>
      </c>
      <c r="E201" t="s">
        <v>523</v>
      </c>
      <c r="G201" t="s">
        <v>205</v>
      </c>
      <c r="H201">
        <v>9.6999999999999993</v>
      </c>
      <c r="J201">
        <v>0.122</v>
      </c>
      <c r="K201">
        <v>13</v>
      </c>
      <c r="L201">
        <f t="shared" si="24"/>
        <v>9.6067547152285666</v>
      </c>
      <c r="P201">
        <f t="shared" si="25"/>
        <v>0</v>
      </c>
      <c r="R201" t="s">
        <v>208</v>
      </c>
      <c r="S201" t="s">
        <v>144</v>
      </c>
      <c r="T201">
        <v>86.6</v>
      </c>
      <c r="U201">
        <v>77.400000000000006</v>
      </c>
      <c r="V201">
        <f t="shared" si="29"/>
        <v>5264.3982255469527</v>
      </c>
      <c r="W201">
        <f t="shared" si="30"/>
        <v>5264.3982255469527</v>
      </c>
      <c r="X201">
        <v>0.48</v>
      </c>
      <c r="Y201">
        <v>0.51</v>
      </c>
      <c r="Z201">
        <v>0.5</v>
      </c>
      <c r="AA201">
        <f t="shared" si="27"/>
        <v>78.743891108430873</v>
      </c>
      <c r="AB201" t="s">
        <v>1050</v>
      </c>
    </row>
    <row r="202" spans="1:28" x14ac:dyDescent="0.25">
      <c r="A202">
        <v>201</v>
      </c>
      <c r="B202" t="s">
        <v>540</v>
      </c>
      <c r="C202" t="s">
        <v>403</v>
      </c>
      <c r="D202">
        <v>5</v>
      </c>
      <c r="E202" t="s">
        <v>297</v>
      </c>
      <c r="G202" t="s">
        <v>205</v>
      </c>
      <c r="H202">
        <v>9.6999999999999993</v>
      </c>
      <c r="J202">
        <v>0.109</v>
      </c>
      <c r="K202">
        <v>10</v>
      </c>
      <c r="L202">
        <f t="shared" si="24"/>
        <v>7.38981131940659</v>
      </c>
      <c r="P202">
        <f t="shared" si="25"/>
        <v>0</v>
      </c>
      <c r="R202" t="s">
        <v>208</v>
      </c>
      <c r="S202" t="s">
        <v>144</v>
      </c>
      <c r="T202">
        <v>130</v>
      </c>
      <c r="U202">
        <v>35.72</v>
      </c>
      <c r="V202">
        <f t="shared" si="29"/>
        <v>3647.0749115523904</v>
      </c>
      <c r="W202">
        <f t="shared" si="30"/>
        <v>3647.0749115523904</v>
      </c>
      <c r="X202">
        <v>0.37</v>
      </c>
      <c r="Y202">
        <v>0.37</v>
      </c>
      <c r="Z202">
        <v>0.43</v>
      </c>
      <c r="AA202">
        <f t="shared" si="27"/>
        <v>67.796434122996232</v>
      </c>
    </row>
    <row r="203" spans="1:28" x14ac:dyDescent="0.25">
      <c r="A203">
        <v>202</v>
      </c>
      <c r="B203" t="s">
        <v>525</v>
      </c>
      <c r="C203" t="s">
        <v>526</v>
      </c>
      <c r="D203">
        <v>1</v>
      </c>
      <c r="E203" t="s">
        <v>527</v>
      </c>
      <c r="G203" t="s">
        <v>205</v>
      </c>
      <c r="H203">
        <v>7.1</v>
      </c>
      <c r="J203">
        <v>4.3999999999999997E-2</v>
      </c>
      <c r="K203">
        <v>13</v>
      </c>
      <c r="L203">
        <f t="shared" si="24"/>
        <v>5.1469497841924978</v>
      </c>
      <c r="P203">
        <f t="shared" si="25"/>
        <v>0</v>
      </c>
      <c r="R203" t="s">
        <v>208</v>
      </c>
      <c r="S203" t="s">
        <v>144</v>
      </c>
      <c r="T203">
        <v>78.52</v>
      </c>
      <c r="U203">
        <v>28.46</v>
      </c>
      <c r="V203">
        <f t="shared" si="29"/>
        <v>1755.1129394624791</v>
      </c>
      <c r="W203">
        <f t="shared" si="30"/>
        <v>1755.1129394624791</v>
      </c>
      <c r="X203">
        <v>0.28999999999999998</v>
      </c>
      <c r="Y203">
        <v>0.26</v>
      </c>
      <c r="Z203">
        <v>0.28000000000000003</v>
      </c>
      <c r="AA203">
        <f t="shared" si="27"/>
        <v>116.97613145892041</v>
      </c>
    </row>
    <row r="204" spans="1:28" x14ac:dyDescent="0.25">
      <c r="A204">
        <v>203</v>
      </c>
      <c r="B204" t="s">
        <v>528</v>
      </c>
      <c r="C204" t="s">
        <v>441</v>
      </c>
      <c r="D204">
        <v>4</v>
      </c>
      <c r="E204" t="s">
        <v>489</v>
      </c>
      <c r="G204" t="s">
        <v>205</v>
      </c>
      <c r="H204">
        <v>9.6999999999999993</v>
      </c>
      <c r="J204">
        <v>7.8E-2</v>
      </c>
      <c r="K204">
        <v>9</v>
      </c>
      <c r="L204">
        <f t="shared" si="24"/>
        <v>6.6508301874659308</v>
      </c>
      <c r="P204">
        <f t="shared" si="25"/>
        <v>0</v>
      </c>
      <c r="R204" t="s">
        <v>208</v>
      </c>
      <c r="S204" t="s">
        <v>144</v>
      </c>
      <c r="T204">
        <v>84.08</v>
      </c>
      <c r="U204">
        <v>70.150000000000006</v>
      </c>
      <c r="V204">
        <f t="shared" si="29"/>
        <v>4632.4448721287908</v>
      </c>
      <c r="W204">
        <f t="shared" si="30"/>
        <v>4632.4448721287908</v>
      </c>
      <c r="X204">
        <v>0.5</v>
      </c>
      <c r="Y204">
        <v>0.51</v>
      </c>
      <c r="Z204">
        <v>0.45</v>
      </c>
      <c r="AA204">
        <f t="shared" si="27"/>
        <v>85.267053685460652</v>
      </c>
    </row>
    <row r="205" spans="1:28" x14ac:dyDescent="0.25">
      <c r="A205">
        <v>204</v>
      </c>
      <c r="B205" t="s">
        <v>529</v>
      </c>
      <c r="C205" t="s">
        <v>372</v>
      </c>
      <c r="D205">
        <v>3</v>
      </c>
      <c r="E205" t="s">
        <v>384</v>
      </c>
      <c r="G205" t="s">
        <v>205</v>
      </c>
      <c r="H205">
        <v>7.1</v>
      </c>
      <c r="J205">
        <v>3.7999999999999999E-2</v>
      </c>
      <c r="K205">
        <v>10</v>
      </c>
      <c r="L205">
        <f t="shared" si="24"/>
        <v>3.9591921416865365</v>
      </c>
      <c r="P205">
        <f t="shared" si="25"/>
        <v>0</v>
      </c>
      <c r="R205" t="s">
        <v>208</v>
      </c>
      <c r="S205" t="s">
        <v>144</v>
      </c>
      <c r="T205">
        <v>53.78</v>
      </c>
      <c r="U205">
        <v>22.18</v>
      </c>
      <c r="V205">
        <f t="shared" si="29"/>
        <v>936.8546593862776</v>
      </c>
      <c r="W205">
        <f t="shared" si="30"/>
        <v>936.8546593862776</v>
      </c>
      <c r="X205">
        <v>0.15</v>
      </c>
      <c r="Y205">
        <v>0.15</v>
      </c>
      <c r="Z205">
        <v>0.18</v>
      </c>
      <c r="AA205">
        <f t="shared" si="27"/>
        <v>104.1892668864878</v>
      </c>
    </row>
    <row r="206" spans="1:28" x14ac:dyDescent="0.25">
      <c r="A206">
        <v>205</v>
      </c>
      <c r="B206" t="s">
        <v>530</v>
      </c>
      <c r="C206" t="s">
        <v>522</v>
      </c>
      <c r="D206">
        <v>3</v>
      </c>
      <c r="E206" t="s">
        <v>523</v>
      </c>
      <c r="G206" t="s">
        <v>205</v>
      </c>
      <c r="H206">
        <v>7.1</v>
      </c>
      <c r="J206">
        <v>5.0999999999999997E-2</v>
      </c>
      <c r="K206">
        <v>14</v>
      </c>
      <c r="L206">
        <f t="shared" si="24"/>
        <v>5.5428689983611514</v>
      </c>
      <c r="P206">
        <f t="shared" si="25"/>
        <v>0</v>
      </c>
      <c r="R206" t="s">
        <v>208</v>
      </c>
      <c r="S206" t="s">
        <v>144</v>
      </c>
      <c r="T206">
        <v>59.92</v>
      </c>
      <c r="U206">
        <v>80.2</v>
      </c>
      <c r="V206">
        <f t="shared" si="29"/>
        <v>3774.2968476521637</v>
      </c>
      <c r="W206">
        <f t="shared" si="30"/>
        <v>3774.2968476521637</v>
      </c>
      <c r="X206">
        <v>0.42</v>
      </c>
      <c r="Y206">
        <v>0.4</v>
      </c>
      <c r="Z206">
        <v>0.49</v>
      </c>
      <c r="AA206">
        <f t="shared" si="27"/>
        <v>108.68370585021866</v>
      </c>
      <c r="AB206" t="s">
        <v>571</v>
      </c>
    </row>
    <row r="207" spans="1:28" x14ac:dyDescent="0.25">
      <c r="A207">
        <v>206</v>
      </c>
      <c r="B207" t="s">
        <v>531</v>
      </c>
      <c r="C207" t="s">
        <v>532</v>
      </c>
      <c r="D207">
        <v>1</v>
      </c>
      <c r="G207" t="s">
        <v>205</v>
      </c>
      <c r="H207">
        <v>7.1</v>
      </c>
      <c r="J207">
        <v>7.9000000000000001E-2</v>
      </c>
      <c r="K207">
        <v>11</v>
      </c>
      <c r="L207">
        <f t="shared" si="24"/>
        <v>4.3551113558551906</v>
      </c>
      <c r="P207">
        <f t="shared" si="25"/>
        <v>0</v>
      </c>
      <c r="R207" t="s">
        <v>208</v>
      </c>
      <c r="S207" t="s">
        <v>144</v>
      </c>
      <c r="T207">
        <v>92.08</v>
      </c>
      <c r="U207">
        <v>70.900000000000006</v>
      </c>
      <c r="V207">
        <f t="shared" si="29"/>
        <v>5127.4499185916666</v>
      </c>
      <c r="W207">
        <f t="shared" si="30"/>
        <v>5127.4499185916666</v>
      </c>
      <c r="X207">
        <v>0.51</v>
      </c>
      <c r="Y207">
        <v>0.54</v>
      </c>
      <c r="Z207">
        <v>0.55000000000000004</v>
      </c>
      <c r="AA207">
        <f t="shared" si="27"/>
        <v>55.127991846268237</v>
      </c>
    </row>
    <row r="208" spans="1:28" x14ac:dyDescent="0.25">
      <c r="A208">
        <v>207</v>
      </c>
      <c r="B208" t="s">
        <v>533</v>
      </c>
      <c r="C208" t="s">
        <v>534</v>
      </c>
      <c r="D208">
        <v>1</v>
      </c>
      <c r="E208" t="s">
        <v>535</v>
      </c>
      <c r="G208" t="s">
        <v>205</v>
      </c>
      <c r="H208">
        <v>9.6999999999999993</v>
      </c>
      <c r="J208">
        <v>8.6999999999999994E-2</v>
      </c>
      <c r="K208">
        <v>9</v>
      </c>
      <c r="L208">
        <f t="shared" si="24"/>
        <v>6.6508301874659308</v>
      </c>
      <c r="P208">
        <f t="shared" si="25"/>
        <v>0</v>
      </c>
      <c r="R208" t="s">
        <v>214</v>
      </c>
      <c r="S208">
        <v>87</v>
      </c>
      <c r="T208">
        <v>25.67</v>
      </c>
      <c r="U208">
        <v>21.51</v>
      </c>
      <c r="V208">
        <f t="shared" si="29"/>
        <v>433.66678507841289</v>
      </c>
      <c r="W208">
        <f t="shared" si="30"/>
        <v>37729.010301821923</v>
      </c>
      <c r="X208">
        <v>0.27</v>
      </c>
      <c r="Y208">
        <v>0.22</v>
      </c>
      <c r="Z208">
        <v>0.22</v>
      </c>
      <c r="AA208">
        <f t="shared" si="27"/>
        <v>76.446323993861284</v>
      </c>
    </row>
    <row r="209" spans="1:28" x14ac:dyDescent="0.25">
      <c r="A209">
        <v>208</v>
      </c>
      <c r="B209" t="s">
        <v>536</v>
      </c>
      <c r="C209" t="s">
        <v>349</v>
      </c>
      <c r="D209">
        <v>4</v>
      </c>
      <c r="E209" t="s">
        <v>62</v>
      </c>
      <c r="G209" t="s">
        <v>205</v>
      </c>
      <c r="H209">
        <v>7.1</v>
      </c>
      <c r="J209">
        <v>6.0999999999999999E-2</v>
      </c>
      <c r="K209">
        <v>14</v>
      </c>
      <c r="L209">
        <f t="shared" si="24"/>
        <v>5.5428689983611514</v>
      </c>
      <c r="P209">
        <f t="shared" si="25"/>
        <v>0</v>
      </c>
      <c r="R209" t="s">
        <v>208</v>
      </c>
      <c r="S209" t="s">
        <v>144</v>
      </c>
      <c r="T209">
        <v>140</v>
      </c>
      <c r="U209">
        <v>70.42</v>
      </c>
      <c r="V209">
        <f t="shared" si="29"/>
        <v>7743.0834133027638</v>
      </c>
      <c r="W209">
        <f t="shared" si="30"/>
        <v>7743.0834133027638</v>
      </c>
      <c r="X209">
        <v>0.42</v>
      </c>
      <c r="Y209">
        <v>0.47</v>
      </c>
      <c r="Z209">
        <v>0.57999999999999996</v>
      </c>
      <c r="AA209">
        <f t="shared" si="27"/>
        <v>90.866704891166421</v>
      </c>
    </row>
    <row r="210" spans="1:28" x14ac:dyDescent="0.25">
      <c r="A210">
        <v>209</v>
      </c>
      <c r="B210" t="s">
        <v>537</v>
      </c>
      <c r="C210" t="s">
        <v>538</v>
      </c>
      <c r="D210">
        <v>1</v>
      </c>
      <c r="E210" t="s">
        <v>556</v>
      </c>
      <c r="G210" t="s">
        <v>205</v>
      </c>
      <c r="H210">
        <v>7.1</v>
      </c>
      <c r="J210">
        <v>6.7000000000000004E-2</v>
      </c>
      <c r="K210">
        <v>10</v>
      </c>
      <c r="L210">
        <f t="shared" si="24"/>
        <v>3.9591921416865365</v>
      </c>
      <c r="P210">
        <f t="shared" si="25"/>
        <v>0</v>
      </c>
      <c r="R210" t="s">
        <v>214</v>
      </c>
      <c r="S210">
        <v>7</v>
      </c>
      <c r="T210">
        <v>59.81</v>
      </c>
      <c r="U210">
        <v>34.89</v>
      </c>
      <c r="V210">
        <f t="shared" si="29"/>
        <v>1638.9460322912403</v>
      </c>
      <c r="W210">
        <f t="shared" si="30"/>
        <v>11472.622226038682</v>
      </c>
      <c r="X210">
        <v>0.35</v>
      </c>
      <c r="Y210">
        <v>0.33</v>
      </c>
      <c r="Z210">
        <v>0.39</v>
      </c>
      <c r="AA210">
        <f t="shared" si="27"/>
        <v>59.092420025172181</v>
      </c>
    </row>
    <row r="211" spans="1:28" x14ac:dyDescent="0.25">
      <c r="A211">
        <v>210</v>
      </c>
      <c r="B211" t="s">
        <v>524</v>
      </c>
      <c r="C211" t="s">
        <v>394</v>
      </c>
      <c r="D211">
        <v>5</v>
      </c>
      <c r="E211" t="s">
        <v>247</v>
      </c>
      <c r="G211" t="s">
        <v>205</v>
      </c>
      <c r="H211">
        <v>7.1</v>
      </c>
      <c r="J211">
        <v>8.6999999999999994E-2</v>
      </c>
      <c r="K211">
        <v>23</v>
      </c>
      <c r="L211">
        <f t="shared" si="24"/>
        <v>9.1061419258790348</v>
      </c>
      <c r="P211">
        <f t="shared" si="25"/>
        <v>0</v>
      </c>
      <c r="R211" t="s">
        <v>208</v>
      </c>
      <c r="S211" t="s">
        <v>144</v>
      </c>
      <c r="T211">
        <v>58.05</v>
      </c>
      <c r="U211">
        <v>26.4</v>
      </c>
      <c r="V211">
        <f t="shared" si="29"/>
        <v>1203.6383933698573</v>
      </c>
      <c r="W211">
        <f t="shared" si="30"/>
        <v>1203.6383933698573</v>
      </c>
      <c r="X211">
        <v>0.21</v>
      </c>
      <c r="Y211">
        <v>0.24</v>
      </c>
      <c r="Z211">
        <v>0.27</v>
      </c>
      <c r="AA211">
        <f t="shared" si="27"/>
        <v>104.6682979986096</v>
      </c>
    </row>
    <row r="212" spans="1:28" x14ac:dyDescent="0.25">
      <c r="A212">
        <v>211</v>
      </c>
      <c r="B212" t="s">
        <v>541</v>
      </c>
      <c r="C212" t="s">
        <v>369</v>
      </c>
      <c r="D212">
        <v>2</v>
      </c>
      <c r="E212" t="s">
        <v>373</v>
      </c>
      <c r="G212" t="s">
        <v>205</v>
      </c>
      <c r="H212">
        <v>7.1</v>
      </c>
      <c r="J212">
        <v>6.4000000000000001E-2</v>
      </c>
      <c r="K212">
        <v>16</v>
      </c>
      <c r="L212">
        <f t="shared" si="24"/>
        <v>6.3347074266984587</v>
      </c>
      <c r="P212">
        <f t="shared" si="25"/>
        <v>0</v>
      </c>
      <c r="R212" t="s">
        <v>214</v>
      </c>
      <c r="S212">
        <v>15</v>
      </c>
      <c r="T212">
        <v>28.06</v>
      </c>
      <c r="U212">
        <v>9.01</v>
      </c>
      <c r="V212">
        <f t="shared" si="29"/>
        <v>198.56483490904091</v>
      </c>
      <c r="W212">
        <f t="shared" si="30"/>
        <v>2978.4725236356135</v>
      </c>
      <c r="X212">
        <v>0.16</v>
      </c>
      <c r="Y212">
        <v>0.14000000000000001</v>
      </c>
      <c r="Z212">
        <v>0.18</v>
      </c>
      <c r="AA212">
        <f t="shared" si="27"/>
        <v>98.97980354216341</v>
      </c>
    </row>
    <row r="213" spans="1:28" x14ac:dyDescent="0.25">
      <c r="A213">
        <v>212</v>
      </c>
      <c r="B213" t="s">
        <v>1049</v>
      </c>
      <c r="C213" t="s">
        <v>383</v>
      </c>
      <c r="D213">
        <v>6</v>
      </c>
      <c r="E213" t="s">
        <v>101</v>
      </c>
      <c r="G213" t="s">
        <v>205</v>
      </c>
      <c r="H213">
        <v>7.1</v>
      </c>
      <c r="J213">
        <v>6.0999999999999999E-2</v>
      </c>
      <c r="K213">
        <v>13</v>
      </c>
      <c r="L213">
        <f t="shared" si="24"/>
        <v>5.1469497841924978</v>
      </c>
      <c r="P213">
        <f t="shared" si="25"/>
        <v>0</v>
      </c>
      <c r="R213" t="s">
        <v>208</v>
      </c>
      <c r="S213" t="s">
        <v>144</v>
      </c>
      <c r="T213">
        <v>81.03</v>
      </c>
      <c r="U213">
        <v>36.25</v>
      </c>
      <c r="V213">
        <f t="shared" si="29"/>
        <v>2306.9794777784523</v>
      </c>
      <c r="W213">
        <f t="shared" si="30"/>
        <v>2306.9794777784523</v>
      </c>
      <c r="X213">
        <v>0.28999999999999998</v>
      </c>
      <c r="Y213">
        <v>0.3</v>
      </c>
      <c r="Z213">
        <v>0.28999999999999998</v>
      </c>
      <c r="AA213">
        <f t="shared" si="27"/>
        <v>84.376225970368822</v>
      </c>
      <c r="AB213" t="s">
        <v>775</v>
      </c>
    </row>
    <row r="214" spans="1:28" x14ac:dyDescent="0.25">
      <c r="A214">
        <v>213</v>
      </c>
      <c r="B214" t="s">
        <v>542</v>
      </c>
      <c r="C214" t="s">
        <v>379</v>
      </c>
      <c r="D214">
        <v>5</v>
      </c>
      <c r="E214" t="s">
        <v>282</v>
      </c>
      <c r="G214" t="s">
        <v>205</v>
      </c>
      <c r="H214">
        <v>7.1</v>
      </c>
      <c r="J214">
        <v>7.0000000000000007E-2</v>
      </c>
      <c r="K214">
        <v>13</v>
      </c>
      <c r="L214">
        <f t="shared" si="24"/>
        <v>5.1469497841924978</v>
      </c>
      <c r="P214">
        <f t="shared" si="25"/>
        <v>0</v>
      </c>
      <c r="R214" t="s">
        <v>214</v>
      </c>
      <c r="S214">
        <v>10</v>
      </c>
      <c r="T214">
        <v>47.26</v>
      </c>
      <c r="U214">
        <v>17.37</v>
      </c>
      <c r="V214">
        <f t="shared" si="29"/>
        <v>644.73822180157833</v>
      </c>
      <c r="W214">
        <f t="shared" si="30"/>
        <v>6447.3822180157831</v>
      </c>
      <c r="X214">
        <v>0.28000000000000003</v>
      </c>
      <c r="Y214">
        <v>0.24</v>
      </c>
      <c r="Z214">
        <v>0.24</v>
      </c>
      <c r="AA214">
        <f t="shared" si="27"/>
        <v>73.527854059892817</v>
      </c>
    </row>
    <row r="215" spans="1:28" x14ac:dyDescent="0.25">
      <c r="A215">
        <v>214</v>
      </c>
      <c r="B215" t="s">
        <v>543</v>
      </c>
      <c r="C215" t="s">
        <v>538</v>
      </c>
      <c r="D215">
        <v>2</v>
      </c>
      <c r="E215" t="s">
        <v>539</v>
      </c>
      <c r="G215" t="s">
        <v>205</v>
      </c>
      <c r="H215">
        <v>7.1</v>
      </c>
      <c r="J215">
        <v>9.6000000000000002E-2</v>
      </c>
      <c r="K215">
        <v>16</v>
      </c>
      <c r="L215">
        <f t="shared" si="24"/>
        <v>6.3347074266984587</v>
      </c>
      <c r="P215">
        <f t="shared" si="25"/>
        <v>0</v>
      </c>
      <c r="R215" t="s">
        <v>214</v>
      </c>
      <c r="S215">
        <v>7</v>
      </c>
      <c r="T215">
        <v>54.24</v>
      </c>
      <c r="U215">
        <v>35.86</v>
      </c>
      <c r="V215">
        <f t="shared" si="29"/>
        <v>1527.6358702828186</v>
      </c>
      <c r="W215">
        <f t="shared" si="30"/>
        <v>10693.45109197973</v>
      </c>
      <c r="X215">
        <v>0.38</v>
      </c>
      <c r="Y215">
        <v>0.37</v>
      </c>
      <c r="Z215">
        <v>0.4</v>
      </c>
      <c r="AA215">
        <f t="shared" si="27"/>
        <v>65.986535694775611</v>
      </c>
    </row>
    <row r="216" spans="1:28" x14ac:dyDescent="0.25">
      <c r="A216">
        <v>215</v>
      </c>
      <c r="B216" t="s">
        <v>544</v>
      </c>
      <c r="C216" t="s">
        <v>545</v>
      </c>
      <c r="D216">
        <v>1</v>
      </c>
      <c r="E216" t="s">
        <v>802</v>
      </c>
      <c r="G216" t="s">
        <v>205</v>
      </c>
      <c r="H216">
        <v>7.1</v>
      </c>
      <c r="J216">
        <v>5.8000000000000003E-2</v>
      </c>
      <c r="K216">
        <v>13</v>
      </c>
      <c r="L216">
        <f t="shared" si="24"/>
        <v>5.1469497841924978</v>
      </c>
      <c r="P216">
        <f t="shared" si="25"/>
        <v>0</v>
      </c>
      <c r="R216" t="s">
        <v>208</v>
      </c>
      <c r="S216" t="s">
        <v>144</v>
      </c>
      <c r="T216">
        <v>52.79</v>
      </c>
      <c r="U216">
        <v>17.82</v>
      </c>
      <c r="V216">
        <f t="shared" si="29"/>
        <v>738.83803239528811</v>
      </c>
      <c r="W216">
        <f t="shared" si="30"/>
        <v>738.83803239528811</v>
      </c>
      <c r="X216">
        <v>0.33</v>
      </c>
      <c r="Y216">
        <v>0.32</v>
      </c>
      <c r="Z216">
        <v>0.34</v>
      </c>
      <c r="AA216">
        <f t="shared" si="27"/>
        <v>88.740513520560299</v>
      </c>
    </row>
    <row r="217" spans="1:28" x14ac:dyDescent="0.25">
      <c r="A217">
        <v>216</v>
      </c>
      <c r="B217" t="s">
        <v>546</v>
      </c>
      <c r="C217" t="s">
        <v>515</v>
      </c>
      <c r="D217">
        <v>1</v>
      </c>
      <c r="E217" t="s">
        <v>516</v>
      </c>
      <c r="G217" t="s">
        <v>205</v>
      </c>
      <c r="H217">
        <v>7.1</v>
      </c>
      <c r="J217">
        <v>7.8E-2</v>
      </c>
      <c r="K217">
        <v>12</v>
      </c>
      <c r="L217">
        <f t="shared" si="24"/>
        <v>4.7510305700238442</v>
      </c>
      <c r="P217">
        <f t="shared" si="25"/>
        <v>0</v>
      </c>
      <c r="R217" t="s">
        <v>208</v>
      </c>
      <c r="S217" t="s">
        <v>144</v>
      </c>
      <c r="T217">
        <v>143.81</v>
      </c>
      <c r="U217">
        <v>62.22</v>
      </c>
      <c r="V217">
        <f t="shared" si="29"/>
        <v>7027.6313966207981</v>
      </c>
      <c r="W217">
        <f t="shared" si="30"/>
        <v>7027.6313966207981</v>
      </c>
      <c r="X217">
        <v>0.33</v>
      </c>
      <c r="Y217">
        <v>0.34</v>
      </c>
      <c r="Z217">
        <v>0.33</v>
      </c>
      <c r="AA217">
        <f t="shared" si="27"/>
        <v>60.910648333639031</v>
      </c>
    </row>
    <row r="218" spans="1:28" x14ac:dyDescent="0.25">
      <c r="A218">
        <v>217</v>
      </c>
      <c r="B218" t="s">
        <v>547</v>
      </c>
      <c r="C218" t="s">
        <v>404</v>
      </c>
      <c r="D218">
        <v>2</v>
      </c>
      <c r="E218" t="s">
        <v>303</v>
      </c>
      <c r="G218" t="s">
        <v>205</v>
      </c>
      <c r="H218">
        <v>7.1</v>
      </c>
      <c r="J218">
        <v>7.2999999999999995E-2</v>
      </c>
      <c r="K218">
        <v>16</v>
      </c>
      <c r="L218">
        <f t="shared" si="24"/>
        <v>6.3347074266984587</v>
      </c>
      <c r="P218">
        <f t="shared" si="25"/>
        <v>0</v>
      </c>
      <c r="R218" t="s">
        <v>214</v>
      </c>
      <c r="S218">
        <v>8</v>
      </c>
      <c r="T218">
        <v>46.27</v>
      </c>
      <c r="U218">
        <v>24.48</v>
      </c>
      <c r="V218">
        <f t="shared" si="29"/>
        <v>889.61233153939042</v>
      </c>
      <c r="W218">
        <f t="shared" si="30"/>
        <v>7116.8986523151234</v>
      </c>
      <c r="X218">
        <v>0.2</v>
      </c>
      <c r="Y218">
        <v>0.22</v>
      </c>
      <c r="Z218">
        <v>0.2</v>
      </c>
      <c r="AA218">
        <f t="shared" si="27"/>
        <v>86.776814064362455</v>
      </c>
    </row>
    <row r="219" spans="1:28" x14ac:dyDescent="0.25">
      <c r="A219">
        <v>218</v>
      </c>
      <c r="B219" t="s">
        <v>548</v>
      </c>
      <c r="C219" t="s">
        <v>518</v>
      </c>
      <c r="D219">
        <v>2</v>
      </c>
      <c r="E219" t="s">
        <v>519</v>
      </c>
      <c r="G219" t="s">
        <v>205</v>
      </c>
      <c r="H219">
        <v>7.1</v>
      </c>
      <c r="J219">
        <v>7.6999999999999999E-2</v>
      </c>
      <c r="K219">
        <v>12</v>
      </c>
      <c r="L219">
        <f t="shared" ref="L219:L282" si="31">PI()*((H219/2)^2)/100 * K219</f>
        <v>4.7510305700238442</v>
      </c>
      <c r="P219">
        <f t="shared" ref="P219:P282" si="32">O219 / (300 * 300) * 2.54</f>
        <v>0</v>
      </c>
      <c r="R219" t="s">
        <v>208</v>
      </c>
      <c r="S219" t="s">
        <v>144</v>
      </c>
      <c r="T219">
        <v>180</v>
      </c>
      <c r="U219">
        <v>85.78</v>
      </c>
      <c r="V219">
        <f t="shared" ref="V219:V224" si="33">(((T219/2) * (U219/2)) * PI())</f>
        <v>12126.861802121961</v>
      </c>
      <c r="W219">
        <f t="shared" si="30"/>
        <v>12126.861802121961</v>
      </c>
      <c r="X219">
        <v>0.34</v>
      </c>
      <c r="Y219">
        <v>0.35</v>
      </c>
      <c r="Z219">
        <v>0.37</v>
      </c>
      <c r="AA219">
        <f t="shared" ref="AA219:AA282" si="34">L219/J219</f>
        <v>61.701695714595381</v>
      </c>
    </row>
    <row r="220" spans="1:28" x14ac:dyDescent="0.25">
      <c r="A220">
        <v>219</v>
      </c>
      <c r="B220" t="s">
        <v>549</v>
      </c>
      <c r="C220" t="s">
        <v>379</v>
      </c>
      <c r="D220">
        <v>4</v>
      </c>
      <c r="E220" t="s">
        <v>282</v>
      </c>
      <c r="G220" t="s">
        <v>205</v>
      </c>
      <c r="H220">
        <v>7.1</v>
      </c>
      <c r="J220">
        <v>7.0000000000000007E-2</v>
      </c>
      <c r="K220">
        <v>13</v>
      </c>
      <c r="L220">
        <f t="shared" si="31"/>
        <v>5.1469497841924978</v>
      </c>
      <c r="P220">
        <f t="shared" si="32"/>
        <v>0</v>
      </c>
      <c r="R220" t="s">
        <v>214</v>
      </c>
      <c r="S220">
        <v>8</v>
      </c>
      <c r="T220">
        <v>69.77</v>
      </c>
      <c r="U220">
        <v>23.88</v>
      </c>
      <c r="V220">
        <f t="shared" si="33"/>
        <v>1308.5578490625303</v>
      </c>
      <c r="W220">
        <f t="shared" si="30"/>
        <v>10468.462792500242</v>
      </c>
      <c r="X220">
        <v>0.24</v>
      </c>
      <c r="Y220">
        <v>0.25</v>
      </c>
      <c r="Z220">
        <v>0.24</v>
      </c>
      <c r="AA220">
        <f t="shared" si="34"/>
        <v>73.527854059892817</v>
      </c>
    </row>
    <row r="221" spans="1:28" x14ac:dyDescent="0.25">
      <c r="A221">
        <v>220</v>
      </c>
      <c r="B221" t="s">
        <v>550</v>
      </c>
      <c r="C221" t="s">
        <v>441</v>
      </c>
      <c r="D221">
        <v>5</v>
      </c>
      <c r="E221" t="s">
        <v>489</v>
      </c>
      <c r="G221" t="s">
        <v>205</v>
      </c>
      <c r="H221">
        <v>7.1</v>
      </c>
      <c r="J221">
        <v>8.5000000000000006E-2</v>
      </c>
      <c r="K221">
        <v>13</v>
      </c>
      <c r="L221">
        <f t="shared" si="31"/>
        <v>5.1469497841924978</v>
      </c>
      <c r="P221">
        <f t="shared" si="32"/>
        <v>0</v>
      </c>
      <c r="R221" t="s">
        <v>208</v>
      </c>
      <c r="S221" t="s">
        <v>144</v>
      </c>
      <c r="T221">
        <v>91.38</v>
      </c>
      <c r="U221">
        <v>69.319999999999993</v>
      </c>
      <c r="V221">
        <f t="shared" si="33"/>
        <v>4975.0745067516609</v>
      </c>
      <c r="W221">
        <f t="shared" si="30"/>
        <v>4975.0745067516609</v>
      </c>
      <c r="X221">
        <v>0.46</v>
      </c>
      <c r="Y221">
        <v>0.54</v>
      </c>
      <c r="Z221">
        <v>0.56000000000000005</v>
      </c>
      <c r="AA221">
        <f t="shared" si="34"/>
        <v>60.552350402264679</v>
      </c>
    </row>
    <row r="222" spans="1:28" x14ac:dyDescent="0.25">
      <c r="A222">
        <v>221</v>
      </c>
      <c r="B222" t="s">
        <v>551</v>
      </c>
      <c r="C222" t="s">
        <v>522</v>
      </c>
      <c r="D222">
        <v>2</v>
      </c>
      <c r="E222" t="s">
        <v>523</v>
      </c>
      <c r="G222" t="s">
        <v>205</v>
      </c>
      <c r="H222">
        <v>7.1</v>
      </c>
      <c r="J222">
        <v>8.5999999999999993E-2</v>
      </c>
      <c r="K222">
        <v>15</v>
      </c>
      <c r="L222">
        <f t="shared" si="31"/>
        <v>5.938788212529805</v>
      </c>
      <c r="P222">
        <f t="shared" si="32"/>
        <v>0</v>
      </c>
      <c r="R222" t="s">
        <v>208</v>
      </c>
      <c r="S222" t="s">
        <v>144</v>
      </c>
      <c r="T222">
        <v>117.89</v>
      </c>
      <c r="U222">
        <v>93.33</v>
      </c>
      <c r="V222">
        <f t="shared" si="33"/>
        <v>8641.4797164414067</v>
      </c>
      <c r="W222">
        <f>IF(ISNUMBER(S222), S222*V222, V222)</f>
        <v>8641.4797164414067</v>
      </c>
      <c r="X222">
        <v>0.39</v>
      </c>
      <c r="Y222">
        <v>0.44</v>
      </c>
      <c r="Z222">
        <v>0.48</v>
      </c>
      <c r="AA222">
        <f t="shared" si="34"/>
        <v>69.055676889881454</v>
      </c>
    </row>
    <row r="223" spans="1:28" x14ac:dyDescent="0.25">
      <c r="A223">
        <v>222</v>
      </c>
      <c r="B223" t="s">
        <v>552</v>
      </c>
      <c r="C223" t="s">
        <v>518</v>
      </c>
      <c r="D223">
        <v>1</v>
      </c>
      <c r="E223" t="s">
        <v>519</v>
      </c>
      <c r="G223" t="s">
        <v>205</v>
      </c>
      <c r="H223">
        <v>7.1</v>
      </c>
      <c r="J223">
        <v>9.9000000000000005E-2</v>
      </c>
      <c r="K223">
        <v>14</v>
      </c>
      <c r="L223">
        <f t="shared" si="31"/>
        <v>5.5428689983611514</v>
      </c>
      <c r="P223">
        <f t="shared" si="32"/>
        <v>0</v>
      </c>
      <c r="R223" t="s">
        <v>208</v>
      </c>
      <c r="S223" t="s">
        <v>144</v>
      </c>
      <c r="T223">
        <v>116.94</v>
      </c>
      <c r="U223">
        <v>56.58</v>
      </c>
      <c r="V223">
        <f t="shared" si="33"/>
        <v>5196.55961626313</v>
      </c>
      <c r="W223">
        <f>IF(ISNUMBER(S223), S223*V223, V223)</f>
        <v>5196.55961626313</v>
      </c>
      <c r="X223">
        <v>0.36</v>
      </c>
      <c r="Y223">
        <v>0.36</v>
      </c>
      <c r="Z223">
        <v>0.35</v>
      </c>
      <c r="AA223">
        <f t="shared" si="34"/>
        <v>55.988575741021727</v>
      </c>
    </row>
    <row r="224" spans="1:28" x14ac:dyDescent="0.25">
      <c r="A224">
        <v>223</v>
      </c>
      <c r="B224" t="s">
        <v>553</v>
      </c>
      <c r="C224" t="s">
        <v>392</v>
      </c>
      <c r="D224">
        <v>5</v>
      </c>
      <c r="E224" t="s">
        <v>235</v>
      </c>
      <c r="G224" t="s">
        <v>205</v>
      </c>
      <c r="H224">
        <v>7.1</v>
      </c>
      <c r="J224">
        <v>6.2E-2</v>
      </c>
      <c r="K224">
        <v>15</v>
      </c>
      <c r="L224">
        <f t="shared" si="31"/>
        <v>5.938788212529805</v>
      </c>
      <c r="P224">
        <f t="shared" si="32"/>
        <v>0</v>
      </c>
      <c r="R224" t="s">
        <v>208</v>
      </c>
      <c r="S224" t="s">
        <v>144</v>
      </c>
      <c r="T224">
        <v>83.26</v>
      </c>
      <c r="U224">
        <v>39.840000000000003</v>
      </c>
      <c r="V224">
        <f t="shared" si="33"/>
        <v>2605.2272832053463</v>
      </c>
      <c r="W224">
        <f>IF(ISNUMBER(S224), S224*V224, V224)</f>
        <v>2605.2272832053463</v>
      </c>
      <c r="X224">
        <v>0.2</v>
      </c>
      <c r="Y224">
        <v>0.32</v>
      </c>
      <c r="Z224">
        <v>0.24</v>
      </c>
      <c r="AA224">
        <f t="shared" si="34"/>
        <v>95.786906653706538</v>
      </c>
    </row>
    <row r="225" spans="1:27" x14ac:dyDescent="0.25">
      <c r="A225">
        <v>224</v>
      </c>
      <c r="E225" t="s">
        <v>570</v>
      </c>
      <c r="H225">
        <v>9.6999999999999993</v>
      </c>
      <c r="J225">
        <v>8.4000000000000005E-2</v>
      </c>
      <c r="K225">
        <v>10</v>
      </c>
      <c r="L225">
        <f t="shared" si="31"/>
        <v>7.38981131940659</v>
      </c>
      <c r="P225">
        <f t="shared" si="32"/>
        <v>0</v>
      </c>
      <c r="AA225">
        <f t="shared" si="34"/>
        <v>87.973944278649881</v>
      </c>
    </row>
    <row r="226" spans="1:27" x14ac:dyDescent="0.25">
      <c r="A226">
        <v>225</v>
      </c>
      <c r="B226" t="s">
        <v>602</v>
      </c>
      <c r="C226" t="s">
        <v>603</v>
      </c>
      <c r="D226">
        <v>3</v>
      </c>
      <c r="E226" t="s">
        <v>604</v>
      </c>
      <c r="G226" t="s">
        <v>205</v>
      </c>
      <c r="H226">
        <v>9.6999999999999993</v>
      </c>
      <c r="J226">
        <v>7.3999999999999996E-2</v>
      </c>
      <c r="K226">
        <v>10</v>
      </c>
      <c r="L226">
        <f t="shared" si="31"/>
        <v>7.38981131940659</v>
      </c>
      <c r="P226">
        <f t="shared" si="32"/>
        <v>0</v>
      </c>
      <c r="R226" t="s">
        <v>208</v>
      </c>
      <c r="S226" t="s">
        <v>144</v>
      </c>
      <c r="T226">
        <v>51.91</v>
      </c>
      <c r="U226">
        <v>22.09</v>
      </c>
      <c r="V226">
        <f t="shared" ref="V226:V257" si="35">(((T226/2) * (U226/2)) * PI())</f>
        <v>900.60971224273032</v>
      </c>
      <c r="W226">
        <f t="shared" ref="W226:W257" si="36">IF(ISNUMBER(S226), S226*V226, V226)</f>
        <v>900.60971224273032</v>
      </c>
      <c r="X226">
        <v>0.21</v>
      </c>
      <c r="Y226">
        <v>0.24</v>
      </c>
      <c r="Z226">
        <v>0.24</v>
      </c>
      <c r="AA226">
        <f t="shared" si="34"/>
        <v>99.862315127116091</v>
      </c>
    </row>
    <row r="227" spans="1:27" x14ac:dyDescent="0.25">
      <c r="A227">
        <v>226</v>
      </c>
      <c r="B227" t="s">
        <v>605</v>
      </c>
      <c r="C227" t="s">
        <v>603</v>
      </c>
      <c r="D227">
        <v>2</v>
      </c>
      <c r="E227" t="s">
        <v>604</v>
      </c>
      <c r="G227" t="s">
        <v>205</v>
      </c>
      <c r="H227">
        <v>9.6999999999999993</v>
      </c>
      <c r="J227">
        <v>5.8999999999999997E-2</v>
      </c>
      <c r="K227">
        <v>11</v>
      </c>
      <c r="L227">
        <f t="shared" si="31"/>
        <v>8.1287924513472483</v>
      </c>
      <c r="P227">
        <f t="shared" si="32"/>
        <v>0</v>
      </c>
      <c r="R227" t="s">
        <v>208</v>
      </c>
      <c r="S227" t="s">
        <v>144</v>
      </c>
      <c r="T227">
        <v>72.97</v>
      </c>
      <c r="U227">
        <v>32.97</v>
      </c>
      <c r="V227">
        <f t="shared" si="35"/>
        <v>1889.5273163231959</v>
      </c>
      <c r="W227">
        <f t="shared" si="36"/>
        <v>1889.5273163231959</v>
      </c>
      <c r="X227">
        <v>0.23</v>
      </c>
      <c r="Y227">
        <v>0.23</v>
      </c>
      <c r="Z227">
        <v>0.22</v>
      </c>
      <c r="AA227">
        <f t="shared" si="34"/>
        <v>137.77614324317372</v>
      </c>
    </row>
    <row r="228" spans="1:27" x14ac:dyDescent="0.25">
      <c r="A228">
        <v>227</v>
      </c>
      <c r="B228" t="s">
        <v>606</v>
      </c>
      <c r="C228" t="s">
        <v>512</v>
      </c>
      <c r="D228">
        <v>2</v>
      </c>
      <c r="E228" t="s">
        <v>513</v>
      </c>
      <c r="G228" t="s">
        <v>205</v>
      </c>
      <c r="H228">
        <v>7.1</v>
      </c>
      <c r="J228">
        <v>0.05</v>
      </c>
      <c r="K228">
        <v>11</v>
      </c>
      <c r="L228">
        <f t="shared" si="31"/>
        <v>4.3551113558551906</v>
      </c>
      <c r="P228">
        <f t="shared" si="32"/>
        <v>0</v>
      </c>
      <c r="R228" t="s">
        <v>208</v>
      </c>
      <c r="S228" t="s">
        <v>144</v>
      </c>
      <c r="T228">
        <v>73.849999999999994</v>
      </c>
      <c r="U228">
        <v>33.58</v>
      </c>
      <c r="V228">
        <f t="shared" si="35"/>
        <v>1947.6955536405542</v>
      </c>
      <c r="W228">
        <f t="shared" si="36"/>
        <v>1947.6955536405542</v>
      </c>
      <c r="X228">
        <v>0.15</v>
      </c>
      <c r="Y228">
        <v>0.2</v>
      </c>
      <c r="Z228">
        <v>0.16</v>
      </c>
      <c r="AA228">
        <f t="shared" si="34"/>
        <v>87.102227117103808</v>
      </c>
    </row>
    <row r="229" spans="1:27" x14ac:dyDescent="0.25">
      <c r="A229">
        <v>228</v>
      </c>
      <c r="B229" t="s">
        <v>607</v>
      </c>
      <c r="C229" t="s">
        <v>512</v>
      </c>
      <c r="D229">
        <v>3</v>
      </c>
      <c r="E229" t="s">
        <v>513</v>
      </c>
      <c r="G229" t="s">
        <v>205</v>
      </c>
      <c r="H229">
        <v>7.1</v>
      </c>
      <c r="J229">
        <v>0.05</v>
      </c>
      <c r="K229">
        <v>10</v>
      </c>
      <c r="L229">
        <f t="shared" si="31"/>
        <v>3.9591921416865365</v>
      </c>
      <c r="P229">
        <f t="shared" si="32"/>
        <v>0</v>
      </c>
      <c r="R229" t="s">
        <v>208</v>
      </c>
      <c r="S229" t="s">
        <v>144</v>
      </c>
      <c r="T229">
        <v>101.9</v>
      </c>
      <c r="U229">
        <v>41.42</v>
      </c>
      <c r="V229">
        <f t="shared" si="35"/>
        <v>3314.9284574552835</v>
      </c>
      <c r="W229">
        <f t="shared" si="36"/>
        <v>3314.9284574552835</v>
      </c>
      <c r="X229">
        <v>0.27</v>
      </c>
      <c r="Y229">
        <v>0.22</v>
      </c>
      <c r="Z229">
        <v>0.26</v>
      </c>
      <c r="AA229">
        <f t="shared" si="34"/>
        <v>79.183842833730722</v>
      </c>
    </row>
    <row r="230" spans="1:27" x14ac:dyDescent="0.25">
      <c r="A230">
        <v>229</v>
      </c>
      <c r="B230" t="s">
        <v>608</v>
      </c>
      <c r="C230" t="s">
        <v>609</v>
      </c>
      <c r="D230">
        <v>1</v>
      </c>
      <c r="E230" t="s">
        <v>610</v>
      </c>
      <c r="G230" t="s">
        <v>205</v>
      </c>
      <c r="H230">
        <v>7.1</v>
      </c>
      <c r="J230">
        <v>0.04</v>
      </c>
      <c r="K230">
        <v>10</v>
      </c>
      <c r="L230">
        <f t="shared" si="31"/>
        <v>3.9591921416865365</v>
      </c>
      <c r="P230">
        <f t="shared" si="32"/>
        <v>0</v>
      </c>
      <c r="R230" t="s">
        <v>214</v>
      </c>
      <c r="S230">
        <v>5</v>
      </c>
      <c r="T230">
        <v>73.849999999999994</v>
      </c>
      <c r="U230">
        <v>20.67</v>
      </c>
      <c r="V230">
        <f t="shared" si="35"/>
        <v>1198.8941957638551</v>
      </c>
      <c r="W230">
        <f t="shared" si="36"/>
        <v>5994.4709788192758</v>
      </c>
      <c r="X230">
        <v>0.2</v>
      </c>
      <c r="Y230">
        <v>0.17</v>
      </c>
      <c r="Z230">
        <v>0.2</v>
      </c>
      <c r="AA230">
        <f t="shared" si="34"/>
        <v>98.97980354216341</v>
      </c>
    </row>
    <row r="231" spans="1:27" x14ac:dyDescent="0.25">
      <c r="A231">
        <v>230</v>
      </c>
      <c r="B231" t="s">
        <v>611</v>
      </c>
      <c r="C231" t="s">
        <v>512</v>
      </c>
      <c r="D231">
        <v>4</v>
      </c>
      <c r="E231" t="s">
        <v>513</v>
      </c>
      <c r="G231" t="s">
        <v>205</v>
      </c>
      <c r="H231">
        <v>7.1</v>
      </c>
      <c r="J231">
        <v>5.3999999999999999E-2</v>
      </c>
      <c r="K231">
        <v>10</v>
      </c>
      <c r="L231">
        <f t="shared" si="31"/>
        <v>3.9591921416865365</v>
      </c>
      <c r="P231">
        <f t="shared" si="32"/>
        <v>0</v>
      </c>
      <c r="R231" t="s">
        <v>208</v>
      </c>
      <c r="S231" t="s">
        <v>144</v>
      </c>
      <c r="T231">
        <v>90.52</v>
      </c>
      <c r="U231">
        <v>45.13</v>
      </c>
      <c r="V231">
        <f t="shared" si="35"/>
        <v>3208.4831302107618</v>
      </c>
      <c r="W231">
        <f t="shared" si="36"/>
        <v>3208.4831302107618</v>
      </c>
      <c r="X231">
        <v>0.3</v>
      </c>
      <c r="Y231">
        <v>0.3</v>
      </c>
      <c r="Z231">
        <v>0.33</v>
      </c>
      <c r="AA231">
        <f t="shared" si="34"/>
        <v>73.318372994195116</v>
      </c>
    </row>
    <row r="232" spans="1:27" x14ac:dyDescent="0.25">
      <c r="A232">
        <v>231</v>
      </c>
      <c r="B232" t="s">
        <v>612</v>
      </c>
      <c r="C232" t="s">
        <v>404</v>
      </c>
      <c r="D232">
        <v>4</v>
      </c>
      <c r="E232" t="s">
        <v>303</v>
      </c>
      <c r="G232" t="s">
        <v>205</v>
      </c>
      <c r="H232">
        <v>9.6999999999999993</v>
      </c>
      <c r="J232">
        <v>8.4000000000000005E-2</v>
      </c>
      <c r="K232">
        <v>12</v>
      </c>
      <c r="L232">
        <f t="shared" si="31"/>
        <v>8.8677735832879065</v>
      </c>
      <c r="P232">
        <f t="shared" si="32"/>
        <v>0</v>
      </c>
      <c r="R232" t="s">
        <v>214</v>
      </c>
      <c r="S232">
        <v>6</v>
      </c>
      <c r="T232">
        <v>48.77</v>
      </c>
      <c r="U232">
        <v>21.97</v>
      </c>
      <c r="V232">
        <f t="shared" si="35"/>
        <v>841.5359893827914</v>
      </c>
      <c r="W232">
        <f t="shared" si="36"/>
        <v>5049.2159362967486</v>
      </c>
      <c r="X232">
        <v>0.17</v>
      </c>
      <c r="Y232">
        <v>0.17</v>
      </c>
      <c r="Z232">
        <v>0.18</v>
      </c>
      <c r="AA232">
        <f t="shared" si="34"/>
        <v>105.56873313437983</v>
      </c>
    </row>
    <row r="233" spans="1:27" x14ac:dyDescent="0.25">
      <c r="A233">
        <v>232</v>
      </c>
      <c r="B233" t="s">
        <v>613</v>
      </c>
      <c r="C233" t="s">
        <v>609</v>
      </c>
      <c r="D233">
        <v>3</v>
      </c>
      <c r="E233" t="s">
        <v>610</v>
      </c>
      <c r="G233" t="s">
        <v>205</v>
      </c>
      <c r="H233">
        <v>9.6999999999999993</v>
      </c>
      <c r="J233">
        <v>7.3999999999999996E-2</v>
      </c>
      <c r="K233">
        <v>10</v>
      </c>
      <c r="L233">
        <f t="shared" si="31"/>
        <v>7.38981131940659</v>
      </c>
      <c r="P233">
        <f t="shared" si="32"/>
        <v>0</v>
      </c>
      <c r="R233" t="s">
        <v>214</v>
      </c>
      <c r="S233">
        <v>5</v>
      </c>
      <c r="T233">
        <v>80.709999999999994</v>
      </c>
      <c r="U233">
        <v>26.03</v>
      </c>
      <c r="V233">
        <f t="shared" si="35"/>
        <v>1650.0283145360436</v>
      </c>
      <c r="W233">
        <f t="shared" si="36"/>
        <v>8250.1415726802188</v>
      </c>
      <c r="X233">
        <v>0.26</v>
      </c>
      <c r="Y233">
        <v>0.24</v>
      </c>
      <c r="Z233">
        <v>0.22</v>
      </c>
      <c r="AA233">
        <f t="shared" si="34"/>
        <v>99.862315127116091</v>
      </c>
    </row>
    <row r="234" spans="1:27" x14ac:dyDescent="0.25">
      <c r="A234">
        <v>233</v>
      </c>
      <c r="B234" t="s">
        <v>614</v>
      </c>
      <c r="C234" t="s">
        <v>609</v>
      </c>
      <c r="D234">
        <v>2</v>
      </c>
      <c r="E234" t="s">
        <v>610</v>
      </c>
      <c r="G234" t="s">
        <v>205</v>
      </c>
      <c r="H234">
        <v>9.6999999999999993</v>
      </c>
      <c r="J234">
        <v>0.09</v>
      </c>
      <c r="K234">
        <v>11</v>
      </c>
      <c r="L234">
        <f t="shared" si="31"/>
        <v>8.1287924513472483</v>
      </c>
      <c r="P234">
        <f t="shared" si="32"/>
        <v>0</v>
      </c>
      <c r="R234" t="s">
        <v>214</v>
      </c>
      <c r="S234">
        <v>5</v>
      </c>
      <c r="T234">
        <v>72.7</v>
      </c>
      <c r="U234">
        <v>15.81</v>
      </c>
      <c r="V234">
        <f t="shared" si="35"/>
        <v>902.726438832903</v>
      </c>
      <c r="W234">
        <f t="shared" si="36"/>
        <v>4513.6321941645147</v>
      </c>
      <c r="X234">
        <v>0.25</v>
      </c>
      <c r="Y234">
        <v>0.23</v>
      </c>
      <c r="Z234">
        <v>0.25</v>
      </c>
      <c r="AA234">
        <f t="shared" si="34"/>
        <v>90.319916126080543</v>
      </c>
    </row>
    <row r="235" spans="1:27" x14ac:dyDescent="0.25">
      <c r="A235">
        <v>234</v>
      </c>
      <c r="B235" t="s">
        <v>615</v>
      </c>
      <c r="C235" t="s">
        <v>369</v>
      </c>
      <c r="D235">
        <v>3</v>
      </c>
      <c r="E235" t="s">
        <v>373</v>
      </c>
      <c r="G235" t="s">
        <v>205</v>
      </c>
      <c r="H235">
        <v>7.1</v>
      </c>
      <c r="J235">
        <v>0.04</v>
      </c>
      <c r="K235">
        <v>10</v>
      </c>
      <c r="L235">
        <f t="shared" si="31"/>
        <v>3.9591921416865365</v>
      </c>
      <c r="P235">
        <f t="shared" si="32"/>
        <v>0</v>
      </c>
      <c r="R235" t="s">
        <v>214</v>
      </c>
      <c r="S235">
        <v>13</v>
      </c>
      <c r="T235">
        <v>24.31</v>
      </c>
      <c r="U235">
        <v>12.12</v>
      </c>
      <c r="V235">
        <f t="shared" si="35"/>
        <v>231.4075157485666</v>
      </c>
      <c r="W235">
        <f t="shared" si="36"/>
        <v>3008.2977047313657</v>
      </c>
      <c r="X235">
        <v>0.17</v>
      </c>
      <c r="Y235">
        <v>0.2</v>
      </c>
      <c r="Z235">
        <v>0.2</v>
      </c>
      <c r="AA235">
        <f t="shared" si="34"/>
        <v>98.97980354216341</v>
      </c>
    </row>
    <row r="236" spans="1:27" x14ac:dyDescent="0.25">
      <c r="A236">
        <v>235</v>
      </c>
      <c r="B236" t="s">
        <v>616</v>
      </c>
      <c r="C236" t="s">
        <v>432</v>
      </c>
      <c r="D236">
        <v>3</v>
      </c>
      <c r="E236" t="s">
        <v>433</v>
      </c>
      <c r="G236" t="s">
        <v>205</v>
      </c>
      <c r="H236">
        <v>7.1</v>
      </c>
      <c r="J236">
        <v>5.3999999999999999E-2</v>
      </c>
      <c r="K236">
        <v>10</v>
      </c>
      <c r="L236">
        <f t="shared" si="31"/>
        <v>3.9591921416865365</v>
      </c>
      <c r="P236">
        <f t="shared" si="32"/>
        <v>0</v>
      </c>
      <c r="R236" t="s">
        <v>214</v>
      </c>
      <c r="S236">
        <v>13</v>
      </c>
      <c r="T236">
        <v>49.73</v>
      </c>
      <c r="U236">
        <v>15.94</v>
      </c>
      <c r="V236">
        <f t="shared" si="35"/>
        <v>622.5821396121363</v>
      </c>
      <c r="W236">
        <f t="shared" si="36"/>
        <v>8093.5678149577716</v>
      </c>
      <c r="X236">
        <v>0.19</v>
      </c>
      <c r="Y236">
        <v>0.18</v>
      </c>
      <c r="Z236">
        <v>0.22</v>
      </c>
      <c r="AA236">
        <f t="shared" si="34"/>
        <v>73.318372994195116</v>
      </c>
    </row>
    <row r="237" spans="1:27" x14ac:dyDescent="0.25">
      <c r="A237">
        <v>236</v>
      </c>
      <c r="B237" t="s">
        <v>617</v>
      </c>
      <c r="C237" t="s">
        <v>404</v>
      </c>
      <c r="D237">
        <v>5</v>
      </c>
      <c r="E237" t="s">
        <v>303</v>
      </c>
      <c r="G237" t="s">
        <v>205</v>
      </c>
      <c r="H237">
        <v>9.6999999999999993</v>
      </c>
      <c r="J237">
        <v>6.3E-2</v>
      </c>
      <c r="K237">
        <v>10</v>
      </c>
      <c r="L237">
        <f t="shared" si="31"/>
        <v>7.38981131940659</v>
      </c>
      <c r="P237">
        <f t="shared" si="32"/>
        <v>0</v>
      </c>
      <c r="R237" t="s">
        <v>214</v>
      </c>
      <c r="S237">
        <v>6</v>
      </c>
      <c r="T237">
        <v>56.9</v>
      </c>
      <c r="U237">
        <v>22.9</v>
      </c>
      <c r="V237">
        <f t="shared" si="35"/>
        <v>1023.381660888509</v>
      </c>
      <c r="W237">
        <f t="shared" si="36"/>
        <v>6140.2899653310542</v>
      </c>
      <c r="X237">
        <v>0.14000000000000001</v>
      </c>
      <c r="Y237">
        <v>0.14000000000000001</v>
      </c>
      <c r="Z237">
        <v>0.13</v>
      </c>
      <c r="AA237">
        <f t="shared" si="34"/>
        <v>117.29859237153318</v>
      </c>
    </row>
    <row r="238" spans="1:27" x14ac:dyDescent="0.25">
      <c r="A238">
        <v>237</v>
      </c>
      <c r="B238" t="s">
        <v>618</v>
      </c>
      <c r="C238" t="s">
        <v>432</v>
      </c>
      <c r="D238">
        <v>5</v>
      </c>
      <c r="E238" t="s">
        <v>433</v>
      </c>
      <c r="G238" t="s">
        <v>205</v>
      </c>
      <c r="H238">
        <v>7.1</v>
      </c>
      <c r="J238">
        <v>4.9000000000000002E-2</v>
      </c>
      <c r="K238">
        <v>9</v>
      </c>
      <c r="L238">
        <f t="shared" si="31"/>
        <v>3.5632729275178829</v>
      </c>
      <c r="P238">
        <f t="shared" si="32"/>
        <v>0</v>
      </c>
      <c r="R238" t="s">
        <v>214</v>
      </c>
      <c r="S238">
        <v>13</v>
      </c>
      <c r="T238">
        <v>45.05</v>
      </c>
      <c r="U238">
        <v>14.24</v>
      </c>
      <c r="V238">
        <f t="shared" si="35"/>
        <v>503.84234659742378</v>
      </c>
      <c r="W238">
        <f t="shared" si="36"/>
        <v>6549.9505057665092</v>
      </c>
      <c r="X238">
        <v>0.24</v>
      </c>
      <c r="Y238">
        <v>0.26</v>
      </c>
      <c r="Z238">
        <v>0.26</v>
      </c>
      <c r="AA238">
        <f t="shared" si="34"/>
        <v>72.719855663630256</v>
      </c>
    </row>
    <row r="239" spans="1:27" x14ac:dyDescent="0.25">
      <c r="A239">
        <v>238</v>
      </c>
      <c r="B239" t="s">
        <v>619</v>
      </c>
      <c r="C239" t="s">
        <v>534</v>
      </c>
      <c r="D239">
        <v>3</v>
      </c>
      <c r="E239" t="s">
        <v>535</v>
      </c>
      <c r="G239" t="s">
        <v>205</v>
      </c>
      <c r="H239">
        <v>7.1</v>
      </c>
      <c r="J239">
        <v>4.7E-2</v>
      </c>
      <c r="K239">
        <v>10</v>
      </c>
      <c r="L239">
        <f t="shared" si="31"/>
        <v>3.9591921416865365</v>
      </c>
      <c r="P239">
        <f t="shared" si="32"/>
        <v>0</v>
      </c>
      <c r="R239" t="s">
        <v>214</v>
      </c>
      <c r="S239">
        <v>120</v>
      </c>
      <c r="T239">
        <v>21.1</v>
      </c>
      <c r="U239">
        <v>15.75</v>
      </c>
      <c r="V239">
        <f t="shared" si="35"/>
        <v>261.00744465105703</v>
      </c>
      <c r="W239">
        <f t="shared" si="36"/>
        <v>31320.893358126843</v>
      </c>
      <c r="X239">
        <v>0.17</v>
      </c>
      <c r="Y239">
        <v>0.19</v>
      </c>
      <c r="Z239">
        <v>0.17</v>
      </c>
      <c r="AA239">
        <f t="shared" si="34"/>
        <v>84.238130674181633</v>
      </c>
    </row>
    <row r="240" spans="1:27" x14ac:dyDescent="0.25">
      <c r="A240">
        <v>239</v>
      </c>
      <c r="B240" t="s">
        <v>616</v>
      </c>
      <c r="C240" t="s">
        <v>432</v>
      </c>
      <c r="D240">
        <v>3</v>
      </c>
      <c r="E240" t="s">
        <v>433</v>
      </c>
      <c r="G240" t="s">
        <v>205</v>
      </c>
      <c r="H240">
        <v>7.1</v>
      </c>
      <c r="J240">
        <v>3.9E-2</v>
      </c>
      <c r="K240">
        <v>10</v>
      </c>
      <c r="L240">
        <f t="shared" si="31"/>
        <v>3.9591921416865365</v>
      </c>
      <c r="P240">
        <f t="shared" si="32"/>
        <v>0</v>
      </c>
      <c r="R240" t="s">
        <v>214</v>
      </c>
      <c r="S240">
        <v>15</v>
      </c>
      <c r="T240">
        <v>59.96</v>
      </c>
      <c r="U240">
        <v>13.6</v>
      </c>
      <c r="V240">
        <f t="shared" si="35"/>
        <v>640.45764473142958</v>
      </c>
      <c r="W240">
        <f t="shared" si="36"/>
        <v>9606.864670971443</v>
      </c>
      <c r="X240">
        <v>0.25</v>
      </c>
      <c r="Y240">
        <v>0.22</v>
      </c>
      <c r="Z240">
        <v>0.24</v>
      </c>
      <c r="AA240">
        <f t="shared" si="34"/>
        <v>101.5177472227317</v>
      </c>
    </row>
    <row r="241" spans="1:28" x14ac:dyDescent="0.25">
      <c r="A241">
        <v>240</v>
      </c>
      <c r="B241" t="s">
        <v>620</v>
      </c>
      <c r="C241" t="s">
        <v>621</v>
      </c>
      <c r="D241">
        <v>1</v>
      </c>
      <c r="E241" t="s">
        <v>761</v>
      </c>
      <c r="G241" t="s">
        <v>205</v>
      </c>
      <c r="H241">
        <v>9.6999999999999993</v>
      </c>
      <c r="J241">
        <v>9.9000000000000005E-2</v>
      </c>
      <c r="K241">
        <v>12</v>
      </c>
      <c r="L241">
        <f t="shared" si="31"/>
        <v>8.8677735832879065</v>
      </c>
      <c r="P241">
        <f t="shared" si="32"/>
        <v>0</v>
      </c>
      <c r="R241" t="s">
        <v>214</v>
      </c>
      <c r="S241">
        <v>3</v>
      </c>
      <c r="T241">
        <v>75.16</v>
      </c>
      <c r="U241">
        <v>35.619999999999997</v>
      </c>
      <c r="V241">
        <f t="shared" si="35"/>
        <v>2102.6673347291176</v>
      </c>
      <c r="W241">
        <f t="shared" si="36"/>
        <v>6308.0020041873522</v>
      </c>
      <c r="X241">
        <v>0.35</v>
      </c>
      <c r="Y241">
        <v>0.4</v>
      </c>
      <c r="Z241">
        <v>0.39</v>
      </c>
      <c r="AA241">
        <f t="shared" si="34"/>
        <v>89.573470538261674</v>
      </c>
    </row>
    <row r="242" spans="1:28" x14ac:dyDescent="0.25">
      <c r="A242">
        <v>241</v>
      </c>
      <c r="B242" t="s">
        <v>622</v>
      </c>
      <c r="C242" t="s">
        <v>387</v>
      </c>
      <c r="D242">
        <v>3</v>
      </c>
      <c r="E242" t="s">
        <v>217</v>
      </c>
      <c r="G242" t="s">
        <v>205</v>
      </c>
      <c r="H242">
        <v>7.1</v>
      </c>
      <c r="J242">
        <v>6.7000000000000004E-2</v>
      </c>
      <c r="K242">
        <v>10</v>
      </c>
      <c r="L242">
        <f t="shared" si="31"/>
        <v>3.9591921416865365</v>
      </c>
      <c r="P242">
        <f t="shared" si="32"/>
        <v>0</v>
      </c>
      <c r="R242" t="s">
        <v>208</v>
      </c>
      <c r="S242" t="s">
        <v>144</v>
      </c>
      <c r="T242">
        <v>69.63</v>
      </c>
      <c r="U242">
        <v>25.64</v>
      </c>
      <c r="V242">
        <f t="shared" si="35"/>
        <v>1402.181708369221</v>
      </c>
      <c r="W242">
        <f t="shared" si="36"/>
        <v>1402.181708369221</v>
      </c>
      <c r="X242">
        <v>0.47</v>
      </c>
      <c r="Y242">
        <v>0.43</v>
      </c>
      <c r="Z242">
        <v>0.42</v>
      </c>
      <c r="AA242">
        <f t="shared" si="34"/>
        <v>59.092420025172181</v>
      </c>
    </row>
    <row r="243" spans="1:28" x14ac:dyDescent="0.25">
      <c r="A243">
        <v>242</v>
      </c>
      <c r="B243" t="s">
        <v>623</v>
      </c>
      <c r="C243" t="s">
        <v>382</v>
      </c>
      <c r="D243">
        <v>2</v>
      </c>
      <c r="E243" t="s">
        <v>335</v>
      </c>
      <c r="G243" t="s">
        <v>205</v>
      </c>
      <c r="H243">
        <v>7.1</v>
      </c>
      <c r="J243">
        <v>3.7999999999999999E-2</v>
      </c>
      <c r="K243">
        <v>10</v>
      </c>
      <c r="L243">
        <f t="shared" si="31"/>
        <v>3.9591921416865365</v>
      </c>
      <c r="P243">
        <f t="shared" si="32"/>
        <v>0</v>
      </c>
      <c r="R243" t="s">
        <v>214</v>
      </c>
      <c r="S243">
        <v>9</v>
      </c>
      <c r="T243">
        <v>51.21</v>
      </c>
      <c r="U243">
        <v>15.36</v>
      </c>
      <c r="V243">
        <f t="shared" si="35"/>
        <v>617.78288559487987</v>
      </c>
      <c r="W243">
        <f t="shared" si="36"/>
        <v>5560.0459703539191</v>
      </c>
      <c r="X243">
        <v>0.19</v>
      </c>
      <c r="Y243">
        <v>0.18</v>
      </c>
      <c r="Z243">
        <v>0.2</v>
      </c>
      <c r="AA243">
        <f t="shared" si="34"/>
        <v>104.1892668864878</v>
      </c>
    </row>
    <row r="244" spans="1:28" x14ac:dyDescent="0.25">
      <c r="A244">
        <v>243</v>
      </c>
      <c r="B244" t="s">
        <v>624</v>
      </c>
      <c r="C244" t="s">
        <v>383</v>
      </c>
      <c r="D244">
        <v>5</v>
      </c>
      <c r="E244" t="s">
        <v>101</v>
      </c>
      <c r="G244" t="s">
        <v>205</v>
      </c>
      <c r="H244">
        <v>9.6999999999999993</v>
      </c>
      <c r="J244">
        <v>8.8999999999999996E-2</v>
      </c>
      <c r="K244">
        <v>10</v>
      </c>
      <c r="L244">
        <f t="shared" si="31"/>
        <v>7.38981131940659</v>
      </c>
      <c r="P244">
        <f t="shared" si="32"/>
        <v>0</v>
      </c>
      <c r="R244" t="s">
        <v>208</v>
      </c>
      <c r="S244" t="s">
        <v>144</v>
      </c>
      <c r="T244">
        <v>120.98</v>
      </c>
      <c r="U244">
        <v>57.75</v>
      </c>
      <c r="V244">
        <f t="shared" si="35"/>
        <v>5487.2588814017954</v>
      </c>
      <c r="W244">
        <f t="shared" si="36"/>
        <v>5487.2588814017954</v>
      </c>
      <c r="X244">
        <v>0.38</v>
      </c>
      <c r="Y244">
        <v>0.37</v>
      </c>
      <c r="Z244">
        <v>0.36</v>
      </c>
      <c r="AA244">
        <f t="shared" si="34"/>
        <v>83.031587858501013</v>
      </c>
    </row>
    <row r="245" spans="1:28" x14ac:dyDescent="0.25">
      <c r="A245">
        <v>244</v>
      </c>
      <c r="B245" t="s">
        <v>625</v>
      </c>
      <c r="C245" t="s">
        <v>534</v>
      </c>
      <c r="D245">
        <v>2</v>
      </c>
      <c r="E245" t="s">
        <v>535</v>
      </c>
      <c r="G245" t="s">
        <v>205</v>
      </c>
      <c r="H245">
        <v>7.1</v>
      </c>
      <c r="J245">
        <v>7.0000000000000007E-2</v>
      </c>
      <c r="K245">
        <v>14</v>
      </c>
      <c r="L245">
        <f t="shared" si="31"/>
        <v>5.5428689983611514</v>
      </c>
      <c r="P245">
        <f t="shared" si="32"/>
        <v>0</v>
      </c>
      <c r="R245" t="s">
        <v>214</v>
      </c>
      <c r="S245">
        <v>130</v>
      </c>
      <c r="T245">
        <v>20.66</v>
      </c>
      <c r="U245">
        <v>16.62</v>
      </c>
      <c r="V245">
        <f t="shared" si="35"/>
        <v>269.68153904725114</v>
      </c>
      <c r="W245">
        <f t="shared" si="36"/>
        <v>35058.600076142648</v>
      </c>
      <c r="X245">
        <v>0.28999999999999998</v>
      </c>
      <c r="Y245">
        <v>0.25</v>
      </c>
      <c r="Z245">
        <v>0.27</v>
      </c>
      <c r="AA245">
        <f t="shared" si="34"/>
        <v>79.183842833730722</v>
      </c>
    </row>
    <row r="246" spans="1:28" x14ac:dyDescent="0.25">
      <c r="A246">
        <v>245</v>
      </c>
      <c r="B246" t="s">
        <v>626</v>
      </c>
      <c r="C246" t="s">
        <v>627</v>
      </c>
      <c r="D246">
        <v>2</v>
      </c>
      <c r="E246" t="s">
        <v>628</v>
      </c>
      <c r="G246" t="s">
        <v>205</v>
      </c>
      <c r="H246">
        <v>7.1</v>
      </c>
      <c r="J246">
        <v>2.4E-2</v>
      </c>
      <c r="K246">
        <v>9</v>
      </c>
      <c r="L246">
        <f t="shared" si="31"/>
        <v>3.5632729275178829</v>
      </c>
      <c r="P246">
        <f t="shared" si="32"/>
        <v>0</v>
      </c>
      <c r="R246" t="s">
        <v>208</v>
      </c>
      <c r="S246" t="s">
        <v>144</v>
      </c>
      <c r="T246">
        <v>87.49</v>
      </c>
      <c r="U246">
        <v>36.58</v>
      </c>
      <c r="V246">
        <f t="shared" si="35"/>
        <v>2513.5758728462115</v>
      </c>
      <c r="W246">
        <f t="shared" si="36"/>
        <v>2513.5758728462115</v>
      </c>
      <c r="X246">
        <v>0.16</v>
      </c>
      <c r="Y246">
        <v>0.16</v>
      </c>
      <c r="Z246">
        <v>0.17</v>
      </c>
      <c r="AA246">
        <f t="shared" si="34"/>
        <v>148.46970531324513</v>
      </c>
    </row>
    <row r="247" spans="1:28" x14ac:dyDescent="0.25">
      <c r="A247">
        <v>246</v>
      </c>
      <c r="B247" t="s">
        <v>629</v>
      </c>
      <c r="C247" t="s">
        <v>348</v>
      </c>
      <c r="D247">
        <v>3</v>
      </c>
      <c r="E247" t="s">
        <v>497</v>
      </c>
      <c r="G247" t="s">
        <v>205</v>
      </c>
      <c r="H247">
        <v>9.6999999999999993</v>
      </c>
      <c r="J247">
        <v>9.1999999999999998E-2</v>
      </c>
      <c r="K247">
        <v>10</v>
      </c>
      <c r="L247">
        <f t="shared" si="31"/>
        <v>7.38981131940659</v>
      </c>
      <c r="P247">
        <f t="shared" si="32"/>
        <v>0</v>
      </c>
      <c r="R247" t="s">
        <v>208</v>
      </c>
      <c r="S247" t="s">
        <v>144</v>
      </c>
      <c r="T247">
        <v>56.42</v>
      </c>
      <c r="U247">
        <v>29.8</v>
      </c>
      <c r="V247">
        <f t="shared" si="35"/>
        <v>1320.5024984907441</v>
      </c>
      <c r="W247">
        <f t="shared" si="36"/>
        <v>1320.5024984907441</v>
      </c>
      <c r="X247">
        <v>0.24</v>
      </c>
      <c r="Y247">
        <v>0.25</v>
      </c>
      <c r="Z247">
        <v>0.28000000000000003</v>
      </c>
      <c r="AA247">
        <f t="shared" si="34"/>
        <v>80.324036080506417</v>
      </c>
    </row>
    <row r="248" spans="1:28" x14ac:dyDescent="0.25">
      <c r="A248">
        <v>247</v>
      </c>
      <c r="B248" t="s">
        <v>630</v>
      </c>
      <c r="C248" t="s">
        <v>400</v>
      </c>
      <c r="D248">
        <v>3</v>
      </c>
      <c r="E248" t="s">
        <v>268</v>
      </c>
      <c r="G248" t="s">
        <v>205</v>
      </c>
      <c r="H248">
        <v>9.6999999999999993</v>
      </c>
      <c r="J248">
        <v>0.13400000000000001</v>
      </c>
      <c r="K248">
        <v>11</v>
      </c>
      <c r="L248">
        <f t="shared" si="31"/>
        <v>8.1287924513472483</v>
      </c>
      <c r="P248">
        <f t="shared" si="32"/>
        <v>0</v>
      </c>
      <c r="R248" t="s">
        <v>214</v>
      </c>
      <c r="S248">
        <v>5</v>
      </c>
      <c r="T248">
        <v>141.52000000000001</v>
      </c>
      <c r="U248">
        <v>46.41</v>
      </c>
      <c r="V248">
        <f t="shared" si="35"/>
        <v>5158.4505265787593</v>
      </c>
      <c r="W248">
        <f t="shared" si="36"/>
        <v>25792.252632893797</v>
      </c>
      <c r="X248">
        <v>0.5</v>
      </c>
      <c r="Y248">
        <v>0.55000000000000004</v>
      </c>
      <c r="Z248">
        <v>0.56000000000000005</v>
      </c>
      <c r="AA248">
        <f t="shared" si="34"/>
        <v>60.662630233934685</v>
      </c>
    </row>
    <row r="249" spans="1:28" x14ac:dyDescent="0.25">
      <c r="A249">
        <v>248</v>
      </c>
      <c r="B249" t="s">
        <v>631</v>
      </c>
      <c r="C249" t="s">
        <v>632</v>
      </c>
      <c r="D249">
        <v>1</v>
      </c>
      <c r="E249" t="s">
        <v>633</v>
      </c>
      <c r="G249" t="s">
        <v>205</v>
      </c>
      <c r="H249">
        <v>7.1</v>
      </c>
      <c r="J249">
        <v>4.8000000000000001E-2</v>
      </c>
      <c r="K249">
        <v>10</v>
      </c>
      <c r="L249">
        <f t="shared" si="31"/>
        <v>3.9591921416865365</v>
      </c>
      <c r="P249">
        <f t="shared" si="32"/>
        <v>0</v>
      </c>
      <c r="R249" t="s">
        <v>208</v>
      </c>
      <c r="S249" t="s">
        <v>144</v>
      </c>
      <c r="T249">
        <v>81.61</v>
      </c>
      <c r="U249">
        <v>36.619999999999997</v>
      </c>
      <c r="V249">
        <f t="shared" si="35"/>
        <v>2347.2081214863838</v>
      </c>
      <c r="W249">
        <f t="shared" si="36"/>
        <v>2347.2081214863838</v>
      </c>
      <c r="X249">
        <v>0.35</v>
      </c>
      <c r="Y249">
        <v>0.37</v>
      </c>
      <c r="Z249">
        <v>0.36</v>
      </c>
      <c r="AA249">
        <f t="shared" si="34"/>
        <v>82.483169618469503</v>
      </c>
    </row>
    <row r="250" spans="1:28" x14ac:dyDescent="0.25">
      <c r="A250">
        <v>249</v>
      </c>
      <c r="B250" t="s">
        <v>634</v>
      </c>
      <c r="C250" t="s">
        <v>627</v>
      </c>
      <c r="D250">
        <v>1</v>
      </c>
      <c r="E250" t="s">
        <v>628</v>
      </c>
      <c r="G250" t="s">
        <v>205</v>
      </c>
      <c r="H250">
        <v>7.1</v>
      </c>
      <c r="J250">
        <v>3.9E-2</v>
      </c>
      <c r="K250">
        <v>10</v>
      </c>
      <c r="L250">
        <f t="shared" si="31"/>
        <v>3.9591921416865365</v>
      </c>
      <c r="P250">
        <f t="shared" si="32"/>
        <v>0</v>
      </c>
      <c r="R250" t="s">
        <v>208</v>
      </c>
      <c r="S250" t="s">
        <v>144</v>
      </c>
      <c r="T250">
        <v>66.36</v>
      </c>
      <c r="U250">
        <v>42.55</v>
      </c>
      <c r="V250">
        <f t="shared" si="35"/>
        <v>2217.6643913359762</v>
      </c>
      <c r="W250">
        <f t="shared" si="36"/>
        <v>2217.6643913359762</v>
      </c>
      <c r="X250">
        <v>0.28000000000000003</v>
      </c>
      <c r="Y250">
        <v>0.26</v>
      </c>
      <c r="Z250">
        <v>0.27</v>
      </c>
      <c r="AA250">
        <f t="shared" si="34"/>
        <v>101.5177472227317</v>
      </c>
    </row>
    <row r="251" spans="1:28" x14ac:dyDescent="0.25">
      <c r="A251">
        <v>250</v>
      </c>
      <c r="B251" t="s">
        <v>635</v>
      </c>
      <c r="C251" t="s">
        <v>382</v>
      </c>
      <c r="D251">
        <v>4</v>
      </c>
      <c r="E251" t="s">
        <v>335</v>
      </c>
      <c r="G251" t="s">
        <v>205</v>
      </c>
      <c r="H251">
        <v>9.6999999999999993</v>
      </c>
      <c r="J251">
        <v>0.06</v>
      </c>
      <c r="K251">
        <v>9</v>
      </c>
      <c r="L251">
        <f t="shared" si="31"/>
        <v>6.6508301874659308</v>
      </c>
      <c r="P251">
        <f t="shared" si="32"/>
        <v>0</v>
      </c>
      <c r="R251" t="s">
        <v>214</v>
      </c>
      <c r="S251">
        <v>7</v>
      </c>
      <c r="T251">
        <v>51.38</v>
      </c>
      <c r="U251">
        <v>16.440000000000001</v>
      </c>
      <c r="V251">
        <f t="shared" si="35"/>
        <v>663.41577552533317</v>
      </c>
      <c r="W251">
        <f t="shared" si="36"/>
        <v>4643.9104286773327</v>
      </c>
      <c r="X251">
        <v>0.17</v>
      </c>
      <c r="Y251">
        <v>0.18</v>
      </c>
      <c r="Z251">
        <v>0.18</v>
      </c>
      <c r="AA251">
        <f t="shared" si="34"/>
        <v>110.84716979109885</v>
      </c>
    </row>
    <row r="252" spans="1:28" x14ac:dyDescent="0.25">
      <c r="A252">
        <v>251</v>
      </c>
      <c r="B252" t="s">
        <v>636</v>
      </c>
      <c r="C252" t="s">
        <v>451</v>
      </c>
      <c r="D252">
        <v>4</v>
      </c>
      <c r="E252" t="s">
        <v>452</v>
      </c>
      <c r="G252" t="s">
        <v>205</v>
      </c>
      <c r="H252">
        <v>9.6999999999999993</v>
      </c>
      <c r="J252">
        <v>7.5999999999999998E-2</v>
      </c>
      <c r="K252">
        <v>9</v>
      </c>
      <c r="L252">
        <f t="shared" si="31"/>
        <v>6.6508301874659308</v>
      </c>
      <c r="P252">
        <f t="shared" si="32"/>
        <v>0</v>
      </c>
      <c r="R252" t="s">
        <v>208</v>
      </c>
      <c r="S252" t="s">
        <v>144</v>
      </c>
      <c r="T252">
        <v>97.37</v>
      </c>
      <c r="U252">
        <v>58.27</v>
      </c>
      <c r="V252">
        <f t="shared" si="35"/>
        <v>4456.1527510364567</v>
      </c>
      <c r="W252">
        <f t="shared" si="36"/>
        <v>4456.1527510364567</v>
      </c>
      <c r="X252">
        <v>0.33</v>
      </c>
      <c r="Y252">
        <v>0.36</v>
      </c>
      <c r="Z252">
        <v>0.33</v>
      </c>
      <c r="AA252">
        <f t="shared" si="34"/>
        <v>87.510923519288568</v>
      </c>
    </row>
    <row r="253" spans="1:28" x14ac:dyDescent="0.25">
      <c r="A253">
        <v>252</v>
      </c>
      <c r="B253" t="s">
        <v>637</v>
      </c>
      <c r="C253" t="s">
        <v>382</v>
      </c>
      <c r="D253">
        <v>3</v>
      </c>
      <c r="E253" t="s">
        <v>335</v>
      </c>
      <c r="G253" t="s">
        <v>205</v>
      </c>
      <c r="H253">
        <v>7.1</v>
      </c>
      <c r="J253">
        <v>5.8999999999999997E-2</v>
      </c>
      <c r="K253">
        <v>16</v>
      </c>
      <c r="L253">
        <f t="shared" si="31"/>
        <v>6.3347074266984587</v>
      </c>
      <c r="P253">
        <f t="shared" si="32"/>
        <v>0</v>
      </c>
      <c r="R253" t="s">
        <v>214</v>
      </c>
      <c r="S253">
        <v>5</v>
      </c>
      <c r="T253">
        <v>53.75</v>
      </c>
      <c r="U253">
        <v>16.579999999999998</v>
      </c>
      <c r="V253">
        <f t="shared" si="35"/>
        <v>699.92720826572088</v>
      </c>
      <c r="W253">
        <f t="shared" si="36"/>
        <v>3499.6360413286043</v>
      </c>
      <c r="X253">
        <v>0.13</v>
      </c>
      <c r="Y253">
        <v>0.14000000000000001</v>
      </c>
      <c r="Z253">
        <v>0.13</v>
      </c>
      <c r="AA253">
        <f t="shared" si="34"/>
        <v>107.36792248641456</v>
      </c>
    </row>
    <row r="254" spans="1:28" x14ac:dyDescent="0.25">
      <c r="A254">
        <v>253</v>
      </c>
      <c r="B254" t="s">
        <v>638</v>
      </c>
      <c r="C254" t="s">
        <v>349</v>
      </c>
      <c r="D254">
        <v>5</v>
      </c>
      <c r="E254" t="s">
        <v>62</v>
      </c>
      <c r="G254" t="s">
        <v>205</v>
      </c>
      <c r="H254">
        <v>9.6999999999999993</v>
      </c>
      <c r="J254">
        <v>0.11</v>
      </c>
      <c r="K254">
        <v>11</v>
      </c>
      <c r="L254">
        <f t="shared" si="31"/>
        <v>8.1287924513472483</v>
      </c>
      <c r="P254">
        <f t="shared" si="32"/>
        <v>0</v>
      </c>
      <c r="R254" t="s">
        <v>208</v>
      </c>
      <c r="S254" t="s">
        <v>144</v>
      </c>
      <c r="T254">
        <v>154.5</v>
      </c>
      <c r="U254">
        <v>102.38</v>
      </c>
      <c r="V254">
        <f t="shared" si="35"/>
        <v>12423.200383153451</v>
      </c>
      <c r="W254">
        <f t="shared" si="36"/>
        <v>12423.200383153451</v>
      </c>
      <c r="X254">
        <v>0.44</v>
      </c>
      <c r="Y254">
        <v>0.41</v>
      </c>
      <c r="Z254">
        <v>0.45</v>
      </c>
      <c r="AA254">
        <f t="shared" si="34"/>
        <v>73.8981131940659</v>
      </c>
    </row>
    <row r="255" spans="1:28" x14ac:dyDescent="0.25">
      <c r="A255">
        <v>254</v>
      </c>
      <c r="B255" t="s">
        <v>639</v>
      </c>
      <c r="C255" t="s">
        <v>387</v>
      </c>
      <c r="D255">
        <v>5</v>
      </c>
      <c r="E255" t="s">
        <v>217</v>
      </c>
      <c r="G255" t="s">
        <v>205</v>
      </c>
      <c r="H255">
        <v>7.1</v>
      </c>
      <c r="J255">
        <v>4.9000000000000002E-2</v>
      </c>
      <c r="K255">
        <v>10</v>
      </c>
      <c r="L255">
        <f t="shared" si="31"/>
        <v>3.9591921416865365</v>
      </c>
      <c r="P255">
        <f t="shared" si="32"/>
        <v>0</v>
      </c>
      <c r="R255" t="s">
        <v>208</v>
      </c>
      <c r="S255" t="s">
        <v>144</v>
      </c>
      <c r="T255">
        <v>73.27</v>
      </c>
      <c r="U255">
        <v>25.11</v>
      </c>
      <c r="V255">
        <f t="shared" si="35"/>
        <v>1444.9831593808101</v>
      </c>
      <c r="W255">
        <f t="shared" si="36"/>
        <v>1444.9831593808101</v>
      </c>
      <c r="X255">
        <v>0.22</v>
      </c>
      <c r="Y255">
        <v>0.27</v>
      </c>
      <c r="Z255">
        <v>0.26</v>
      </c>
      <c r="AA255">
        <f t="shared" si="34"/>
        <v>80.799839626255846</v>
      </c>
    </row>
    <row r="256" spans="1:28" x14ac:dyDescent="0.25">
      <c r="A256">
        <v>255</v>
      </c>
      <c r="B256" t="s">
        <v>640</v>
      </c>
      <c r="C256" t="s">
        <v>641</v>
      </c>
      <c r="D256">
        <v>2</v>
      </c>
      <c r="E256" t="s">
        <v>633</v>
      </c>
      <c r="G256" t="s">
        <v>205</v>
      </c>
      <c r="H256">
        <v>7.1</v>
      </c>
      <c r="J256">
        <v>3.9E-2</v>
      </c>
      <c r="K256">
        <v>9</v>
      </c>
      <c r="L256">
        <f t="shared" si="31"/>
        <v>3.5632729275178829</v>
      </c>
      <c r="P256">
        <f t="shared" si="32"/>
        <v>0</v>
      </c>
      <c r="R256" t="s">
        <v>208</v>
      </c>
      <c r="S256" t="s">
        <v>144</v>
      </c>
      <c r="T256">
        <v>100.34</v>
      </c>
      <c r="U256">
        <v>39.79</v>
      </c>
      <c r="V256">
        <f t="shared" si="35"/>
        <v>3135.7246297517854</v>
      </c>
      <c r="W256">
        <f t="shared" si="36"/>
        <v>3135.7246297517854</v>
      </c>
      <c r="X256">
        <v>0.36</v>
      </c>
      <c r="Y256">
        <v>0.3</v>
      </c>
      <c r="Z256">
        <v>0.28000000000000003</v>
      </c>
      <c r="AA256">
        <f t="shared" si="34"/>
        <v>91.36597250045854</v>
      </c>
      <c r="AB256" t="s">
        <v>1136</v>
      </c>
    </row>
    <row r="257" spans="1:28" x14ac:dyDescent="0.25">
      <c r="A257">
        <v>256</v>
      </c>
      <c r="B257" t="s">
        <v>642</v>
      </c>
      <c r="C257" t="s">
        <v>404</v>
      </c>
      <c r="D257">
        <v>3</v>
      </c>
      <c r="E257" t="s">
        <v>303</v>
      </c>
      <c r="G257" t="s">
        <v>205</v>
      </c>
      <c r="H257">
        <v>7.1</v>
      </c>
      <c r="J257">
        <v>4.4999999999999998E-2</v>
      </c>
      <c r="K257">
        <v>10</v>
      </c>
      <c r="L257">
        <f t="shared" si="31"/>
        <v>3.9591921416865365</v>
      </c>
      <c r="P257">
        <f t="shared" si="32"/>
        <v>0</v>
      </c>
      <c r="R257" t="s">
        <v>214</v>
      </c>
      <c r="S257">
        <v>7</v>
      </c>
      <c r="T257">
        <v>54.48</v>
      </c>
      <c r="U257">
        <v>24.45</v>
      </c>
      <c r="V257">
        <f t="shared" si="35"/>
        <v>1046.1786279792832</v>
      </c>
      <c r="W257">
        <f t="shared" si="36"/>
        <v>7323.2503958549823</v>
      </c>
      <c r="X257">
        <v>0.15</v>
      </c>
      <c r="Y257">
        <v>0.15</v>
      </c>
      <c r="Z257">
        <v>0.16</v>
      </c>
      <c r="AA257">
        <f t="shared" si="34"/>
        <v>87.982047593034153</v>
      </c>
    </row>
    <row r="258" spans="1:28" x14ac:dyDescent="0.25">
      <c r="A258">
        <v>257</v>
      </c>
      <c r="B258" t="s">
        <v>643</v>
      </c>
      <c r="C258" t="s">
        <v>400</v>
      </c>
      <c r="D258">
        <v>2</v>
      </c>
      <c r="E258" t="s">
        <v>268</v>
      </c>
      <c r="G258" t="s">
        <v>205</v>
      </c>
      <c r="H258">
        <v>7.1</v>
      </c>
      <c r="J258">
        <v>5.2999999999999999E-2</v>
      </c>
      <c r="K258">
        <v>10</v>
      </c>
      <c r="L258">
        <f t="shared" si="31"/>
        <v>3.9591921416865365</v>
      </c>
      <c r="P258">
        <f t="shared" si="32"/>
        <v>0</v>
      </c>
      <c r="R258" t="s">
        <v>214</v>
      </c>
      <c r="S258">
        <v>5</v>
      </c>
      <c r="T258">
        <v>100.43</v>
      </c>
      <c r="U258">
        <v>32.56</v>
      </c>
      <c r="V258">
        <f t="shared" ref="V258:V289" si="37">(((T258/2) * (U258/2)) * PI())</f>
        <v>2568.2526226281866</v>
      </c>
      <c r="W258">
        <f t="shared" ref="W258:W289" si="38">IF(ISNUMBER(S258), S258*V258, V258)</f>
        <v>12841.263113140933</v>
      </c>
      <c r="X258">
        <v>0.39</v>
      </c>
      <c r="Y258">
        <v>0.36</v>
      </c>
      <c r="Z258">
        <v>0.37</v>
      </c>
      <c r="AA258">
        <f t="shared" si="34"/>
        <v>74.701738522387487</v>
      </c>
    </row>
    <row r="259" spans="1:28" x14ac:dyDescent="0.25">
      <c r="A259">
        <v>258</v>
      </c>
      <c r="B259" t="s">
        <v>644</v>
      </c>
      <c r="C259" t="s">
        <v>345</v>
      </c>
      <c r="D259">
        <v>4</v>
      </c>
      <c r="E259" t="s">
        <v>376</v>
      </c>
      <c r="G259" t="s">
        <v>205</v>
      </c>
      <c r="H259">
        <v>9.6999999999999993</v>
      </c>
      <c r="J259">
        <v>6.8000000000000005E-2</v>
      </c>
      <c r="K259">
        <v>7</v>
      </c>
      <c r="L259">
        <f t="shared" si="31"/>
        <v>5.1728679235846124</v>
      </c>
      <c r="P259">
        <f t="shared" si="32"/>
        <v>0</v>
      </c>
      <c r="R259" t="s">
        <v>208</v>
      </c>
      <c r="S259" t="s">
        <v>144</v>
      </c>
      <c r="T259">
        <v>100.4</v>
      </c>
      <c r="U259">
        <v>37.58</v>
      </c>
      <c r="V259">
        <f t="shared" si="37"/>
        <v>2963.3324032398014</v>
      </c>
      <c r="W259">
        <f t="shared" si="38"/>
        <v>2963.3324032398014</v>
      </c>
      <c r="X259">
        <v>0.41</v>
      </c>
      <c r="Y259">
        <v>0.4</v>
      </c>
      <c r="Z259">
        <v>0.39</v>
      </c>
      <c r="AA259">
        <f t="shared" si="34"/>
        <v>76.071587111538406</v>
      </c>
    </row>
    <row r="260" spans="1:28" x14ac:dyDescent="0.25">
      <c r="A260">
        <v>259</v>
      </c>
      <c r="B260" t="s">
        <v>645</v>
      </c>
      <c r="C260" t="s">
        <v>345</v>
      </c>
      <c r="D260">
        <v>3</v>
      </c>
      <c r="E260" t="s">
        <v>376</v>
      </c>
      <c r="G260" t="s">
        <v>205</v>
      </c>
      <c r="H260">
        <v>9.6999999999999993</v>
      </c>
      <c r="J260">
        <v>0.104</v>
      </c>
      <c r="K260">
        <v>10</v>
      </c>
      <c r="L260">
        <f t="shared" si="31"/>
        <v>7.38981131940659</v>
      </c>
      <c r="P260">
        <f t="shared" si="32"/>
        <v>0</v>
      </c>
      <c r="R260" t="s">
        <v>208</v>
      </c>
      <c r="S260" t="s">
        <v>144</v>
      </c>
      <c r="T260">
        <v>114.35</v>
      </c>
      <c r="U260">
        <v>59.73</v>
      </c>
      <c r="V260">
        <f t="shared" si="37"/>
        <v>5364.3680234740777</v>
      </c>
      <c r="W260">
        <f t="shared" si="38"/>
        <v>5364.3680234740777</v>
      </c>
      <c r="X260">
        <v>0.37</v>
      </c>
      <c r="Y260">
        <v>0.37</v>
      </c>
      <c r="Z260">
        <v>0.39</v>
      </c>
      <c r="AA260">
        <f t="shared" si="34"/>
        <v>71.055878071217208</v>
      </c>
    </row>
    <row r="261" spans="1:28" x14ac:dyDescent="0.25">
      <c r="A261">
        <v>260</v>
      </c>
      <c r="B261" t="s">
        <v>646</v>
      </c>
      <c r="C261" t="s">
        <v>603</v>
      </c>
      <c r="D261">
        <v>1</v>
      </c>
      <c r="E261" t="s">
        <v>604</v>
      </c>
      <c r="G261" t="s">
        <v>205</v>
      </c>
      <c r="H261">
        <v>7.1</v>
      </c>
      <c r="J261">
        <v>0.05</v>
      </c>
      <c r="K261">
        <v>10</v>
      </c>
      <c r="L261">
        <f t="shared" si="31"/>
        <v>3.9591921416865365</v>
      </c>
      <c r="P261">
        <f t="shared" si="32"/>
        <v>0</v>
      </c>
      <c r="R261" t="s">
        <v>208</v>
      </c>
      <c r="S261" t="s">
        <v>144</v>
      </c>
      <c r="T261">
        <v>40.270000000000003</v>
      </c>
      <c r="U261">
        <v>16.149999999999999</v>
      </c>
      <c r="V261">
        <f t="shared" si="37"/>
        <v>510.79194224624615</v>
      </c>
      <c r="W261">
        <f t="shared" si="38"/>
        <v>510.79194224624615</v>
      </c>
      <c r="X261">
        <v>0.23</v>
      </c>
      <c r="Y261">
        <v>0.28000000000000003</v>
      </c>
      <c r="Z261">
        <v>0.28000000000000003</v>
      </c>
      <c r="AA261">
        <f t="shared" si="34"/>
        <v>79.183842833730722</v>
      </c>
    </row>
    <row r="262" spans="1:28" x14ac:dyDescent="0.25">
      <c r="A262">
        <v>261</v>
      </c>
      <c r="B262" t="s">
        <v>647</v>
      </c>
      <c r="C262" t="s">
        <v>396</v>
      </c>
      <c r="D262">
        <v>5</v>
      </c>
      <c r="E262" t="s">
        <v>245</v>
      </c>
      <c r="G262" t="s">
        <v>205</v>
      </c>
      <c r="H262">
        <v>7.1</v>
      </c>
      <c r="J262">
        <v>6.6000000000000003E-2</v>
      </c>
      <c r="K262">
        <v>11</v>
      </c>
      <c r="L262">
        <f t="shared" si="31"/>
        <v>4.3551113558551906</v>
      </c>
      <c r="P262">
        <f t="shared" si="32"/>
        <v>0</v>
      </c>
      <c r="R262" t="s">
        <v>214</v>
      </c>
      <c r="S262">
        <v>7</v>
      </c>
      <c r="T262">
        <v>84.45</v>
      </c>
      <c r="U262">
        <v>19.649999999999999</v>
      </c>
      <c r="V262">
        <f t="shared" si="37"/>
        <v>1303.3230917636699</v>
      </c>
      <c r="W262">
        <f t="shared" si="38"/>
        <v>9123.2616423456893</v>
      </c>
      <c r="X262">
        <v>0.42</v>
      </c>
      <c r="Y262">
        <v>0.38</v>
      </c>
      <c r="Z262">
        <v>0.37</v>
      </c>
      <c r="AA262">
        <f t="shared" si="34"/>
        <v>65.986535694775611</v>
      </c>
    </row>
    <row r="263" spans="1:28" x14ac:dyDescent="0.25">
      <c r="A263">
        <v>262</v>
      </c>
      <c r="B263" t="s">
        <v>648</v>
      </c>
      <c r="C263" t="s">
        <v>441</v>
      </c>
      <c r="D263">
        <v>6</v>
      </c>
      <c r="E263" t="s">
        <v>489</v>
      </c>
      <c r="G263" t="s">
        <v>205</v>
      </c>
      <c r="H263">
        <v>9.6999999999999993</v>
      </c>
      <c r="J263">
        <v>8.6999999999999994E-2</v>
      </c>
      <c r="K263">
        <v>10</v>
      </c>
      <c r="L263">
        <f t="shared" si="31"/>
        <v>7.38981131940659</v>
      </c>
      <c r="P263">
        <f t="shared" si="32"/>
        <v>0</v>
      </c>
      <c r="R263" t="s">
        <v>208</v>
      </c>
      <c r="S263" t="s">
        <v>144</v>
      </c>
      <c r="T263">
        <v>90.24</v>
      </c>
      <c r="U263">
        <v>61.62</v>
      </c>
      <c r="V263">
        <f t="shared" si="37"/>
        <v>4367.2762309284208</v>
      </c>
      <c r="W263">
        <f t="shared" si="38"/>
        <v>4367.2762309284208</v>
      </c>
      <c r="X263">
        <v>0.39</v>
      </c>
      <c r="Y263">
        <v>0.41</v>
      </c>
      <c r="Z263">
        <v>0.42</v>
      </c>
      <c r="AA263">
        <f t="shared" si="34"/>
        <v>84.9403599931792</v>
      </c>
    </row>
    <row r="264" spans="1:28" x14ac:dyDescent="0.25">
      <c r="A264">
        <v>263</v>
      </c>
      <c r="B264" t="s">
        <v>649</v>
      </c>
      <c r="C264" t="s">
        <v>526</v>
      </c>
      <c r="D264">
        <v>2</v>
      </c>
      <c r="E264" t="s">
        <v>527</v>
      </c>
      <c r="G264" t="s">
        <v>205</v>
      </c>
      <c r="H264">
        <v>7.1</v>
      </c>
      <c r="J264">
        <v>2.9000000000000001E-2</v>
      </c>
      <c r="K264">
        <v>10</v>
      </c>
      <c r="L264">
        <f t="shared" si="31"/>
        <v>3.9591921416865365</v>
      </c>
      <c r="P264">
        <f t="shared" si="32"/>
        <v>0</v>
      </c>
      <c r="R264" t="s">
        <v>208</v>
      </c>
      <c r="S264" t="s">
        <v>144</v>
      </c>
      <c r="T264">
        <v>57.49</v>
      </c>
      <c r="U264">
        <v>24.37</v>
      </c>
      <c r="V264">
        <f t="shared" si="37"/>
        <v>1100.3674098823394</v>
      </c>
      <c r="W264">
        <f t="shared" si="38"/>
        <v>1100.3674098823394</v>
      </c>
      <c r="X264">
        <v>0.21</v>
      </c>
      <c r="Y264">
        <v>0.21</v>
      </c>
      <c r="Z264">
        <v>0.21</v>
      </c>
      <c r="AA264">
        <f t="shared" si="34"/>
        <v>136.52386695470815</v>
      </c>
    </row>
    <row r="265" spans="1:28" x14ac:dyDescent="0.25">
      <c r="A265">
        <v>264</v>
      </c>
      <c r="B265" t="s">
        <v>650</v>
      </c>
      <c r="C265" t="s">
        <v>387</v>
      </c>
      <c r="D265">
        <v>4</v>
      </c>
      <c r="E265" t="s">
        <v>217</v>
      </c>
      <c r="G265" t="s">
        <v>205</v>
      </c>
      <c r="H265">
        <v>9.6999999999999993</v>
      </c>
      <c r="J265">
        <v>0.11</v>
      </c>
      <c r="K265">
        <v>12</v>
      </c>
      <c r="L265">
        <f t="shared" si="31"/>
        <v>8.8677735832879065</v>
      </c>
      <c r="P265">
        <f t="shared" si="32"/>
        <v>0</v>
      </c>
      <c r="R265" t="s">
        <v>208</v>
      </c>
      <c r="S265" t="s">
        <v>144</v>
      </c>
      <c r="T265">
        <v>74.680000000000007</v>
      </c>
      <c r="U265">
        <v>33.26</v>
      </c>
      <c r="V265">
        <f t="shared" si="37"/>
        <v>1950.816568862263</v>
      </c>
      <c r="W265">
        <f t="shared" si="38"/>
        <v>1950.816568862263</v>
      </c>
      <c r="X265">
        <v>0.44</v>
      </c>
      <c r="Y265">
        <v>0.4</v>
      </c>
      <c r="Z265">
        <v>0.33</v>
      </c>
      <c r="AA265">
        <f t="shared" si="34"/>
        <v>80.616123484435519</v>
      </c>
    </row>
    <row r="266" spans="1:28" x14ac:dyDescent="0.25">
      <c r="A266">
        <v>265</v>
      </c>
      <c r="B266" t="s">
        <v>651</v>
      </c>
      <c r="C266" t="s">
        <v>351</v>
      </c>
      <c r="D266">
        <v>5</v>
      </c>
      <c r="E266" t="s">
        <v>21</v>
      </c>
      <c r="G266" t="s">
        <v>205</v>
      </c>
      <c r="H266">
        <v>7.1</v>
      </c>
      <c r="J266">
        <v>5.7000000000000002E-2</v>
      </c>
      <c r="K266">
        <v>14</v>
      </c>
      <c r="L266">
        <f t="shared" si="31"/>
        <v>5.5428689983611514</v>
      </c>
      <c r="P266">
        <f t="shared" si="32"/>
        <v>0</v>
      </c>
      <c r="R266" t="s">
        <v>214</v>
      </c>
      <c r="S266">
        <v>190</v>
      </c>
      <c r="T266">
        <v>11.08</v>
      </c>
      <c r="U266">
        <v>8.3699999999999992</v>
      </c>
      <c r="V266">
        <f t="shared" si="37"/>
        <v>72.837511514213986</v>
      </c>
      <c r="W266">
        <f t="shared" si="38"/>
        <v>13839.127187700657</v>
      </c>
      <c r="X266">
        <v>0.18</v>
      </c>
      <c r="Y266">
        <v>0.19</v>
      </c>
      <c r="Z266">
        <v>0.2</v>
      </c>
      <c r="AA266">
        <f t="shared" si="34"/>
        <v>97.243315760721956</v>
      </c>
    </row>
    <row r="267" spans="1:28" x14ac:dyDescent="0.25">
      <c r="A267">
        <v>266</v>
      </c>
      <c r="B267" t="s">
        <v>759</v>
      </c>
      <c r="C267" t="s">
        <v>641</v>
      </c>
      <c r="D267">
        <v>3</v>
      </c>
      <c r="E267" t="s">
        <v>633</v>
      </c>
      <c r="F267" s="2" t="d">
        <v>2017-07-05</v>
      </c>
      <c r="G267" t="s">
        <v>205</v>
      </c>
      <c r="H267">
        <v>7.1</v>
      </c>
      <c r="J267">
        <v>3.4000000000000002E-2</v>
      </c>
      <c r="K267">
        <v>10</v>
      </c>
      <c r="L267">
        <f t="shared" si="31"/>
        <v>3.9591921416865365</v>
      </c>
      <c r="P267">
        <f t="shared" si="32"/>
        <v>0</v>
      </c>
      <c r="R267" t="s">
        <v>208</v>
      </c>
      <c r="S267" t="s">
        <v>144</v>
      </c>
      <c r="T267">
        <v>103.21</v>
      </c>
      <c r="U267">
        <v>42.4</v>
      </c>
      <c r="V267">
        <f t="shared" si="37"/>
        <v>3436.9840444362267</v>
      </c>
      <c r="W267">
        <f t="shared" si="38"/>
        <v>3436.9840444362267</v>
      </c>
      <c r="X267">
        <v>0.27</v>
      </c>
      <c r="Y267">
        <v>0.26</v>
      </c>
      <c r="Z267">
        <v>0.26</v>
      </c>
      <c r="AA267">
        <f t="shared" si="34"/>
        <v>116.44682769666284</v>
      </c>
    </row>
    <row r="268" spans="1:28" x14ac:dyDescent="0.25">
      <c r="A268">
        <v>267</v>
      </c>
      <c r="B268" t="s">
        <v>760</v>
      </c>
      <c r="C268" t="s">
        <v>621</v>
      </c>
      <c r="D268">
        <v>3</v>
      </c>
      <c r="E268" t="s">
        <v>761</v>
      </c>
      <c r="F268" s="2" t="d">
        <v>2017-07-05</v>
      </c>
      <c r="G268" t="s">
        <v>205</v>
      </c>
      <c r="H268">
        <v>7.1</v>
      </c>
      <c r="J268">
        <v>0.05</v>
      </c>
      <c r="K268">
        <v>10</v>
      </c>
      <c r="L268">
        <f t="shared" si="31"/>
        <v>3.9591921416865365</v>
      </c>
      <c r="P268">
        <f t="shared" si="32"/>
        <v>0</v>
      </c>
      <c r="R268" t="s">
        <v>214</v>
      </c>
      <c r="S268">
        <v>5</v>
      </c>
      <c r="T268">
        <v>74.569999999999993</v>
      </c>
      <c r="U268">
        <v>29.82</v>
      </c>
      <c r="V268">
        <f t="shared" si="37"/>
        <v>1746.4721459484131</v>
      </c>
      <c r="W268">
        <f t="shared" si="38"/>
        <v>8732.3607297420658</v>
      </c>
      <c r="X268">
        <v>0.42</v>
      </c>
      <c r="Y268">
        <v>0.44</v>
      </c>
      <c r="Z268">
        <v>0.41</v>
      </c>
      <c r="AA268">
        <f t="shared" si="34"/>
        <v>79.183842833730722</v>
      </c>
    </row>
    <row r="269" spans="1:28" x14ac:dyDescent="0.25">
      <c r="A269">
        <v>268</v>
      </c>
      <c r="B269" t="s">
        <v>762</v>
      </c>
      <c r="C269" t="s">
        <v>470</v>
      </c>
      <c r="D269">
        <v>3</v>
      </c>
      <c r="E269" t="s">
        <v>471</v>
      </c>
      <c r="F269" s="2" t="d">
        <v>2017-07-05</v>
      </c>
      <c r="G269" t="s">
        <v>205</v>
      </c>
      <c r="H269">
        <v>9.6999999999999993</v>
      </c>
      <c r="J269">
        <v>9.7000000000000003E-2</v>
      </c>
      <c r="K269">
        <v>10</v>
      </c>
      <c r="L269">
        <f t="shared" si="31"/>
        <v>7.38981131940659</v>
      </c>
      <c r="P269">
        <f t="shared" si="32"/>
        <v>0</v>
      </c>
      <c r="R269" t="s">
        <v>208</v>
      </c>
      <c r="S269" t="s">
        <v>144</v>
      </c>
      <c r="T269">
        <v>91.48</v>
      </c>
      <c r="U269">
        <v>50.53</v>
      </c>
      <c r="V269">
        <f t="shared" si="37"/>
        <v>3630.4907580933559</v>
      </c>
      <c r="W269">
        <f t="shared" si="38"/>
        <v>3630.4907580933559</v>
      </c>
      <c r="X269">
        <v>0.33</v>
      </c>
      <c r="Y269">
        <v>0.28000000000000003</v>
      </c>
      <c r="Z269">
        <v>0.28999999999999998</v>
      </c>
      <c r="AA269">
        <f t="shared" si="34"/>
        <v>76.183621849552466</v>
      </c>
    </row>
    <row r="270" spans="1:28" x14ac:dyDescent="0.25">
      <c r="A270">
        <v>269</v>
      </c>
      <c r="B270" t="s">
        <v>765</v>
      </c>
      <c r="C270" t="s">
        <v>397</v>
      </c>
      <c r="D270">
        <v>5</v>
      </c>
      <c r="E270" t="s">
        <v>259</v>
      </c>
      <c r="F270" s="2" t="d">
        <v>2017-07-05</v>
      </c>
      <c r="G270" t="s">
        <v>205</v>
      </c>
      <c r="H270">
        <v>7.1</v>
      </c>
      <c r="J270">
        <v>0.04</v>
      </c>
      <c r="K270">
        <v>10</v>
      </c>
      <c r="L270">
        <f t="shared" si="31"/>
        <v>3.9591921416865365</v>
      </c>
      <c r="P270">
        <f t="shared" si="32"/>
        <v>0</v>
      </c>
      <c r="R270" t="s">
        <v>208</v>
      </c>
      <c r="S270" t="s">
        <v>144</v>
      </c>
      <c r="T270">
        <v>76.099999999999994</v>
      </c>
      <c r="U270">
        <v>18.7</v>
      </c>
      <c r="V270">
        <f t="shared" si="37"/>
        <v>1117.6765643860067</v>
      </c>
      <c r="W270">
        <f t="shared" si="38"/>
        <v>1117.6765643860067</v>
      </c>
      <c r="X270">
        <v>0.22</v>
      </c>
      <c r="Y270">
        <v>0.24</v>
      </c>
      <c r="Z270">
        <v>0.23</v>
      </c>
      <c r="AA270">
        <f t="shared" si="34"/>
        <v>98.97980354216341</v>
      </c>
      <c r="AB270" t="s">
        <v>1048</v>
      </c>
    </row>
    <row r="271" spans="1:28" x14ac:dyDescent="0.25">
      <c r="A271">
        <v>270</v>
      </c>
      <c r="B271" t="s">
        <v>766</v>
      </c>
      <c r="C271" t="s">
        <v>372</v>
      </c>
      <c r="D271">
        <v>4</v>
      </c>
      <c r="E271" t="s">
        <v>384</v>
      </c>
      <c r="F271" s="2" t="d">
        <v>2017-07-05</v>
      </c>
      <c r="G271" t="s">
        <v>205</v>
      </c>
      <c r="H271">
        <v>7.1</v>
      </c>
      <c r="J271">
        <v>3.5999999999999997E-2</v>
      </c>
      <c r="K271">
        <v>10</v>
      </c>
      <c r="L271">
        <f t="shared" si="31"/>
        <v>3.9591921416865365</v>
      </c>
      <c r="P271">
        <f t="shared" si="32"/>
        <v>0</v>
      </c>
      <c r="R271" t="s">
        <v>208</v>
      </c>
      <c r="S271" t="s">
        <v>144</v>
      </c>
      <c r="T271">
        <v>59.68</v>
      </c>
      <c r="U271">
        <v>22.19</v>
      </c>
      <c r="V271">
        <f t="shared" si="37"/>
        <v>1040.1021594687102</v>
      </c>
      <c r="W271">
        <f t="shared" si="38"/>
        <v>1040.1021594687102</v>
      </c>
      <c r="X271">
        <v>0.22</v>
      </c>
      <c r="Y271">
        <v>0.19</v>
      </c>
      <c r="Z271">
        <v>0.17</v>
      </c>
      <c r="AA271">
        <f t="shared" si="34"/>
        <v>109.97755949129269</v>
      </c>
    </row>
    <row r="272" spans="1:28" x14ac:dyDescent="0.25">
      <c r="A272">
        <v>271</v>
      </c>
      <c r="B272" t="s">
        <v>767</v>
      </c>
      <c r="C272" t="s">
        <v>768</v>
      </c>
      <c r="D272">
        <v>1</v>
      </c>
      <c r="F272" s="2" t="d">
        <v>2017-07-05</v>
      </c>
      <c r="G272" t="s">
        <v>205</v>
      </c>
      <c r="H272">
        <v>7.1</v>
      </c>
      <c r="J272">
        <v>5.5E-2</v>
      </c>
      <c r="K272">
        <v>10</v>
      </c>
      <c r="L272">
        <f t="shared" si="31"/>
        <v>3.9591921416865365</v>
      </c>
      <c r="P272">
        <f t="shared" si="32"/>
        <v>0</v>
      </c>
      <c r="R272" t="s">
        <v>208</v>
      </c>
      <c r="S272" t="s">
        <v>144</v>
      </c>
      <c r="T272">
        <v>48.65</v>
      </c>
      <c r="U272">
        <v>23.94</v>
      </c>
      <c r="V272">
        <f t="shared" si="37"/>
        <v>914.73831834390353</v>
      </c>
      <c r="W272">
        <f t="shared" si="38"/>
        <v>914.73831834390353</v>
      </c>
      <c r="X272">
        <v>0.2</v>
      </c>
      <c r="Y272">
        <v>0.26</v>
      </c>
      <c r="Z272">
        <v>0.28000000000000003</v>
      </c>
      <c r="AA272">
        <f t="shared" si="34"/>
        <v>71.985311667027943</v>
      </c>
    </row>
    <row r="273" spans="1:27" x14ac:dyDescent="0.25">
      <c r="A273">
        <v>272</v>
      </c>
      <c r="B273" t="s">
        <v>769</v>
      </c>
      <c r="C273" t="s">
        <v>361</v>
      </c>
      <c r="D273">
        <v>4</v>
      </c>
      <c r="E273" t="s">
        <v>341</v>
      </c>
      <c r="F273" s="2" t="d">
        <v>2017-07-05</v>
      </c>
      <c r="G273" t="s">
        <v>205</v>
      </c>
      <c r="H273">
        <v>7.1</v>
      </c>
      <c r="J273">
        <v>7.3999999999999996E-2</v>
      </c>
      <c r="K273">
        <v>10</v>
      </c>
      <c r="L273">
        <f t="shared" si="31"/>
        <v>3.9591921416865365</v>
      </c>
      <c r="P273">
        <f t="shared" si="32"/>
        <v>0</v>
      </c>
      <c r="R273" t="s">
        <v>208</v>
      </c>
      <c r="S273" t="s">
        <v>144</v>
      </c>
      <c r="T273">
        <v>124.91</v>
      </c>
      <c r="U273">
        <v>55.17</v>
      </c>
      <c r="V273">
        <f t="shared" si="37"/>
        <v>5412.4023468289352</v>
      </c>
      <c r="W273">
        <f t="shared" si="38"/>
        <v>5412.4023468289352</v>
      </c>
      <c r="X273">
        <v>0.41</v>
      </c>
      <c r="Y273">
        <v>0.32</v>
      </c>
      <c r="Z273">
        <v>0.4</v>
      </c>
      <c r="AA273">
        <f t="shared" si="34"/>
        <v>53.502596509277524</v>
      </c>
    </row>
    <row r="274" spans="1:27" x14ac:dyDescent="0.25">
      <c r="A274">
        <v>273</v>
      </c>
      <c r="B274" t="s">
        <v>770</v>
      </c>
      <c r="C274" t="s">
        <v>354</v>
      </c>
      <c r="D274">
        <v>4</v>
      </c>
      <c r="E274" t="s">
        <v>406</v>
      </c>
      <c r="F274" s="2" t="d">
        <v>2017-07-05</v>
      </c>
      <c r="G274" t="s">
        <v>205</v>
      </c>
      <c r="H274">
        <v>9.6999999999999993</v>
      </c>
      <c r="J274">
        <v>0.13300000000000001</v>
      </c>
      <c r="K274">
        <v>9</v>
      </c>
      <c r="L274">
        <f t="shared" si="31"/>
        <v>6.6508301874659308</v>
      </c>
      <c r="P274">
        <f t="shared" si="32"/>
        <v>0</v>
      </c>
      <c r="R274" t="s">
        <v>208</v>
      </c>
      <c r="S274" t="s">
        <v>144</v>
      </c>
      <c r="T274">
        <v>108.65</v>
      </c>
      <c r="U274">
        <v>34.18</v>
      </c>
      <c r="V274">
        <f t="shared" si="37"/>
        <v>2916.6993872880776</v>
      </c>
      <c r="W274">
        <f t="shared" si="38"/>
        <v>2916.6993872880776</v>
      </c>
      <c r="X274">
        <v>0.33</v>
      </c>
      <c r="Y274">
        <v>0.35</v>
      </c>
      <c r="Z274">
        <v>0.34</v>
      </c>
      <c r="AA274">
        <f t="shared" si="34"/>
        <v>50.006242011022032</v>
      </c>
    </row>
    <row r="275" spans="1:27" x14ac:dyDescent="0.25">
      <c r="A275">
        <v>274</v>
      </c>
      <c r="B275" t="s">
        <v>771</v>
      </c>
      <c r="C275" t="s">
        <v>554</v>
      </c>
      <c r="D275">
        <v>3</v>
      </c>
      <c r="E275" t="s">
        <v>555</v>
      </c>
      <c r="F275" s="2" t="d">
        <v>2017-07-05</v>
      </c>
      <c r="G275" t="s">
        <v>205</v>
      </c>
      <c r="H275">
        <v>9.6999999999999993</v>
      </c>
      <c r="J275">
        <v>6.3E-2</v>
      </c>
      <c r="K275">
        <v>10</v>
      </c>
      <c r="L275">
        <f t="shared" si="31"/>
        <v>7.38981131940659</v>
      </c>
      <c r="P275">
        <f t="shared" si="32"/>
        <v>0</v>
      </c>
      <c r="R275" t="s">
        <v>208</v>
      </c>
      <c r="S275" t="s">
        <v>144</v>
      </c>
      <c r="T275">
        <v>147.56</v>
      </c>
      <c r="U275">
        <v>91.37</v>
      </c>
      <c r="V275">
        <f t="shared" si="37"/>
        <v>10589.175662781043</v>
      </c>
      <c r="W275">
        <f t="shared" si="38"/>
        <v>10589.175662781043</v>
      </c>
      <c r="X275">
        <v>0.43</v>
      </c>
      <c r="Y275">
        <v>0.34</v>
      </c>
      <c r="Z275">
        <v>0.42</v>
      </c>
      <c r="AA275">
        <f t="shared" si="34"/>
        <v>117.29859237153318</v>
      </c>
    </row>
    <row r="276" spans="1:27" x14ac:dyDescent="0.25">
      <c r="A276">
        <v>275</v>
      </c>
      <c r="B276" t="s">
        <v>772</v>
      </c>
      <c r="C276" t="s">
        <v>518</v>
      </c>
      <c r="D276">
        <v>5</v>
      </c>
      <c r="E276" t="s">
        <v>519</v>
      </c>
      <c r="F276" s="2" t="d">
        <v>2017-07-05</v>
      </c>
      <c r="G276" t="s">
        <v>205</v>
      </c>
      <c r="H276">
        <v>9.6999999999999993</v>
      </c>
      <c r="J276">
        <v>0.11600000000000001</v>
      </c>
      <c r="K276">
        <v>9</v>
      </c>
      <c r="L276">
        <f t="shared" si="31"/>
        <v>6.6508301874659308</v>
      </c>
      <c r="P276">
        <f t="shared" si="32"/>
        <v>0</v>
      </c>
      <c r="R276" t="s">
        <v>208</v>
      </c>
      <c r="S276" t="s">
        <v>144</v>
      </c>
      <c r="T276">
        <v>147.09</v>
      </c>
      <c r="U276">
        <v>66.33</v>
      </c>
      <c r="V276">
        <f t="shared" si="37"/>
        <v>7662.7212376044872</v>
      </c>
      <c r="W276">
        <f t="shared" si="38"/>
        <v>7662.7212376044872</v>
      </c>
      <c r="X276">
        <v>0.43</v>
      </c>
      <c r="Y276">
        <v>0.28999999999999998</v>
      </c>
      <c r="Z276">
        <v>0.31</v>
      </c>
      <c r="AA276">
        <f t="shared" si="34"/>
        <v>57.334742995395949</v>
      </c>
    </row>
    <row r="277" spans="1:27" x14ac:dyDescent="0.25">
      <c r="A277">
        <v>276</v>
      </c>
      <c r="B277" t="s">
        <v>773</v>
      </c>
      <c r="C277" t="s">
        <v>621</v>
      </c>
      <c r="D277">
        <v>2</v>
      </c>
      <c r="E277" t="s">
        <v>761</v>
      </c>
      <c r="F277" s="2" t="d">
        <v>2017-07-05</v>
      </c>
      <c r="G277" t="s">
        <v>205</v>
      </c>
      <c r="H277">
        <v>9.6999999999999993</v>
      </c>
      <c r="J277">
        <v>0.109</v>
      </c>
      <c r="K277">
        <v>10</v>
      </c>
      <c r="L277">
        <f t="shared" si="31"/>
        <v>7.38981131940659</v>
      </c>
      <c r="P277">
        <f t="shared" si="32"/>
        <v>0</v>
      </c>
      <c r="R277" t="s">
        <v>214</v>
      </c>
      <c r="S277">
        <v>5</v>
      </c>
      <c r="T277">
        <v>87.23</v>
      </c>
      <c r="U277">
        <v>32.11</v>
      </c>
      <c r="V277">
        <f t="shared" si="37"/>
        <v>2199.8651483783487</v>
      </c>
      <c r="W277">
        <f t="shared" si="38"/>
        <v>10999.325741891744</v>
      </c>
      <c r="X277">
        <v>0.36</v>
      </c>
      <c r="Y277">
        <v>0.39</v>
      </c>
      <c r="Z277">
        <v>0.43</v>
      </c>
      <c r="AA277">
        <f t="shared" si="34"/>
        <v>67.796434122996232</v>
      </c>
    </row>
    <row r="278" spans="1:27" x14ac:dyDescent="0.25">
      <c r="A278">
        <v>277</v>
      </c>
      <c r="B278" t="s">
        <v>774</v>
      </c>
      <c r="C278" t="s">
        <v>360</v>
      </c>
      <c r="D278">
        <v>5</v>
      </c>
      <c r="E278" t="s">
        <v>374</v>
      </c>
      <c r="F278" s="2" t="d">
        <v>2017-07-05</v>
      </c>
      <c r="G278" t="s">
        <v>205</v>
      </c>
      <c r="H278">
        <v>9.6999999999999993</v>
      </c>
      <c r="J278">
        <v>8.4000000000000005E-2</v>
      </c>
      <c r="K278">
        <v>10</v>
      </c>
      <c r="L278">
        <f t="shared" si="31"/>
        <v>7.38981131940659</v>
      </c>
      <c r="P278">
        <f t="shared" si="32"/>
        <v>0</v>
      </c>
      <c r="R278" t="s">
        <v>208</v>
      </c>
      <c r="S278" t="s">
        <v>144</v>
      </c>
      <c r="T278">
        <v>158</v>
      </c>
      <c r="U278">
        <v>88.15</v>
      </c>
      <c r="V278">
        <f t="shared" si="37"/>
        <v>10938.79000035064</v>
      </c>
      <c r="W278">
        <f t="shared" si="38"/>
        <v>10938.79000035064</v>
      </c>
      <c r="X278">
        <v>0.56999999999999995</v>
      </c>
      <c r="Y278">
        <v>0.66</v>
      </c>
      <c r="Z278">
        <v>0.67</v>
      </c>
      <c r="AA278">
        <f t="shared" si="34"/>
        <v>87.973944278649881</v>
      </c>
    </row>
    <row r="279" spans="1:27" x14ac:dyDescent="0.25">
      <c r="A279">
        <v>278</v>
      </c>
      <c r="B279" t="s">
        <v>779</v>
      </c>
      <c r="C279" t="s">
        <v>641</v>
      </c>
      <c r="D279">
        <v>5</v>
      </c>
      <c r="E279" t="s">
        <v>633</v>
      </c>
      <c r="F279" s="2" t="d">
        <v>2017-07-07</v>
      </c>
      <c r="G279" t="s">
        <v>205</v>
      </c>
      <c r="H279">
        <v>7.1</v>
      </c>
      <c r="J279">
        <v>0.04</v>
      </c>
      <c r="K279">
        <v>10</v>
      </c>
      <c r="L279">
        <f t="shared" si="31"/>
        <v>3.9591921416865365</v>
      </c>
      <c r="P279">
        <f t="shared" si="32"/>
        <v>0</v>
      </c>
      <c r="R279" t="s">
        <v>208</v>
      </c>
      <c r="S279" t="s">
        <v>144</v>
      </c>
      <c r="T279">
        <v>116.13</v>
      </c>
      <c r="U279">
        <v>39.590000000000003</v>
      </c>
      <c r="V279">
        <f t="shared" si="37"/>
        <v>3610.936150240535</v>
      </c>
      <c r="W279">
        <f t="shared" si="38"/>
        <v>3610.936150240535</v>
      </c>
      <c r="X279">
        <v>0.26</v>
      </c>
      <c r="Y279">
        <v>0.27</v>
      </c>
      <c r="Z279">
        <v>0.26</v>
      </c>
      <c r="AA279">
        <f t="shared" si="34"/>
        <v>98.97980354216341</v>
      </c>
    </row>
    <row r="280" spans="1:27" x14ac:dyDescent="0.25">
      <c r="A280">
        <v>279</v>
      </c>
      <c r="B280" t="s">
        <v>780</v>
      </c>
      <c r="C280" t="s">
        <v>354</v>
      </c>
      <c r="D280">
        <v>5</v>
      </c>
      <c r="E280" t="s">
        <v>406</v>
      </c>
      <c r="F280" s="2" t="d">
        <v>2017-07-07</v>
      </c>
      <c r="G280" t="s">
        <v>205</v>
      </c>
      <c r="H280">
        <v>9.6999999999999993</v>
      </c>
      <c r="J280">
        <v>0.11899999999999999</v>
      </c>
      <c r="K280">
        <v>10</v>
      </c>
      <c r="L280">
        <f t="shared" si="31"/>
        <v>7.38981131940659</v>
      </c>
      <c r="P280">
        <f t="shared" si="32"/>
        <v>0</v>
      </c>
      <c r="R280" t="s">
        <v>208</v>
      </c>
      <c r="S280" t="s">
        <v>144</v>
      </c>
      <c r="T280">
        <v>123.51</v>
      </c>
      <c r="U280">
        <v>43.47</v>
      </c>
      <c r="V280">
        <f t="shared" si="37"/>
        <v>4216.7867956981827</v>
      </c>
      <c r="W280">
        <f t="shared" si="38"/>
        <v>4216.7867956981827</v>
      </c>
      <c r="X280">
        <v>0.34</v>
      </c>
      <c r="Y280">
        <v>0.33</v>
      </c>
      <c r="Z280">
        <v>0.34</v>
      </c>
      <c r="AA280">
        <f t="shared" si="34"/>
        <v>62.099254784929329</v>
      </c>
    </row>
    <row r="281" spans="1:27" x14ac:dyDescent="0.25">
      <c r="A281">
        <v>280</v>
      </c>
      <c r="B281" t="s">
        <v>781</v>
      </c>
      <c r="C281" t="s">
        <v>382</v>
      </c>
      <c r="D281">
        <v>5</v>
      </c>
      <c r="E281" t="s">
        <v>335</v>
      </c>
      <c r="F281" s="2" t="d">
        <v>2017-07-07</v>
      </c>
      <c r="G281" t="s">
        <v>205</v>
      </c>
      <c r="H281">
        <v>7.1</v>
      </c>
      <c r="J281">
        <v>4.3999999999999997E-2</v>
      </c>
      <c r="K281">
        <v>10</v>
      </c>
      <c r="L281">
        <f t="shared" si="31"/>
        <v>3.9591921416865365</v>
      </c>
      <c r="P281">
        <f t="shared" si="32"/>
        <v>0</v>
      </c>
      <c r="R281" t="s">
        <v>214</v>
      </c>
      <c r="S281">
        <v>7</v>
      </c>
      <c r="T281">
        <v>48.8</v>
      </c>
      <c r="U281">
        <v>19.04</v>
      </c>
      <c r="V281">
        <f t="shared" si="37"/>
        <v>729.75427431706578</v>
      </c>
      <c r="W281">
        <f t="shared" si="38"/>
        <v>5108.2799202194601</v>
      </c>
      <c r="X281">
        <v>0.18</v>
      </c>
      <c r="Y281">
        <v>0.17</v>
      </c>
      <c r="Z281">
        <v>0.17</v>
      </c>
      <c r="AA281">
        <f t="shared" si="34"/>
        <v>89.981639583784926</v>
      </c>
    </row>
    <row r="282" spans="1:27" x14ac:dyDescent="0.25">
      <c r="A282">
        <v>281</v>
      </c>
      <c r="B282" t="s">
        <v>782</v>
      </c>
      <c r="C282" t="s">
        <v>621</v>
      </c>
      <c r="D282">
        <v>5</v>
      </c>
      <c r="E282" t="s">
        <v>761</v>
      </c>
      <c r="F282" s="2" t="d">
        <v>2017-07-07</v>
      </c>
      <c r="G282" t="s">
        <v>205</v>
      </c>
      <c r="H282">
        <v>9.6999999999999993</v>
      </c>
      <c r="J282">
        <v>8.3000000000000004E-2</v>
      </c>
      <c r="K282">
        <v>10</v>
      </c>
      <c r="L282">
        <f t="shared" si="31"/>
        <v>7.38981131940659</v>
      </c>
      <c r="P282">
        <f t="shared" si="32"/>
        <v>0</v>
      </c>
      <c r="R282" t="s">
        <v>214</v>
      </c>
      <c r="S282">
        <v>5</v>
      </c>
      <c r="T282">
        <v>139.07</v>
      </c>
      <c r="U282">
        <v>57.38</v>
      </c>
      <c r="V282">
        <f t="shared" si="37"/>
        <v>6267.3490098517377</v>
      </c>
      <c r="W282">
        <f t="shared" si="38"/>
        <v>31336.745049258687</v>
      </c>
      <c r="X282">
        <v>0.35</v>
      </c>
      <c r="Y282">
        <v>0.35</v>
      </c>
      <c r="Z282">
        <v>0.35</v>
      </c>
      <c r="AA282">
        <f t="shared" si="34"/>
        <v>89.033871318151682</v>
      </c>
    </row>
    <row r="283" spans="1:27" x14ac:dyDescent="0.25">
      <c r="A283">
        <v>282</v>
      </c>
      <c r="B283" t="s">
        <v>783</v>
      </c>
      <c r="C283" t="s">
        <v>538</v>
      </c>
      <c r="D283">
        <v>3</v>
      </c>
      <c r="E283" t="s">
        <v>784</v>
      </c>
      <c r="F283" s="2" t="d">
        <v>2017-07-07</v>
      </c>
      <c r="G283" t="s">
        <v>205</v>
      </c>
      <c r="H283">
        <v>9.6999999999999993</v>
      </c>
      <c r="I283" t="s">
        <v>144</v>
      </c>
      <c r="J283">
        <v>0.14199999999999999</v>
      </c>
      <c r="K283">
        <v>10</v>
      </c>
      <c r="L283">
        <f t="shared" ref="L283:L295" si="39">PI()*((H283/2)^2)/100 * K283</f>
        <v>7.38981131940659</v>
      </c>
      <c r="P283">
        <f t="shared" ref="P283:P346" si="40">O283 / (300 * 300) * 2.54</f>
        <v>0</v>
      </c>
      <c r="R283" t="s">
        <v>214</v>
      </c>
      <c r="S283">
        <v>6</v>
      </c>
      <c r="T283">
        <v>57.11</v>
      </c>
      <c r="U283">
        <v>37.14</v>
      </c>
      <c r="V283">
        <f t="shared" si="37"/>
        <v>1665.8808696058741</v>
      </c>
      <c r="W283">
        <f t="shared" si="38"/>
        <v>9995.2852176352444</v>
      </c>
      <c r="X283">
        <v>0.53</v>
      </c>
      <c r="Y283">
        <v>0.43</v>
      </c>
      <c r="Z283">
        <v>0.46</v>
      </c>
      <c r="AA283">
        <f t="shared" ref="AA283:AA295" si="41">L283/J283</f>
        <v>52.040924784553454</v>
      </c>
    </row>
    <row r="284" spans="1:27" x14ac:dyDescent="0.25">
      <c r="A284">
        <v>283</v>
      </c>
      <c r="B284" t="s">
        <v>785</v>
      </c>
      <c r="C284" t="s">
        <v>372</v>
      </c>
      <c r="D284">
        <v>5</v>
      </c>
      <c r="E284" t="s">
        <v>384</v>
      </c>
      <c r="F284" s="2" t="d">
        <v>2017-07-07</v>
      </c>
      <c r="G284" t="s">
        <v>205</v>
      </c>
      <c r="H284">
        <v>7.1</v>
      </c>
      <c r="I284" t="s">
        <v>144</v>
      </c>
      <c r="J284">
        <v>0.03</v>
      </c>
      <c r="K284">
        <v>10</v>
      </c>
      <c r="L284">
        <f t="shared" si="39"/>
        <v>3.9591921416865365</v>
      </c>
      <c r="P284">
        <f t="shared" si="40"/>
        <v>0</v>
      </c>
      <c r="R284" t="s">
        <v>208</v>
      </c>
      <c r="S284" t="s">
        <v>144</v>
      </c>
      <c r="T284">
        <v>56.95</v>
      </c>
      <c r="U284">
        <v>16.63</v>
      </c>
      <c r="V284">
        <f t="shared" si="37"/>
        <v>743.83371449321021</v>
      </c>
      <c r="W284">
        <f t="shared" si="38"/>
        <v>743.83371449321021</v>
      </c>
      <c r="X284">
        <v>0.12</v>
      </c>
      <c r="Y284">
        <v>0.11</v>
      </c>
      <c r="Z284">
        <v>0.11</v>
      </c>
      <c r="AA284">
        <f t="shared" si="41"/>
        <v>131.97307138955122</v>
      </c>
    </row>
    <row r="285" spans="1:27" x14ac:dyDescent="0.25">
      <c r="A285">
        <v>284</v>
      </c>
      <c r="B285" t="s">
        <v>786</v>
      </c>
      <c r="C285" t="s">
        <v>641</v>
      </c>
      <c r="D285">
        <v>4</v>
      </c>
      <c r="E285" t="s">
        <v>633</v>
      </c>
      <c r="F285" s="2" t="d">
        <v>2017-07-07</v>
      </c>
      <c r="G285" t="s">
        <v>205</v>
      </c>
      <c r="H285">
        <v>7.1</v>
      </c>
      <c r="J285">
        <v>5.2999999999999999E-2</v>
      </c>
      <c r="K285">
        <v>10</v>
      </c>
      <c r="L285">
        <f t="shared" si="39"/>
        <v>3.9591921416865365</v>
      </c>
      <c r="P285">
        <f t="shared" si="40"/>
        <v>0</v>
      </c>
      <c r="R285" t="s">
        <v>208</v>
      </c>
      <c r="S285" t="s">
        <v>144</v>
      </c>
      <c r="T285">
        <v>78.239999999999995</v>
      </c>
      <c r="U285">
        <v>27.24</v>
      </c>
      <c r="V285">
        <f t="shared" si="37"/>
        <v>1673.8858047668534</v>
      </c>
      <c r="W285">
        <f t="shared" si="38"/>
        <v>1673.8858047668534</v>
      </c>
      <c r="X285">
        <v>0.35</v>
      </c>
      <c r="Y285">
        <v>0.32</v>
      </c>
      <c r="Z285">
        <v>0.36</v>
      </c>
      <c r="AA285">
        <f t="shared" si="41"/>
        <v>74.701738522387487</v>
      </c>
    </row>
    <row r="286" spans="1:27" x14ac:dyDescent="0.25">
      <c r="A286">
        <v>285</v>
      </c>
      <c r="B286" t="s">
        <v>787</v>
      </c>
      <c r="C286" t="s">
        <v>451</v>
      </c>
      <c r="D286">
        <v>5</v>
      </c>
      <c r="E286" t="s">
        <v>452</v>
      </c>
      <c r="F286" s="2" t="d">
        <v>2017-07-07</v>
      </c>
      <c r="G286" t="s">
        <v>205</v>
      </c>
      <c r="H286">
        <v>9.6999999999999993</v>
      </c>
      <c r="J286">
        <v>9.9000000000000005E-2</v>
      </c>
      <c r="K286">
        <v>10</v>
      </c>
      <c r="L286">
        <f t="shared" si="39"/>
        <v>7.38981131940659</v>
      </c>
      <c r="P286">
        <f t="shared" si="40"/>
        <v>0</v>
      </c>
      <c r="R286" t="s">
        <v>208</v>
      </c>
      <c r="S286" t="s">
        <v>144</v>
      </c>
      <c r="T286">
        <v>70.27</v>
      </c>
      <c r="U286">
        <v>34.799999999999997</v>
      </c>
      <c r="V286">
        <f t="shared" si="37"/>
        <v>1920.6095271794661</v>
      </c>
      <c r="W286">
        <f t="shared" si="38"/>
        <v>1920.6095271794661</v>
      </c>
      <c r="X286">
        <v>0.41</v>
      </c>
      <c r="Y286">
        <v>0.42</v>
      </c>
      <c r="Z286">
        <v>0.41</v>
      </c>
      <c r="AA286">
        <f t="shared" si="41"/>
        <v>74.64455878188474</v>
      </c>
    </row>
    <row r="287" spans="1:27" x14ac:dyDescent="0.25">
      <c r="A287">
        <v>286</v>
      </c>
      <c r="B287" t="s">
        <v>788</v>
      </c>
      <c r="C287" t="s">
        <v>398</v>
      </c>
      <c r="D287">
        <v>4</v>
      </c>
      <c r="E287" t="s">
        <v>262</v>
      </c>
      <c r="F287" s="2" t="d">
        <v>2017-07-07</v>
      </c>
      <c r="G287" t="s">
        <v>205</v>
      </c>
      <c r="H287">
        <v>9.6999999999999993</v>
      </c>
      <c r="J287">
        <v>0.111</v>
      </c>
      <c r="K287">
        <v>10</v>
      </c>
      <c r="L287">
        <f t="shared" si="39"/>
        <v>7.38981131940659</v>
      </c>
      <c r="P287">
        <f t="shared" si="40"/>
        <v>0</v>
      </c>
      <c r="R287" t="s">
        <v>208</v>
      </c>
      <c r="S287" t="s">
        <v>144</v>
      </c>
      <c r="T287">
        <v>114.94</v>
      </c>
      <c r="U287">
        <v>40.78</v>
      </c>
      <c r="V287">
        <f t="shared" si="37"/>
        <v>3681.3600546588123</v>
      </c>
      <c r="W287">
        <f t="shared" si="38"/>
        <v>3681.3600546588123</v>
      </c>
      <c r="X287">
        <v>0.5</v>
      </c>
      <c r="Y287">
        <v>0.45</v>
      </c>
      <c r="Z287">
        <v>0.42</v>
      </c>
      <c r="AA287">
        <f t="shared" si="41"/>
        <v>66.574876751410713</v>
      </c>
    </row>
    <row r="288" spans="1:27" x14ac:dyDescent="0.25">
      <c r="A288">
        <v>287</v>
      </c>
      <c r="B288" t="s">
        <v>789</v>
      </c>
      <c r="C288" t="s">
        <v>344</v>
      </c>
      <c r="D288">
        <v>4</v>
      </c>
      <c r="E288" t="s">
        <v>5</v>
      </c>
      <c r="F288" s="2" t="d">
        <v>2017-07-07</v>
      </c>
      <c r="G288" t="s">
        <v>205</v>
      </c>
      <c r="H288">
        <v>9.6999999999999993</v>
      </c>
      <c r="J288">
        <v>0.09</v>
      </c>
      <c r="K288">
        <v>12</v>
      </c>
      <c r="L288">
        <f t="shared" si="39"/>
        <v>8.8677735832879065</v>
      </c>
      <c r="P288">
        <f t="shared" si="40"/>
        <v>0</v>
      </c>
      <c r="R288" t="s">
        <v>208</v>
      </c>
      <c r="S288" t="s">
        <v>144</v>
      </c>
      <c r="T288">
        <v>63.51</v>
      </c>
      <c r="U288">
        <v>38.53</v>
      </c>
      <c r="V288">
        <f t="shared" si="37"/>
        <v>1921.9009573795408</v>
      </c>
      <c r="W288">
        <f t="shared" si="38"/>
        <v>1921.9009573795408</v>
      </c>
      <c r="X288">
        <v>0.28000000000000003</v>
      </c>
      <c r="Y288">
        <v>0.28000000000000003</v>
      </c>
      <c r="Z288">
        <v>0.22</v>
      </c>
      <c r="AA288">
        <f t="shared" si="41"/>
        <v>98.530817592087857</v>
      </c>
    </row>
    <row r="289" spans="1:27" x14ac:dyDescent="0.25">
      <c r="A289">
        <v>288</v>
      </c>
      <c r="B289" t="s">
        <v>790</v>
      </c>
      <c r="C289" t="s">
        <v>621</v>
      </c>
      <c r="D289">
        <v>4</v>
      </c>
      <c r="E289" t="s">
        <v>761</v>
      </c>
      <c r="F289" s="2" t="d">
        <v>2017-07-07</v>
      </c>
      <c r="G289" t="s">
        <v>205</v>
      </c>
      <c r="H289">
        <v>7.1</v>
      </c>
      <c r="J289">
        <v>4.7E-2</v>
      </c>
      <c r="K289">
        <v>10</v>
      </c>
      <c r="L289">
        <f t="shared" si="39"/>
        <v>3.9591921416865365</v>
      </c>
      <c r="P289">
        <f t="shared" si="40"/>
        <v>0</v>
      </c>
      <c r="R289" t="s">
        <v>214</v>
      </c>
      <c r="S289">
        <v>5</v>
      </c>
      <c r="T289">
        <v>68.34</v>
      </c>
      <c r="U289">
        <v>31.61</v>
      </c>
      <c r="V289">
        <f t="shared" si="37"/>
        <v>1696.638632480845</v>
      </c>
      <c r="W289">
        <f t="shared" si="38"/>
        <v>8483.1931624042245</v>
      </c>
      <c r="X289">
        <v>0.35</v>
      </c>
      <c r="Y289">
        <v>0.31</v>
      </c>
      <c r="Z289">
        <v>0.35</v>
      </c>
      <c r="AA289">
        <f t="shared" si="41"/>
        <v>84.238130674181633</v>
      </c>
    </row>
    <row r="290" spans="1:27" x14ac:dyDescent="0.25">
      <c r="A290">
        <v>289</v>
      </c>
      <c r="B290" t="s">
        <v>791</v>
      </c>
      <c r="C290" t="s">
        <v>402</v>
      </c>
      <c r="D290">
        <v>4</v>
      </c>
      <c r="E290" t="s">
        <v>294</v>
      </c>
      <c r="F290" s="2" t="d">
        <v>2017-07-07</v>
      </c>
      <c r="G290" t="s">
        <v>205</v>
      </c>
      <c r="H290">
        <v>7.1</v>
      </c>
      <c r="J290">
        <v>5.2999999999999999E-2</v>
      </c>
      <c r="K290">
        <v>11</v>
      </c>
      <c r="L290">
        <f t="shared" si="39"/>
        <v>4.3551113558551906</v>
      </c>
      <c r="P290">
        <f t="shared" si="40"/>
        <v>0</v>
      </c>
      <c r="R290" t="s">
        <v>208</v>
      </c>
      <c r="S290" t="s">
        <v>144</v>
      </c>
      <c r="T290">
        <v>41.25</v>
      </c>
      <c r="U290">
        <v>18.059999999999999</v>
      </c>
      <c r="V290">
        <f t="shared" ref="V290:V297" si="42">(((T290/2) * (U290/2)) * PI())</f>
        <v>585.10199677701394</v>
      </c>
      <c r="W290">
        <f t="shared" ref="W290:W297" si="43">IF(ISNUMBER(S290), S290*V290, V290)</f>
        <v>585.10199677701394</v>
      </c>
      <c r="X290">
        <v>0.24</v>
      </c>
      <c r="Y290">
        <v>0.3</v>
      </c>
      <c r="Z290">
        <v>0.24</v>
      </c>
      <c r="AA290">
        <f t="shared" si="41"/>
        <v>82.171912374626245</v>
      </c>
    </row>
    <row r="291" spans="1:27" x14ac:dyDescent="0.25">
      <c r="A291">
        <v>290</v>
      </c>
      <c r="B291" t="s">
        <v>792</v>
      </c>
      <c r="C291" t="s">
        <v>361</v>
      </c>
      <c r="D291">
        <v>5</v>
      </c>
      <c r="E291" t="s">
        <v>341</v>
      </c>
      <c r="F291" s="2" t="d">
        <v>2017-07-07</v>
      </c>
      <c r="G291" t="s">
        <v>205</v>
      </c>
      <c r="H291">
        <v>7.1</v>
      </c>
      <c r="J291">
        <v>0.05</v>
      </c>
      <c r="K291">
        <v>10</v>
      </c>
      <c r="L291">
        <f t="shared" si="39"/>
        <v>3.9591921416865365</v>
      </c>
      <c r="P291">
        <f t="shared" si="40"/>
        <v>0</v>
      </c>
      <c r="R291" t="s">
        <v>208</v>
      </c>
      <c r="S291" t="s">
        <v>144</v>
      </c>
      <c r="T291">
        <v>140.41</v>
      </c>
      <c r="U291">
        <v>42.72</v>
      </c>
      <c r="V291">
        <f t="shared" si="42"/>
        <v>4711.0657415589976</v>
      </c>
      <c r="W291">
        <f t="shared" si="43"/>
        <v>4711.0657415589976</v>
      </c>
      <c r="X291">
        <v>0.28999999999999998</v>
      </c>
      <c r="Y291">
        <v>0.28000000000000003</v>
      </c>
      <c r="Z291">
        <v>0.28000000000000003</v>
      </c>
      <c r="AA291">
        <f t="shared" si="41"/>
        <v>79.183842833730722</v>
      </c>
    </row>
    <row r="292" spans="1:27" x14ac:dyDescent="0.25">
      <c r="A292">
        <v>291</v>
      </c>
      <c r="B292" t="s">
        <v>793</v>
      </c>
      <c r="C292" t="s">
        <v>346</v>
      </c>
      <c r="D292">
        <v>4</v>
      </c>
      <c r="E292" t="s">
        <v>377</v>
      </c>
      <c r="F292" s="2" t="d">
        <v>2017-07-07</v>
      </c>
      <c r="G292" t="s">
        <v>205</v>
      </c>
      <c r="H292">
        <v>7.1</v>
      </c>
      <c r="J292">
        <v>6.0999999999999999E-2</v>
      </c>
      <c r="K292">
        <v>10</v>
      </c>
      <c r="L292">
        <f t="shared" si="39"/>
        <v>3.9591921416865365</v>
      </c>
      <c r="P292">
        <f t="shared" si="40"/>
        <v>0</v>
      </c>
      <c r="R292" t="s">
        <v>214</v>
      </c>
      <c r="S292">
        <v>5</v>
      </c>
      <c r="T292">
        <v>76.040000000000006</v>
      </c>
      <c r="U292">
        <v>35.81</v>
      </c>
      <c r="V292">
        <f t="shared" si="42"/>
        <v>2138.6332299052101</v>
      </c>
      <c r="W292">
        <f t="shared" si="43"/>
        <v>10693.166149526051</v>
      </c>
      <c r="X292">
        <v>0.41</v>
      </c>
      <c r="Y292">
        <v>0.42</v>
      </c>
      <c r="Z292">
        <v>0.39</v>
      </c>
      <c r="AA292">
        <f t="shared" si="41"/>
        <v>64.904789207976009</v>
      </c>
    </row>
    <row r="293" spans="1:27" x14ac:dyDescent="0.25">
      <c r="A293">
        <v>292</v>
      </c>
      <c r="B293" t="s">
        <v>794</v>
      </c>
      <c r="C293" t="s">
        <v>348</v>
      </c>
      <c r="D293">
        <v>5</v>
      </c>
      <c r="E293" t="s">
        <v>497</v>
      </c>
      <c r="F293" s="2" t="d">
        <v>2017-07-07</v>
      </c>
      <c r="G293" t="s">
        <v>205</v>
      </c>
      <c r="H293">
        <v>7.1</v>
      </c>
      <c r="I293" t="s">
        <v>144</v>
      </c>
      <c r="J293">
        <v>4.5999999999999999E-2</v>
      </c>
      <c r="K293">
        <v>10</v>
      </c>
      <c r="L293">
        <f t="shared" si="39"/>
        <v>3.9591921416865365</v>
      </c>
      <c r="P293">
        <f t="shared" si="40"/>
        <v>0</v>
      </c>
      <c r="R293" t="s">
        <v>208</v>
      </c>
      <c r="S293" t="s">
        <v>144</v>
      </c>
      <c r="T293">
        <v>88.18</v>
      </c>
      <c r="U293">
        <v>44.13</v>
      </c>
      <c r="V293">
        <f t="shared" si="42"/>
        <v>3056.2853754353182</v>
      </c>
      <c r="W293">
        <f t="shared" si="43"/>
        <v>3056.2853754353182</v>
      </c>
      <c r="X293">
        <v>0.21</v>
      </c>
      <c r="Y293">
        <v>0.22</v>
      </c>
      <c r="Z293">
        <v>0.24</v>
      </c>
      <c r="AA293">
        <f t="shared" si="41"/>
        <v>86.069394384489925</v>
      </c>
    </row>
    <row r="294" spans="1:27" x14ac:dyDescent="0.25">
      <c r="A294">
        <v>293</v>
      </c>
      <c r="B294" t="s">
        <v>795</v>
      </c>
      <c r="C294" t="s">
        <v>796</v>
      </c>
      <c r="D294">
        <v>2</v>
      </c>
      <c r="E294" t="s">
        <v>797</v>
      </c>
      <c r="F294" s="2" t="d">
        <v>2017-07-07</v>
      </c>
      <c r="G294" t="s">
        <v>205</v>
      </c>
      <c r="H294">
        <v>7.1</v>
      </c>
      <c r="J294">
        <v>4.5999999999999999E-2</v>
      </c>
      <c r="K294">
        <v>10</v>
      </c>
      <c r="L294">
        <f t="shared" si="39"/>
        <v>3.9591921416865365</v>
      </c>
      <c r="P294">
        <f t="shared" si="40"/>
        <v>0</v>
      </c>
      <c r="R294" t="s">
        <v>208</v>
      </c>
      <c r="S294" t="s">
        <v>144</v>
      </c>
      <c r="T294">
        <v>59.6</v>
      </c>
      <c r="U294">
        <v>42.6</v>
      </c>
      <c r="V294">
        <f t="shared" si="42"/>
        <v>1994.0945209395852</v>
      </c>
      <c r="W294">
        <f t="shared" si="43"/>
        <v>1994.0945209395852</v>
      </c>
      <c r="X294">
        <v>0.23</v>
      </c>
      <c r="Y294">
        <v>0.26</v>
      </c>
      <c r="Z294">
        <v>0.25</v>
      </c>
      <c r="AA294">
        <f t="shared" si="41"/>
        <v>86.069394384489925</v>
      </c>
    </row>
    <row r="295" spans="1:27" x14ac:dyDescent="0.25">
      <c r="A295">
        <v>294</v>
      </c>
      <c r="B295" t="s">
        <v>798</v>
      </c>
      <c r="C295" t="s">
        <v>391</v>
      </c>
      <c r="D295">
        <v>5</v>
      </c>
      <c r="E295" t="s">
        <v>213</v>
      </c>
      <c r="F295" s="2" t="d">
        <v>2017-07-07</v>
      </c>
      <c r="G295" t="s">
        <v>205</v>
      </c>
      <c r="H295">
        <v>7.1</v>
      </c>
      <c r="J295">
        <v>4.5999999999999999E-2</v>
      </c>
      <c r="K295">
        <v>10</v>
      </c>
      <c r="L295">
        <f t="shared" si="39"/>
        <v>3.9591921416865365</v>
      </c>
      <c r="P295">
        <f t="shared" si="40"/>
        <v>0</v>
      </c>
      <c r="R295" t="s">
        <v>214</v>
      </c>
      <c r="S295">
        <v>9</v>
      </c>
      <c r="T295">
        <v>75.819999999999993</v>
      </c>
      <c r="U295">
        <v>25.15</v>
      </c>
      <c r="V295">
        <f t="shared" si="42"/>
        <v>1497.6545520321822</v>
      </c>
      <c r="W295">
        <f t="shared" si="43"/>
        <v>13478.890968289639</v>
      </c>
      <c r="X295">
        <v>0.2</v>
      </c>
      <c r="Y295">
        <v>0.23</v>
      </c>
      <c r="Z295">
        <v>0.23</v>
      </c>
      <c r="AA295">
        <f t="shared" si="41"/>
        <v>86.069394384489925</v>
      </c>
    </row>
    <row r="296" spans="1:27" x14ac:dyDescent="0.25">
      <c r="A296">
        <v>295</v>
      </c>
      <c r="B296" t="s">
        <v>799</v>
      </c>
      <c r="C296" t="s">
        <v>652</v>
      </c>
      <c r="D296">
        <v>4</v>
      </c>
      <c r="E296" t="s">
        <v>653</v>
      </c>
      <c r="F296" s="2" t="d">
        <v>2017-07-07</v>
      </c>
      <c r="G296" t="s">
        <v>204</v>
      </c>
      <c r="H296" t="s">
        <v>144</v>
      </c>
      <c r="J296">
        <v>0.20300000000000001</v>
      </c>
      <c r="K296" t="s">
        <v>144</v>
      </c>
      <c r="L296" t="s">
        <v>144</v>
      </c>
      <c r="O296">
        <v>354596</v>
      </c>
      <c r="P296">
        <f t="shared" si="40"/>
        <v>10.007487111111111</v>
      </c>
      <c r="Q296">
        <v>3</v>
      </c>
      <c r="R296" t="s">
        <v>214</v>
      </c>
      <c r="S296">
        <v>195</v>
      </c>
      <c r="T296">
        <v>20.45</v>
      </c>
      <c r="U296">
        <v>5.96</v>
      </c>
      <c r="V296">
        <f t="shared" si="42"/>
        <v>95.725898951207782</v>
      </c>
      <c r="W296">
        <f t="shared" si="43"/>
        <v>18666.550295485518</v>
      </c>
      <c r="X296">
        <v>0.16</v>
      </c>
      <c r="Y296">
        <v>0.17</v>
      </c>
      <c r="Z296">
        <v>0.17</v>
      </c>
      <c r="AA296">
        <f t="shared" ref="AA296:AA301" si="44">P296/J296</f>
        <v>49.297966064586753</v>
      </c>
    </row>
    <row r="297" spans="1:27" x14ac:dyDescent="0.25">
      <c r="A297">
        <v>296</v>
      </c>
      <c r="B297" t="s">
        <v>800</v>
      </c>
      <c r="C297" t="s">
        <v>652</v>
      </c>
      <c r="D297">
        <v>3</v>
      </c>
      <c r="E297" t="s">
        <v>653</v>
      </c>
      <c r="F297" s="2" t="d">
        <v>2017-07-07</v>
      </c>
      <c r="G297" t="s">
        <v>204</v>
      </c>
      <c r="H297" t="s">
        <v>144</v>
      </c>
      <c r="I297" t="s">
        <v>144</v>
      </c>
      <c r="J297">
        <v>0.27200000000000002</v>
      </c>
      <c r="K297" t="s">
        <v>144</v>
      </c>
      <c r="L297" t="s">
        <v>144</v>
      </c>
      <c r="M297" t="s">
        <v>144</v>
      </c>
      <c r="N297" t="s">
        <v>144</v>
      </c>
      <c r="O297">
        <v>548731</v>
      </c>
      <c r="P297">
        <f t="shared" si="40"/>
        <v>15.486408222222222</v>
      </c>
      <c r="Q297">
        <v>3</v>
      </c>
      <c r="R297" t="s">
        <v>214</v>
      </c>
      <c r="S297">
        <v>120</v>
      </c>
      <c r="T297">
        <v>30.48</v>
      </c>
      <c r="U297">
        <v>6.36</v>
      </c>
      <c r="V297">
        <f t="shared" si="42"/>
        <v>152.25163308945287</v>
      </c>
      <c r="W297">
        <f t="shared" si="43"/>
        <v>18270.195970734345</v>
      </c>
      <c r="X297">
        <v>0.14000000000000001</v>
      </c>
      <c r="Y297">
        <v>0.15</v>
      </c>
      <c r="Z297">
        <v>0.15</v>
      </c>
      <c r="AA297">
        <f t="shared" si="44"/>
        <v>56.935324346405224</v>
      </c>
    </row>
    <row r="298" spans="1:27" x14ac:dyDescent="0.25">
      <c r="A298">
        <v>297</v>
      </c>
      <c r="B298" t="s">
        <v>71</v>
      </c>
      <c r="C298" t="s">
        <v>351</v>
      </c>
      <c r="E298" t="s">
        <v>21</v>
      </c>
      <c r="G298" t="s">
        <v>204</v>
      </c>
      <c r="J298">
        <v>2.6</v>
      </c>
      <c r="O298">
        <v>2455111</v>
      </c>
      <c r="P298">
        <f t="shared" si="40"/>
        <v>69.28868822222222</v>
      </c>
      <c r="Q298">
        <v>1</v>
      </c>
      <c r="R298" t="s">
        <v>214</v>
      </c>
      <c r="S298">
        <v>151</v>
      </c>
      <c r="T298" t="s">
        <v>144</v>
      </c>
      <c r="U298" t="s">
        <v>144</v>
      </c>
      <c r="V298">
        <f>P298*100/S298</f>
        <v>45.886548491537894</v>
      </c>
      <c r="W298">
        <f>P298*100/Q298</f>
        <v>6928.8688222222218</v>
      </c>
      <c r="X298" t="s">
        <v>144</v>
      </c>
      <c r="Y298" t="s">
        <v>144</v>
      </c>
      <c r="Z298" t="s">
        <v>144</v>
      </c>
      <c r="AA298">
        <f t="shared" si="44"/>
        <v>26.649495470085469</v>
      </c>
    </row>
    <row r="299" spans="1:27" x14ac:dyDescent="0.25">
      <c r="A299">
        <v>298</v>
      </c>
      <c r="B299" t="s">
        <v>72</v>
      </c>
      <c r="C299" t="s">
        <v>371</v>
      </c>
      <c r="E299" t="s">
        <v>73</v>
      </c>
      <c r="G299" t="s">
        <v>204</v>
      </c>
      <c r="J299">
        <v>0.9</v>
      </c>
      <c r="O299">
        <v>1216143</v>
      </c>
      <c r="P299">
        <f t="shared" si="40"/>
        <v>34.322258000000005</v>
      </c>
      <c r="Q299">
        <v>54</v>
      </c>
      <c r="R299" t="s">
        <v>208</v>
      </c>
      <c r="S299" t="s">
        <v>144</v>
      </c>
      <c r="T299" t="s">
        <v>144</v>
      </c>
      <c r="U299" t="s">
        <v>144</v>
      </c>
      <c r="V299">
        <f>P299*100/Q299</f>
        <v>63.559737037037046</v>
      </c>
      <c r="W299">
        <f>P299*100/Q299</f>
        <v>63.559737037037046</v>
      </c>
      <c r="X299" t="s">
        <v>144</v>
      </c>
      <c r="Y299" t="s">
        <v>144</v>
      </c>
      <c r="Z299" t="s">
        <v>144</v>
      </c>
      <c r="AA299">
        <f t="shared" si="44"/>
        <v>38.13584222222223</v>
      </c>
    </row>
    <row r="300" spans="1:27" x14ac:dyDescent="0.25">
      <c r="A300">
        <v>299</v>
      </c>
      <c r="B300" t="s">
        <v>74</v>
      </c>
      <c r="C300" t="s">
        <v>357</v>
      </c>
      <c r="E300" t="s">
        <v>291</v>
      </c>
      <c r="G300" t="s">
        <v>204</v>
      </c>
      <c r="J300">
        <v>3.3</v>
      </c>
      <c r="O300">
        <v>3704521</v>
      </c>
      <c r="P300">
        <f t="shared" si="40"/>
        <v>104.54981488888889</v>
      </c>
      <c r="Q300">
        <v>20</v>
      </c>
      <c r="R300" t="s">
        <v>208</v>
      </c>
      <c r="S300" t="s">
        <v>144</v>
      </c>
      <c r="T300" t="s">
        <v>144</v>
      </c>
      <c r="U300" t="s">
        <v>144</v>
      </c>
      <c r="V300">
        <f>P300*100/Q300</f>
        <v>522.74907444444443</v>
      </c>
      <c r="W300">
        <f>V300</f>
        <v>522.74907444444443</v>
      </c>
      <c r="X300" t="s">
        <v>144</v>
      </c>
      <c r="Y300" t="s">
        <v>144</v>
      </c>
      <c r="Z300" t="s">
        <v>144</v>
      </c>
      <c r="AA300">
        <f t="shared" si="44"/>
        <v>31.68176208754209</v>
      </c>
    </row>
    <row r="301" spans="1:27" x14ac:dyDescent="0.25">
      <c r="A301">
        <v>300</v>
      </c>
      <c r="B301" t="s">
        <v>75</v>
      </c>
      <c r="C301" t="s">
        <v>345</v>
      </c>
      <c r="E301" t="s">
        <v>376</v>
      </c>
      <c r="G301" t="s">
        <v>204</v>
      </c>
      <c r="J301">
        <v>1.9</v>
      </c>
      <c r="O301">
        <v>2015400</v>
      </c>
      <c r="P301">
        <f t="shared" si="40"/>
        <v>56.879066666666674</v>
      </c>
      <c r="Q301">
        <v>16</v>
      </c>
      <c r="R301" t="s">
        <v>208</v>
      </c>
      <c r="S301" t="s">
        <v>144</v>
      </c>
      <c r="T301" t="s">
        <v>144</v>
      </c>
      <c r="U301" t="s">
        <v>144</v>
      </c>
      <c r="V301">
        <f>P301*100/Q301</f>
        <v>355.49416666666673</v>
      </c>
      <c r="W301">
        <f>V301</f>
        <v>355.49416666666673</v>
      </c>
      <c r="X301" t="s">
        <v>144</v>
      </c>
      <c r="Y301" t="s">
        <v>144</v>
      </c>
      <c r="Z301" t="s">
        <v>144</v>
      </c>
      <c r="AA301">
        <f t="shared" si="44"/>
        <v>29.936350877192986</v>
      </c>
    </row>
    <row r="302" spans="1:27" x14ac:dyDescent="0.25">
      <c r="A302">
        <v>301</v>
      </c>
      <c r="B302" t="s">
        <v>827</v>
      </c>
      <c r="C302" t="s">
        <v>538</v>
      </c>
      <c r="D302">
        <v>5</v>
      </c>
      <c r="E302" t="s">
        <v>784</v>
      </c>
      <c r="F302" s="2" t="d">
        <v>2017-07-11</v>
      </c>
      <c r="G302" t="s">
        <v>205</v>
      </c>
      <c r="H302">
        <v>7.1</v>
      </c>
      <c r="I302" t="s">
        <v>144</v>
      </c>
      <c r="J302">
        <v>0.06</v>
      </c>
      <c r="K302">
        <v>10</v>
      </c>
      <c r="L302">
        <f t="shared" ref="L302:L307" si="45">PI()*((H302/2)^2)/100 * K302</f>
        <v>3.9591921416865365</v>
      </c>
      <c r="M302" t="s">
        <v>144</v>
      </c>
      <c r="P302">
        <f t="shared" si="40"/>
        <v>0</v>
      </c>
      <c r="R302" t="s">
        <v>214</v>
      </c>
      <c r="S302">
        <v>7</v>
      </c>
      <c r="T302">
        <v>53.23</v>
      </c>
      <c r="U302">
        <v>39.450000000000003</v>
      </c>
      <c r="V302">
        <f t="shared" ref="V302:V333" si="46">(((T302/2) * (U302/2)) * PI())</f>
        <v>1649.2760601751413</v>
      </c>
      <c r="W302">
        <f t="shared" ref="W302:W333" si="47">IF(ISNUMBER(S302), S302*V302, V302)</f>
        <v>11544.932421225989</v>
      </c>
      <c r="X302">
        <v>0.3</v>
      </c>
      <c r="Y302">
        <v>0.36</v>
      </c>
      <c r="Z302">
        <v>0.31</v>
      </c>
      <c r="AA302">
        <f t="shared" ref="AA302:AA307" si="48">L302/J302</f>
        <v>65.986535694775611</v>
      </c>
    </row>
    <row r="303" spans="1:27" x14ac:dyDescent="0.25">
      <c r="A303">
        <v>302</v>
      </c>
      <c r="B303" t="s">
        <v>828</v>
      </c>
      <c r="C303" t="s">
        <v>538</v>
      </c>
      <c r="D303">
        <v>4</v>
      </c>
      <c r="E303" t="s">
        <v>784</v>
      </c>
      <c r="F303" s="2" t="d">
        <v>2017-07-11</v>
      </c>
      <c r="G303" t="s">
        <v>205</v>
      </c>
      <c r="H303">
        <v>7.1</v>
      </c>
      <c r="J303">
        <v>5.8000000000000003E-2</v>
      </c>
      <c r="K303">
        <v>10</v>
      </c>
      <c r="L303">
        <f t="shared" si="45"/>
        <v>3.9591921416865365</v>
      </c>
      <c r="P303">
        <f t="shared" si="40"/>
        <v>0</v>
      </c>
      <c r="R303" t="s">
        <v>214</v>
      </c>
      <c r="S303">
        <v>7</v>
      </c>
      <c r="T303">
        <v>48.04</v>
      </c>
      <c r="U303">
        <v>27.87</v>
      </c>
      <c r="V303">
        <f t="shared" si="46"/>
        <v>1051.549808939126</v>
      </c>
      <c r="W303">
        <f t="shared" si="47"/>
        <v>7360.8486625738824</v>
      </c>
      <c r="X303">
        <v>0.27</v>
      </c>
      <c r="Y303">
        <v>0.28999999999999998</v>
      </c>
      <c r="Z303">
        <v>0.32</v>
      </c>
      <c r="AA303">
        <f t="shared" si="48"/>
        <v>68.261933477354077</v>
      </c>
    </row>
    <row r="304" spans="1:27" x14ac:dyDescent="0.25">
      <c r="A304">
        <v>303</v>
      </c>
      <c r="B304" t="s">
        <v>829</v>
      </c>
      <c r="C304" t="s">
        <v>627</v>
      </c>
      <c r="D304">
        <v>5</v>
      </c>
      <c r="E304" t="s">
        <v>628</v>
      </c>
      <c r="F304" s="2" t="d">
        <v>2017-07-11</v>
      </c>
      <c r="G304" t="s">
        <v>205</v>
      </c>
      <c r="H304">
        <v>7.1</v>
      </c>
      <c r="J304">
        <v>4.1000000000000002E-2</v>
      </c>
      <c r="K304">
        <v>10</v>
      </c>
      <c r="L304">
        <f t="shared" si="45"/>
        <v>3.9591921416865365</v>
      </c>
      <c r="P304">
        <f t="shared" si="40"/>
        <v>0</v>
      </c>
      <c r="R304" t="s">
        <v>208</v>
      </c>
      <c r="S304" t="s">
        <v>144</v>
      </c>
      <c r="T304">
        <v>104.63</v>
      </c>
      <c r="U304">
        <v>48.87</v>
      </c>
      <c r="V304">
        <f t="shared" si="46"/>
        <v>4015.9513746987595</v>
      </c>
      <c r="W304">
        <f t="shared" si="47"/>
        <v>4015.9513746987595</v>
      </c>
      <c r="X304">
        <v>0.26</v>
      </c>
      <c r="Y304">
        <v>0.2</v>
      </c>
      <c r="Z304">
        <v>0.24</v>
      </c>
      <c r="AA304">
        <f t="shared" si="48"/>
        <v>96.565661992354549</v>
      </c>
    </row>
    <row r="305" spans="1:27" x14ac:dyDescent="0.25">
      <c r="A305">
        <v>304</v>
      </c>
      <c r="B305" t="s">
        <v>830</v>
      </c>
      <c r="C305" t="s">
        <v>515</v>
      </c>
      <c r="D305">
        <v>3</v>
      </c>
      <c r="E305" t="s">
        <v>516</v>
      </c>
      <c r="F305" s="2" t="d">
        <v>2017-07-11</v>
      </c>
      <c r="G305" t="s">
        <v>205</v>
      </c>
      <c r="H305">
        <v>7.1</v>
      </c>
      <c r="J305">
        <v>6.0999999999999999E-2</v>
      </c>
      <c r="K305">
        <v>11</v>
      </c>
      <c r="L305">
        <f t="shared" si="45"/>
        <v>4.3551113558551906</v>
      </c>
      <c r="P305">
        <f t="shared" si="40"/>
        <v>0</v>
      </c>
      <c r="R305" t="s">
        <v>208</v>
      </c>
      <c r="S305" t="s">
        <v>144</v>
      </c>
      <c r="T305">
        <v>126.62</v>
      </c>
      <c r="U305">
        <v>74.02</v>
      </c>
      <c r="V305">
        <f t="shared" si="46"/>
        <v>7361.0754855634696</v>
      </c>
      <c r="W305">
        <f t="shared" si="47"/>
        <v>7361.0754855634696</v>
      </c>
      <c r="X305">
        <v>0.23</v>
      </c>
      <c r="Y305">
        <v>0.25</v>
      </c>
      <c r="Z305">
        <v>0.27</v>
      </c>
      <c r="AA305">
        <f t="shared" si="48"/>
        <v>71.395268128773623</v>
      </c>
    </row>
    <row r="306" spans="1:27" x14ac:dyDescent="0.25">
      <c r="A306">
        <v>305</v>
      </c>
      <c r="B306" t="s">
        <v>831</v>
      </c>
      <c r="C306" t="s">
        <v>796</v>
      </c>
      <c r="D306">
        <v>4</v>
      </c>
      <c r="E306" t="s">
        <v>797</v>
      </c>
      <c r="F306" s="2" t="d">
        <v>2017-07-11</v>
      </c>
      <c r="G306" t="s">
        <v>205</v>
      </c>
      <c r="H306">
        <v>7.1</v>
      </c>
      <c r="J306">
        <v>6.6000000000000003E-2</v>
      </c>
      <c r="K306">
        <v>11</v>
      </c>
      <c r="L306">
        <f t="shared" si="45"/>
        <v>4.3551113558551906</v>
      </c>
      <c r="P306">
        <f t="shared" si="40"/>
        <v>0</v>
      </c>
      <c r="R306" t="s">
        <v>208</v>
      </c>
      <c r="S306" t="s">
        <v>144</v>
      </c>
      <c r="T306">
        <v>97.68</v>
      </c>
      <c r="U306">
        <v>46.5</v>
      </c>
      <c r="V306">
        <f t="shared" si="46"/>
        <v>3567.3727059308176</v>
      </c>
      <c r="W306">
        <f t="shared" si="47"/>
        <v>3567.3727059308176</v>
      </c>
      <c r="X306">
        <v>0.32</v>
      </c>
      <c r="Y306">
        <v>0.3</v>
      </c>
      <c r="Z306">
        <v>0.31</v>
      </c>
      <c r="AA306">
        <f t="shared" si="48"/>
        <v>65.986535694775611</v>
      </c>
    </row>
    <row r="307" spans="1:27" x14ac:dyDescent="0.25">
      <c r="A307">
        <v>306</v>
      </c>
      <c r="B307" t="s">
        <v>832</v>
      </c>
      <c r="C307" t="s">
        <v>833</v>
      </c>
      <c r="D307">
        <v>1</v>
      </c>
      <c r="E307" t="s">
        <v>834</v>
      </c>
      <c r="F307" s="2" t="d">
        <v>2017-07-11</v>
      </c>
      <c r="G307" t="s">
        <v>205</v>
      </c>
      <c r="H307">
        <v>9.6999999999999993</v>
      </c>
      <c r="J307">
        <v>0.08</v>
      </c>
      <c r="K307">
        <v>10</v>
      </c>
      <c r="L307">
        <f t="shared" si="45"/>
        <v>7.38981131940659</v>
      </c>
      <c r="P307">
        <f t="shared" si="40"/>
        <v>0</v>
      </c>
      <c r="R307" t="s">
        <v>208</v>
      </c>
      <c r="S307" t="s">
        <v>144</v>
      </c>
      <c r="T307">
        <v>100.58</v>
      </c>
      <c r="U307">
        <v>94.71</v>
      </c>
      <c r="V307">
        <f t="shared" si="46"/>
        <v>7481.6493403693476</v>
      </c>
      <c r="W307">
        <f t="shared" si="47"/>
        <v>7481.6493403693476</v>
      </c>
      <c r="X307">
        <v>0.47</v>
      </c>
      <c r="Y307">
        <v>0.46</v>
      </c>
      <c r="Z307">
        <v>0.47</v>
      </c>
      <c r="AA307">
        <f t="shared" si="48"/>
        <v>92.372641492582375</v>
      </c>
    </row>
    <row r="308" spans="1:27" x14ac:dyDescent="0.25">
      <c r="A308">
        <v>307</v>
      </c>
      <c r="B308" t="s">
        <v>835</v>
      </c>
      <c r="C308" t="s">
        <v>652</v>
      </c>
      <c r="D308">
        <v>5</v>
      </c>
      <c r="E308" t="s">
        <v>653</v>
      </c>
      <c r="F308" s="2" t="d">
        <v>2017-07-11</v>
      </c>
      <c r="G308" t="s">
        <v>204</v>
      </c>
      <c r="H308" t="s">
        <v>144</v>
      </c>
      <c r="I308" t="s">
        <v>144</v>
      </c>
      <c r="J308">
        <v>0.17199999999999999</v>
      </c>
      <c r="K308" t="s">
        <v>144</v>
      </c>
      <c r="L308" t="s">
        <v>144</v>
      </c>
      <c r="M308" t="s">
        <v>144</v>
      </c>
      <c r="N308" t="s">
        <v>144</v>
      </c>
      <c r="O308">
        <v>312880</v>
      </c>
      <c r="P308">
        <f t="shared" si="40"/>
        <v>8.8301688888888883</v>
      </c>
      <c r="Q308">
        <v>4</v>
      </c>
      <c r="R308" t="s">
        <v>214</v>
      </c>
      <c r="S308">
        <v>75</v>
      </c>
      <c r="T308">
        <v>19.760000000000002</v>
      </c>
      <c r="U308">
        <v>5.12</v>
      </c>
      <c r="V308">
        <f t="shared" si="46"/>
        <v>79.459674668715934</v>
      </c>
      <c r="W308">
        <f t="shared" si="47"/>
        <v>5959.4756001536953</v>
      </c>
      <c r="X308">
        <v>0.16</v>
      </c>
      <c r="Y308">
        <v>0.13</v>
      </c>
      <c r="Z308">
        <v>0.16</v>
      </c>
      <c r="AA308">
        <f>P308/J308</f>
        <v>51.338191214470285</v>
      </c>
    </row>
    <row r="309" spans="1:27" x14ac:dyDescent="0.25">
      <c r="A309">
        <v>308</v>
      </c>
      <c r="B309" t="s">
        <v>836</v>
      </c>
      <c r="C309" t="s">
        <v>397</v>
      </c>
      <c r="D309">
        <v>4</v>
      </c>
      <c r="E309" t="s">
        <v>259</v>
      </c>
      <c r="F309" s="2" t="d">
        <v>2017-07-11</v>
      </c>
      <c r="G309" t="s">
        <v>205</v>
      </c>
      <c r="H309">
        <v>9.6999999999999993</v>
      </c>
      <c r="J309">
        <v>0.121</v>
      </c>
      <c r="K309">
        <v>10</v>
      </c>
      <c r="L309">
        <f t="shared" ref="L309:L340" si="49">PI()*((H309/2)^2)/100 * K309</f>
        <v>7.38981131940659</v>
      </c>
      <c r="P309">
        <f t="shared" si="40"/>
        <v>0</v>
      </c>
      <c r="R309" t="s">
        <v>208</v>
      </c>
      <c r="S309" t="s">
        <v>144</v>
      </c>
      <c r="T309">
        <v>97.15</v>
      </c>
      <c r="U309">
        <v>36.65</v>
      </c>
      <c r="V309">
        <f t="shared" si="46"/>
        <v>2796.4474671893759</v>
      </c>
      <c r="W309">
        <f t="shared" si="47"/>
        <v>2796.4474671893759</v>
      </c>
      <c r="X309">
        <v>0.47</v>
      </c>
      <c r="Y309">
        <v>0.45</v>
      </c>
      <c r="Z309">
        <v>0.45</v>
      </c>
      <c r="AA309">
        <f t="shared" ref="AA309:AA340" si="50">L309/J309</f>
        <v>61.072820821542066</v>
      </c>
    </row>
    <row r="310" spans="1:27" x14ac:dyDescent="0.25">
      <c r="A310">
        <v>309</v>
      </c>
      <c r="B310" t="s">
        <v>837</v>
      </c>
      <c r="C310" t="s">
        <v>344</v>
      </c>
      <c r="D310">
        <v>5</v>
      </c>
      <c r="E310" t="s">
        <v>5</v>
      </c>
      <c r="F310" s="2" t="d">
        <v>2017-07-11</v>
      </c>
      <c r="G310" t="s">
        <v>205</v>
      </c>
      <c r="H310">
        <v>7.1</v>
      </c>
      <c r="J310">
        <v>4.7E-2</v>
      </c>
      <c r="K310">
        <v>10</v>
      </c>
      <c r="L310">
        <f t="shared" si="49"/>
        <v>3.9591921416865365</v>
      </c>
      <c r="P310">
        <f t="shared" si="40"/>
        <v>0</v>
      </c>
      <c r="R310" t="s">
        <v>208</v>
      </c>
      <c r="S310" t="s">
        <v>144</v>
      </c>
      <c r="T310">
        <v>68.680000000000007</v>
      </c>
      <c r="U310">
        <v>42.09</v>
      </c>
      <c r="V310">
        <f t="shared" si="46"/>
        <v>2270.3828293373358</v>
      </c>
      <c r="W310">
        <f t="shared" si="47"/>
        <v>2270.3828293373358</v>
      </c>
      <c r="X310">
        <v>0.28000000000000003</v>
      </c>
      <c r="Y310">
        <v>0.23</v>
      </c>
      <c r="Z310">
        <v>0.25</v>
      </c>
      <c r="AA310">
        <f t="shared" si="50"/>
        <v>84.238130674181633</v>
      </c>
    </row>
    <row r="311" spans="1:27" x14ac:dyDescent="0.25">
      <c r="A311">
        <v>310</v>
      </c>
      <c r="B311" t="s">
        <v>838</v>
      </c>
      <c r="C311" t="s">
        <v>526</v>
      </c>
      <c r="D311">
        <v>4</v>
      </c>
      <c r="E311" t="s">
        <v>527</v>
      </c>
      <c r="F311" s="2" t="d">
        <v>2017-07-11</v>
      </c>
      <c r="G311" t="s">
        <v>205</v>
      </c>
      <c r="H311">
        <v>7.1</v>
      </c>
      <c r="J311">
        <v>0.03</v>
      </c>
      <c r="K311">
        <v>10</v>
      </c>
      <c r="L311">
        <f t="shared" si="49"/>
        <v>3.9591921416865365</v>
      </c>
      <c r="P311">
        <f t="shared" si="40"/>
        <v>0</v>
      </c>
      <c r="R311" t="s">
        <v>208</v>
      </c>
      <c r="S311" t="s">
        <v>144</v>
      </c>
      <c r="T311">
        <v>85.53</v>
      </c>
      <c r="U311">
        <v>32.65</v>
      </c>
      <c r="V311">
        <f t="shared" si="46"/>
        <v>2193.2671754872795</v>
      </c>
      <c r="W311">
        <f t="shared" si="47"/>
        <v>2193.2671754872795</v>
      </c>
      <c r="X311">
        <v>0.23</v>
      </c>
      <c r="Y311">
        <v>0.23</v>
      </c>
      <c r="Z311">
        <v>0.24</v>
      </c>
      <c r="AA311">
        <f t="shared" si="50"/>
        <v>131.97307138955122</v>
      </c>
    </row>
    <row r="312" spans="1:27" x14ac:dyDescent="0.25">
      <c r="A312">
        <v>311</v>
      </c>
      <c r="B312" t="s">
        <v>839</v>
      </c>
      <c r="C312" t="s">
        <v>526</v>
      </c>
      <c r="D312">
        <v>3</v>
      </c>
      <c r="E312" t="s">
        <v>527</v>
      </c>
      <c r="F312" s="2" t="d">
        <v>2017-07-11</v>
      </c>
      <c r="G312" t="s">
        <v>205</v>
      </c>
      <c r="H312">
        <v>7.1</v>
      </c>
      <c r="J312">
        <v>3.7999999999999999E-2</v>
      </c>
      <c r="K312">
        <v>10</v>
      </c>
      <c r="L312">
        <f t="shared" si="49"/>
        <v>3.9591921416865365</v>
      </c>
      <c r="P312">
        <f t="shared" si="40"/>
        <v>0</v>
      </c>
      <c r="R312" t="s">
        <v>208</v>
      </c>
      <c r="S312" t="s">
        <v>144</v>
      </c>
      <c r="T312">
        <v>98.76</v>
      </c>
      <c r="U312">
        <v>34.85</v>
      </c>
      <c r="V312">
        <f t="shared" si="46"/>
        <v>2703.1724032070501</v>
      </c>
      <c r="W312">
        <f t="shared" si="47"/>
        <v>2703.1724032070501</v>
      </c>
      <c r="X312">
        <v>0.24</v>
      </c>
      <c r="Y312">
        <v>0.26</v>
      </c>
      <c r="Z312">
        <v>0.25</v>
      </c>
      <c r="AA312">
        <f t="shared" si="50"/>
        <v>104.1892668864878</v>
      </c>
    </row>
    <row r="313" spans="1:27" x14ac:dyDescent="0.25">
      <c r="A313">
        <v>312</v>
      </c>
      <c r="B313" t="s">
        <v>840</v>
      </c>
      <c r="C313" t="s">
        <v>522</v>
      </c>
      <c r="D313">
        <v>5</v>
      </c>
      <c r="E313" t="s">
        <v>523</v>
      </c>
      <c r="F313" s="2" t="d">
        <v>2017-07-11</v>
      </c>
      <c r="G313" t="s">
        <v>205</v>
      </c>
      <c r="H313">
        <v>9.6999999999999993</v>
      </c>
      <c r="J313">
        <v>7.8E-2</v>
      </c>
      <c r="K313">
        <v>10</v>
      </c>
      <c r="L313">
        <f t="shared" si="49"/>
        <v>7.38981131940659</v>
      </c>
      <c r="P313">
        <f t="shared" si="40"/>
        <v>0</v>
      </c>
      <c r="R313" t="s">
        <v>208</v>
      </c>
      <c r="S313" t="s">
        <v>144</v>
      </c>
      <c r="T313">
        <v>83.44</v>
      </c>
      <c r="U313">
        <v>89.3</v>
      </c>
      <c r="V313">
        <f t="shared" si="46"/>
        <v>5852.1525119217595</v>
      </c>
      <c r="W313">
        <f t="shared" si="47"/>
        <v>5852.1525119217595</v>
      </c>
      <c r="X313">
        <v>0.34</v>
      </c>
      <c r="Y313">
        <v>0.36</v>
      </c>
      <c r="Z313">
        <v>0.38</v>
      </c>
      <c r="AA313">
        <f t="shared" si="50"/>
        <v>94.741170761622953</v>
      </c>
    </row>
    <row r="314" spans="1:27" x14ac:dyDescent="0.25">
      <c r="A314">
        <v>313</v>
      </c>
      <c r="B314" t="s">
        <v>841</v>
      </c>
      <c r="C314" t="s">
        <v>842</v>
      </c>
      <c r="D314">
        <v>1</v>
      </c>
      <c r="E314" t="s">
        <v>843</v>
      </c>
      <c r="F314" s="2" t="d">
        <v>2017-07-11</v>
      </c>
      <c r="G314" t="s">
        <v>205</v>
      </c>
      <c r="H314">
        <v>7.1</v>
      </c>
      <c r="J314">
        <v>4.7E-2</v>
      </c>
      <c r="K314">
        <v>11</v>
      </c>
      <c r="L314">
        <f t="shared" si="49"/>
        <v>4.3551113558551906</v>
      </c>
      <c r="P314">
        <f t="shared" si="40"/>
        <v>0</v>
      </c>
      <c r="R314" t="s">
        <v>214</v>
      </c>
      <c r="S314">
        <v>13</v>
      </c>
      <c r="T314">
        <v>41.01</v>
      </c>
      <c r="U314">
        <v>14.56</v>
      </c>
      <c r="V314">
        <f t="shared" si="46"/>
        <v>468.96564159433137</v>
      </c>
      <c r="W314">
        <f t="shared" si="47"/>
        <v>6096.5533407263083</v>
      </c>
      <c r="X314">
        <v>0.2</v>
      </c>
      <c r="Y314">
        <v>0.21</v>
      </c>
      <c r="Z314">
        <v>0.21</v>
      </c>
      <c r="AA314">
        <f t="shared" si="50"/>
        <v>92.661943741599799</v>
      </c>
    </row>
    <row r="315" spans="1:27" x14ac:dyDescent="0.25">
      <c r="A315">
        <v>314</v>
      </c>
      <c r="B315" t="s">
        <v>844</v>
      </c>
      <c r="C315" t="s">
        <v>845</v>
      </c>
      <c r="D315">
        <v>1</v>
      </c>
      <c r="E315" t="s">
        <v>846</v>
      </c>
      <c r="F315" s="2" t="d">
        <v>2017-07-11</v>
      </c>
      <c r="G315" t="s">
        <v>205</v>
      </c>
      <c r="H315">
        <v>7.1</v>
      </c>
      <c r="J315">
        <v>4.7E-2</v>
      </c>
      <c r="K315">
        <v>11</v>
      </c>
      <c r="L315">
        <f t="shared" si="49"/>
        <v>4.3551113558551906</v>
      </c>
      <c r="P315">
        <f t="shared" si="40"/>
        <v>0</v>
      </c>
      <c r="R315" t="s">
        <v>214</v>
      </c>
      <c r="S315">
        <v>12</v>
      </c>
      <c r="T315">
        <v>99.38</v>
      </c>
      <c r="U315">
        <v>39.19</v>
      </c>
      <c r="V315">
        <f t="shared" si="46"/>
        <v>3058.8919548600011</v>
      </c>
      <c r="W315">
        <f t="shared" si="47"/>
        <v>36706.703458320015</v>
      </c>
      <c r="X315">
        <v>0.27</v>
      </c>
      <c r="Y315">
        <v>0.18</v>
      </c>
      <c r="Z315">
        <v>0.23</v>
      </c>
      <c r="AA315">
        <f t="shared" si="50"/>
        <v>92.661943741599799</v>
      </c>
    </row>
    <row r="316" spans="1:27" x14ac:dyDescent="0.25">
      <c r="A316">
        <v>315</v>
      </c>
      <c r="B316" t="s">
        <v>847</v>
      </c>
      <c r="C316" t="s">
        <v>796</v>
      </c>
      <c r="D316">
        <v>3</v>
      </c>
      <c r="E316" t="s">
        <v>797</v>
      </c>
      <c r="F316" s="2" t="d">
        <v>2017-07-11</v>
      </c>
      <c r="G316" t="s">
        <v>205</v>
      </c>
      <c r="H316">
        <v>9.6999999999999993</v>
      </c>
      <c r="J316">
        <v>0.105</v>
      </c>
      <c r="K316">
        <v>10</v>
      </c>
      <c r="L316">
        <f t="shared" si="49"/>
        <v>7.38981131940659</v>
      </c>
      <c r="P316">
        <f t="shared" si="40"/>
        <v>0</v>
      </c>
      <c r="R316" t="s">
        <v>208</v>
      </c>
      <c r="S316" t="s">
        <v>144</v>
      </c>
      <c r="T316">
        <v>98.35</v>
      </c>
      <c r="U316">
        <v>48.04</v>
      </c>
      <c r="V316">
        <f t="shared" si="46"/>
        <v>3710.7974061414789</v>
      </c>
      <c r="W316">
        <f t="shared" si="47"/>
        <v>3710.7974061414789</v>
      </c>
      <c r="X316">
        <v>0.31</v>
      </c>
      <c r="Y316">
        <v>0.31</v>
      </c>
      <c r="Z316">
        <v>0.32</v>
      </c>
      <c r="AA316">
        <f t="shared" si="50"/>
        <v>70.379155422919908</v>
      </c>
    </row>
    <row r="317" spans="1:27" x14ac:dyDescent="0.25">
      <c r="A317">
        <v>316</v>
      </c>
      <c r="B317" t="s">
        <v>848</v>
      </c>
      <c r="C317" t="s">
        <v>398</v>
      </c>
      <c r="D317">
        <v>5</v>
      </c>
      <c r="E317" t="s">
        <v>262</v>
      </c>
      <c r="F317" s="2" t="d">
        <v>2017-07-11</v>
      </c>
      <c r="G317" t="s">
        <v>205</v>
      </c>
      <c r="H317">
        <v>9.6999999999999993</v>
      </c>
      <c r="J317">
        <v>8.8999999999999996E-2</v>
      </c>
      <c r="K317">
        <v>10</v>
      </c>
      <c r="L317">
        <f t="shared" si="49"/>
        <v>7.38981131940659</v>
      </c>
      <c r="P317">
        <f t="shared" si="40"/>
        <v>0</v>
      </c>
      <c r="R317" t="s">
        <v>208</v>
      </c>
      <c r="S317" t="s">
        <v>144</v>
      </c>
      <c r="T317">
        <v>98.91</v>
      </c>
      <c r="U317">
        <v>32</v>
      </c>
      <c r="V317">
        <f t="shared" si="46"/>
        <v>2485.8794349325312</v>
      </c>
      <c r="W317">
        <f t="shared" si="47"/>
        <v>2485.8794349325312</v>
      </c>
      <c r="X317">
        <v>0.35</v>
      </c>
      <c r="Y317">
        <v>0.36</v>
      </c>
      <c r="Z317">
        <v>0.33</v>
      </c>
      <c r="AA317">
        <f t="shared" si="50"/>
        <v>83.031587858501013</v>
      </c>
    </row>
    <row r="318" spans="1:27" x14ac:dyDescent="0.25">
      <c r="A318">
        <v>317</v>
      </c>
      <c r="B318" t="s">
        <v>849</v>
      </c>
      <c r="C318" t="s">
        <v>627</v>
      </c>
      <c r="D318">
        <v>3</v>
      </c>
      <c r="E318" t="s">
        <v>628</v>
      </c>
      <c r="F318" s="2" t="d">
        <v>2017-07-11</v>
      </c>
      <c r="G318" t="s">
        <v>205</v>
      </c>
      <c r="H318">
        <v>9.6999999999999993</v>
      </c>
      <c r="J318">
        <v>7.6999999999999999E-2</v>
      </c>
      <c r="K318">
        <v>10</v>
      </c>
      <c r="L318">
        <f t="shared" si="49"/>
        <v>7.38981131940659</v>
      </c>
      <c r="P318">
        <f t="shared" si="40"/>
        <v>0</v>
      </c>
      <c r="R318" t="s">
        <v>208</v>
      </c>
      <c r="S318" t="s">
        <v>144</v>
      </c>
      <c r="T318">
        <v>117.6</v>
      </c>
      <c r="U318">
        <v>56.1</v>
      </c>
      <c r="V318">
        <f t="shared" si="46"/>
        <v>5181.5544272717889</v>
      </c>
      <c r="W318">
        <f t="shared" si="47"/>
        <v>5181.5544272717889</v>
      </c>
      <c r="X318">
        <v>0.24</v>
      </c>
      <c r="Y318">
        <v>0.25</v>
      </c>
      <c r="Z318">
        <v>0.26</v>
      </c>
      <c r="AA318">
        <f t="shared" si="50"/>
        <v>95.971575576708958</v>
      </c>
    </row>
    <row r="319" spans="1:27" x14ac:dyDescent="0.25">
      <c r="A319">
        <v>318</v>
      </c>
      <c r="B319" t="s">
        <v>850</v>
      </c>
      <c r="C319" t="s">
        <v>357</v>
      </c>
      <c r="D319">
        <v>5</v>
      </c>
      <c r="E319" t="s">
        <v>291</v>
      </c>
      <c r="F319" s="2" t="d">
        <v>2017-07-11</v>
      </c>
      <c r="G319" t="s">
        <v>205</v>
      </c>
      <c r="H319">
        <v>7.1</v>
      </c>
      <c r="J319">
        <v>4.7E-2</v>
      </c>
      <c r="K319">
        <v>10</v>
      </c>
      <c r="L319">
        <f t="shared" si="49"/>
        <v>3.9591921416865365</v>
      </c>
      <c r="P319">
        <f t="shared" si="40"/>
        <v>0</v>
      </c>
      <c r="R319" t="s">
        <v>208</v>
      </c>
      <c r="S319" t="s">
        <v>144</v>
      </c>
      <c r="T319">
        <v>77.2</v>
      </c>
      <c r="U319">
        <v>24.32</v>
      </c>
      <c r="V319">
        <f t="shared" si="46"/>
        <v>1474.5881933713629</v>
      </c>
      <c r="W319">
        <f t="shared" si="47"/>
        <v>1474.5881933713629</v>
      </c>
      <c r="X319">
        <v>0.32</v>
      </c>
      <c r="Y319">
        <v>0.31</v>
      </c>
      <c r="Z319">
        <v>0.33</v>
      </c>
      <c r="AA319">
        <f t="shared" si="50"/>
        <v>84.238130674181633</v>
      </c>
    </row>
    <row r="320" spans="1:27" x14ac:dyDescent="0.25">
      <c r="A320">
        <v>319</v>
      </c>
      <c r="B320" t="s">
        <v>851</v>
      </c>
      <c r="C320" t="s">
        <v>402</v>
      </c>
      <c r="D320">
        <v>5</v>
      </c>
      <c r="E320" t="s">
        <v>294</v>
      </c>
      <c r="F320" s="2" t="d">
        <v>2017-07-11</v>
      </c>
      <c r="G320" t="s">
        <v>205</v>
      </c>
      <c r="H320">
        <v>7.1</v>
      </c>
      <c r="J320">
        <v>5.8000000000000003E-2</v>
      </c>
      <c r="K320">
        <v>10</v>
      </c>
      <c r="L320">
        <f t="shared" si="49"/>
        <v>3.9591921416865365</v>
      </c>
      <c r="P320">
        <f t="shared" si="40"/>
        <v>0</v>
      </c>
      <c r="R320" t="s">
        <v>208</v>
      </c>
      <c r="S320" t="s">
        <v>144</v>
      </c>
      <c r="T320">
        <v>53.64</v>
      </c>
      <c r="U320">
        <v>21.44</v>
      </c>
      <c r="V320">
        <f t="shared" si="46"/>
        <v>903.2405604706629</v>
      </c>
      <c r="W320">
        <f t="shared" si="47"/>
        <v>903.2405604706629</v>
      </c>
      <c r="X320">
        <v>0.26</v>
      </c>
      <c r="Y320">
        <v>0.27</v>
      </c>
      <c r="Z320">
        <v>0.24</v>
      </c>
      <c r="AA320">
        <f t="shared" si="50"/>
        <v>68.261933477354077</v>
      </c>
    </row>
    <row r="321" spans="1:28" x14ac:dyDescent="0.25">
      <c r="A321">
        <v>320</v>
      </c>
      <c r="B321" t="s">
        <v>852</v>
      </c>
      <c r="C321" t="s">
        <v>627</v>
      </c>
      <c r="D321">
        <v>4</v>
      </c>
      <c r="E321" t="s">
        <v>628</v>
      </c>
      <c r="F321" s="2" t="d">
        <v>2017-07-11</v>
      </c>
      <c r="G321" t="s">
        <v>205</v>
      </c>
      <c r="H321">
        <v>7.1</v>
      </c>
      <c r="J321">
        <v>4.2999999999999997E-2</v>
      </c>
      <c r="K321">
        <v>10</v>
      </c>
      <c r="L321">
        <f t="shared" si="49"/>
        <v>3.9591921416865365</v>
      </c>
      <c r="P321">
        <f t="shared" si="40"/>
        <v>0</v>
      </c>
      <c r="R321" t="s">
        <v>208</v>
      </c>
      <c r="S321" t="s">
        <v>144</v>
      </c>
      <c r="T321">
        <v>104.31</v>
      </c>
      <c r="U321">
        <v>57.93</v>
      </c>
      <c r="V321">
        <f t="shared" si="46"/>
        <v>4745.9084388216152</v>
      </c>
      <c r="W321">
        <f t="shared" si="47"/>
        <v>4745.9084388216152</v>
      </c>
      <c r="X321">
        <v>0.26</v>
      </c>
      <c r="Y321">
        <v>0.26</v>
      </c>
      <c r="Z321">
        <v>0.26</v>
      </c>
      <c r="AA321">
        <f t="shared" si="50"/>
        <v>92.074235853175281</v>
      </c>
    </row>
    <row r="322" spans="1:28" x14ac:dyDescent="0.25">
      <c r="A322">
        <v>321</v>
      </c>
      <c r="B322" t="s">
        <v>857</v>
      </c>
      <c r="C322" t="s">
        <v>858</v>
      </c>
      <c r="D322">
        <v>2</v>
      </c>
      <c r="E322" t="s">
        <v>859</v>
      </c>
      <c r="F322" s="2" t="d">
        <v>2017-07-14</v>
      </c>
      <c r="G322" t="s">
        <v>205</v>
      </c>
      <c r="H322">
        <v>7.1</v>
      </c>
      <c r="J322">
        <v>4.1000000000000002E-2</v>
      </c>
      <c r="K322">
        <v>10</v>
      </c>
      <c r="L322">
        <f t="shared" si="49"/>
        <v>3.9591921416865365</v>
      </c>
      <c r="P322">
        <f t="shared" si="40"/>
        <v>0</v>
      </c>
      <c r="R322" t="s">
        <v>208</v>
      </c>
      <c r="S322" t="s">
        <v>144</v>
      </c>
      <c r="T322">
        <v>83.01</v>
      </c>
      <c r="U322">
        <v>30.52</v>
      </c>
      <c r="V322">
        <f t="shared" si="46"/>
        <v>1989.7789151113491</v>
      </c>
      <c r="W322">
        <f t="shared" si="47"/>
        <v>1989.7789151113491</v>
      </c>
      <c r="X322">
        <v>0.28000000000000003</v>
      </c>
      <c r="Y322">
        <v>0.34</v>
      </c>
      <c r="Z322">
        <v>0.31</v>
      </c>
      <c r="AA322">
        <f t="shared" si="50"/>
        <v>96.565661992354549</v>
      </c>
    </row>
    <row r="323" spans="1:28" x14ac:dyDescent="0.25">
      <c r="A323">
        <v>322</v>
      </c>
      <c r="B323" t="s">
        <v>860</v>
      </c>
      <c r="C323" t="s">
        <v>419</v>
      </c>
      <c r="D323">
        <v>4</v>
      </c>
      <c r="E323" t="s">
        <v>420</v>
      </c>
      <c r="F323" s="2" t="d">
        <v>2017-07-14</v>
      </c>
      <c r="G323" t="s">
        <v>205</v>
      </c>
      <c r="H323">
        <v>9.6999999999999993</v>
      </c>
      <c r="J323">
        <v>0.08</v>
      </c>
      <c r="K323">
        <v>10</v>
      </c>
      <c r="L323">
        <f t="shared" si="49"/>
        <v>7.38981131940659</v>
      </c>
      <c r="P323">
        <f t="shared" si="40"/>
        <v>0</v>
      </c>
      <c r="R323" t="s">
        <v>208</v>
      </c>
      <c r="S323" t="s">
        <v>144</v>
      </c>
      <c r="T323">
        <v>134.68</v>
      </c>
      <c r="U323">
        <v>59.06</v>
      </c>
      <c r="V323">
        <f t="shared" si="46"/>
        <v>6247.2146996145138</v>
      </c>
      <c r="W323">
        <f t="shared" si="47"/>
        <v>6247.2146996145138</v>
      </c>
      <c r="X323">
        <v>0.25</v>
      </c>
      <c r="Y323">
        <v>0.28000000000000003</v>
      </c>
      <c r="Z323">
        <v>0.27</v>
      </c>
      <c r="AA323">
        <f t="shared" si="50"/>
        <v>92.372641492582375</v>
      </c>
    </row>
    <row r="324" spans="1:28" x14ac:dyDescent="0.25">
      <c r="A324">
        <v>323</v>
      </c>
      <c r="B324" t="s">
        <v>861</v>
      </c>
      <c r="C324" t="s">
        <v>858</v>
      </c>
      <c r="D324">
        <v>5</v>
      </c>
      <c r="E324" t="s">
        <v>859</v>
      </c>
      <c r="F324" s="2" t="d">
        <v>2017-07-14</v>
      </c>
      <c r="G324" t="s">
        <v>205</v>
      </c>
      <c r="H324">
        <v>7.1</v>
      </c>
      <c r="J324">
        <v>2.5000000000000001E-2</v>
      </c>
      <c r="K324">
        <v>10</v>
      </c>
      <c r="L324">
        <f t="shared" si="49"/>
        <v>3.9591921416865365</v>
      </c>
      <c r="P324">
        <f t="shared" si="40"/>
        <v>0</v>
      </c>
      <c r="R324" t="s">
        <v>208</v>
      </c>
      <c r="S324" t="s">
        <v>144</v>
      </c>
      <c r="T324">
        <v>99.45</v>
      </c>
      <c r="U324">
        <v>40.090000000000003</v>
      </c>
      <c r="V324">
        <f t="shared" si="46"/>
        <v>3131.3436002565386</v>
      </c>
      <c r="W324">
        <f t="shared" si="47"/>
        <v>3131.3436002565386</v>
      </c>
      <c r="X324">
        <v>0.31</v>
      </c>
      <c r="Y324">
        <v>0.21</v>
      </c>
      <c r="Z324">
        <v>0.27</v>
      </c>
      <c r="AA324">
        <f t="shared" si="50"/>
        <v>158.36768566746144</v>
      </c>
    </row>
    <row r="325" spans="1:28" x14ac:dyDescent="0.25">
      <c r="A325">
        <v>324</v>
      </c>
      <c r="B325" t="s">
        <v>862</v>
      </c>
      <c r="C325" t="s">
        <v>372</v>
      </c>
      <c r="D325">
        <v>6</v>
      </c>
      <c r="E325" t="s">
        <v>384</v>
      </c>
      <c r="F325" s="2" t="d">
        <v>2017-07-14</v>
      </c>
      <c r="G325" t="s">
        <v>205</v>
      </c>
      <c r="H325">
        <v>7.1</v>
      </c>
      <c r="J325">
        <v>3.2000000000000001E-2</v>
      </c>
      <c r="K325">
        <v>10</v>
      </c>
      <c r="L325">
        <f t="shared" si="49"/>
        <v>3.9591921416865365</v>
      </c>
      <c r="P325">
        <f t="shared" si="40"/>
        <v>0</v>
      </c>
      <c r="R325" t="s">
        <v>208</v>
      </c>
      <c r="S325" t="s">
        <v>144</v>
      </c>
      <c r="T325">
        <v>70.48</v>
      </c>
      <c r="U325">
        <v>24.51</v>
      </c>
      <c r="V325">
        <f t="shared" si="46"/>
        <v>1356.7476812537404</v>
      </c>
      <c r="W325">
        <f t="shared" si="47"/>
        <v>1356.7476812537404</v>
      </c>
      <c r="X325">
        <v>0.14000000000000001</v>
      </c>
      <c r="Y325">
        <v>0.15</v>
      </c>
      <c r="Z325">
        <v>0.15</v>
      </c>
      <c r="AA325">
        <f t="shared" si="50"/>
        <v>123.72475442770427</v>
      </c>
    </row>
    <row r="326" spans="1:28" x14ac:dyDescent="0.25">
      <c r="A326">
        <v>325</v>
      </c>
      <c r="B326" t="s">
        <v>863</v>
      </c>
      <c r="C326" t="s">
        <v>404</v>
      </c>
      <c r="D326">
        <v>6</v>
      </c>
      <c r="E326" t="s">
        <v>303</v>
      </c>
      <c r="F326" s="2" t="d">
        <v>2017-07-14</v>
      </c>
      <c r="G326" t="s">
        <v>205</v>
      </c>
      <c r="H326">
        <v>9.6999999999999993</v>
      </c>
      <c r="J326">
        <v>7.2999999999999995E-2</v>
      </c>
      <c r="K326">
        <v>10</v>
      </c>
      <c r="L326">
        <f t="shared" si="49"/>
        <v>7.38981131940659</v>
      </c>
      <c r="P326">
        <f t="shared" si="40"/>
        <v>0</v>
      </c>
      <c r="R326" t="s">
        <v>214</v>
      </c>
      <c r="S326">
        <v>6</v>
      </c>
      <c r="T326">
        <v>68.22</v>
      </c>
      <c r="U326">
        <v>33.340000000000003</v>
      </c>
      <c r="V326">
        <f t="shared" si="46"/>
        <v>1786.3526226505105</v>
      </c>
      <c r="W326">
        <f t="shared" si="47"/>
        <v>10718.115735903062</v>
      </c>
      <c r="X326">
        <v>0.16</v>
      </c>
      <c r="Y326">
        <v>0.18</v>
      </c>
      <c r="Z326">
        <v>0.17</v>
      </c>
      <c r="AA326">
        <f t="shared" si="50"/>
        <v>101.23029204666562</v>
      </c>
    </row>
    <row r="327" spans="1:28" x14ac:dyDescent="0.25">
      <c r="A327">
        <v>326</v>
      </c>
      <c r="B327" t="s">
        <v>864</v>
      </c>
      <c r="C327" t="s">
        <v>419</v>
      </c>
      <c r="D327">
        <v>3</v>
      </c>
      <c r="E327" t="s">
        <v>420</v>
      </c>
      <c r="F327" s="2" t="d">
        <v>2017-07-14</v>
      </c>
      <c r="G327" t="s">
        <v>205</v>
      </c>
      <c r="H327">
        <v>9.6999999999999993</v>
      </c>
      <c r="J327">
        <v>4.9000000000000002E-2</v>
      </c>
      <c r="K327">
        <v>10</v>
      </c>
      <c r="L327">
        <f t="shared" si="49"/>
        <v>7.38981131940659</v>
      </c>
      <c r="P327">
        <f t="shared" si="40"/>
        <v>0</v>
      </c>
      <c r="R327" t="s">
        <v>208</v>
      </c>
      <c r="S327" t="s">
        <v>144</v>
      </c>
      <c r="T327">
        <f>42.81+153</f>
        <v>195.81</v>
      </c>
      <c r="U327">
        <v>76.239999999999995</v>
      </c>
      <c r="V327">
        <f t="shared" si="46"/>
        <v>11724.859207938895</v>
      </c>
      <c r="W327">
        <f t="shared" si="47"/>
        <v>11724.859207938895</v>
      </c>
      <c r="X327">
        <v>0.22</v>
      </c>
      <c r="Y327">
        <v>0.24</v>
      </c>
      <c r="Z327">
        <v>0.21</v>
      </c>
      <c r="AA327">
        <f t="shared" si="50"/>
        <v>150.81247590625694</v>
      </c>
    </row>
    <row r="328" spans="1:28" x14ac:dyDescent="0.25">
      <c r="A328">
        <v>327</v>
      </c>
      <c r="B328" t="s">
        <v>865</v>
      </c>
      <c r="C328" t="s">
        <v>866</v>
      </c>
      <c r="D328">
        <v>4</v>
      </c>
      <c r="E328" t="s">
        <v>867</v>
      </c>
      <c r="F328" s="2" t="d">
        <v>2017-07-14</v>
      </c>
      <c r="G328" t="s">
        <v>205</v>
      </c>
      <c r="H328">
        <v>9.6999999999999993</v>
      </c>
      <c r="J328">
        <v>5.1999999999999998E-2</v>
      </c>
      <c r="K328">
        <v>10</v>
      </c>
      <c r="L328">
        <f t="shared" si="49"/>
        <v>7.38981131940659</v>
      </c>
      <c r="P328">
        <f t="shared" si="40"/>
        <v>0</v>
      </c>
      <c r="R328" t="s">
        <v>208</v>
      </c>
      <c r="S328" t="s">
        <v>144</v>
      </c>
      <c r="T328">
        <v>148.96</v>
      </c>
      <c r="U328">
        <v>44.15</v>
      </c>
      <c r="V328">
        <f t="shared" si="46"/>
        <v>5165.236995029044</v>
      </c>
      <c r="W328">
        <f t="shared" si="47"/>
        <v>5165.236995029044</v>
      </c>
      <c r="X328">
        <v>0.2</v>
      </c>
      <c r="Y328">
        <v>0.2</v>
      </c>
      <c r="Z328">
        <v>0.21</v>
      </c>
      <c r="AA328">
        <f t="shared" si="50"/>
        <v>142.11175614243442</v>
      </c>
    </row>
    <row r="329" spans="1:28" x14ac:dyDescent="0.25">
      <c r="A329">
        <v>328</v>
      </c>
      <c r="B329" t="s">
        <v>868</v>
      </c>
      <c r="C329" t="s">
        <v>869</v>
      </c>
      <c r="D329">
        <v>3</v>
      </c>
      <c r="E329" t="s">
        <v>870</v>
      </c>
      <c r="F329" s="2" t="d">
        <v>2017-07-14</v>
      </c>
      <c r="G329" t="s">
        <v>205</v>
      </c>
      <c r="H329">
        <v>7.1</v>
      </c>
      <c r="J329">
        <v>0.03</v>
      </c>
      <c r="K329">
        <v>10</v>
      </c>
      <c r="L329">
        <f t="shared" si="49"/>
        <v>3.9591921416865365</v>
      </c>
      <c r="P329">
        <f t="shared" si="40"/>
        <v>0</v>
      </c>
      <c r="R329" t="s">
        <v>208</v>
      </c>
      <c r="S329" t="s">
        <v>144</v>
      </c>
      <c r="T329">
        <v>109.32</v>
      </c>
      <c r="U329">
        <v>57.92</v>
      </c>
      <c r="V329">
        <f t="shared" si="46"/>
        <v>4972.9954007335164</v>
      </c>
      <c r="W329">
        <f t="shared" si="47"/>
        <v>4972.9954007335164</v>
      </c>
      <c r="X329">
        <v>0.25</v>
      </c>
      <c r="Y329">
        <v>0.19</v>
      </c>
      <c r="Z329">
        <v>0.21</v>
      </c>
      <c r="AA329">
        <f t="shared" si="50"/>
        <v>131.97307138955122</v>
      </c>
    </row>
    <row r="330" spans="1:28" x14ac:dyDescent="0.25">
      <c r="A330">
        <v>329</v>
      </c>
      <c r="B330" t="s">
        <v>871</v>
      </c>
      <c r="C330" t="s">
        <v>872</v>
      </c>
      <c r="D330">
        <v>1</v>
      </c>
      <c r="E330" t="s">
        <v>873</v>
      </c>
      <c r="F330" s="2" t="d">
        <v>2017-07-14</v>
      </c>
      <c r="G330" t="s">
        <v>205</v>
      </c>
      <c r="H330">
        <v>7.1</v>
      </c>
      <c r="J330">
        <v>2.5999999999999999E-2</v>
      </c>
      <c r="K330">
        <v>10</v>
      </c>
      <c r="L330">
        <f t="shared" si="49"/>
        <v>3.9591921416865365</v>
      </c>
      <c r="P330">
        <f t="shared" si="40"/>
        <v>0</v>
      </c>
      <c r="R330" t="s">
        <v>208</v>
      </c>
      <c r="S330" t="s">
        <v>144</v>
      </c>
      <c r="T330">
        <f>16.67+153</f>
        <v>169.67000000000002</v>
      </c>
      <c r="U330">
        <v>47.2</v>
      </c>
      <c r="V330">
        <f t="shared" si="46"/>
        <v>6289.8015013080467</v>
      </c>
      <c r="W330">
        <f t="shared" si="47"/>
        <v>6289.8015013080467</v>
      </c>
      <c r="X330">
        <v>0.19</v>
      </c>
      <c r="Y330">
        <v>0.19</v>
      </c>
      <c r="Z330">
        <v>0.18</v>
      </c>
      <c r="AA330">
        <f t="shared" si="50"/>
        <v>152.27662083409757</v>
      </c>
    </row>
    <row r="331" spans="1:28" x14ac:dyDescent="0.25">
      <c r="A331">
        <v>330</v>
      </c>
      <c r="B331" t="s">
        <v>874</v>
      </c>
      <c r="C331" t="s">
        <v>869</v>
      </c>
      <c r="D331">
        <v>5</v>
      </c>
      <c r="E331" t="s">
        <v>870</v>
      </c>
      <c r="F331" s="2" t="d">
        <v>2017-07-14</v>
      </c>
      <c r="G331" t="s">
        <v>205</v>
      </c>
      <c r="H331">
        <v>9.6999999999999993</v>
      </c>
      <c r="J331">
        <v>6.2E-2</v>
      </c>
      <c r="K331">
        <v>10</v>
      </c>
      <c r="L331">
        <f t="shared" si="49"/>
        <v>7.38981131940659</v>
      </c>
      <c r="P331">
        <f t="shared" si="40"/>
        <v>0</v>
      </c>
      <c r="R331" t="s">
        <v>208</v>
      </c>
      <c r="S331" t="s">
        <v>144</v>
      </c>
      <c r="T331">
        <v>119.18</v>
      </c>
      <c r="U331">
        <v>56.58</v>
      </c>
      <c r="V331">
        <f t="shared" si="46"/>
        <v>5296.1003511735926</v>
      </c>
      <c r="W331">
        <f t="shared" si="47"/>
        <v>5296.1003511735926</v>
      </c>
      <c r="X331">
        <v>0.27</v>
      </c>
      <c r="Y331">
        <v>0.3</v>
      </c>
      <c r="Z331">
        <v>0.28000000000000003</v>
      </c>
      <c r="AA331">
        <f t="shared" si="50"/>
        <v>119.19050515171919</v>
      </c>
    </row>
    <row r="332" spans="1:28" x14ac:dyDescent="0.25">
      <c r="A332">
        <v>331</v>
      </c>
      <c r="B332" t="s">
        <v>875</v>
      </c>
      <c r="C332" t="s">
        <v>866</v>
      </c>
      <c r="D332">
        <v>3</v>
      </c>
      <c r="E332" t="s">
        <v>867</v>
      </c>
      <c r="F332" s="2" t="d">
        <v>2017-07-14</v>
      </c>
      <c r="G332" t="s">
        <v>205</v>
      </c>
      <c r="H332">
        <v>7.1</v>
      </c>
      <c r="J332">
        <v>2.8000000000000001E-2</v>
      </c>
      <c r="K332">
        <v>10</v>
      </c>
      <c r="L332">
        <f t="shared" si="49"/>
        <v>3.9591921416865365</v>
      </c>
      <c r="P332">
        <f t="shared" si="40"/>
        <v>0</v>
      </c>
      <c r="R332" t="s">
        <v>208</v>
      </c>
      <c r="S332" t="s">
        <v>144</v>
      </c>
      <c r="T332">
        <v>91.35</v>
      </c>
      <c r="U332">
        <v>25.76</v>
      </c>
      <c r="V332">
        <f t="shared" si="46"/>
        <v>1848.1801085509537</v>
      </c>
      <c r="W332">
        <f t="shared" si="47"/>
        <v>1848.1801085509537</v>
      </c>
      <c r="X332">
        <v>0.17</v>
      </c>
      <c r="Y332">
        <v>0.17</v>
      </c>
      <c r="Z332">
        <v>0.2</v>
      </c>
      <c r="AA332">
        <f t="shared" si="50"/>
        <v>141.39971934594774</v>
      </c>
    </row>
    <row r="333" spans="1:28" x14ac:dyDescent="0.25">
      <c r="A333">
        <v>332</v>
      </c>
      <c r="B333" t="s">
        <v>876</v>
      </c>
      <c r="C333" t="s">
        <v>858</v>
      </c>
      <c r="D333">
        <v>4</v>
      </c>
      <c r="E333" t="s">
        <v>859</v>
      </c>
      <c r="F333" s="2" t="d">
        <v>2017-07-14</v>
      </c>
      <c r="G333" t="s">
        <v>205</v>
      </c>
      <c r="H333">
        <v>9.6999999999999993</v>
      </c>
      <c r="J333">
        <v>3.3000000000000002E-2</v>
      </c>
      <c r="K333">
        <v>10</v>
      </c>
      <c r="L333">
        <f t="shared" si="49"/>
        <v>7.38981131940659</v>
      </c>
      <c r="P333">
        <f t="shared" si="40"/>
        <v>0</v>
      </c>
      <c r="R333" t="s">
        <v>208</v>
      </c>
      <c r="S333" t="s">
        <v>144</v>
      </c>
      <c r="T333">
        <v>113.77</v>
      </c>
      <c r="U333">
        <v>49.91</v>
      </c>
      <c r="V333">
        <f t="shared" si="46"/>
        <v>4459.6955250719093</v>
      </c>
      <c r="W333">
        <f t="shared" si="47"/>
        <v>4459.6955250719093</v>
      </c>
      <c r="X333">
        <v>0.26</v>
      </c>
      <c r="Y333">
        <v>0.26</v>
      </c>
      <c r="Z333">
        <v>0.28000000000000003</v>
      </c>
      <c r="AA333">
        <f t="shared" si="50"/>
        <v>223.93367634565422</v>
      </c>
    </row>
    <row r="334" spans="1:28" x14ac:dyDescent="0.25">
      <c r="A334">
        <v>333</v>
      </c>
      <c r="B334" t="s">
        <v>877</v>
      </c>
      <c r="C334" t="s">
        <v>869</v>
      </c>
      <c r="D334">
        <v>4</v>
      </c>
      <c r="E334" t="s">
        <v>870</v>
      </c>
      <c r="F334" s="2" t="d">
        <v>2017-07-14</v>
      </c>
      <c r="G334" t="s">
        <v>205</v>
      </c>
      <c r="H334">
        <v>9.6999999999999993</v>
      </c>
      <c r="J334">
        <v>5.1999999999999998E-2</v>
      </c>
      <c r="K334">
        <v>10</v>
      </c>
      <c r="L334">
        <f t="shared" si="49"/>
        <v>7.38981131940659</v>
      </c>
      <c r="P334">
        <f t="shared" si="40"/>
        <v>0</v>
      </c>
      <c r="R334" t="s">
        <v>208</v>
      </c>
      <c r="S334" t="s">
        <v>144</v>
      </c>
      <c r="T334">
        <f>23.58+153</f>
        <v>176.57999999999998</v>
      </c>
      <c r="U334">
        <v>89.63</v>
      </c>
      <c r="V334">
        <f t="shared" ref="V334:V365" si="51">(((T334/2) * (U334/2)) * PI())</f>
        <v>12430.391017498618</v>
      </c>
      <c r="W334">
        <f t="shared" ref="W334:W365" si="52">IF(ISNUMBER(S334), S334*V334, V334)</f>
        <v>12430.391017498618</v>
      </c>
      <c r="X334">
        <v>0.31</v>
      </c>
      <c r="Y334">
        <v>0.27</v>
      </c>
      <c r="Z334">
        <v>0.27</v>
      </c>
      <c r="AA334">
        <f t="shared" si="50"/>
        <v>142.11175614243442</v>
      </c>
    </row>
    <row r="335" spans="1:28" x14ac:dyDescent="0.25">
      <c r="A335">
        <v>334</v>
      </c>
      <c r="B335" t="s">
        <v>937</v>
      </c>
      <c r="C335" t="s">
        <v>869</v>
      </c>
      <c r="D335">
        <v>6</v>
      </c>
      <c r="E335" t="s">
        <v>870</v>
      </c>
      <c r="F335" s="2" t="d">
        <v>2017-07-14</v>
      </c>
      <c r="G335" t="s">
        <v>205</v>
      </c>
      <c r="H335">
        <v>9.6999999999999993</v>
      </c>
      <c r="J335">
        <v>7.8E-2</v>
      </c>
      <c r="K335">
        <v>10</v>
      </c>
      <c r="L335">
        <f t="shared" si="49"/>
        <v>7.38981131940659</v>
      </c>
      <c r="P335">
        <f t="shared" si="40"/>
        <v>0</v>
      </c>
      <c r="R335" t="s">
        <v>208</v>
      </c>
      <c r="S335" t="s">
        <v>144</v>
      </c>
      <c r="T335">
        <v>132.29</v>
      </c>
      <c r="U335">
        <v>57.32</v>
      </c>
      <c r="V335">
        <f t="shared" si="51"/>
        <v>5955.5665164148322</v>
      </c>
      <c r="W335">
        <f t="shared" si="52"/>
        <v>5955.5665164148322</v>
      </c>
      <c r="X335">
        <v>0.24</v>
      </c>
      <c r="Y335">
        <v>0.25</v>
      </c>
      <c r="Z335">
        <v>0.23</v>
      </c>
      <c r="AA335">
        <f t="shared" si="50"/>
        <v>94.741170761622953</v>
      </c>
      <c r="AB335" t="s">
        <v>887</v>
      </c>
    </row>
    <row r="336" spans="1:28" x14ac:dyDescent="0.25">
      <c r="A336">
        <v>335</v>
      </c>
      <c r="B336" t="s">
        <v>878</v>
      </c>
      <c r="C336" t="s">
        <v>858</v>
      </c>
      <c r="D336">
        <v>3</v>
      </c>
      <c r="E336" t="s">
        <v>859</v>
      </c>
      <c r="F336" s="2" t="d">
        <v>2017-07-14</v>
      </c>
      <c r="G336" t="s">
        <v>205</v>
      </c>
      <c r="H336">
        <v>7.1</v>
      </c>
      <c r="J336">
        <v>0.03</v>
      </c>
      <c r="K336">
        <v>10</v>
      </c>
      <c r="L336">
        <f t="shared" si="49"/>
        <v>3.9591921416865365</v>
      </c>
      <c r="P336">
        <f t="shared" si="40"/>
        <v>0</v>
      </c>
      <c r="R336" t="s">
        <v>208</v>
      </c>
      <c r="S336" t="s">
        <v>144</v>
      </c>
      <c r="T336">
        <v>59.71</v>
      </c>
      <c r="U336">
        <v>40.06</v>
      </c>
      <c r="V336">
        <f t="shared" si="51"/>
        <v>1878.6587409186534</v>
      </c>
      <c r="W336">
        <f t="shared" si="52"/>
        <v>1878.6587409186534</v>
      </c>
      <c r="X336">
        <v>0.28000000000000003</v>
      </c>
      <c r="Y336">
        <v>0.25</v>
      </c>
      <c r="Z336">
        <v>0.28999999999999998</v>
      </c>
      <c r="AA336">
        <f t="shared" si="50"/>
        <v>131.97307138955122</v>
      </c>
    </row>
    <row r="337" spans="1:28" x14ac:dyDescent="0.25">
      <c r="A337">
        <v>336</v>
      </c>
      <c r="B337" t="s">
        <v>879</v>
      </c>
      <c r="C337" t="s">
        <v>866</v>
      </c>
      <c r="D337">
        <v>1</v>
      </c>
      <c r="E337" t="s">
        <v>867</v>
      </c>
      <c r="F337" s="2" t="d">
        <v>2017-07-14</v>
      </c>
      <c r="G337" t="s">
        <v>205</v>
      </c>
      <c r="H337">
        <v>7.1</v>
      </c>
      <c r="J337">
        <v>3.2000000000000001E-2</v>
      </c>
      <c r="K337">
        <v>10</v>
      </c>
      <c r="L337">
        <f t="shared" si="49"/>
        <v>3.9591921416865365</v>
      </c>
      <c r="P337">
        <f t="shared" si="40"/>
        <v>0</v>
      </c>
      <c r="R337" t="s">
        <v>208</v>
      </c>
      <c r="S337" t="s">
        <v>144</v>
      </c>
      <c r="T337">
        <v>142.93</v>
      </c>
      <c r="U337">
        <v>32.99</v>
      </c>
      <c r="V337">
        <f t="shared" si="51"/>
        <v>3703.3570937201671</v>
      </c>
      <c r="W337">
        <f t="shared" si="52"/>
        <v>3703.3570937201671</v>
      </c>
      <c r="X337">
        <v>0.22</v>
      </c>
      <c r="Y337">
        <v>0.21</v>
      </c>
      <c r="Z337">
        <v>0.19</v>
      </c>
      <c r="AA337">
        <f t="shared" si="50"/>
        <v>123.72475442770427</v>
      </c>
    </row>
    <row r="338" spans="1:28" x14ac:dyDescent="0.25">
      <c r="A338">
        <v>337</v>
      </c>
      <c r="B338" t="s">
        <v>880</v>
      </c>
      <c r="C338" t="s">
        <v>881</v>
      </c>
      <c r="D338">
        <v>1</v>
      </c>
      <c r="E338" t="s">
        <v>882</v>
      </c>
      <c r="F338" s="2" t="d">
        <v>2017-07-14</v>
      </c>
      <c r="G338" t="s">
        <v>205</v>
      </c>
      <c r="H338">
        <v>9.6999999999999993</v>
      </c>
      <c r="J338">
        <v>0.106</v>
      </c>
      <c r="K338">
        <v>10</v>
      </c>
      <c r="L338">
        <f t="shared" si="49"/>
        <v>7.38981131940659</v>
      </c>
      <c r="P338">
        <f t="shared" si="40"/>
        <v>0</v>
      </c>
      <c r="R338" t="s">
        <v>208</v>
      </c>
      <c r="S338" t="s">
        <v>144</v>
      </c>
      <c r="T338">
        <v>108.59</v>
      </c>
      <c r="U338">
        <v>48.19</v>
      </c>
      <c r="V338">
        <f t="shared" si="51"/>
        <v>4109.9509684868199</v>
      </c>
      <c r="W338">
        <f t="shared" si="52"/>
        <v>4109.9509684868199</v>
      </c>
      <c r="X338">
        <v>0.39</v>
      </c>
      <c r="Y338">
        <v>0.43</v>
      </c>
      <c r="Z338">
        <v>0.43</v>
      </c>
      <c r="AA338">
        <f t="shared" si="50"/>
        <v>69.715201126477268</v>
      </c>
    </row>
    <row r="339" spans="1:28" x14ac:dyDescent="0.25">
      <c r="A339">
        <v>338</v>
      </c>
      <c r="B339" t="s">
        <v>883</v>
      </c>
      <c r="C339" t="s">
        <v>869</v>
      </c>
      <c r="D339">
        <v>2</v>
      </c>
      <c r="E339" t="s">
        <v>870</v>
      </c>
      <c r="F339" s="2" t="d">
        <v>2017-07-14</v>
      </c>
      <c r="G339" t="s">
        <v>205</v>
      </c>
      <c r="H339">
        <v>7.1</v>
      </c>
      <c r="J339">
        <v>4.2999999999999997E-2</v>
      </c>
      <c r="K339">
        <v>10</v>
      </c>
      <c r="L339">
        <f t="shared" si="49"/>
        <v>3.9591921416865365</v>
      </c>
      <c r="P339">
        <f t="shared" si="40"/>
        <v>0</v>
      </c>
      <c r="R339" t="s">
        <v>208</v>
      </c>
      <c r="S339" t="s">
        <v>144</v>
      </c>
      <c r="T339">
        <v>74.989999999999995</v>
      </c>
      <c r="U339">
        <v>24.19</v>
      </c>
      <c r="V339">
        <f t="shared" si="51"/>
        <v>1424.7186301280947</v>
      </c>
      <c r="W339">
        <f t="shared" si="52"/>
        <v>1424.7186301280947</v>
      </c>
      <c r="X339">
        <v>0.26</v>
      </c>
      <c r="Y339">
        <v>0.25</v>
      </c>
      <c r="Z339">
        <v>0.26</v>
      </c>
      <c r="AA339">
        <f t="shared" si="50"/>
        <v>92.074235853175281</v>
      </c>
    </row>
    <row r="340" spans="1:28" x14ac:dyDescent="0.25">
      <c r="A340">
        <v>339</v>
      </c>
      <c r="B340" t="s">
        <v>884</v>
      </c>
      <c r="C340" t="s">
        <v>869</v>
      </c>
      <c r="D340">
        <v>1</v>
      </c>
      <c r="E340" t="s">
        <v>870</v>
      </c>
      <c r="F340" s="2" t="d">
        <v>2017-07-14</v>
      </c>
      <c r="G340" t="s">
        <v>205</v>
      </c>
      <c r="H340">
        <v>9.6999999999999993</v>
      </c>
      <c r="J340">
        <v>6.3E-2</v>
      </c>
      <c r="K340">
        <v>10</v>
      </c>
      <c r="L340">
        <f t="shared" si="49"/>
        <v>7.38981131940659</v>
      </c>
      <c r="P340">
        <f t="shared" si="40"/>
        <v>0</v>
      </c>
      <c r="R340" t="s">
        <v>208</v>
      </c>
      <c r="S340" t="s">
        <v>144</v>
      </c>
      <c r="T340">
        <v>144.97</v>
      </c>
      <c r="U340">
        <v>52.8</v>
      </c>
      <c r="V340">
        <f t="shared" si="51"/>
        <v>6011.7642682800415</v>
      </c>
      <c r="W340">
        <f t="shared" si="52"/>
        <v>6011.7642682800415</v>
      </c>
      <c r="X340">
        <v>0.25</v>
      </c>
      <c r="Y340">
        <v>0.26</v>
      </c>
      <c r="Z340">
        <v>0.25</v>
      </c>
      <c r="AA340">
        <f t="shared" si="50"/>
        <v>117.29859237153318</v>
      </c>
    </row>
    <row r="341" spans="1:28" x14ac:dyDescent="0.25">
      <c r="A341">
        <v>340</v>
      </c>
      <c r="B341" t="s">
        <v>888</v>
      </c>
      <c r="C341" t="s">
        <v>866</v>
      </c>
      <c r="D341">
        <v>2</v>
      </c>
      <c r="E341" t="s">
        <v>867</v>
      </c>
      <c r="F341" s="2" t="d">
        <v>2017-07-14</v>
      </c>
      <c r="G341" t="s">
        <v>205</v>
      </c>
      <c r="H341">
        <v>7.1</v>
      </c>
      <c r="J341">
        <v>4.1000000000000002E-2</v>
      </c>
      <c r="K341">
        <v>10</v>
      </c>
      <c r="L341">
        <f t="shared" ref="L341:L362" si="53">PI()*((H341/2)^2)/100 * K341</f>
        <v>3.9591921416865365</v>
      </c>
      <c r="P341">
        <f t="shared" si="40"/>
        <v>0</v>
      </c>
      <c r="R341" t="s">
        <v>208</v>
      </c>
      <c r="S341" t="s">
        <v>144</v>
      </c>
      <c r="T341">
        <v>77.92</v>
      </c>
      <c r="U341">
        <v>21.18</v>
      </c>
      <c r="V341">
        <f t="shared" si="51"/>
        <v>1296.17840321106</v>
      </c>
      <c r="W341">
        <f t="shared" si="52"/>
        <v>1296.17840321106</v>
      </c>
      <c r="X341">
        <v>0.24</v>
      </c>
      <c r="Y341">
        <v>0.26</v>
      </c>
      <c r="Z341">
        <v>0.22</v>
      </c>
      <c r="AA341">
        <f t="shared" ref="AA341:AA362" si="54">L341/J341</f>
        <v>96.565661992354549</v>
      </c>
    </row>
    <row r="342" spans="1:28" x14ac:dyDescent="0.25">
      <c r="A342">
        <v>341</v>
      </c>
      <c r="B342" t="s">
        <v>938</v>
      </c>
      <c r="C342" t="s">
        <v>866</v>
      </c>
      <c r="D342">
        <v>6</v>
      </c>
      <c r="E342" t="s">
        <v>867</v>
      </c>
      <c r="F342" s="2" t="d">
        <v>2017-07-14</v>
      </c>
      <c r="G342" t="s">
        <v>205</v>
      </c>
      <c r="H342">
        <v>7.1</v>
      </c>
      <c r="J342">
        <v>0.04</v>
      </c>
      <c r="K342">
        <v>10</v>
      </c>
      <c r="L342">
        <f t="shared" si="53"/>
        <v>3.9591921416865365</v>
      </c>
      <c r="P342">
        <f t="shared" si="40"/>
        <v>0</v>
      </c>
      <c r="R342" t="s">
        <v>208</v>
      </c>
      <c r="S342" t="s">
        <v>144</v>
      </c>
      <c r="T342">
        <v>107.58</v>
      </c>
      <c r="U342">
        <v>26.51</v>
      </c>
      <c r="V342">
        <f t="shared" si="51"/>
        <v>2239.9129934290663</v>
      </c>
      <c r="W342">
        <f t="shared" si="52"/>
        <v>2239.9129934290663</v>
      </c>
      <c r="X342">
        <v>0.27</v>
      </c>
      <c r="Y342">
        <v>0.27</v>
      </c>
      <c r="Z342">
        <v>0.24</v>
      </c>
      <c r="AA342">
        <f t="shared" si="54"/>
        <v>98.97980354216341</v>
      </c>
      <c r="AB342" t="s">
        <v>885</v>
      </c>
    </row>
    <row r="343" spans="1:28" x14ac:dyDescent="0.25">
      <c r="A343">
        <v>342</v>
      </c>
      <c r="B343" t="s">
        <v>886</v>
      </c>
      <c r="C343" t="s">
        <v>858</v>
      </c>
      <c r="D343">
        <v>1</v>
      </c>
      <c r="E343" t="s">
        <v>859</v>
      </c>
      <c r="F343" s="2" t="d">
        <v>2017-07-14</v>
      </c>
      <c r="G343" t="s">
        <v>205</v>
      </c>
      <c r="H343">
        <v>7.1</v>
      </c>
      <c r="J343">
        <v>3.7999999999999999E-2</v>
      </c>
      <c r="K343">
        <v>10</v>
      </c>
      <c r="L343">
        <f t="shared" si="53"/>
        <v>3.9591921416865365</v>
      </c>
      <c r="P343">
        <f t="shared" si="40"/>
        <v>0</v>
      </c>
      <c r="R343" t="s">
        <v>208</v>
      </c>
      <c r="S343" t="s">
        <v>144</v>
      </c>
      <c r="T343">
        <v>76.64</v>
      </c>
      <c r="U343">
        <v>36.94</v>
      </c>
      <c r="V343">
        <f t="shared" si="51"/>
        <v>2223.5262890683093</v>
      </c>
      <c r="W343">
        <f t="shared" si="52"/>
        <v>2223.5262890683093</v>
      </c>
      <c r="X343">
        <v>0.25</v>
      </c>
      <c r="Y343">
        <v>0.34</v>
      </c>
      <c r="Z343">
        <v>0.32</v>
      </c>
      <c r="AA343">
        <f t="shared" si="54"/>
        <v>104.1892668864878</v>
      </c>
    </row>
    <row r="344" spans="1:28" x14ac:dyDescent="0.25">
      <c r="A344">
        <v>343</v>
      </c>
      <c r="B344" t="s">
        <v>890</v>
      </c>
      <c r="C344" t="s">
        <v>891</v>
      </c>
      <c r="D344">
        <v>1</v>
      </c>
      <c r="E344" t="s">
        <v>892</v>
      </c>
      <c r="F344" s="2" t="d">
        <v>2017-07-15</v>
      </c>
      <c r="G344" t="s">
        <v>205</v>
      </c>
      <c r="H344">
        <v>7.1</v>
      </c>
      <c r="J344">
        <v>0.03</v>
      </c>
      <c r="K344">
        <v>10</v>
      </c>
      <c r="L344">
        <f t="shared" si="53"/>
        <v>3.9591921416865365</v>
      </c>
      <c r="P344">
        <f t="shared" si="40"/>
        <v>0</v>
      </c>
      <c r="R344" t="s">
        <v>208</v>
      </c>
      <c r="S344" t="s">
        <v>144</v>
      </c>
      <c r="T344">
        <v>67.540000000000006</v>
      </c>
      <c r="U344">
        <v>55.21</v>
      </c>
      <c r="V344">
        <f t="shared" si="51"/>
        <v>2928.6581738832328</v>
      </c>
      <c r="W344">
        <f t="shared" si="52"/>
        <v>2928.6581738832328</v>
      </c>
      <c r="X344">
        <v>0.25</v>
      </c>
      <c r="Y344">
        <v>0.28000000000000003</v>
      </c>
      <c r="Z344">
        <v>0.27</v>
      </c>
      <c r="AA344">
        <f t="shared" si="54"/>
        <v>131.97307138955122</v>
      </c>
      <c r="AB344" t="s">
        <v>913</v>
      </c>
    </row>
    <row r="345" spans="1:28" x14ac:dyDescent="0.25">
      <c r="A345">
        <v>344</v>
      </c>
      <c r="B345" t="s">
        <v>893</v>
      </c>
      <c r="C345" t="s">
        <v>609</v>
      </c>
      <c r="D345">
        <v>5</v>
      </c>
      <c r="E345" t="s">
        <v>610</v>
      </c>
      <c r="F345" s="2" t="d">
        <v>2017-07-15</v>
      </c>
      <c r="G345" t="s">
        <v>205</v>
      </c>
      <c r="H345">
        <v>9.6999999999999993</v>
      </c>
      <c r="J345">
        <v>6.8000000000000005E-2</v>
      </c>
      <c r="K345">
        <v>10</v>
      </c>
      <c r="L345">
        <f t="shared" si="53"/>
        <v>7.38981131940659</v>
      </c>
      <c r="P345">
        <f t="shared" si="40"/>
        <v>0</v>
      </c>
      <c r="R345" t="s">
        <v>214</v>
      </c>
      <c r="S345">
        <v>5</v>
      </c>
      <c r="T345">
        <v>87.36</v>
      </c>
      <c r="U345">
        <v>20.54</v>
      </c>
      <c r="V345">
        <f t="shared" si="51"/>
        <v>1409.2983582073982</v>
      </c>
      <c r="W345">
        <f t="shared" si="52"/>
        <v>7046.4917910369913</v>
      </c>
      <c r="X345">
        <v>0.23</v>
      </c>
      <c r="Y345">
        <v>0.26</v>
      </c>
      <c r="Z345">
        <v>0.23</v>
      </c>
      <c r="AA345">
        <f t="shared" si="54"/>
        <v>108.67369587362631</v>
      </c>
      <c r="AB345" t="s">
        <v>913</v>
      </c>
    </row>
    <row r="346" spans="1:28" x14ac:dyDescent="0.25">
      <c r="A346">
        <v>345</v>
      </c>
      <c r="B346" t="s">
        <v>894</v>
      </c>
      <c r="C346" t="s">
        <v>526</v>
      </c>
      <c r="D346">
        <v>5</v>
      </c>
      <c r="E346" t="s">
        <v>527</v>
      </c>
      <c r="F346" s="2" t="d">
        <v>2017-07-15</v>
      </c>
      <c r="G346" t="s">
        <v>205</v>
      </c>
      <c r="H346">
        <v>9.6999999999999993</v>
      </c>
      <c r="J346">
        <v>5.2999999999999999E-2</v>
      </c>
      <c r="K346">
        <v>10</v>
      </c>
      <c r="L346">
        <f t="shared" si="53"/>
        <v>7.38981131940659</v>
      </c>
      <c r="P346">
        <f t="shared" si="40"/>
        <v>0</v>
      </c>
      <c r="R346" t="s">
        <v>208</v>
      </c>
      <c r="S346" t="s">
        <v>144</v>
      </c>
      <c r="T346">
        <v>97.36</v>
      </c>
      <c r="U346">
        <v>31.13</v>
      </c>
      <c r="V346">
        <f t="shared" si="51"/>
        <v>2380.3979483141316</v>
      </c>
      <c r="W346">
        <f t="shared" si="52"/>
        <v>2380.3979483141316</v>
      </c>
      <c r="X346">
        <v>0.23</v>
      </c>
      <c r="Y346">
        <v>0.24</v>
      </c>
      <c r="Z346">
        <v>0.22</v>
      </c>
      <c r="AA346">
        <f t="shared" si="54"/>
        <v>139.43040225295454</v>
      </c>
      <c r="AB346">
        <v>2699</v>
      </c>
    </row>
    <row r="347" spans="1:28" x14ac:dyDescent="0.25">
      <c r="A347">
        <v>346</v>
      </c>
      <c r="B347" t="s">
        <v>910</v>
      </c>
      <c r="C347" t="s">
        <v>911</v>
      </c>
      <c r="D347">
        <v>1</v>
      </c>
      <c r="E347" t="s">
        <v>912</v>
      </c>
      <c r="F347" s="2" t="d">
        <v>2017-07-15</v>
      </c>
      <c r="G347" t="s">
        <v>205</v>
      </c>
      <c r="H347">
        <v>9.6999999999999993</v>
      </c>
      <c r="J347">
        <v>8.5000000000000006E-2</v>
      </c>
      <c r="K347">
        <v>10</v>
      </c>
      <c r="L347">
        <f>PI()*((H347/2)^2)/100 * K347</f>
        <v>7.38981131940659</v>
      </c>
      <c r="AA347">
        <f>L347/J347</f>
        <v>86.938956698901052</v>
      </c>
      <c r="AB347" t="s">
        <v>1139</v>
      </c>
    </row>
    <row r="348" spans="1:28" x14ac:dyDescent="0.25">
      <c r="A348">
        <v>347</v>
      </c>
      <c r="B348" t="s">
        <v>895</v>
      </c>
      <c r="C348" t="s">
        <v>346</v>
      </c>
      <c r="D348">
        <v>5</v>
      </c>
      <c r="E348" t="s">
        <v>377</v>
      </c>
      <c r="F348" s="2" t="d">
        <v>2017-07-15</v>
      </c>
      <c r="G348" t="s">
        <v>205</v>
      </c>
      <c r="H348">
        <v>7.1</v>
      </c>
      <c r="J348">
        <v>0.03</v>
      </c>
      <c r="K348">
        <v>10</v>
      </c>
      <c r="L348">
        <f t="shared" si="53"/>
        <v>3.9591921416865365</v>
      </c>
      <c r="P348">
        <f t="shared" ref="P348:P398" si="55">O348 / (300 * 300) * 2.54</f>
        <v>0</v>
      </c>
      <c r="R348" t="s">
        <v>214</v>
      </c>
      <c r="S348">
        <v>5</v>
      </c>
      <c r="T348">
        <v>110.52</v>
      </c>
      <c r="U348">
        <v>63.73</v>
      </c>
      <c r="V348">
        <f t="shared" si="51"/>
        <v>5531.9045258408578</v>
      </c>
      <c r="W348">
        <f t="shared" si="52"/>
        <v>27659.52262920429</v>
      </c>
      <c r="X348">
        <v>0.36</v>
      </c>
      <c r="Y348">
        <v>0.37</v>
      </c>
      <c r="Z348">
        <v>0.37</v>
      </c>
      <c r="AA348">
        <f t="shared" si="54"/>
        <v>131.97307138955122</v>
      </c>
      <c r="AB348">
        <v>2743</v>
      </c>
    </row>
    <row r="349" spans="1:28" x14ac:dyDescent="0.25">
      <c r="A349">
        <v>348</v>
      </c>
      <c r="B349" t="s">
        <v>897</v>
      </c>
      <c r="C349" t="s">
        <v>898</v>
      </c>
      <c r="D349">
        <v>1</v>
      </c>
      <c r="E349" t="s">
        <v>899</v>
      </c>
      <c r="F349" s="2" t="d">
        <v>2017-07-15</v>
      </c>
      <c r="G349" t="s">
        <v>205</v>
      </c>
      <c r="H349">
        <v>7.1</v>
      </c>
      <c r="J349">
        <v>2.5000000000000001E-2</v>
      </c>
      <c r="K349">
        <v>10</v>
      </c>
      <c r="L349">
        <f t="shared" si="53"/>
        <v>3.9591921416865365</v>
      </c>
      <c r="P349">
        <f t="shared" si="55"/>
        <v>0</v>
      </c>
      <c r="R349" t="s">
        <v>208</v>
      </c>
      <c r="S349" t="s">
        <v>144</v>
      </c>
      <c r="T349">
        <v>85.57</v>
      </c>
      <c r="U349">
        <v>43.18</v>
      </c>
      <c r="V349">
        <f t="shared" si="51"/>
        <v>2901.9775699540901</v>
      </c>
      <c r="W349">
        <f t="shared" si="52"/>
        <v>2901.9775699540901</v>
      </c>
      <c r="X349">
        <v>0.19</v>
      </c>
      <c r="Y349">
        <v>0.18</v>
      </c>
      <c r="Z349">
        <v>0.2</v>
      </c>
      <c r="AA349">
        <f t="shared" si="54"/>
        <v>158.36768566746144</v>
      </c>
      <c r="AB349" t="s">
        <v>913</v>
      </c>
    </row>
    <row r="350" spans="1:28" x14ac:dyDescent="0.25">
      <c r="A350">
        <v>349</v>
      </c>
      <c r="B350" t="s">
        <v>896</v>
      </c>
      <c r="C350" t="s">
        <v>845</v>
      </c>
      <c r="D350">
        <v>2</v>
      </c>
      <c r="E350" t="s">
        <v>846</v>
      </c>
      <c r="F350" s="2" t="d">
        <v>2017-07-15</v>
      </c>
      <c r="G350" t="s">
        <v>205</v>
      </c>
      <c r="H350">
        <v>7.1</v>
      </c>
      <c r="J350">
        <v>3.3000000000000002E-2</v>
      </c>
      <c r="K350">
        <v>10</v>
      </c>
      <c r="L350">
        <f t="shared" si="53"/>
        <v>3.9591921416865365</v>
      </c>
      <c r="P350">
        <f t="shared" si="55"/>
        <v>0</v>
      </c>
      <c r="R350" t="s">
        <v>214</v>
      </c>
      <c r="S350">
        <v>9</v>
      </c>
      <c r="T350">
        <v>147.35</v>
      </c>
      <c r="U350">
        <v>55.54</v>
      </c>
      <c r="V350">
        <f t="shared" si="51"/>
        <v>6427.5564121771413</v>
      </c>
      <c r="W350">
        <f t="shared" si="52"/>
        <v>57848.007709594269</v>
      </c>
      <c r="X350">
        <v>0.21</v>
      </c>
      <c r="Y350">
        <v>0.19</v>
      </c>
      <c r="Z350">
        <v>0.2</v>
      </c>
      <c r="AA350">
        <f t="shared" si="54"/>
        <v>119.97551944504656</v>
      </c>
      <c r="AB350">
        <v>2774</v>
      </c>
    </row>
    <row r="351" spans="1:28" x14ac:dyDescent="0.25">
      <c r="A351">
        <v>350</v>
      </c>
      <c r="B351" t="s">
        <v>900</v>
      </c>
      <c r="C351" t="s">
        <v>515</v>
      </c>
      <c r="D351">
        <v>4</v>
      </c>
      <c r="E351" t="s">
        <v>516</v>
      </c>
      <c r="F351" s="2" t="d">
        <v>2017-07-15</v>
      </c>
      <c r="G351" t="s">
        <v>205</v>
      </c>
      <c r="H351">
        <v>9.6999999999999993</v>
      </c>
      <c r="J351">
        <v>7.0999999999999994E-2</v>
      </c>
      <c r="K351">
        <v>10</v>
      </c>
      <c r="L351">
        <f t="shared" si="53"/>
        <v>7.38981131940659</v>
      </c>
      <c r="P351">
        <f t="shared" si="55"/>
        <v>0</v>
      </c>
      <c r="R351" t="s">
        <v>208</v>
      </c>
      <c r="S351" t="s">
        <v>144</v>
      </c>
      <c r="T351">
        <v>116.72</v>
      </c>
      <c r="U351">
        <v>41.44</v>
      </c>
      <c r="V351">
        <f t="shared" si="51"/>
        <v>3798.8741552997267</v>
      </c>
      <c r="W351">
        <f t="shared" si="52"/>
        <v>3798.8741552997267</v>
      </c>
      <c r="X351">
        <v>0.18</v>
      </c>
      <c r="Y351">
        <v>0.23</v>
      </c>
      <c r="Z351">
        <v>0.21</v>
      </c>
      <c r="AA351">
        <f t="shared" si="54"/>
        <v>104.08184956910691</v>
      </c>
      <c r="AB351">
        <v>2775</v>
      </c>
    </row>
    <row r="352" spans="1:28" x14ac:dyDescent="0.25">
      <c r="A352">
        <v>351</v>
      </c>
      <c r="B352" t="s">
        <v>901</v>
      </c>
      <c r="C352" t="s">
        <v>866</v>
      </c>
      <c r="D352">
        <v>5</v>
      </c>
      <c r="E352" t="s">
        <v>867</v>
      </c>
      <c r="F352" s="2" t="d">
        <v>2017-07-15</v>
      </c>
      <c r="G352" t="s">
        <v>205</v>
      </c>
      <c r="H352">
        <v>7.1</v>
      </c>
      <c r="J352">
        <v>3.1E-2</v>
      </c>
      <c r="K352">
        <v>10</v>
      </c>
      <c r="L352">
        <f t="shared" si="53"/>
        <v>3.9591921416865365</v>
      </c>
      <c r="P352">
        <f t="shared" si="55"/>
        <v>0</v>
      </c>
      <c r="R352" t="s">
        <v>208</v>
      </c>
      <c r="S352" t="s">
        <v>144</v>
      </c>
      <c r="T352">
        <v>123.64</v>
      </c>
      <c r="U352">
        <v>27.52</v>
      </c>
      <c r="V352">
        <f t="shared" si="51"/>
        <v>2672.374427946113</v>
      </c>
      <c r="W352">
        <f t="shared" si="52"/>
        <v>2672.374427946113</v>
      </c>
      <c r="X352">
        <v>0.21</v>
      </c>
      <c r="Y352">
        <v>0.2</v>
      </c>
      <c r="Z352">
        <v>0.23</v>
      </c>
      <c r="AA352">
        <f t="shared" si="54"/>
        <v>127.71587553827537</v>
      </c>
      <c r="AB352">
        <v>2760</v>
      </c>
    </row>
    <row r="353" spans="1:28" x14ac:dyDescent="0.25">
      <c r="A353">
        <v>352</v>
      </c>
      <c r="B353" t="s">
        <v>902</v>
      </c>
      <c r="C353" t="s">
        <v>881</v>
      </c>
      <c r="D353">
        <v>2</v>
      </c>
      <c r="E353" t="s">
        <v>882</v>
      </c>
      <c r="F353" s="2" t="d">
        <v>2017-07-15</v>
      </c>
      <c r="G353" t="s">
        <v>205</v>
      </c>
      <c r="H353">
        <v>7.1</v>
      </c>
      <c r="J353">
        <v>4.1000000000000002E-2</v>
      </c>
      <c r="K353">
        <v>10</v>
      </c>
      <c r="L353">
        <f t="shared" si="53"/>
        <v>3.9591921416865365</v>
      </c>
      <c r="P353">
        <f t="shared" si="55"/>
        <v>0</v>
      </c>
      <c r="R353" t="s">
        <v>208</v>
      </c>
      <c r="S353" t="s">
        <v>144</v>
      </c>
      <c r="T353">
        <v>69.790000000000006</v>
      </c>
      <c r="U353">
        <v>39.26</v>
      </c>
      <c r="V353">
        <f t="shared" si="51"/>
        <v>2151.9559389509209</v>
      </c>
      <c r="W353">
        <f t="shared" si="52"/>
        <v>2151.9559389509209</v>
      </c>
      <c r="X353">
        <v>0.28000000000000003</v>
      </c>
      <c r="Y353">
        <v>0.32</v>
      </c>
      <c r="Z353">
        <v>0.26</v>
      </c>
      <c r="AA353">
        <f t="shared" si="54"/>
        <v>96.565661992354549</v>
      </c>
      <c r="AB353">
        <v>2863</v>
      </c>
    </row>
    <row r="354" spans="1:28" x14ac:dyDescent="0.25">
      <c r="A354">
        <v>353</v>
      </c>
      <c r="B354" t="s">
        <v>903</v>
      </c>
      <c r="C354" t="s">
        <v>419</v>
      </c>
      <c r="D354">
        <v>2</v>
      </c>
      <c r="E354" t="s">
        <v>420</v>
      </c>
      <c r="F354" s="2" t="d">
        <v>2017-07-15</v>
      </c>
      <c r="G354" t="s">
        <v>205</v>
      </c>
      <c r="H354">
        <v>9.6999999999999993</v>
      </c>
      <c r="J354">
        <v>5.7000000000000002E-2</v>
      </c>
      <c r="K354">
        <v>10</v>
      </c>
      <c r="L354">
        <f t="shared" si="53"/>
        <v>7.38981131940659</v>
      </c>
      <c r="P354">
        <f t="shared" si="55"/>
        <v>0</v>
      </c>
      <c r="R354" t="s">
        <v>208</v>
      </c>
      <c r="S354" t="s">
        <v>144</v>
      </c>
      <c r="T354">
        <v>131.33000000000001</v>
      </c>
      <c r="U354">
        <v>56.94</v>
      </c>
      <c r="V354">
        <f t="shared" si="51"/>
        <v>5873.1526450943138</v>
      </c>
      <c r="W354">
        <f t="shared" si="52"/>
        <v>5873.1526450943138</v>
      </c>
      <c r="X354">
        <v>0.28999999999999998</v>
      </c>
      <c r="Y354">
        <v>0.27</v>
      </c>
      <c r="Z354">
        <v>0.26</v>
      </c>
      <c r="AA354">
        <f t="shared" si="54"/>
        <v>129.64581262116823</v>
      </c>
      <c r="AB354">
        <v>9144</v>
      </c>
    </row>
    <row r="355" spans="1:28" x14ac:dyDescent="0.25">
      <c r="A355">
        <v>354</v>
      </c>
      <c r="B355" t="s">
        <v>904</v>
      </c>
      <c r="C355" t="s">
        <v>609</v>
      </c>
      <c r="D355">
        <v>4</v>
      </c>
      <c r="E355" t="s">
        <v>610</v>
      </c>
      <c r="F355" s="2" t="d">
        <v>2017-07-15</v>
      </c>
      <c r="G355" t="s">
        <v>205</v>
      </c>
      <c r="H355">
        <v>7.1</v>
      </c>
      <c r="J355">
        <v>2.7E-2</v>
      </c>
      <c r="K355">
        <v>9</v>
      </c>
      <c r="L355">
        <f t="shared" si="53"/>
        <v>3.5632729275178829</v>
      </c>
      <c r="P355">
        <f t="shared" si="55"/>
        <v>0</v>
      </c>
      <c r="R355" t="s">
        <v>214</v>
      </c>
      <c r="S355">
        <v>5</v>
      </c>
      <c r="T355">
        <v>75.62</v>
      </c>
      <c r="U355">
        <v>22.91</v>
      </c>
      <c r="V355">
        <f t="shared" si="51"/>
        <v>1360.6663468501956</v>
      </c>
      <c r="W355">
        <f t="shared" si="52"/>
        <v>6803.3317342509781</v>
      </c>
      <c r="X355">
        <v>0.26</v>
      </c>
      <c r="Y355">
        <v>0.24</v>
      </c>
      <c r="Z355">
        <v>0.23</v>
      </c>
      <c r="AA355">
        <f t="shared" si="54"/>
        <v>131.97307138955122</v>
      </c>
      <c r="AB355">
        <v>2784</v>
      </c>
    </row>
    <row r="356" spans="1:28" x14ac:dyDescent="0.25">
      <c r="A356">
        <v>355</v>
      </c>
      <c r="B356" t="s">
        <v>905</v>
      </c>
      <c r="C356" t="s">
        <v>419</v>
      </c>
      <c r="D356">
        <v>5</v>
      </c>
      <c r="E356" t="s">
        <v>420</v>
      </c>
      <c r="F356" s="2" t="d">
        <v>2017-07-15</v>
      </c>
      <c r="G356" t="s">
        <v>205</v>
      </c>
      <c r="H356">
        <v>9.6999999999999993</v>
      </c>
      <c r="J356">
        <v>3.6999999999999998E-2</v>
      </c>
      <c r="K356">
        <v>10</v>
      </c>
      <c r="L356">
        <f t="shared" si="53"/>
        <v>7.38981131940659</v>
      </c>
      <c r="P356">
        <f t="shared" si="55"/>
        <v>0</v>
      </c>
      <c r="R356" t="s">
        <v>208</v>
      </c>
      <c r="S356" t="s">
        <v>144</v>
      </c>
      <c r="T356">
        <f>28.02+153.3</f>
        <v>181.32000000000002</v>
      </c>
      <c r="U356">
        <v>98.33</v>
      </c>
      <c r="V356">
        <f t="shared" si="51"/>
        <v>14003.017479093867</v>
      </c>
      <c r="W356">
        <f t="shared" si="52"/>
        <v>14003.017479093867</v>
      </c>
      <c r="X356">
        <v>0.24</v>
      </c>
      <c r="Y356">
        <v>0.23</v>
      </c>
      <c r="Z356">
        <v>0.23</v>
      </c>
      <c r="AA356">
        <f t="shared" si="54"/>
        <v>199.72463025423218</v>
      </c>
      <c r="AB356" t="s">
        <v>913</v>
      </c>
    </row>
    <row r="357" spans="1:28" x14ac:dyDescent="0.25">
      <c r="A357">
        <v>356</v>
      </c>
      <c r="B357" t="s">
        <v>906</v>
      </c>
      <c r="C357" t="s">
        <v>907</v>
      </c>
      <c r="D357">
        <v>1</v>
      </c>
      <c r="E357" t="s">
        <v>908</v>
      </c>
      <c r="F357" s="2" t="d">
        <v>2017-07-15</v>
      </c>
      <c r="G357" t="s">
        <v>205</v>
      </c>
      <c r="H357">
        <v>7.1</v>
      </c>
      <c r="J357">
        <v>4.5999999999999999E-2</v>
      </c>
      <c r="K357">
        <v>10</v>
      </c>
      <c r="L357">
        <f t="shared" si="53"/>
        <v>3.9591921416865365</v>
      </c>
      <c r="P357">
        <f t="shared" si="55"/>
        <v>0</v>
      </c>
      <c r="R357" t="s">
        <v>214</v>
      </c>
      <c r="S357">
        <v>4</v>
      </c>
      <c r="T357">
        <v>70.23</v>
      </c>
      <c r="U357">
        <v>36.28</v>
      </c>
      <c r="V357">
        <f t="shared" si="51"/>
        <v>2001.1508521988135</v>
      </c>
      <c r="W357">
        <f t="shared" si="52"/>
        <v>8004.6034087952539</v>
      </c>
      <c r="X357">
        <v>0.28000000000000003</v>
      </c>
      <c r="Y357">
        <v>0.35</v>
      </c>
      <c r="Z357">
        <v>0.33</v>
      </c>
      <c r="AA357">
        <f t="shared" si="54"/>
        <v>86.069394384489925</v>
      </c>
      <c r="AB357">
        <v>2841</v>
      </c>
    </row>
    <row r="358" spans="1:28" x14ac:dyDescent="0.25">
      <c r="A358">
        <v>357</v>
      </c>
      <c r="B358" t="s">
        <v>889</v>
      </c>
      <c r="C358" t="s">
        <v>881</v>
      </c>
      <c r="D358">
        <v>4</v>
      </c>
      <c r="E358" t="s">
        <v>882</v>
      </c>
      <c r="F358" s="2" t="d">
        <v>2017-07-15</v>
      </c>
      <c r="G358" t="s">
        <v>205</v>
      </c>
      <c r="H358">
        <v>7.1</v>
      </c>
      <c r="J358">
        <v>4.2000000000000003E-2</v>
      </c>
      <c r="K358">
        <v>11</v>
      </c>
      <c r="L358">
        <f>PI()*((H358/2)^2)/100 * K358</f>
        <v>4.3551113558551906</v>
      </c>
      <c r="AA358">
        <f>L358/J358</f>
        <v>103.69312752036167</v>
      </c>
      <c r="AB358" t="s">
        <v>1142</v>
      </c>
    </row>
    <row r="359" spans="1:28" x14ac:dyDescent="0.25">
      <c r="A359">
        <v>358</v>
      </c>
      <c r="B359" t="s">
        <v>909</v>
      </c>
      <c r="C359" t="s">
        <v>447</v>
      </c>
      <c r="D359">
        <v>2</v>
      </c>
      <c r="E359" t="s">
        <v>448</v>
      </c>
      <c r="F359" s="2" t="d">
        <v>2017-07-15</v>
      </c>
      <c r="G359" t="s">
        <v>205</v>
      </c>
      <c r="H359">
        <v>7.1</v>
      </c>
      <c r="J359">
        <v>2.9000000000000001E-2</v>
      </c>
      <c r="K359">
        <v>9</v>
      </c>
      <c r="L359">
        <f t="shared" si="53"/>
        <v>3.5632729275178829</v>
      </c>
      <c r="P359">
        <f t="shared" si="55"/>
        <v>0</v>
      </c>
      <c r="R359" t="s">
        <v>214</v>
      </c>
      <c r="S359">
        <v>5</v>
      </c>
      <c r="T359">
        <v>86.46</v>
      </c>
      <c r="U359">
        <v>27.34</v>
      </c>
      <c r="V359">
        <f t="shared" si="51"/>
        <v>1856.5370591687677</v>
      </c>
      <c r="W359">
        <f t="shared" si="52"/>
        <v>9282.6852958438376</v>
      </c>
      <c r="X359">
        <v>0.18</v>
      </c>
      <c r="Y359">
        <v>0.18</v>
      </c>
      <c r="Z359">
        <v>0.15</v>
      </c>
      <c r="AA359">
        <f t="shared" si="54"/>
        <v>122.87148025923733</v>
      </c>
      <c r="AB359">
        <v>2779</v>
      </c>
    </row>
    <row r="360" spans="1:28" x14ac:dyDescent="0.25">
      <c r="A360">
        <v>359</v>
      </c>
      <c r="B360" t="s">
        <v>916</v>
      </c>
      <c r="C360" t="s">
        <v>356</v>
      </c>
      <c r="D360">
        <v>2</v>
      </c>
      <c r="E360" t="s">
        <v>336</v>
      </c>
      <c r="F360" s="2" t="d">
        <v>2017-07-18</v>
      </c>
      <c r="G360" t="s">
        <v>205</v>
      </c>
      <c r="H360">
        <v>9.6999999999999993</v>
      </c>
      <c r="J360">
        <v>9.7000000000000003E-2</v>
      </c>
      <c r="K360">
        <v>10</v>
      </c>
      <c r="L360">
        <f t="shared" si="53"/>
        <v>7.38981131940659</v>
      </c>
      <c r="P360">
        <f t="shared" si="55"/>
        <v>0</v>
      </c>
      <c r="R360" t="s">
        <v>208</v>
      </c>
      <c r="S360">
        <v>5</v>
      </c>
      <c r="T360">
        <v>95.64</v>
      </c>
      <c r="U360">
        <v>73.459999999999994</v>
      </c>
      <c r="V360">
        <f t="shared" si="51"/>
        <v>5517.9831863150048</v>
      </c>
      <c r="W360">
        <f t="shared" si="52"/>
        <v>27589.915931575022</v>
      </c>
      <c r="X360">
        <v>0.23</v>
      </c>
      <c r="Y360">
        <v>0.2</v>
      </c>
      <c r="Z360">
        <v>0.23</v>
      </c>
      <c r="AA360">
        <f t="shared" si="54"/>
        <v>76.183621849552466</v>
      </c>
    </row>
    <row r="361" spans="1:28" x14ac:dyDescent="0.25">
      <c r="A361">
        <v>360</v>
      </c>
      <c r="B361" t="s">
        <v>917</v>
      </c>
      <c r="C361" t="s">
        <v>845</v>
      </c>
      <c r="D361">
        <v>3</v>
      </c>
      <c r="E361" t="s">
        <v>846</v>
      </c>
      <c r="F361" s="2" t="d">
        <v>2017-07-18</v>
      </c>
      <c r="G361" t="s">
        <v>205</v>
      </c>
      <c r="H361">
        <v>9.6999999999999993</v>
      </c>
      <c r="J361">
        <v>4.8000000000000001E-2</v>
      </c>
      <c r="K361">
        <v>10</v>
      </c>
      <c r="L361">
        <f t="shared" si="53"/>
        <v>7.38981131940659</v>
      </c>
      <c r="P361">
        <f t="shared" si="55"/>
        <v>0</v>
      </c>
      <c r="R361" t="s">
        <v>214</v>
      </c>
      <c r="S361">
        <v>13</v>
      </c>
      <c r="T361">
        <f>30.33+154.27</f>
        <v>184.60000000000002</v>
      </c>
      <c r="U361">
        <v>60.59</v>
      </c>
      <c r="V361">
        <f t="shared" si="51"/>
        <v>8784.6109133584087</v>
      </c>
      <c r="W361">
        <f t="shared" si="52"/>
        <v>114199.94187365931</v>
      </c>
      <c r="X361">
        <v>0.22</v>
      </c>
      <c r="Y361">
        <v>0.24</v>
      </c>
      <c r="Z361">
        <v>0.22</v>
      </c>
      <c r="AA361">
        <f t="shared" si="54"/>
        <v>153.95440248763728</v>
      </c>
    </row>
    <row r="362" spans="1:28" x14ac:dyDescent="0.25">
      <c r="A362">
        <v>361</v>
      </c>
      <c r="B362" t="s">
        <v>918</v>
      </c>
      <c r="C362" t="s">
        <v>845</v>
      </c>
      <c r="D362">
        <v>4</v>
      </c>
      <c r="E362" t="s">
        <v>846</v>
      </c>
      <c r="F362" s="2" t="d">
        <v>2017-07-18</v>
      </c>
      <c r="G362" t="s">
        <v>205</v>
      </c>
      <c r="H362">
        <v>7.1</v>
      </c>
      <c r="J362">
        <v>3.5999999999999997E-2</v>
      </c>
      <c r="K362">
        <v>10</v>
      </c>
      <c r="L362">
        <f t="shared" si="53"/>
        <v>3.9591921416865365</v>
      </c>
      <c r="P362">
        <f t="shared" si="55"/>
        <v>0</v>
      </c>
      <c r="R362" t="s">
        <v>214</v>
      </c>
      <c r="S362">
        <v>16</v>
      </c>
      <c r="T362">
        <v>115.19</v>
      </c>
      <c r="U362">
        <v>30.03</v>
      </c>
      <c r="V362">
        <f t="shared" si="51"/>
        <v>2716.8145336858147</v>
      </c>
      <c r="W362">
        <f t="shared" si="52"/>
        <v>43469.032538973035</v>
      </c>
      <c r="X362">
        <v>0.16</v>
      </c>
      <c r="Y362">
        <v>0.18</v>
      </c>
      <c r="Z362">
        <v>0.18</v>
      </c>
      <c r="AA362">
        <f t="shared" si="54"/>
        <v>109.97755949129269</v>
      </c>
      <c r="AB362" t="s">
        <v>919</v>
      </c>
    </row>
    <row r="363" spans="1:28" x14ac:dyDescent="0.25">
      <c r="A363">
        <v>362</v>
      </c>
      <c r="B363" t="s">
        <v>929</v>
      </c>
      <c r="C363" t="s">
        <v>353</v>
      </c>
      <c r="D363">
        <v>4</v>
      </c>
      <c r="E363" t="s">
        <v>63</v>
      </c>
      <c r="F363" s="2" t="d">
        <v>2017-07-18</v>
      </c>
      <c r="G363" t="s">
        <v>204</v>
      </c>
      <c r="H363" t="s">
        <v>144</v>
      </c>
      <c r="I363" t="s">
        <v>144</v>
      </c>
      <c r="J363">
        <v>0.33500000000000002</v>
      </c>
      <c r="K363" t="s">
        <v>144</v>
      </c>
      <c r="L363" t="s">
        <v>144</v>
      </c>
      <c r="O363">
        <v>506938</v>
      </c>
      <c r="P363">
        <f t="shared" si="55"/>
        <v>14.306916888888891</v>
      </c>
      <c r="Q363">
        <v>1</v>
      </c>
      <c r="R363" t="s">
        <v>214</v>
      </c>
      <c r="S363">
        <v>450</v>
      </c>
      <c r="T363">
        <v>9.6300000000000008</v>
      </c>
      <c r="U363">
        <v>5.4</v>
      </c>
      <c r="V363">
        <f t="shared" si="51"/>
        <v>40.84227529299411</v>
      </c>
      <c r="W363">
        <f t="shared" si="52"/>
        <v>18379.023881847348</v>
      </c>
      <c r="X363">
        <v>0.16</v>
      </c>
      <c r="Y363">
        <v>0.17</v>
      </c>
      <c r="Z363">
        <v>0.18</v>
      </c>
      <c r="AA363">
        <f>P363/J363</f>
        <v>42.707214593698176</v>
      </c>
      <c r="AB363" t="s">
        <v>930</v>
      </c>
    </row>
    <row r="364" spans="1:28" x14ac:dyDescent="0.25">
      <c r="A364">
        <v>363</v>
      </c>
      <c r="B364" t="s">
        <v>920</v>
      </c>
      <c r="C364" t="s">
        <v>400</v>
      </c>
      <c r="D364">
        <v>4</v>
      </c>
      <c r="E364" t="s">
        <v>268</v>
      </c>
      <c r="F364" s="2" t="d">
        <v>2017-07-18</v>
      </c>
      <c r="G364" t="s">
        <v>205</v>
      </c>
      <c r="H364">
        <v>7.1</v>
      </c>
      <c r="J364">
        <v>2.5000000000000001E-2</v>
      </c>
      <c r="K364">
        <v>9</v>
      </c>
      <c r="L364">
        <f>PI()*((H364/2)^2)/100 * K364</f>
        <v>3.5632729275178829</v>
      </c>
      <c r="P364">
        <f t="shared" si="55"/>
        <v>0</v>
      </c>
      <c r="R364" t="s">
        <v>214</v>
      </c>
      <c r="S364">
        <v>7</v>
      </c>
      <c r="T364">
        <v>107.4</v>
      </c>
      <c r="U364">
        <v>34.630000000000003</v>
      </c>
      <c r="V364">
        <f t="shared" si="51"/>
        <v>2921.1015439939206</v>
      </c>
      <c r="W364">
        <f t="shared" si="52"/>
        <v>20447.710807957443</v>
      </c>
      <c r="X364">
        <v>0.24</v>
      </c>
      <c r="Y364">
        <v>0.27</v>
      </c>
      <c r="Z364">
        <v>0.26</v>
      </c>
      <c r="AA364">
        <f>L364/J364</f>
        <v>142.5309171007153</v>
      </c>
    </row>
    <row r="365" spans="1:28" x14ac:dyDescent="0.25">
      <c r="A365">
        <v>364</v>
      </c>
      <c r="B365" t="s">
        <v>921</v>
      </c>
      <c r="C365" t="s">
        <v>381</v>
      </c>
      <c r="D365">
        <v>4</v>
      </c>
      <c r="E365" t="s">
        <v>385</v>
      </c>
      <c r="F365" s="2" t="d">
        <v>2017-07-18</v>
      </c>
      <c r="G365" t="s">
        <v>204</v>
      </c>
      <c r="H365" t="s">
        <v>144</v>
      </c>
      <c r="I365" t="s">
        <v>144</v>
      </c>
      <c r="J365">
        <v>0.21</v>
      </c>
      <c r="K365" t="s">
        <v>144</v>
      </c>
      <c r="L365" t="s">
        <v>144</v>
      </c>
      <c r="O365">
        <v>503037</v>
      </c>
      <c r="P365">
        <f t="shared" si="55"/>
        <v>14.196821999999999</v>
      </c>
      <c r="Q365" t="s">
        <v>144</v>
      </c>
      <c r="R365" t="s">
        <v>208</v>
      </c>
      <c r="S365" t="s">
        <v>144</v>
      </c>
      <c r="T365">
        <v>21.88</v>
      </c>
      <c r="U365">
        <v>4.12</v>
      </c>
      <c r="V365">
        <f t="shared" si="51"/>
        <v>70.80018867836101</v>
      </c>
      <c r="W365">
        <f t="shared" si="52"/>
        <v>70.80018867836101</v>
      </c>
      <c r="X365">
        <v>0.2</v>
      </c>
      <c r="Y365">
        <v>0.22</v>
      </c>
      <c r="Z365">
        <v>0.19</v>
      </c>
      <c r="AA365">
        <f>P365/J365</f>
        <v>67.603914285714282</v>
      </c>
    </row>
    <row r="366" spans="1:28" x14ac:dyDescent="0.25">
      <c r="A366">
        <v>365</v>
      </c>
      <c r="B366" t="s">
        <v>922</v>
      </c>
      <c r="C366" t="s">
        <v>833</v>
      </c>
      <c r="D366">
        <v>2</v>
      </c>
      <c r="E366" t="s">
        <v>834</v>
      </c>
      <c r="F366" s="2" t="d">
        <v>2017-07-18</v>
      </c>
      <c r="G366" t="s">
        <v>205</v>
      </c>
      <c r="H366">
        <v>7.1</v>
      </c>
      <c r="J366">
        <v>2.5999999999999999E-2</v>
      </c>
      <c r="K366">
        <v>10</v>
      </c>
      <c r="L366">
        <f>PI()*((H366/2)^2)/100 * K366</f>
        <v>3.9591921416865365</v>
      </c>
      <c r="P366">
        <f t="shared" si="55"/>
        <v>0</v>
      </c>
      <c r="R366" t="s">
        <v>208</v>
      </c>
      <c r="S366" t="s">
        <v>144</v>
      </c>
      <c r="T366">
        <v>179.38</v>
      </c>
      <c r="U366">
        <v>111.7</v>
      </c>
      <c r="V366">
        <f t="shared" ref="V366:V397" si="56">(((T366/2) * (U366/2)) * PI())</f>
        <v>15736.823508861167</v>
      </c>
      <c r="W366">
        <f t="shared" ref="W366:W397" si="57">IF(ISNUMBER(S366), S366*V366, V366)</f>
        <v>15736.823508861167</v>
      </c>
      <c r="X366">
        <v>0.28999999999999998</v>
      </c>
      <c r="Y366">
        <v>0.25</v>
      </c>
      <c r="Z366">
        <v>0.22</v>
      </c>
      <c r="AA366">
        <f>L366/J366</f>
        <v>152.27662083409757</v>
      </c>
    </row>
    <row r="367" spans="1:28" x14ac:dyDescent="0.25">
      <c r="A367">
        <v>366</v>
      </c>
      <c r="B367" t="s">
        <v>923</v>
      </c>
      <c r="C367" t="s">
        <v>381</v>
      </c>
      <c r="D367">
        <v>3</v>
      </c>
      <c r="E367" t="s">
        <v>385</v>
      </c>
      <c r="F367" s="2" t="d">
        <v>2017-07-18</v>
      </c>
      <c r="G367" t="s">
        <v>204</v>
      </c>
      <c r="H367" t="s">
        <v>144</v>
      </c>
      <c r="I367" t="s">
        <v>144</v>
      </c>
      <c r="J367">
        <v>0.33400000000000002</v>
      </c>
      <c r="K367" t="s">
        <v>144</v>
      </c>
      <c r="L367" t="s">
        <v>144</v>
      </c>
      <c r="O367">
        <v>768273</v>
      </c>
      <c r="P367">
        <f t="shared" si="55"/>
        <v>21.682371333333332</v>
      </c>
      <c r="Q367" t="s">
        <v>144</v>
      </c>
      <c r="R367" t="s">
        <v>208</v>
      </c>
      <c r="S367" t="s">
        <v>144</v>
      </c>
      <c r="T367">
        <v>29.02</v>
      </c>
      <c r="U367">
        <v>5.74</v>
      </c>
      <c r="V367">
        <f t="shared" si="56"/>
        <v>130.82754198829727</v>
      </c>
      <c r="W367">
        <f t="shared" si="57"/>
        <v>130.82754198829727</v>
      </c>
      <c r="X367">
        <v>0.18</v>
      </c>
      <c r="Y367">
        <v>0.19</v>
      </c>
      <c r="Z367">
        <v>0.2</v>
      </c>
      <c r="AA367">
        <f>P367/J367</f>
        <v>64.917279441117756</v>
      </c>
    </row>
    <row r="368" spans="1:28" x14ac:dyDescent="0.25">
      <c r="A368">
        <v>367</v>
      </c>
      <c r="B368" t="s">
        <v>924</v>
      </c>
      <c r="C368" t="s">
        <v>833</v>
      </c>
      <c r="D368">
        <v>3</v>
      </c>
      <c r="E368" t="s">
        <v>834</v>
      </c>
      <c r="F368" s="2" t="d">
        <v>2017-07-18</v>
      </c>
      <c r="G368" t="s">
        <v>205</v>
      </c>
      <c r="H368">
        <v>9.6999999999999993</v>
      </c>
      <c r="J368">
        <v>3.5000000000000003E-2</v>
      </c>
      <c r="K368">
        <v>10</v>
      </c>
      <c r="L368">
        <f>PI()*((H368/2)^2)/100 * K368</f>
        <v>7.38981131940659</v>
      </c>
      <c r="P368">
        <f t="shared" si="55"/>
        <v>0</v>
      </c>
      <c r="R368" t="s">
        <v>208</v>
      </c>
      <c r="S368" t="s">
        <v>144</v>
      </c>
      <c r="T368">
        <v>137.09</v>
      </c>
      <c r="U368">
        <v>106.81</v>
      </c>
      <c r="V368">
        <f t="shared" si="56"/>
        <v>11500.257717054883</v>
      </c>
      <c r="W368">
        <f t="shared" si="57"/>
        <v>11500.257717054883</v>
      </c>
      <c r="X368">
        <v>0.26</v>
      </c>
      <c r="Y368">
        <v>0.26</v>
      </c>
      <c r="Z368">
        <v>0.28000000000000003</v>
      </c>
      <c r="AA368">
        <f>L368/J368</f>
        <v>211.13746626875968</v>
      </c>
    </row>
    <row r="369" spans="1:28" x14ac:dyDescent="0.25">
      <c r="A369">
        <v>368</v>
      </c>
      <c r="B369" t="s">
        <v>925</v>
      </c>
      <c r="C369" t="s">
        <v>534</v>
      </c>
      <c r="D369">
        <v>4</v>
      </c>
      <c r="E369" t="s">
        <v>535</v>
      </c>
      <c r="F369" s="2" t="d">
        <v>2017-07-18</v>
      </c>
      <c r="G369" t="s">
        <v>205</v>
      </c>
      <c r="H369">
        <v>7.1</v>
      </c>
      <c r="J369">
        <v>5.1999999999999998E-2</v>
      </c>
      <c r="K369">
        <v>15</v>
      </c>
      <c r="L369">
        <f>PI()*((H369/2)^2)/100 * K369</f>
        <v>5.938788212529805</v>
      </c>
      <c r="P369">
        <f t="shared" si="55"/>
        <v>0</v>
      </c>
      <c r="R369" t="s">
        <v>214</v>
      </c>
      <c r="S369">
        <v>420</v>
      </c>
      <c r="T369">
        <v>17.07</v>
      </c>
      <c r="U369">
        <v>11.89</v>
      </c>
      <c r="V369">
        <f t="shared" si="56"/>
        <v>159.40621765892192</v>
      </c>
      <c r="W369">
        <f t="shared" si="57"/>
        <v>66950.611416747211</v>
      </c>
      <c r="X369">
        <v>0.18</v>
      </c>
      <c r="Y369">
        <v>0.15</v>
      </c>
      <c r="Z369">
        <v>0.15</v>
      </c>
      <c r="AA369">
        <f>L369/J369</f>
        <v>114.20746562557318</v>
      </c>
    </row>
    <row r="370" spans="1:28" x14ac:dyDescent="0.25">
      <c r="A370">
        <v>369</v>
      </c>
      <c r="B370" t="s">
        <v>926</v>
      </c>
      <c r="C370" t="s">
        <v>381</v>
      </c>
      <c r="D370">
        <v>2</v>
      </c>
      <c r="E370" t="s">
        <v>385</v>
      </c>
      <c r="F370" s="2" t="d">
        <v>2017-07-18</v>
      </c>
      <c r="G370" t="s">
        <v>204</v>
      </c>
      <c r="H370" t="s">
        <v>144</v>
      </c>
      <c r="I370" t="s">
        <v>144</v>
      </c>
      <c r="J370">
        <v>0.4</v>
      </c>
      <c r="K370" t="s">
        <v>144</v>
      </c>
      <c r="L370" t="s">
        <v>144</v>
      </c>
      <c r="O370">
        <v>845957</v>
      </c>
      <c r="P370">
        <f t="shared" si="55"/>
        <v>23.874786444444446</v>
      </c>
      <c r="Q370" t="s">
        <v>144</v>
      </c>
      <c r="R370" t="s">
        <v>208</v>
      </c>
      <c r="S370" t="s">
        <v>144</v>
      </c>
      <c r="T370">
        <v>24.51</v>
      </c>
      <c r="U370">
        <v>5.5</v>
      </c>
      <c r="V370">
        <f t="shared" si="56"/>
        <v>105.87559941679302</v>
      </c>
      <c r="W370">
        <f t="shared" si="57"/>
        <v>105.87559941679302</v>
      </c>
      <c r="X370">
        <v>0.19</v>
      </c>
      <c r="Y370">
        <v>0.19</v>
      </c>
      <c r="Z370">
        <v>0.12</v>
      </c>
      <c r="AA370">
        <f t="shared" ref="AA370:AA378" si="58">P370/J370</f>
        <v>59.686966111111111</v>
      </c>
    </row>
    <row r="371" spans="1:28" x14ac:dyDescent="0.25">
      <c r="A371">
        <v>370</v>
      </c>
      <c r="B371" t="s">
        <v>927</v>
      </c>
      <c r="C371" t="s">
        <v>381</v>
      </c>
      <c r="D371">
        <v>5</v>
      </c>
      <c r="E371" t="s">
        <v>385</v>
      </c>
      <c r="F371" s="2" t="d">
        <v>2017-07-18</v>
      </c>
      <c r="G371" t="s">
        <v>204</v>
      </c>
      <c r="H371" t="s">
        <v>144</v>
      </c>
      <c r="I371" t="s">
        <v>144</v>
      </c>
      <c r="J371">
        <v>0.307</v>
      </c>
      <c r="K371" t="s">
        <v>144</v>
      </c>
      <c r="L371" t="s">
        <v>144</v>
      </c>
      <c r="O371">
        <v>652022</v>
      </c>
      <c r="P371">
        <f t="shared" si="55"/>
        <v>18.401509777777779</v>
      </c>
      <c r="Q371" t="s">
        <v>144</v>
      </c>
      <c r="R371" t="s">
        <v>208</v>
      </c>
      <c r="S371" t="s">
        <v>144</v>
      </c>
      <c r="T371">
        <v>24.62</v>
      </c>
      <c r="U371">
        <v>6.28</v>
      </c>
      <c r="V371">
        <f t="shared" si="56"/>
        <v>121.43323747626772</v>
      </c>
      <c r="W371">
        <f t="shared" si="57"/>
        <v>121.43323747626772</v>
      </c>
      <c r="X371">
        <v>0.18</v>
      </c>
      <c r="Y371">
        <v>0.17</v>
      </c>
      <c r="Z371">
        <v>0.16</v>
      </c>
      <c r="AA371">
        <f t="shared" si="58"/>
        <v>59.939771263119802</v>
      </c>
    </row>
    <row r="372" spans="1:28" x14ac:dyDescent="0.25">
      <c r="A372">
        <v>371</v>
      </c>
      <c r="B372" t="s">
        <v>928</v>
      </c>
      <c r="C372" t="s">
        <v>353</v>
      </c>
      <c r="D372">
        <v>5</v>
      </c>
      <c r="E372" t="s">
        <v>63</v>
      </c>
      <c r="F372" s="2" t="d">
        <v>2017-07-18</v>
      </c>
      <c r="G372" t="s">
        <v>204</v>
      </c>
      <c r="H372" t="s">
        <v>144</v>
      </c>
      <c r="I372" t="s">
        <v>144</v>
      </c>
      <c r="J372">
        <v>0.38900000000000001</v>
      </c>
      <c r="K372" t="s">
        <v>144</v>
      </c>
      <c r="L372" t="s">
        <v>144</v>
      </c>
      <c r="O372">
        <v>626461</v>
      </c>
      <c r="P372">
        <f t="shared" si="55"/>
        <v>17.680121555555555</v>
      </c>
      <c r="Q372" t="s">
        <v>144</v>
      </c>
      <c r="R372" t="s">
        <v>214</v>
      </c>
      <c r="S372">
        <v>800</v>
      </c>
      <c r="T372">
        <v>11.89</v>
      </c>
      <c r="U372">
        <v>5.33</v>
      </c>
      <c r="V372">
        <f t="shared" si="56"/>
        <v>49.773587587700874</v>
      </c>
      <c r="W372">
        <f t="shared" si="57"/>
        <v>39818.870070160701</v>
      </c>
      <c r="X372">
        <v>0.17</v>
      </c>
      <c r="Y372">
        <v>0.14000000000000001</v>
      </c>
      <c r="Z372">
        <v>0.14000000000000001</v>
      </c>
      <c r="AA372">
        <f t="shared" si="58"/>
        <v>45.450183947443584</v>
      </c>
    </row>
    <row r="373" spans="1:28" x14ac:dyDescent="0.25">
      <c r="A373">
        <v>372</v>
      </c>
      <c r="B373" t="s">
        <v>941</v>
      </c>
      <c r="C373" t="s">
        <v>942</v>
      </c>
      <c r="D373">
        <v>1</v>
      </c>
      <c r="E373" t="s">
        <v>943</v>
      </c>
      <c r="F373" s="2" t="d">
        <v>2017-07-20</v>
      </c>
      <c r="G373" t="s">
        <v>204</v>
      </c>
      <c r="H373" t="s">
        <v>144</v>
      </c>
      <c r="I373" t="s">
        <v>144</v>
      </c>
      <c r="J373">
        <v>0.186</v>
      </c>
      <c r="K373" t="s">
        <v>144</v>
      </c>
      <c r="L373" t="s">
        <v>144</v>
      </c>
      <c r="M373" t="s">
        <v>144</v>
      </c>
      <c r="N373" t="s">
        <v>944</v>
      </c>
      <c r="O373">
        <v>305528</v>
      </c>
      <c r="P373">
        <f t="shared" si="55"/>
        <v>8.6226791111111112</v>
      </c>
      <c r="Q373" t="s">
        <v>144</v>
      </c>
      <c r="R373" t="s">
        <v>214</v>
      </c>
      <c r="S373">
        <f>20*(156/2)</f>
        <v>1560</v>
      </c>
      <c r="T373">
        <v>6.15</v>
      </c>
      <c r="U373">
        <v>1.34</v>
      </c>
      <c r="V373">
        <f t="shared" si="56"/>
        <v>6.4724662645583724</v>
      </c>
      <c r="W373">
        <f t="shared" si="57"/>
        <v>10097.04737271106</v>
      </c>
      <c r="X373">
        <v>0.2</v>
      </c>
      <c r="Y373">
        <v>0.14000000000000001</v>
      </c>
      <c r="Z373">
        <v>0.14000000000000001</v>
      </c>
      <c r="AA373">
        <f t="shared" si="58"/>
        <v>46.35848984468339</v>
      </c>
      <c r="AB373" t="s">
        <v>981</v>
      </c>
    </row>
    <row r="374" spans="1:28" x14ac:dyDescent="0.25">
      <c r="A374">
        <v>373</v>
      </c>
      <c r="B374" t="s">
        <v>945</v>
      </c>
      <c r="C374" t="s">
        <v>942</v>
      </c>
      <c r="D374">
        <v>2</v>
      </c>
      <c r="E374" t="s">
        <v>943</v>
      </c>
      <c r="F374" s="2" t="d">
        <v>2017-07-20</v>
      </c>
      <c r="G374" t="s">
        <v>204</v>
      </c>
      <c r="H374" t="s">
        <v>144</v>
      </c>
      <c r="I374" t="s">
        <v>144</v>
      </c>
      <c r="J374">
        <v>0.13100000000000001</v>
      </c>
      <c r="K374" t="s">
        <v>144</v>
      </c>
      <c r="L374" t="s">
        <v>144</v>
      </c>
      <c r="M374" t="s">
        <v>144</v>
      </c>
      <c r="N374" t="s">
        <v>946</v>
      </c>
      <c r="O374">
        <v>259650</v>
      </c>
      <c r="P374">
        <f t="shared" si="55"/>
        <v>7.3278999999999996</v>
      </c>
      <c r="Q374" t="s">
        <v>144</v>
      </c>
      <c r="R374" t="s">
        <v>214</v>
      </c>
      <c r="S374">
        <f>20*21</f>
        <v>420</v>
      </c>
      <c r="T374">
        <v>5.23</v>
      </c>
      <c r="U374">
        <v>1.1000000000000001</v>
      </c>
      <c r="V374">
        <f t="shared" si="56"/>
        <v>4.5183956340255209</v>
      </c>
      <c r="W374">
        <f t="shared" si="57"/>
        <v>1897.7261662907188</v>
      </c>
      <c r="X374">
        <v>0.16</v>
      </c>
      <c r="Y374">
        <v>0.13</v>
      </c>
      <c r="Z374">
        <v>0.17</v>
      </c>
      <c r="AA374">
        <f t="shared" si="58"/>
        <v>55.938167938931294</v>
      </c>
    </row>
    <row r="375" spans="1:28" x14ac:dyDescent="0.25">
      <c r="A375">
        <v>374</v>
      </c>
      <c r="B375" t="s">
        <v>947</v>
      </c>
      <c r="C375" t="s">
        <v>942</v>
      </c>
      <c r="D375">
        <v>3</v>
      </c>
      <c r="E375" t="s">
        <v>943</v>
      </c>
      <c r="F375" s="2" t="d">
        <v>2017-07-20</v>
      </c>
      <c r="G375" t="s">
        <v>204</v>
      </c>
      <c r="H375" t="s">
        <v>144</v>
      </c>
      <c r="I375" t="s">
        <v>144</v>
      </c>
      <c r="J375">
        <f>1.649 - 1.441</f>
        <v>0.20799999999999996</v>
      </c>
      <c r="K375" t="s">
        <v>144</v>
      </c>
      <c r="L375" t="s">
        <v>144</v>
      </c>
      <c r="M375" t="s">
        <v>144</v>
      </c>
      <c r="N375" t="s">
        <v>948</v>
      </c>
      <c r="O375">
        <v>324472</v>
      </c>
      <c r="P375">
        <f t="shared" si="55"/>
        <v>9.1573208888888882</v>
      </c>
      <c r="Q375" t="s">
        <v>144</v>
      </c>
      <c r="R375" t="s">
        <v>214</v>
      </c>
      <c r="S375">
        <f>94*21</f>
        <v>1974</v>
      </c>
      <c r="T375">
        <v>8.15</v>
      </c>
      <c r="U375">
        <v>1.52</v>
      </c>
      <c r="V375">
        <f t="shared" si="56"/>
        <v>9.7295124481675899</v>
      </c>
      <c r="W375">
        <f t="shared" si="57"/>
        <v>19206.057572682821</v>
      </c>
      <c r="X375">
        <v>0.26</v>
      </c>
      <c r="Y375">
        <v>0.26</v>
      </c>
      <c r="Z375">
        <v>0.15</v>
      </c>
      <c r="AA375">
        <f t="shared" si="58"/>
        <v>44.0255811965812</v>
      </c>
    </row>
    <row r="376" spans="1:28" x14ac:dyDescent="0.25">
      <c r="A376">
        <v>375</v>
      </c>
      <c r="B376" t="s">
        <v>949</v>
      </c>
      <c r="C376" t="s">
        <v>942</v>
      </c>
      <c r="D376">
        <v>4</v>
      </c>
      <c r="E376" t="s">
        <v>943</v>
      </c>
      <c r="F376" s="2" t="d">
        <v>2017-07-20</v>
      </c>
      <c r="G376" t="s">
        <v>204</v>
      </c>
      <c r="H376" t="s">
        <v>144</v>
      </c>
      <c r="I376" t="s">
        <v>144</v>
      </c>
      <c r="J376">
        <v>8.5000000000000006E-2</v>
      </c>
      <c r="K376" t="s">
        <v>144</v>
      </c>
      <c r="L376" t="s">
        <v>144</v>
      </c>
      <c r="M376" t="s">
        <v>144</v>
      </c>
      <c r="N376" t="s">
        <v>950</v>
      </c>
      <c r="O376">
        <v>146070</v>
      </c>
      <c r="P376">
        <f t="shared" si="55"/>
        <v>4.12242</v>
      </c>
      <c r="Q376" t="s">
        <v>144</v>
      </c>
      <c r="R376" t="s">
        <v>214</v>
      </c>
      <c r="S376">
        <f>60*24</f>
        <v>1440</v>
      </c>
      <c r="T376">
        <v>6.09</v>
      </c>
      <c r="U376">
        <v>1.22</v>
      </c>
      <c r="V376">
        <f t="shared" si="56"/>
        <v>5.8353512744103604</v>
      </c>
      <c r="W376">
        <f t="shared" si="57"/>
        <v>8402.9058351509193</v>
      </c>
      <c r="X376">
        <v>0.22</v>
      </c>
      <c r="Y376">
        <v>0.13</v>
      </c>
      <c r="Z376">
        <v>0.17</v>
      </c>
      <c r="AA376">
        <f t="shared" si="58"/>
        <v>48.49905882352941</v>
      </c>
    </row>
    <row r="377" spans="1:28" x14ac:dyDescent="0.25">
      <c r="A377">
        <v>376</v>
      </c>
      <c r="B377" t="s">
        <v>951</v>
      </c>
      <c r="C377" t="s">
        <v>942</v>
      </c>
      <c r="D377">
        <v>5</v>
      </c>
      <c r="E377" t="s">
        <v>943</v>
      </c>
      <c r="F377" s="2" t="d">
        <v>2017-07-20</v>
      </c>
      <c r="G377" t="s">
        <v>204</v>
      </c>
      <c r="H377" t="s">
        <v>144</v>
      </c>
      <c r="I377" t="s">
        <v>144</v>
      </c>
      <c r="J377">
        <v>0.22800000000000001</v>
      </c>
      <c r="K377" t="s">
        <v>144</v>
      </c>
      <c r="L377" t="s">
        <v>144</v>
      </c>
      <c r="M377" t="s">
        <v>144</v>
      </c>
      <c r="N377" t="s">
        <v>952</v>
      </c>
      <c r="O377">
        <v>380010</v>
      </c>
      <c r="P377">
        <f t="shared" si="55"/>
        <v>10.724726666666667</v>
      </c>
      <c r="Q377" t="s">
        <v>144</v>
      </c>
      <c r="R377" t="s">
        <v>214</v>
      </c>
      <c r="S377">
        <f>31*56</f>
        <v>1736</v>
      </c>
      <c r="T377">
        <v>7.38</v>
      </c>
      <c r="U377">
        <v>1.74</v>
      </c>
      <c r="V377">
        <f t="shared" si="56"/>
        <v>10.085454895819314</v>
      </c>
      <c r="W377">
        <f t="shared" si="57"/>
        <v>17508.349699142331</v>
      </c>
      <c r="X377">
        <v>0.16</v>
      </c>
      <c r="Y377">
        <v>0.19</v>
      </c>
      <c r="Z377">
        <v>0.17</v>
      </c>
      <c r="AA377">
        <f t="shared" si="58"/>
        <v>47.03827485380117</v>
      </c>
    </row>
    <row r="378" spans="1:28" x14ac:dyDescent="0.25">
      <c r="A378">
        <v>377</v>
      </c>
      <c r="B378" t="s">
        <v>953</v>
      </c>
      <c r="C378" t="s">
        <v>954</v>
      </c>
      <c r="D378">
        <v>1</v>
      </c>
      <c r="E378" t="s">
        <v>955</v>
      </c>
      <c r="F378" s="2" t="d">
        <v>2017-07-20</v>
      </c>
      <c r="G378" t="s">
        <v>204</v>
      </c>
      <c r="H378" t="s">
        <v>144</v>
      </c>
      <c r="I378" t="s">
        <v>144</v>
      </c>
      <c r="J378">
        <v>0.249</v>
      </c>
      <c r="K378" t="s">
        <v>144</v>
      </c>
      <c r="L378" t="s">
        <v>144</v>
      </c>
      <c r="M378" t="s">
        <v>144</v>
      </c>
      <c r="N378" t="s">
        <v>956</v>
      </c>
      <c r="O378">
        <v>423197</v>
      </c>
      <c r="P378">
        <f t="shared" si="55"/>
        <v>11.943559777777779</v>
      </c>
      <c r="Q378" t="s">
        <v>144</v>
      </c>
      <c r="R378" t="s">
        <v>214</v>
      </c>
      <c r="S378">
        <v>127</v>
      </c>
      <c r="T378">
        <v>14.53</v>
      </c>
      <c r="U378">
        <v>8.33</v>
      </c>
      <c r="V378">
        <f t="shared" si="56"/>
        <v>95.06058816699381</v>
      </c>
      <c r="W378">
        <f t="shared" si="57"/>
        <v>12072.694697208213</v>
      </c>
      <c r="X378">
        <v>0.16</v>
      </c>
      <c r="Y378">
        <v>0.16</v>
      </c>
      <c r="Z378">
        <v>0.17</v>
      </c>
      <c r="AA378">
        <f t="shared" si="58"/>
        <v>47.966103525211963</v>
      </c>
    </row>
    <row r="379" spans="1:28" x14ac:dyDescent="0.25">
      <c r="A379">
        <v>378</v>
      </c>
      <c r="B379" t="s">
        <v>957</v>
      </c>
      <c r="C379" t="s">
        <v>958</v>
      </c>
      <c r="D379">
        <v>1</v>
      </c>
      <c r="E379" t="s">
        <v>959</v>
      </c>
      <c r="F379" s="2" t="d">
        <v>2017-07-20</v>
      </c>
      <c r="G379" t="s">
        <v>205</v>
      </c>
      <c r="H379">
        <v>7.1</v>
      </c>
      <c r="J379">
        <v>3.7999999999999999E-2</v>
      </c>
      <c r="K379">
        <v>10</v>
      </c>
      <c r="L379">
        <f t="shared" ref="L379:L420" si="59">PI()*((H379/2)^2)/100 * K379</f>
        <v>3.9591921416865365</v>
      </c>
      <c r="P379">
        <f t="shared" si="55"/>
        <v>0</v>
      </c>
      <c r="R379" t="s">
        <v>208</v>
      </c>
      <c r="S379" t="s">
        <v>144</v>
      </c>
      <c r="T379">
        <v>61.31</v>
      </c>
      <c r="U379">
        <v>23</v>
      </c>
      <c r="V379">
        <f t="shared" si="56"/>
        <v>1107.5135121516439</v>
      </c>
      <c r="W379">
        <f t="shared" si="57"/>
        <v>1107.5135121516439</v>
      </c>
      <c r="X379">
        <v>0.23</v>
      </c>
      <c r="Y379">
        <v>0.23</v>
      </c>
      <c r="Z379">
        <v>0.22</v>
      </c>
      <c r="AA379">
        <f t="shared" ref="AA379:AA410" si="60">L379/J379</f>
        <v>104.1892668864878</v>
      </c>
    </row>
    <row r="380" spans="1:28" x14ac:dyDescent="0.25">
      <c r="A380">
        <v>379</v>
      </c>
      <c r="B380" t="s">
        <v>960</v>
      </c>
      <c r="C380" t="s">
        <v>467</v>
      </c>
      <c r="D380">
        <v>3</v>
      </c>
      <c r="E380" t="s">
        <v>468</v>
      </c>
      <c r="F380" s="2" t="d">
        <v>2017-07-20</v>
      </c>
      <c r="G380" t="s">
        <v>205</v>
      </c>
      <c r="H380">
        <v>9.6999999999999993</v>
      </c>
      <c r="J380">
        <v>0.06</v>
      </c>
      <c r="K380">
        <v>10</v>
      </c>
      <c r="L380">
        <f t="shared" si="59"/>
        <v>7.38981131940659</v>
      </c>
      <c r="P380">
        <f t="shared" si="55"/>
        <v>0</v>
      </c>
      <c r="R380" t="s">
        <v>208</v>
      </c>
      <c r="S380" t="s">
        <v>144</v>
      </c>
      <c r="T380">
        <f>24.71+154.22</f>
        <v>178.93</v>
      </c>
      <c r="U380">
        <v>74.05</v>
      </c>
      <c r="V380">
        <f t="shared" si="56"/>
        <v>10406.342274545037</v>
      </c>
      <c r="W380">
        <f t="shared" si="57"/>
        <v>10406.342274545037</v>
      </c>
      <c r="X380">
        <v>0.24</v>
      </c>
      <c r="Y380">
        <v>0.31</v>
      </c>
      <c r="Z380">
        <v>0.28000000000000003</v>
      </c>
      <c r="AA380">
        <f t="shared" si="60"/>
        <v>123.16352199010984</v>
      </c>
    </row>
    <row r="381" spans="1:28" x14ac:dyDescent="0.25">
      <c r="A381">
        <v>380</v>
      </c>
      <c r="B381" t="s">
        <v>961</v>
      </c>
      <c r="C381" t="s">
        <v>545</v>
      </c>
      <c r="D381">
        <v>2</v>
      </c>
      <c r="E381" t="s">
        <v>802</v>
      </c>
      <c r="F381" s="2" t="d">
        <v>2017-07-20</v>
      </c>
      <c r="G381" t="s">
        <v>205</v>
      </c>
      <c r="H381">
        <v>7.1</v>
      </c>
      <c r="J381">
        <v>3.3000000000000002E-2</v>
      </c>
      <c r="K381">
        <v>10</v>
      </c>
      <c r="L381">
        <f t="shared" si="59"/>
        <v>3.9591921416865365</v>
      </c>
      <c r="P381">
        <f t="shared" si="55"/>
        <v>0</v>
      </c>
      <c r="R381" t="s">
        <v>208</v>
      </c>
      <c r="S381" t="s">
        <v>144</v>
      </c>
      <c r="T381">
        <v>80.23</v>
      </c>
      <c r="U381">
        <v>20.420000000000002</v>
      </c>
      <c r="V381">
        <f t="shared" si="56"/>
        <v>1286.7151407402841</v>
      </c>
      <c r="W381">
        <f t="shared" si="57"/>
        <v>1286.7151407402841</v>
      </c>
      <c r="X381">
        <v>0.3</v>
      </c>
      <c r="Y381">
        <v>0.28999999999999998</v>
      </c>
      <c r="Z381">
        <v>0.28999999999999998</v>
      </c>
      <c r="AA381">
        <f t="shared" si="60"/>
        <v>119.97551944504656</v>
      </c>
    </row>
    <row r="382" spans="1:28" x14ac:dyDescent="0.25">
      <c r="A382">
        <v>381</v>
      </c>
      <c r="B382" t="s">
        <v>962</v>
      </c>
      <c r="C382" t="s">
        <v>545</v>
      </c>
      <c r="D382">
        <v>3</v>
      </c>
      <c r="E382" t="s">
        <v>802</v>
      </c>
      <c r="F382" s="2" t="d">
        <v>2017-07-20</v>
      </c>
      <c r="G382" t="s">
        <v>205</v>
      </c>
      <c r="H382">
        <v>7.1</v>
      </c>
      <c r="J382">
        <v>3.4000000000000002E-2</v>
      </c>
      <c r="K382">
        <v>10</v>
      </c>
      <c r="L382">
        <f t="shared" si="59"/>
        <v>3.9591921416865365</v>
      </c>
      <c r="P382">
        <f t="shared" si="55"/>
        <v>0</v>
      </c>
      <c r="R382" t="s">
        <v>208</v>
      </c>
      <c r="S382" t="s">
        <v>144</v>
      </c>
      <c r="T382">
        <v>66.66</v>
      </c>
      <c r="U382">
        <v>14.14</v>
      </c>
      <c r="V382">
        <f t="shared" si="56"/>
        <v>740.29463182912502</v>
      </c>
      <c r="W382">
        <f t="shared" si="57"/>
        <v>740.29463182912502</v>
      </c>
      <c r="X382">
        <v>0.28000000000000003</v>
      </c>
      <c r="Y382">
        <v>0.26</v>
      </c>
      <c r="Z382">
        <v>0.27</v>
      </c>
      <c r="AA382">
        <f t="shared" si="60"/>
        <v>116.44682769666284</v>
      </c>
    </row>
    <row r="383" spans="1:28" x14ac:dyDescent="0.25">
      <c r="A383">
        <v>382</v>
      </c>
      <c r="B383" t="s">
        <v>963</v>
      </c>
      <c r="C383" t="s">
        <v>958</v>
      </c>
      <c r="D383">
        <v>2</v>
      </c>
      <c r="E383" t="s">
        <v>959</v>
      </c>
      <c r="F383" s="2" t="d">
        <v>2017-07-20</v>
      </c>
      <c r="G383" t="s">
        <v>205</v>
      </c>
      <c r="H383">
        <v>9.6999999999999993</v>
      </c>
      <c r="J383">
        <v>5.6000000000000001E-2</v>
      </c>
      <c r="K383">
        <v>10</v>
      </c>
      <c r="L383">
        <f t="shared" si="59"/>
        <v>7.38981131940659</v>
      </c>
      <c r="P383">
        <f t="shared" si="55"/>
        <v>0</v>
      </c>
      <c r="R383" t="s">
        <v>208</v>
      </c>
      <c r="S383" t="s">
        <v>144</v>
      </c>
      <c r="T383">
        <v>76.069999999999993</v>
      </c>
      <c r="U383">
        <v>32.69</v>
      </c>
      <c r="V383">
        <f t="shared" si="56"/>
        <v>1953.0718396884586</v>
      </c>
      <c r="W383">
        <f t="shared" si="57"/>
        <v>1953.0718396884586</v>
      </c>
      <c r="X383">
        <v>0.23</v>
      </c>
      <c r="Y383">
        <v>0.21</v>
      </c>
      <c r="Z383">
        <v>0.22</v>
      </c>
      <c r="AA383">
        <f t="shared" si="60"/>
        <v>131.96091641797483</v>
      </c>
    </row>
    <row r="384" spans="1:28" x14ac:dyDescent="0.25">
      <c r="A384">
        <v>383</v>
      </c>
      <c r="B384" t="s">
        <v>964</v>
      </c>
      <c r="C384" t="s">
        <v>467</v>
      </c>
      <c r="D384">
        <v>4</v>
      </c>
      <c r="E384" t="s">
        <v>468</v>
      </c>
      <c r="F384" s="2" t="d">
        <v>2017-07-20</v>
      </c>
      <c r="G384" t="s">
        <v>205</v>
      </c>
      <c r="H384">
        <v>7.1</v>
      </c>
      <c r="J384">
        <v>3.5000000000000003E-2</v>
      </c>
      <c r="K384">
        <v>10</v>
      </c>
      <c r="L384">
        <f t="shared" si="59"/>
        <v>3.9591921416865365</v>
      </c>
      <c r="P384">
        <f t="shared" si="55"/>
        <v>0</v>
      </c>
      <c r="R384" t="s">
        <v>208</v>
      </c>
      <c r="S384" t="s">
        <v>144</v>
      </c>
      <c r="T384">
        <v>126.01</v>
      </c>
      <c r="U384">
        <v>41.75</v>
      </c>
      <c r="V384">
        <f t="shared" si="56"/>
        <v>4131.9149422854953</v>
      </c>
      <c r="W384">
        <f t="shared" si="57"/>
        <v>4131.9149422854953</v>
      </c>
      <c r="X384">
        <v>0.24</v>
      </c>
      <c r="Y384">
        <v>0.22</v>
      </c>
      <c r="Z384">
        <v>0.22</v>
      </c>
      <c r="AA384">
        <f t="shared" si="60"/>
        <v>113.11977547675818</v>
      </c>
    </row>
    <row r="385" spans="1:28" x14ac:dyDescent="0.25">
      <c r="A385">
        <v>384</v>
      </c>
      <c r="B385" t="s">
        <v>965</v>
      </c>
      <c r="C385" t="s">
        <v>958</v>
      </c>
      <c r="D385">
        <v>3</v>
      </c>
      <c r="E385" t="s">
        <v>959</v>
      </c>
      <c r="F385" s="2" t="d">
        <v>2017-07-20</v>
      </c>
      <c r="G385" t="s">
        <v>205</v>
      </c>
      <c r="H385">
        <v>9.6999999999999993</v>
      </c>
      <c r="J385">
        <v>5.8000000000000003E-2</v>
      </c>
      <c r="K385">
        <v>10</v>
      </c>
      <c r="L385">
        <f t="shared" si="59"/>
        <v>7.38981131940659</v>
      </c>
      <c r="P385">
        <f t="shared" si="55"/>
        <v>0</v>
      </c>
      <c r="R385" t="s">
        <v>208</v>
      </c>
      <c r="S385" t="s">
        <v>144</v>
      </c>
      <c r="T385">
        <v>82.48</v>
      </c>
      <c r="U385">
        <v>29.53</v>
      </c>
      <c r="V385">
        <f t="shared" si="56"/>
        <v>1912.9427844676461</v>
      </c>
      <c r="W385">
        <f t="shared" si="57"/>
        <v>1912.9427844676461</v>
      </c>
      <c r="X385">
        <v>0.23</v>
      </c>
      <c r="Y385">
        <v>0.22</v>
      </c>
      <c r="Z385">
        <v>0.22</v>
      </c>
      <c r="AA385">
        <f t="shared" si="60"/>
        <v>127.41053998976879</v>
      </c>
    </row>
    <row r="386" spans="1:28" x14ac:dyDescent="0.25">
      <c r="A386">
        <v>385</v>
      </c>
      <c r="B386" t="s">
        <v>966</v>
      </c>
      <c r="C386" t="s">
        <v>470</v>
      </c>
      <c r="D386">
        <v>4</v>
      </c>
      <c r="E386" t="s">
        <v>471</v>
      </c>
      <c r="F386" s="2" t="d">
        <v>2017-07-20</v>
      </c>
      <c r="G386" t="s">
        <v>205</v>
      </c>
      <c r="H386">
        <v>7.1</v>
      </c>
      <c r="J386">
        <v>0.04</v>
      </c>
      <c r="K386">
        <v>12</v>
      </c>
      <c r="L386">
        <f t="shared" si="59"/>
        <v>4.7510305700238442</v>
      </c>
      <c r="P386">
        <f t="shared" si="55"/>
        <v>0</v>
      </c>
      <c r="R386" t="s">
        <v>208</v>
      </c>
      <c r="S386" t="s">
        <v>144</v>
      </c>
      <c r="T386">
        <f>27.8 + 154.21</f>
        <v>182.01000000000002</v>
      </c>
      <c r="U386">
        <v>76.44</v>
      </c>
      <c r="V386">
        <f t="shared" si="56"/>
        <v>10927.122439394474</v>
      </c>
      <c r="W386">
        <f t="shared" si="57"/>
        <v>10927.122439394474</v>
      </c>
      <c r="X386">
        <v>0.28999999999999998</v>
      </c>
      <c r="Y386">
        <v>0.31</v>
      </c>
      <c r="Z386">
        <v>0.26</v>
      </c>
      <c r="AA386">
        <f t="shared" si="60"/>
        <v>118.7757642505961</v>
      </c>
    </row>
    <row r="387" spans="1:28" x14ac:dyDescent="0.25">
      <c r="A387">
        <v>386</v>
      </c>
      <c r="B387" t="s">
        <v>967</v>
      </c>
      <c r="C387" t="s">
        <v>796</v>
      </c>
      <c r="D387">
        <v>5</v>
      </c>
      <c r="E387" t="s">
        <v>797</v>
      </c>
      <c r="F387" s="2" t="d">
        <v>2017-07-20</v>
      </c>
      <c r="G387" t="s">
        <v>205</v>
      </c>
      <c r="H387">
        <v>9.6999999999999993</v>
      </c>
      <c r="J387">
        <v>6.2E-2</v>
      </c>
      <c r="K387">
        <v>10</v>
      </c>
      <c r="L387">
        <f t="shared" si="59"/>
        <v>7.38981131940659</v>
      </c>
      <c r="P387">
        <f t="shared" si="55"/>
        <v>0</v>
      </c>
      <c r="R387" t="s">
        <v>208</v>
      </c>
      <c r="S387" t="s">
        <v>144</v>
      </c>
      <c r="T387">
        <v>78.150000000000006</v>
      </c>
      <c r="U387">
        <v>48.11</v>
      </c>
      <c r="V387">
        <f t="shared" si="56"/>
        <v>2952.9372658481543</v>
      </c>
      <c r="W387">
        <f t="shared" si="57"/>
        <v>2952.9372658481543</v>
      </c>
      <c r="X387">
        <v>0.39</v>
      </c>
      <c r="Y387">
        <v>0.33</v>
      </c>
      <c r="Z387">
        <v>0.4</v>
      </c>
      <c r="AA387">
        <f t="shared" si="60"/>
        <v>119.19050515171919</v>
      </c>
    </row>
    <row r="388" spans="1:28" x14ac:dyDescent="0.25">
      <c r="A388">
        <v>387</v>
      </c>
      <c r="B388" t="s">
        <v>1023</v>
      </c>
      <c r="C388" t="s">
        <v>419</v>
      </c>
      <c r="D388">
        <v>6</v>
      </c>
      <c r="E388" t="s">
        <v>420</v>
      </c>
      <c r="F388" s="2" t="d">
        <v>2017-07-20</v>
      </c>
      <c r="G388" t="s">
        <v>205</v>
      </c>
      <c r="H388">
        <v>9.6999999999999993</v>
      </c>
      <c r="J388">
        <v>0.06</v>
      </c>
      <c r="K388">
        <v>10</v>
      </c>
      <c r="L388">
        <f t="shared" si="59"/>
        <v>7.38981131940659</v>
      </c>
      <c r="P388">
        <f t="shared" si="55"/>
        <v>0</v>
      </c>
      <c r="R388" t="s">
        <v>208</v>
      </c>
      <c r="S388" t="s">
        <v>144</v>
      </c>
      <c r="T388">
        <v>140.72</v>
      </c>
      <c r="U388">
        <v>57.12</v>
      </c>
      <c r="V388">
        <f t="shared" si="56"/>
        <v>6312.9726320838627</v>
      </c>
      <c r="W388">
        <f t="shared" si="57"/>
        <v>6312.9726320838627</v>
      </c>
      <c r="X388">
        <v>0.23</v>
      </c>
      <c r="Y388">
        <v>0.25</v>
      </c>
      <c r="Z388">
        <v>0.26</v>
      </c>
      <c r="AA388">
        <f t="shared" si="60"/>
        <v>123.16352199010984</v>
      </c>
      <c r="AB388" t="s">
        <v>1024</v>
      </c>
    </row>
    <row r="389" spans="1:28" x14ac:dyDescent="0.25">
      <c r="A389">
        <v>388</v>
      </c>
      <c r="B389" t="s">
        <v>969</v>
      </c>
      <c r="C389" t="s">
        <v>437</v>
      </c>
      <c r="D389">
        <v>6</v>
      </c>
      <c r="E389" t="s">
        <v>438</v>
      </c>
      <c r="F389" s="2" t="d">
        <v>2017-07-20</v>
      </c>
      <c r="G389" t="s">
        <v>205</v>
      </c>
      <c r="H389">
        <v>7.1</v>
      </c>
      <c r="J389">
        <v>3.7999999999999999E-2</v>
      </c>
      <c r="K389">
        <v>10</v>
      </c>
      <c r="L389">
        <f t="shared" si="59"/>
        <v>3.9591921416865365</v>
      </c>
      <c r="P389">
        <f t="shared" si="55"/>
        <v>0</v>
      </c>
      <c r="R389" t="s">
        <v>208</v>
      </c>
      <c r="S389" t="s">
        <v>144</v>
      </c>
      <c r="T389">
        <v>127.09</v>
      </c>
      <c r="U389">
        <v>39.090000000000003</v>
      </c>
      <c r="V389">
        <f t="shared" si="56"/>
        <v>3901.8173135938432</v>
      </c>
      <c r="W389">
        <f t="shared" si="57"/>
        <v>3901.8173135938432</v>
      </c>
      <c r="X389">
        <v>0.25</v>
      </c>
      <c r="Y389">
        <v>0.26</v>
      </c>
      <c r="Z389">
        <v>0.26</v>
      </c>
      <c r="AA389">
        <f t="shared" si="60"/>
        <v>104.1892668864878</v>
      </c>
    </row>
    <row r="390" spans="1:28" x14ac:dyDescent="0.25">
      <c r="A390">
        <v>389</v>
      </c>
      <c r="B390" t="s">
        <v>970</v>
      </c>
      <c r="C390" t="s">
        <v>545</v>
      </c>
      <c r="D390">
        <v>4</v>
      </c>
      <c r="E390" t="s">
        <v>802</v>
      </c>
      <c r="F390" s="2" t="d">
        <v>2017-07-20</v>
      </c>
      <c r="G390" t="s">
        <v>205</v>
      </c>
      <c r="H390">
        <v>7.1</v>
      </c>
      <c r="J390">
        <v>4.4999999999999998E-2</v>
      </c>
      <c r="K390">
        <v>10</v>
      </c>
      <c r="L390">
        <f t="shared" si="59"/>
        <v>3.9591921416865365</v>
      </c>
      <c r="P390">
        <f t="shared" si="55"/>
        <v>0</v>
      </c>
      <c r="R390" t="s">
        <v>208</v>
      </c>
      <c r="S390" t="s">
        <v>144</v>
      </c>
      <c r="T390">
        <v>84.7</v>
      </c>
      <c r="U390">
        <v>17.64</v>
      </c>
      <c r="V390">
        <f t="shared" si="56"/>
        <v>1173.4696791174347</v>
      </c>
      <c r="W390">
        <f t="shared" si="57"/>
        <v>1173.4696791174347</v>
      </c>
      <c r="X390">
        <v>0.35</v>
      </c>
      <c r="Y390">
        <v>0.37</v>
      </c>
      <c r="Z390">
        <v>0.31</v>
      </c>
      <c r="AA390">
        <f t="shared" si="60"/>
        <v>87.982047593034153</v>
      </c>
    </row>
    <row r="391" spans="1:28" x14ac:dyDescent="0.25">
      <c r="A391">
        <v>390</v>
      </c>
      <c r="B391" t="s">
        <v>932</v>
      </c>
      <c r="C391" t="s">
        <v>933</v>
      </c>
      <c r="D391">
        <v>1</v>
      </c>
      <c r="E391" t="s">
        <v>971</v>
      </c>
      <c r="F391" s="2" t="d">
        <v>2017-07-20</v>
      </c>
      <c r="G391" t="s">
        <v>205</v>
      </c>
      <c r="H391">
        <v>7.1</v>
      </c>
      <c r="J391">
        <v>0.04</v>
      </c>
      <c r="K391">
        <v>10</v>
      </c>
      <c r="L391">
        <f t="shared" si="59"/>
        <v>3.9591921416865365</v>
      </c>
      <c r="P391">
        <f t="shared" si="55"/>
        <v>0</v>
      </c>
      <c r="R391" t="s">
        <v>208</v>
      </c>
      <c r="S391" t="s">
        <v>144</v>
      </c>
      <c r="T391">
        <v>126.04</v>
      </c>
      <c r="U391">
        <v>25.46</v>
      </c>
      <c r="V391">
        <f t="shared" si="56"/>
        <v>2520.3257417420823</v>
      </c>
      <c r="W391">
        <f t="shared" si="57"/>
        <v>2520.3257417420823</v>
      </c>
      <c r="X391">
        <v>0.32</v>
      </c>
      <c r="Y391">
        <v>0.23</v>
      </c>
      <c r="Z391">
        <v>0.23</v>
      </c>
      <c r="AA391">
        <f t="shared" si="60"/>
        <v>98.97980354216341</v>
      </c>
    </row>
    <row r="392" spans="1:28" x14ac:dyDescent="0.25">
      <c r="A392">
        <v>391</v>
      </c>
      <c r="B392" t="s">
        <v>972</v>
      </c>
      <c r="C392" t="s">
        <v>958</v>
      </c>
      <c r="D392">
        <v>4</v>
      </c>
      <c r="E392" t="s">
        <v>959</v>
      </c>
      <c r="F392" s="2" t="d">
        <v>2017-07-20</v>
      </c>
      <c r="G392" t="s">
        <v>205</v>
      </c>
      <c r="H392">
        <v>7.1</v>
      </c>
      <c r="J392">
        <v>2.4E-2</v>
      </c>
      <c r="K392">
        <v>10</v>
      </c>
      <c r="L392">
        <f t="shared" si="59"/>
        <v>3.9591921416865365</v>
      </c>
      <c r="P392">
        <f t="shared" si="55"/>
        <v>0</v>
      </c>
      <c r="R392" t="s">
        <v>208</v>
      </c>
      <c r="S392" t="s">
        <v>144</v>
      </c>
      <c r="T392">
        <v>99</v>
      </c>
      <c r="U392">
        <v>32.659999999999997</v>
      </c>
      <c r="V392">
        <f t="shared" si="56"/>
        <v>2539.4592976395052</v>
      </c>
      <c r="W392">
        <f t="shared" si="57"/>
        <v>2539.4592976395052</v>
      </c>
      <c r="X392">
        <v>0.21</v>
      </c>
      <c r="Y392">
        <v>0.2</v>
      </c>
      <c r="Z392">
        <v>0.2</v>
      </c>
      <c r="AA392">
        <f t="shared" si="60"/>
        <v>164.96633923693901</v>
      </c>
    </row>
    <row r="393" spans="1:28" x14ac:dyDescent="0.25">
      <c r="A393">
        <v>392</v>
      </c>
      <c r="B393" t="s">
        <v>973</v>
      </c>
      <c r="C393" t="s">
        <v>974</v>
      </c>
      <c r="D393">
        <v>1</v>
      </c>
      <c r="E393" t="s">
        <v>975</v>
      </c>
      <c r="F393" s="2" t="d">
        <v>2017-07-20</v>
      </c>
      <c r="G393" t="s">
        <v>205</v>
      </c>
      <c r="H393">
        <v>9.6999999999999993</v>
      </c>
      <c r="J393">
        <v>0.125</v>
      </c>
      <c r="K393">
        <v>10</v>
      </c>
      <c r="L393">
        <f t="shared" si="59"/>
        <v>7.38981131940659</v>
      </c>
      <c r="P393">
        <f t="shared" si="55"/>
        <v>0</v>
      </c>
      <c r="R393" t="s">
        <v>208</v>
      </c>
      <c r="S393" t="s">
        <v>144</v>
      </c>
      <c r="T393">
        <v>52.1</v>
      </c>
      <c r="U393">
        <v>24.89</v>
      </c>
      <c r="V393">
        <f t="shared" si="56"/>
        <v>1018.4799909507456</v>
      </c>
      <c r="W393">
        <f t="shared" si="57"/>
        <v>1018.4799909507456</v>
      </c>
      <c r="X393">
        <v>0.4</v>
      </c>
      <c r="Y393">
        <v>0.44</v>
      </c>
      <c r="Z393">
        <v>0.44</v>
      </c>
      <c r="AA393">
        <f t="shared" si="60"/>
        <v>59.11849055525272</v>
      </c>
    </row>
    <row r="394" spans="1:28" x14ac:dyDescent="0.25">
      <c r="A394">
        <v>393</v>
      </c>
      <c r="B394" t="s">
        <v>976</v>
      </c>
      <c r="C394" t="s">
        <v>437</v>
      </c>
      <c r="D394">
        <v>5</v>
      </c>
      <c r="E394" t="s">
        <v>438</v>
      </c>
      <c r="F394" s="2" t="d">
        <v>2017-07-20</v>
      </c>
      <c r="G394" t="s">
        <v>205</v>
      </c>
      <c r="H394">
        <v>9.6999999999999993</v>
      </c>
      <c r="J394">
        <v>6.0999999999999999E-2</v>
      </c>
      <c r="K394">
        <v>11</v>
      </c>
      <c r="L394">
        <f t="shared" si="59"/>
        <v>8.1287924513472483</v>
      </c>
      <c r="P394">
        <f t="shared" si="55"/>
        <v>0</v>
      </c>
      <c r="R394" t="s">
        <v>208</v>
      </c>
      <c r="S394" t="s">
        <v>144</v>
      </c>
      <c r="T394">
        <v>91.18</v>
      </c>
      <c r="U394">
        <v>44.04</v>
      </c>
      <c r="V394">
        <f t="shared" si="56"/>
        <v>3153.8191038790342</v>
      </c>
      <c r="W394">
        <f t="shared" si="57"/>
        <v>3153.8191038790342</v>
      </c>
      <c r="X394">
        <v>0.19</v>
      </c>
      <c r="Y394">
        <v>0.22</v>
      </c>
      <c r="Z394">
        <v>0.2</v>
      </c>
      <c r="AA394">
        <f t="shared" si="60"/>
        <v>133.25889264503687</v>
      </c>
    </row>
    <row r="395" spans="1:28" x14ac:dyDescent="0.25">
      <c r="A395">
        <v>394</v>
      </c>
      <c r="B395" t="s">
        <v>977</v>
      </c>
      <c r="C395" t="s">
        <v>545</v>
      </c>
      <c r="D395">
        <v>5</v>
      </c>
      <c r="E395" t="s">
        <v>802</v>
      </c>
      <c r="F395" s="2" t="d">
        <v>2017-07-20</v>
      </c>
      <c r="G395" t="s">
        <v>205</v>
      </c>
      <c r="H395">
        <v>7.1</v>
      </c>
      <c r="J395">
        <v>0.04</v>
      </c>
      <c r="K395">
        <v>10</v>
      </c>
      <c r="L395">
        <f t="shared" si="59"/>
        <v>3.9591921416865365</v>
      </c>
      <c r="P395">
        <f t="shared" si="55"/>
        <v>0</v>
      </c>
      <c r="R395" t="s">
        <v>208</v>
      </c>
      <c r="S395" t="s">
        <v>144</v>
      </c>
      <c r="T395">
        <v>58.91</v>
      </c>
      <c r="U395">
        <v>15.37</v>
      </c>
      <c r="V395">
        <f t="shared" si="56"/>
        <v>711.13617523428024</v>
      </c>
      <c r="W395">
        <f t="shared" si="57"/>
        <v>711.13617523428024</v>
      </c>
      <c r="X395">
        <v>0.31</v>
      </c>
      <c r="Y395">
        <v>0.32</v>
      </c>
      <c r="Z395">
        <v>0.3</v>
      </c>
      <c r="AA395">
        <f t="shared" si="60"/>
        <v>98.97980354216341</v>
      </c>
    </row>
    <row r="396" spans="1:28" x14ac:dyDescent="0.25">
      <c r="A396">
        <v>395</v>
      </c>
      <c r="B396" t="s">
        <v>978</v>
      </c>
      <c r="C396" t="s">
        <v>954</v>
      </c>
      <c r="D396">
        <v>2</v>
      </c>
      <c r="E396" t="s">
        <v>955</v>
      </c>
      <c r="F396" s="2" t="d">
        <v>2017-07-20</v>
      </c>
      <c r="G396" t="s">
        <v>205</v>
      </c>
      <c r="H396">
        <v>7.1</v>
      </c>
      <c r="J396">
        <v>2.8000000000000001E-2</v>
      </c>
      <c r="K396">
        <v>12</v>
      </c>
      <c r="L396">
        <f t="shared" si="59"/>
        <v>4.7510305700238442</v>
      </c>
      <c r="P396">
        <f t="shared" si="55"/>
        <v>0</v>
      </c>
      <c r="R396" t="s">
        <v>214</v>
      </c>
      <c r="S396">
        <v>70</v>
      </c>
      <c r="T396">
        <v>16.86</v>
      </c>
      <c r="U396">
        <v>9.93</v>
      </c>
      <c r="V396">
        <f t="shared" si="56"/>
        <v>131.4912034363681</v>
      </c>
      <c r="W396">
        <f t="shared" si="57"/>
        <v>9204.3842405457672</v>
      </c>
      <c r="X396">
        <v>0.12</v>
      </c>
      <c r="Y396">
        <v>0.12</v>
      </c>
      <c r="Z396">
        <v>0.12</v>
      </c>
      <c r="AA396">
        <f t="shared" si="60"/>
        <v>169.67966321513728</v>
      </c>
    </row>
    <row r="397" spans="1:28" x14ac:dyDescent="0.25">
      <c r="A397">
        <v>396</v>
      </c>
      <c r="B397" t="s">
        <v>979</v>
      </c>
      <c r="C397" t="s">
        <v>467</v>
      </c>
      <c r="D397">
        <v>5</v>
      </c>
      <c r="E397" t="s">
        <v>468</v>
      </c>
      <c r="F397" s="2" t="d">
        <v>2017-07-20</v>
      </c>
      <c r="G397" t="s">
        <v>205</v>
      </c>
      <c r="H397">
        <v>7.1</v>
      </c>
      <c r="J397">
        <v>3.2000000000000001E-2</v>
      </c>
      <c r="K397">
        <v>10</v>
      </c>
      <c r="L397">
        <f t="shared" si="59"/>
        <v>3.9591921416865365</v>
      </c>
      <c r="P397">
        <f t="shared" si="55"/>
        <v>0</v>
      </c>
      <c r="R397" t="s">
        <v>208</v>
      </c>
      <c r="S397" t="s">
        <v>144</v>
      </c>
      <c r="T397">
        <v>125.23</v>
      </c>
      <c r="U397">
        <v>38.340000000000003</v>
      </c>
      <c r="V397">
        <f t="shared" si="56"/>
        <v>3770.9464961667427</v>
      </c>
      <c r="W397">
        <f t="shared" si="57"/>
        <v>3770.9464961667427</v>
      </c>
      <c r="X397">
        <v>0.31</v>
      </c>
      <c r="Y397">
        <v>0.28999999999999998</v>
      </c>
      <c r="Z397">
        <v>0.3</v>
      </c>
      <c r="AA397">
        <f t="shared" si="60"/>
        <v>123.72475442770427</v>
      </c>
    </row>
    <row r="398" spans="1:28" x14ac:dyDescent="0.25">
      <c r="A398">
        <v>397</v>
      </c>
      <c r="B398" t="s">
        <v>980</v>
      </c>
      <c r="C398" t="s">
        <v>470</v>
      </c>
      <c r="D398">
        <v>5</v>
      </c>
      <c r="E398" t="s">
        <v>471</v>
      </c>
      <c r="F398" s="2" t="d">
        <v>2017-07-20</v>
      </c>
      <c r="G398" t="s">
        <v>205</v>
      </c>
      <c r="H398">
        <v>9.6999999999999993</v>
      </c>
      <c r="J398">
        <v>7.0999999999999994E-2</v>
      </c>
      <c r="K398">
        <v>10</v>
      </c>
      <c r="L398">
        <f t="shared" si="59"/>
        <v>7.38981131940659</v>
      </c>
      <c r="P398">
        <f t="shared" si="55"/>
        <v>0</v>
      </c>
      <c r="R398" t="s">
        <v>208</v>
      </c>
      <c r="S398" t="s">
        <v>144</v>
      </c>
      <c r="T398">
        <v>167.47</v>
      </c>
      <c r="U398">
        <v>73.62</v>
      </c>
      <c r="V398">
        <f t="shared" ref="V398:V429" si="61">(((T398/2) * (U398/2)) * PI())</f>
        <v>9683.2850118274437</v>
      </c>
      <c r="W398">
        <f t="shared" ref="W398:W429" si="62">IF(ISNUMBER(S398), S398*V398, V398)</f>
        <v>9683.2850118274437</v>
      </c>
      <c r="X398">
        <v>0.35</v>
      </c>
      <c r="Y398">
        <v>0.27</v>
      </c>
      <c r="Z398">
        <v>0.32</v>
      </c>
      <c r="AA398">
        <f t="shared" si="60"/>
        <v>104.08184956910691</v>
      </c>
    </row>
    <row r="399" spans="1:28" x14ac:dyDescent="0.25">
      <c r="A399">
        <v>398</v>
      </c>
      <c r="B399" t="s">
        <v>986</v>
      </c>
      <c r="C399" t="s">
        <v>954</v>
      </c>
      <c r="D399">
        <v>5</v>
      </c>
      <c r="E399" t="s">
        <v>955</v>
      </c>
      <c r="F399" s="2" t="d">
        <v>2017-07-24</v>
      </c>
      <c r="G399" t="s">
        <v>205</v>
      </c>
      <c r="H399">
        <v>7.1</v>
      </c>
      <c r="J399">
        <v>2.5000000000000001E-2</v>
      </c>
      <c r="K399">
        <v>10</v>
      </c>
      <c r="L399">
        <f t="shared" si="59"/>
        <v>3.9591921416865365</v>
      </c>
      <c r="R399" t="s">
        <v>214</v>
      </c>
      <c r="S399">
        <v>100</v>
      </c>
      <c r="T399">
        <v>17.329999999999998</v>
      </c>
      <c r="U399">
        <v>8.92</v>
      </c>
      <c r="V399">
        <f t="shared" si="61"/>
        <v>121.40967553136578</v>
      </c>
      <c r="W399">
        <f t="shared" si="62"/>
        <v>12140.967553136577</v>
      </c>
      <c r="X399">
        <v>0.15</v>
      </c>
      <c r="Y399">
        <v>0.2</v>
      </c>
      <c r="Z399">
        <v>0.13</v>
      </c>
      <c r="AA399">
        <f t="shared" si="60"/>
        <v>158.36768566746144</v>
      </c>
    </row>
    <row r="400" spans="1:28" x14ac:dyDescent="0.25">
      <c r="A400">
        <v>399</v>
      </c>
      <c r="B400" t="s">
        <v>987</v>
      </c>
      <c r="C400" t="s">
        <v>933</v>
      </c>
      <c r="D400">
        <v>5</v>
      </c>
      <c r="E400" t="s">
        <v>971</v>
      </c>
      <c r="F400" s="2" t="d">
        <v>2017-07-24</v>
      </c>
      <c r="G400" t="s">
        <v>205</v>
      </c>
      <c r="H400">
        <v>7.1</v>
      </c>
      <c r="J400">
        <v>3.5000000000000003E-2</v>
      </c>
      <c r="K400">
        <v>11</v>
      </c>
      <c r="L400">
        <f t="shared" si="59"/>
        <v>4.3551113558551906</v>
      </c>
      <c r="R400" t="s">
        <v>208</v>
      </c>
      <c r="S400" t="s">
        <v>144</v>
      </c>
      <c r="T400">
        <v>121.39</v>
      </c>
      <c r="U400">
        <v>35.61</v>
      </c>
      <c r="V400">
        <f t="shared" si="61"/>
        <v>3395.0389915820065</v>
      </c>
      <c r="W400">
        <f t="shared" si="62"/>
        <v>3395.0389915820065</v>
      </c>
      <c r="X400">
        <v>0.17</v>
      </c>
      <c r="Y400">
        <v>0.17</v>
      </c>
      <c r="Z400">
        <v>0.16</v>
      </c>
      <c r="AA400">
        <f t="shared" si="60"/>
        <v>124.431753024434</v>
      </c>
    </row>
    <row r="401" spans="1:27" x14ac:dyDescent="0.25">
      <c r="A401">
        <v>400</v>
      </c>
      <c r="B401" t="s">
        <v>988</v>
      </c>
      <c r="C401" t="s">
        <v>974</v>
      </c>
      <c r="D401">
        <v>2</v>
      </c>
      <c r="E401" t="s">
        <v>975</v>
      </c>
      <c r="F401" s="2" t="d">
        <v>2017-07-24</v>
      </c>
      <c r="G401" t="s">
        <v>205</v>
      </c>
      <c r="H401">
        <v>9.6999999999999993</v>
      </c>
      <c r="J401">
        <v>0.112</v>
      </c>
      <c r="K401">
        <v>10</v>
      </c>
      <c r="L401">
        <f t="shared" si="59"/>
        <v>7.38981131940659</v>
      </c>
      <c r="R401" t="s">
        <v>208</v>
      </c>
      <c r="S401" t="s">
        <v>144</v>
      </c>
      <c r="T401">
        <v>66.989999999999995</v>
      </c>
      <c r="U401">
        <v>30.52</v>
      </c>
      <c r="V401">
        <f t="shared" si="61"/>
        <v>1605.7738769221692</v>
      </c>
      <c r="W401">
        <f t="shared" si="62"/>
        <v>1605.7738769221692</v>
      </c>
      <c r="X401">
        <v>0.37</v>
      </c>
      <c r="Y401">
        <v>0.32</v>
      </c>
      <c r="Z401">
        <v>0.36</v>
      </c>
      <c r="AA401">
        <f t="shared" si="60"/>
        <v>65.980458208987415</v>
      </c>
    </row>
    <row r="402" spans="1:27" x14ac:dyDescent="0.25">
      <c r="A402">
        <v>401</v>
      </c>
      <c r="B402" t="s">
        <v>989</v>
      </c>
      <c r="C402" t="s">
        <v>933</v>
      </c>
      <c r="D402">
        <v>4</v>
      </c>
      <c r="E402" t="s">
        <v>971</v>
      </c>
      <c r="F402" s="2" t="d">
        <v>2017-07-24</v>
      </c>
      <c r="G402" t="s">
        <v>205</v>
      </c>
      <c r="H402">
        <v>9.6999999999999993</v>
      </c>
      <c r="J402">
        <v>6.9000000000000006E-2</v>
      </c>
      <c r="K402">
        <v>10</v>
      </c>
      <c r="L402">
        <f t="shared" si="59"/>
        <v>7.38981131940659</v>
      </c>
      <c r="R402" t="s">
        <v>208</v>
      </c>
      <c r="S402" t="s">
        <v>144</v>
      </c>
      <c r="T402">
        <v>148.85</v>
      </c>
      <c r="U402">
        <v>32.43</v>
      </c>
      <c r="V402">
        <f t="shared" si="61"/>
        <v>3791.278334042061</v>
      </c>
      <c r="W402">
        <f t="shared" si="62"/>
        <v>3791.278334042061</v>
      </c>
      <c r="X402">
        <v>0.21</v>
      </c>
      <c r="Y402">
        <v>0.21</v>
      </c>
      <c r="Z402">
        <v>0.21</v>
      </c>
      <c r="AA402">
        <f t="shared" si="60"/>
        <v>107.09871477400854</v>
      </c>
    </row>
    <row r="403" spans="1:27" x14ac:dyDescent="0.25">
      <c r="A403">
        <v>402</v>
      </c>
      <c r="B403" t="s">
        <v>990</v>
      </c>
      <c r="C403" t="s">
        <v>974</v>
      </c>
      <c r="D403">
        <v>5</v>
      </c>
      <c r="E403" t="s">
        <v>975</v>
      </c>
      <c r="F403" s="2" t="d">
        <v>2017-07-24</v>
      </c>
      <c r="G403" t="s">
        <v>205</v>
      </c>
      <c r="H403">
        <v>9.6999999999999993</v>
      </c>
      <c r="J403">
        <v>8.4000000000000005E-2</v>
      </c>
      <c r="K403">
        <v>10</v>
      </c>
      <c r="L403">
        <f t="shared" si="59"/>
        <v>7.38981131940659</v>
      </c>
      <c r="R403" t="s">
        <v>208</v>
      </c>
      <c r="S403" t="s">
        <v>144</v>
      </c>
      <c r="T403">
        <v>65.38</v>
      </c>
      <c r="U403">
        <v>29.59</v>
      </c>
      <c r="V403">
        <f t="shared" si="61"/>
        <v>1519.4267315993557</v>
      </c>
      <c r="W403">
        <f t="shared" si="62"/>
        <v>1519.4267315993557</v>
      </c>
      <c r="X403">
        <v>0.3</v>
      </c>
      <c r="Y403">
        <v>0.28000000000000003</v>
      </c>
      <c r="Z403">
        <v>0.31</v>
      </c>
      <c r="AA403">
        <f t="shared" si="60"/>
        <v>87.973944278649881</v>
      </c>
    </row>
    <row r="404" spans="1:27" x14ac:dyDescent="0.25">
      <c r="A404">
        <v>403</v>
      </c>
      <c r="B404" t="s">
        <v>991</v>
      </c>
      <c r="C404" t="s">
        <v>351</v>
      </c>
      <c r="D404">
        <v>6</v>
      </c>
      <c r="E404" t="s">
        <v>21</v>
      </c>
      <c r="F404" s="2" t="d">
        <v>2017-07-24</v>
      </c>
      <c r="G404" t="s">
        <v>205</v>
      </c>
      <c r="H404">
        <v>7.1</v>
      </c>
      <c r="J404">
        <v>5.8000000000000003E-2</v>
      </c>
      <c r="K404">
        <v>11</v>
      </c>
      <c r="L404">
        <f t="shared" si="59"/>
        <v>4.3551113558551906</v>
      </c>
      <c r="R404" t="s">
        <v>214</v>
      </c>
      <c r="S404">
        <v>520</v>
      </c>
      <c r="T404">
        <v>14.19</v>
      </c>
      <c r="U404">
        <v>10.23</v>
      </c>
      <c r="V404">
        <f t="shared" si="61"/>
        <v>114.01130337197817</v>
      </c>
      <c r="W404">
        <f t="shared" si="62"/>
        <v>59285.877753428649</v>
      </c>
      <c r="X404">
        <v>0.18</v>
      </c>
      <c r="Y404">
        <v>0.18</v>
      </c>
      <c r="Z404">
        <v>0.16</v>
      </c>
      <c r="AA404">
        <f t="shared" si="60"/>
        <v>75.088126825089489</v>
      </c>
    </row>
    <row r="405" spans="1:27" x14ac:dyDescent="0.25">
      <c r="A405">
        <v>404</v>
      </c>
      <c r="B405" t="s">
        <v>992</v>
      </c>
      <c r="C405" t="s">
        <v>954</v>
      </c>
      <c r="D405">
        <v>4</v>
      </c>
      <c r="E405" t="s">
        <v>955</v>
      </c>
      <c r="F405" s="2" t="d">
        <v>2017-07-24</v>
      </c>
      <c r="G405" t="s">
        <v>205</v>
      </c>
      <c r="H405">
        <v>7.1</v>
      </c>
      <c r="J405">
        <v>2.8000000000000001E-2</v>
      </c>
      <c r="K405">
        <v>11</v>
      </c>
      <c r="L405">
        <f t="shared" si="59"/>
        <v>4.3551113558551906</v>
      </c>
      <c r="R405" t="s">
        <v>214</v>
      </c>
      <c r="S405">
        <v>53</v>
      </c>
      <c r="T405">
        <v>31.91</v>
      </c>
      <c r="U405">
        <v>18.28</v>
      </c>
      <c r="V405">
        <f t="shared" si="61"/>
        <v>458.13437260254983</v>
      </c>
      <c r="W405">
        <f t="shared" si="62"/>
        <v>24281.12174793514</v>
      </c>
      <c r="X405">
        <v>0.23</v>
      </c>
      <c r="Y405">
        <v>0.23</v>
      </c>
      <c r="Z405">
        <v>0.25</v>
      </c>
      <c r="AA405">
        <f t="shared" si="60"/>
        <v>155.53969128054251</v>
      </c>
    </row>
    <row r="406" spans="1:27" x14ac:dyDescent="0.25">
      <c r="A406">
        <v>405</v>
      </c>
      <c r="B406" t="s">
        <v>993</v>
      </c>
      <c r="C406" t="s">
        <v>470</v>
      </c>
      <c r="D406">
        <v>6</v>
      </c>
      <c r="E406" t="s">
        <v>471</v>
      </c>
      <c r="F406" s="2" t="d">
        <v>2017-07-24</v>
      </c>
      <c r="G406" t="s">
        <v>205</v>
      </c>
      <c r="H406">
        <v>7.1</v>
      </c>
      <c r="J406">
        <v>3.3000000000000002E-2</v>
      </c>
      <c r="K406">
        <v>10</v>
      </c>
      <c r="L406">
        <f t="shared" si="59"/>
        <v>3.9591921416865365</v>
      </c>
      <c r="R406" t="s">
        <v>208</v>
      </c>
      <c r="S406" t="s">
        <v>144</v>
      </c>
      <c r="T406">
        <v>155.87</v>
      </c>
      <c r="U406">
        <v>88.31</v>
      </c>
      <c r="V406">
        <f t="shared" si="61"/>
        <v>10810.91123576682</v>
      </c>
      <c r="W406">
        <f t="shared" si="62"/>
        <v>10810.91123576682</v>
      </c>
      <c r="X406">
        <v>0.21</v>
      </c>
      <c r="Y406">
        <v>0.24</v>
      </c>
      <c r="Z406">
        <v>0.25</v>
      </c>
      <c r="AA406">
        <f t="shared" si="60"/>
        <v>119.97551944504656</v>
      </c>
    </row>
    <row r="407" spans="1:27" x14ac:dyDescent="0.25">
      <c r="A407">
        <v>406</v>
      </c>
      <c r="B407" t="s">
        <v>994</v>
      </c>
      <c r="C407" t="s">
        <v>933</v>
      </c>
      <c r="D407">
        <v>3</v>
      </c>
      <c r="E407" t="s">
        <v>971</v>
      </c>
      <c r="F407" s="2" t="d">
        <v>2017-07-24</v>
      </c>
      <c r="G407" t="s">
        <v>205</v>
      </c>
      <c r="H407">
        <v>7.1</v>
      </c>
      <c r="J407">
        <v>3.2000000000000001E-2</v>
      </c>
      <c r="K407">
        <v>10</v>
      </c>
      <c r="L407">
        <f t="shared" si="59"/>
        <v>3.9591921416865365</v>
      </c>
      <c r="R407" t="s">
        <v>208</v>
      </c>
      <c r="S407" t="s">
        <v>144</v>
      </c>
      <c r="T407">
        <v>113.56</v>
      </c>
      <c r="U407">
        <v>23.37</v>
      </c>
      <c r="V407">
        <f t="shared" si="61"/>
        <v>2084.3659867256306</v>
      </c>
      <c r="W407">
        <f t="shared" si="62"/>
        <v>2084.3659867256306</v>
      </c>
      <c r="X407">
        <v>0.2</v>
      </c>
      <c r="Y407">
        <v>0.2</v>
      </c>
      <c r="Z407">
        <v>0.21</v>
      </c>
      <c r="AA407">
        <f t="shared" si="60"/>
        <v>123.72475442770427</v>
      </c>
    </row>
    <row r="408" spans="1:27" x14ac:dyDescent="0.25">
      <c r="A408">
        <v>407</v>
      </c>
      <c r="B408" t="s">
        <v>995</v>
      </c>
      <c r="C408" t="s">
        <v>447</v>
      </c>
      <c r="D408">
        <v>3</v>
      </c>
      <c r="E408" t="s">
        <v>448</v>
      </c>
      <c r="F408" s="2" t="d">
        <v>2017-07-24</v>
      </c>
      <c r="G408" t="s">
        <v>205</v>
      </c>
      <c r="H408">
        <v>9.6999999999999993</v>
      </c>
      <c r="J408">
        <v>4.3999999999999997E-2</v>
      </c>
      <c r="K408">
        <v>10</v>
      </c>
      <c r="L408">
        <f t="shared" si="59"/>
        <v>7.38981131940659</v>
      </c>
      <c r="R408" t="s">
        <v>208</v>
      </c>
      <c r="S408" t="s">
        <v>144</v>
      </c>
      <c r="T408">
        <v>132.28</v>
      </c>
      <c r="U408">
        <v>43.07</v>
      </c>
      <c r="V408">
        <f t="shared" si="61"/>
        <v>4474.648642165017</v>
      </c>
      <c r="W408">
        <f t="shared" si="62"/>
        <v>4474.648642165017</v>
      </c>
      <c r="X408">
        <v>0.16</v>
      </c>
      <c r="Y408">
        <v>0.14000000000000001</v>
      </c>
      <c r="Z408">
        <v>0.14000000000000001</v>
      </c>
      <c r="AA408">
        <f t="shared" si="60"/>
        <v>167.95025725924069</v>
      </c>
    </row>
    <row r="409" spans="1:27" x14ac:dyDescent="0.25">
      <c r="A409">
        <v>408</v>
      </c>
      <c r="B409" t="s">
        <v>996</v>
      </c>
      <c r="C409" t="s">
        <v>974</v>
      </c>
      <c r="D409">
        <v>3</v>
      </c>
      <c r="E409" t="s">
        <v>975</v>
      </c>
      <c r="F409" s="2" t="d">
        <v>2017-07-24</v>
      </c>
      <c r="G409" t="s">
        <v>205</v>
      </c>
      <c r="H409">
        <v>9.6999999999999993</v>
      </c>
      <c r="J409">
        <v>0.111</v>
      </c>
      <c r="K409">
        <v>10</v>
      </c>
      <c r="L409">
        <f t="shared" si="59"/>
        <v>7.38981131940659</v>
      </c>
      <c r="R409" t="s">
        <v>208</v>
      </c>
      <c r="S409" t="s">
        <v>144</v>
      </c>
      <c r="T409">
        <v>40.76</v>
      </c>
      <c r="U409">
        <v>25.47</v>
      </c>
      <c r="V409">
        <f t="shared" si="61"/>
        <v>815.36675819783727</v>
      </c>
      <c r="W409">
        <f t="shared" si="62"/>
        <v>815.36675819783727</v>
      </c>
      <c r="X409">
        <v>0.35</v>
      </c>
      <c r="Y409">
        <v>0.36</v>
      </c>
      <c r="Z409">
        <v>0.35</v>
      </c>
      <c r="AA409">
        <f t="shared" si="60"/>
        <v>66.574876751410713</v>
      </c>
    </row>
    <row r="410" spans="1:27" x14ac:dyDescent="0.25">
      <c r="A410">
        <v>409</v>
      </c>
      <c r="B410" t="s">
        <v>997</v>
      </c>
      <c r="C410" t="s">
        <v>954</v>
      </c>
      <c r="D410">
        <v>3</v>
      </c>
      <c r="E410" t="s">
        <v>955</v>
      </c>
      <c r="F410" s="2" t="d">
        <v>2017-07-24</v>
      </c>
      <c r="G410" t="s">
        <v>205</v>
      </c>
      <c r="H410">
        <v>7.1</v>
      </c>
      <c r="J410">
        <v>4.2000000000000003E-2</v>
      </c>
      <c r="K410">
        <v>17</v>
      </c>
      <c r="L410">
        <f t="shared" si="59"/>
        <v>6.7306266408671123</v>
      </c>
      <c r="R410" t="s">
        <v>214</v>
      </c>
      <c r="S410">
        <v>81</v>
      </c>
      <c r="T410">
        <v>19.010000000000002</v>
      </c>
      <c r="U410">
        <v>11.58</v>
      </c>
      <c r="V410">
        <f t="shared" si="61"/>
        <v>172.894253018028</v>
      </c>
      <c r="W410">
        <f t="shared" si="62"/>
        <v>14004.434494460267</v>
      </c>
      <c r="X410">
        <v>0.09</v>
      </c>
      <c r="Y410">
        <v>0.11</v>
      </c>
      <c r="Z410">
        <v>0.11</v>
      </c>
      <c r="AA410">
        <f t="shared" si="60"/>
        <v>160.25301525874076</v>
      </c>
    </row>
    <row r="411" spans="1:27" x14ac:dyDescent="0.25">
      <c r="A411">
        <v>410</v>
      </c>
      <c r="B411" t="s">
        <v>998</v>
      </c>
      <c r="C411" t="s">
        <v>933</v>
      </c>
      <c r="D411">
        <v>2</v>
      </c>
      <c r="E411" t="s">
        <v>971</v>
      </c>
      <c r="F411" s="2" t="d">
        <v>2017-07-24</v>
      </c>
      <c r="G411" t="s">
        <v>205</v>
      </c>
      <c r="H411">
        <v>7.1</v>
      </c>
      <c r="J411">
        <v>4.5999999999999999E-2</v>
      </c>
      <c r="K411">
        <v>12</v>
      </c>
      <c r="L411">
        <f t="shared" si="59"/>
        <v>4.7510305700238442</v>
      </c>
      <c r="R411" t="s">
        <v>208</v>
      </c>
      <c r="S411" t="s">
        <v>144</v>
      </c>
      <c r="T411">
        <v>108.35</v>
      </c>
      <c r="U411">
        <v>25.61</v>
      </c>
      <c r="V411">
        <f t="shared" si="61"/>
        <v>2179.3569886153473</v>
      </c>
      <c r="W411">
        <f t="shared" si="62"/>
        <v>2179.3569886153473</v>
      </c>
      <c r="X411">
        <v>0.16</v>
      </c>
      <c r="Y411">
        <v>0.16</v>
      </c>
      <c r="Z411">
        <v>0.16</v>
      </c>
      <c r="AA411">
        <f t="shared" ref="AA411:AA473" si="63">L411/J411</f>
        <v>103.28327326138792</v>
      </c>
    </row>
    <row r="412" spans="1:27" x14ac:dyDescent="0.25">
      <c r="A412">
        <v>411</v>
      </c>
      <c r="B412" t="s">
        <v>999</v>
      </c>
      <c r="C412" t="s">
        <v>958</v>
      </c>
      <c r="D412">
        <v>5</v>
      </c>
      <c r="E412" t="s">
        <v>959</v>
      </c>
      <c r="F412" s="2" t="d">
        <v>2017-07-24</v>
      </c>
      <c r="G412" t="s">
        <v>205</v>
      </c>
      <c r="H412">
        <v>9.6999999999999993</v>
      </c>
      <c r="J412">
        <v>7.0999999999999994E-2</v>
      </c>
      <c r="K412">
        <v>12</v>
      </c>
      <c r="L412">
        <f t="shared" si="59"/>
        <v>8.8677735832879065</v>
      </c>
      <c r="R412" t="s">
        <v>208</v>
      </c>
      <c r="S412" t="s">
        <v>144</v>
      </c>
      <c r="T412">
        <v>131.38</v>
      </c>
      <c r="U412">
        <v>46.39</v>
      </c>
      <c r="V412">
        <f t="shared" si="61"/>
        <v>4786.7804807050024</v>
      </c>
      <c r="W412">
        <f t="shared" si="62"/>
        <v>4786.7804807050024</v>
      </c>
      <c r="X412">
        <v>0.19</v>
      </c>
      <c r="Y412">
        <v>0.18</v>
      </c>
      <c r="Z412">
        <v>0.22</v>
      </c>
      <c r="AA412">
        <f t="shared" si="63"/>
        <v>124.89821948292827</v>
      </c>
    </row>
    <row r="413" spans="1:27" x14ac:dyDescent="0.25">
      <c r="A413">
        <v>412</v>
      </c>
      <c r="B413" t="s">
        <v>1000</v>
      </c>
      <c r="C413" t="s">
        <v>1001</v>
      </c>
      <c r="D413">
        <v>1</v>
      </c>
      <c r="E413" t="s">
        <v>1002</v>
      </c>
      <c r="F413" s="2" t="d">
        <v>2017-07-24</v>
      </c>
      <c r="G413" t="s">
        <v>205</v>
      </c>
      <c r="H413">
        <v>7.1</v>
      </c>
      <c r="J413">
        <v>0.05</v>
      </c>
      <c r="K413">
        <v>10</v>
      </c>
      <c r="L413">
        <f t="shared" si="59"/>
        <v>3.9591921416865365</v>
      </c>
      <c r="R413" t="s">
        <v>208</v>
      </c>
      <c r="S413" t="s">
        <v>144</v>
      </c>
      <c r="T413">
        <v>49.24</v>
      </c>
      <c r="U413">
        <v>17.91</v>
      </c>
      <c r="V413">
        <f t="shared" si="61"/>
        <v>692.63352968151423</v>
      </c>
      <c r="W413">
        <f t="shared" si="62"/>
        <v>692.63352968151423</v>
      </c>
      <c r="X413">
        <v>0.26</v>
      </c>
      <c r="Y413">
        <v>0.28000000000000003</v>
      </c>
      <c r="Z413">
        <v>0.26</v>
      </c>
      <c r="AA413">
        <f t="shared" si="63"/>
        <v>79.183842833730722</v>
      </c>
    </row>
    <row r="414" spans="1:27" x14ac:dyDescent="0.25">
      <c r="A414">
        <v>413</v>
      </c>
      <c r="B414" t="s">
        <v>1003</v>
      </c>
      <c r="C414" t="s">
        <v>974</v>
      </c>
      <c r="D414">
        <v>4</v>
      </c>
      <c r="E414" t="s">
        <v>975</v>
      </c>
      <c r="F414" s="2" t="d">
        <v>2017-07-24</v>
      </c>
      <c r="G414" t="s">
        <v>205</v>
      </c>
      <c r="H414">
        <v>9.6999999999999993</v>
      </c>
      <c r="J414">
        <v>0.112</v>
      </c>
      <c r="K414">
        <v>10</v>
      </c>
      <c r="L414">
        <f t="shared" si="59"/>
        <v>7.38981131940659</v>
      </c>
      <c r="R414" t="s">
        <v>208</v>
      </c>
      <c r="S414" t="s">
        <v>144</v>
      </c>
      <c r="T414">
        <v>76.459999999999994</v>
      </c>
      <c r="U414">
        <v>35.49</v>
      </c>
      <c r="V414">
        <f t="shared" si="61"/>
        <v>2131.2292814188622</v>
      </c>
      <c r="W414">
        <f t="shared" si="62"/>
        <v>2131.2292814188622</v>
      </c>
      <c r="X414">
        <v>0.36</v>
      </c>
      <c r="Y414">
        <v>0.34</v>
      </c>
      <c r="Z414">
        <v>0.32</v>
      </c>
      <c r="AA414">
        <f t="shared" si="63"/>
        <v>65.980458208987415</v>
      </c>
    </row>
    <row r="415" spans="1:27" x14ac:dyDescent="0.25">
      <c r="A415">
        <v>414</v>
      </c>
      <c r="B415" t="s">
        <v>1004</v>
      </c>
      <c r="C415" t="s">
        <v>907</v>
      </c>
      <c r="D415">
        <v>4</v>
      </c>
      <c r="E415" t="s">
        <v>908</v>
      </c>
      <c r="F415" s="2" t="d">
        <v>2017-07-24</v>
      </c>
      <c r="G415" t="s">
        <v>205</v>
      </c>
      <c r="H415">
        <v>7.1</v>
      </c>
      <c r="J415">
        <v>3.6999999999999998E-2</v>
      </c>
      <c r="K415">
        <v>12</v>
      </c>
      <c r="L415">
        <f t="shared" si="59"/>
        <v>4.7510305700238442</v>
      </c>
      <c r="R415" t="s">
        <v>214</v>
      </c>
      <c r="S415">
        <v>11</v>
      </c>
      <c r="T415">
        <v>77.97</v>
      </c>
      <c r="U415">
        <v>24.57</v>
      </c>
      <c r="V415">
        <f t="shared" si="61"/>
        <v>1504.6052472384335</v>
      </c>
      <c r="W415">
        <f t="shared" si="62"/>
        <v>16550.65771962277</v>
      </c>
      <c r="X415">
        <v>0.11</v>
      </c>
      <c r="Y415">
        <v>0.09</v>
      </c>
      <c r="Z415">
        <v>0.12</v>
      </c>
      <c r="AA415">
        <f t="shared" si="63"/>
        <v>128.40623162226606</v>
      </c>
    </row>
    <row r="416" spans="1:27" x14ac:dyDescent="0.25">
      <c r="A416">
        <v>415</v>
      </c>
      <c r="B416" t="s">
        <v>1005</v>
      </c>
      <c r="C416" t="s">
        <v>356</v>
      </c>
      <c r="D416">
        <v>4</v>
      </c>
      <c r="E416" t="s">
        <v>336</v>
      </c>
      <c r="F416" s="2" t="d">
        <v>2017-07-24</v>
      </c>
      <c r="G416" t="s">
        <v>205</v>
      </c>
      <c r="H416">
        <v>9.6999999999999993</v>
      </c>
      <c r="J416">
        <v>0.128</v>
      </c>
      <c r="K416">
        <v>10</v>
      </c>
      <c r="L416">
        <f t="shared" si="59"/>
        <v>7.38981131940659</v>
      </c>
      <c r="R416" t="s">
        <v>208</v>
      </c>
      <c r="S416" t="s">
        <v>144</v>
      </c>
      <c r="T416">
        <v>140.56</v>
      </c>
      <c r="U416">
        <v>51.33</v>
      </c>
      <c r="V416">
        <f t="shared" si="61"/>
        <v>5666.6043949339701</v>
      </c>
      <c r="W416">
        <f t="shared" si="62"/>
        <v>5666.6043949339701</v>
      </c>
      <c r="X416">
        <v>0.28000000000000003</v>
      </c>
      <c r="Y416">
        <v>0.33</v>
      </c>
      <c r="Z416">
        <v>0.32</v>
      </c>
      <c r="AA416">
        <f t="shared" si="63"/>
        <v>57.732900932863984</v>
      </c>
    </row>
    <row r="417" spans="1:28" x14ac:dyDescent="0.25">
      <c r="A417">
        <v>416</v>
      </c>
      <c r="B417" t="s">
        <v>1006</v>
      </c>
      <c r="C417" t="s">
        <v>1001</v>
      </c>
      <c r="D417">
        <v>2</v>
      </c>
      <c r="E417" t="s">
        <v>1002</v>
      </c>
      <c r="F417" s="2" t="d">
        <v>2017-07-24</v>
      </c>
      <c r="G417" t="s">
        <v>205</v>
      </c>
      <c r="H417">
        <v>7.1</v>
      </c>
      <c r="J417">
        <v>4.5999999999999999E-2</v>
      </c>
      <c r="K417">
        <v>10</v>
      </c>
      <c r="L417">
        <f t="shared" si="59"/>
        <v>3.9591921416865365</v>
      </c>
      <c r="R417" t="s">
        <v>208</v>
      </c>
      <c r="S417" t="s">
        <v>144</v>
      </c>
      <c r="T417">
        <v>52.44</v>
      </c>
      <c r="U417">
        <v>20.82</v>
      </c>
      <c r="V417">
        <f t="shared" si="61"/>
        <v>857.49834311586471</v>
      </c>
      <c r="W417">
        <f t="shared" si="62"/>
        <v>857.49834311586471</v>
      </c>
      <c r="X417">
        <v>0.26</v>
      </c>
      <c r="Y417">
        <v>0.24</v>
      </c>
      <c r="Z417">
        <v>0.25</v>
      </c>
      <c r="AA417">
        <f t="shared" si="63"/>
        <v>86.069394384489925</v>
      </c>
    </row>
    <row r="418" spans="1:28" x14ac:dyDescent="0.25">
      <c r="A418">
        <v>417</v>
      </c>
      <c r="B418" t="s">
        <v>1007</v>
      </c>
      <c r="C418" t="s">
        <v>907</v>
      </c>
      <c r="D418">
        <v>2</v>
      </c>
      <c r="E418" t="s">
        <v>908</v>
      </c>
      <c r="F418" s="2" t="d">
        <v>2017-07-24</v>
      </c>
      <c r="G418" t="s">
        <v>205</v>
      </c>
      <c r="H418">
        <v>7.1</v>
      </c>
      <c r="J418">
        <v>2.1999999999999999E-2</v>
      </c>
      <c r="K418">
        <v>10</v>
      </c>
      <c r="L418">
        <f t="shared" si="59"/>
        <v>3.9591921416865365</v>
      </c>
      <c r="R418" t="s">
        <v>214</v>
      </c>
      <c r="S418">
        <v>15</v>
      </c>
      <c r="T418">
        <v>48.28</v>
      </c>
      <c r="U418">
        <v>17.760000000000002</v>
      </c>
      <c r="V418">
        <f t="shared" si="61"/>
        <v>673.44185431999961</v>
      </c>
      <c r="W418">
        <f t="shared" si="62"/>
        <v>10101.627814799995</v>
      </c>
      <c r="X418">
        <v>0.12</v>
      </c>
      <c r="Y418">
        <v>9</v>
      </c>
      <c r="Z418">
        <v>0.13</v>
      </c>
      <c r="AA418">
        <f t="shared" si="63"/>
        <v>179.96327916756985</v>
      </c>
    </row>
    <row r="419" spans="1:28" x14ac:dyDescent="0.25">
      <c r="A419">
        <v>418</v>
      </c>
      <c r="B419" t="s">
        <v>1008</v>
      </c>
      <c r="C419" t="s">
        <v>907</v>
      </c>
      <c r="D419">
        <v>3</v>
      </c>
      <c r="E419" t="s">
        <v>908</v>
      </c>
      <c r="F419" s="2" t="d">
        <v>2017-07-24</v>
      </c>
      <c r="G419" t="s">
        <v>205</v>
      </c>
      <c r="H419">
        <v>7.1</v>
      </c>
      <c r="J419">
        <v>2.5999999999999999E-2</v>
      </c>
      <c r="K419">
        <v>10</v>
      </c>
      <c r="L419">
        <f t="shared" si="59"/>
        <v>3.9591921416865365</v>
      </c>
      <c r="R419" t="s">
        <v>214</v>
      </c>
      <c r="S419">
        <v>17</v>
      </c>
      <c r="T419">
        <v>79.84</v>
      </c>
      <c r="U419">
        <v>29.4</v>
      </c>
      <c r="V419">
        <f t="shared" si="61"/>
        <v>1843.5619673501767</v>
      </c>
      <c r="W419">
        <f t="shared" si="62"/>
        <v>31340.553444953002</v>
      </c>
      <c r="X419">
        <v>0.11</v>
      </c>
      <c r="Y419">
        <v>0.1</v>
      </c>
      <c r="Z419">
        <v>0.1</v>
      </c>
      <c r="AA419">
        <f t="shared" si="63"/>
        <v>152.27662083409757</v>
      </c>
    </row>
    <row r="420" spans="1:28" x14ac:dyDescent="0.25">
      <c r="A420">
        <v>419</v>
      </c>
      <c r="B420" t="s">
        <v>1025</v>
      </c>
      <c r="C420" t="s">
        <v>352</v>
      </c>
      <c r="D420">
        <v>4</v>
      </c>
      <c r="E420" t="s">
        <v>375</v>
      </c>
      <c r="F420" s="2" t="d">
        <v>2017-07-24</v>
      </c>
      <c r="G420" t="s">
        <v>205</v>
      </c>
      <c r="H420">
        <v>9.6999999999999993</v>
      </c>
      <c r="J420">
        <v>6.0999999999999999E-2</v>
      </c>
      <c r="K420">
        <v>10</v>
      </c>
      <c r="L420">
        <f t="shared" si="59"/>
        <v>7.38981131940659</v>
      </c>
      <c r="R420" t="s">
        <v>208</v>
      </c>
      <c r="S420" t="s">
        <v>144</v>
      </c>
      <c r="T420">
        <v>111.5</v>
      </c>
      <c r="U420">
        <v>87.47</v>
      </c>
      <c r="V420">
        <f t="shared" si="61"/>
        <v>7659.913674789791</v>
      </c>
      <c r="W420">
        <f t="shared" si="62"/>
        <v>7659.913674789791</v>
      </c>
      <c r="X420">
        <v>0.51</v>
      </c>
      <c r="Y420">
        <v>0.51</v>
      </c>
      <c r="Z420">
        <v>0.53</v>
      </c>
      <c r="AA420">
        <f t="shared" si="63"/>
        <v>121.14444785912443</v>
      </c>
    </row>
    <row r="421" spans="1:28" x14ac:dyDescent="0.25">
      <c r="A421">
        <v>420</v>
      </c>
      <c r="B421" t="s">
        <v>1026</v>
      </c>
      <c r="C421" t="s">
        <v>381</v>
      </c>
      <c r="D421">
        <v>6</v>
      </c>
      <c r="E421" t="s">
        <v>385</v>
      </c>
      <c r="F421" s="2" t="d">
        <v>2017-07-24</v>
      </c>
      <c r="G421" t="s">
        <v>204</v>
      </c>
      <c r="H421" t="s">
        <v>144</v>
      </c>
      <c r="J421">
        <v>0.34799999999999998</v>
      </c>
      <c r="K421" t="s">
        <v>144</v>
      </c>
      <c r="L421" t="s">
        <v>144</v>
      </c>
      <c r="R421" t="s">
        <v>208</v>
      </c>
      <c r="S421" t="s">
        <v>144</v>
      </c>
      <c r="T421">
        <v>19.88</v>
      </c>
      <c r="U421">
        <v>3.75</v>
      </c>
      <c r="V421">
        <f t="shared" si="61"/>
        <v>58.551433081279768</v>
      </c>
      <c r="W421">
        <f t="shared" si="62"/>
        <v>58.551433081279768</v>
      </c>
      <c r="X421">
        <v>0.22</v>
      </c>
      <c r="Y421">
        <v>0.25</v>
      </c>
      <c r="Z421">
        <v>0.24</v>
      </c>
      <c r="AA421" t="e">
        <f t="shared" si="63"/>
        <v>#VALUE!</v>
      </c>
    </row>
    <row r="422" spans="1:28" x14ac:dyDescent="0.25">
      <c r="A422">
        <v>421</v>
      </c>
      <c r="B422" t="s">
        <v>1027</v>
      </c>
      <c r="C422" t="s">
        <v>898</v>
      </c>
      <c r="D422">
        <v>4</v>
      </c>
      <c r="E422" t="s">
        <v>899</v>
      </c>
      <c r="F422" s="2" t="d">
        <v>2017-07-24</v>
      </c>
      <c r="G422" t="s">
        <v>205</v>
      </c>
      <c r="H422">
        <v>9.6999999999999993</v>
      </c>
      <c r="J422">
        <v>6.6000000000000003E-2</v>
      </c>
      <c r="K422">
        <v>10</v>
      </c>
      <c r="L422">
        <f t="shared" ref="L422:L473" si="64">PI()*((H422/2)^2)/100 * K422</f>
        <v>7.38981131940659</v>
      </c>
      <c r="R422" t="s">
        <v>208</v>
      </c>
      <c r="S422" t="s">
        <v>144</v>
      </c>
      <c r="T422">
        <v>124.56</v>
      </c>
      <c r="U422">
        <v>70.959999999999994</v>
      </c>
      <c r="V422">
        <f t="shared" si="61"/>
        <v>6941.9596937185052</v>
      </c>
      <c r="W422">
        <f t="shared" si="62"/>
        <v>6941.9596937185052</v>
      </c>
      <c r="X422">
        <v>0.28999999999999998</v>
      </c>
      <c r="Y422">
        <v>0.32</v>
      </c>
      <c r="Z422">
        <v>0.26</v>
      </c>
      <c r="AA422">
        <f t="shared" si="63"/>
        <v>111.96683817282711</v>
      </c>
    </row>
    <row r="423" spans="1:28" x14ac:dyDescent="0.25">
      <c r="A423">
        <v>422</v>
      </c>
      <c r="B423" t="s">
        <v>1028</v>
      </c>
      <c r="C423" t="s">
        <v>352</v>
      </c>
      <c r="D423">
        <v>5</v>
      </c>
      <c r="E423" t="s">
        <v>375</v>
      </c>
      <c r="F423" s="2" t="d">
        <v>2017-07-24</v>
      </c>
      <c r="G423" t="s">
        <v>205</v>
      </c>
      <c r="H423">
        <v>9.6999999999999993</v>
      </c>
      <c r="J423">
        <v>6.5000000000000002E-2</v>
      </c>
      <c r="K423">
        <v>10</v>
      </c>
      <c r="L423">
        <f t="shared" si="64"/>
        <v>7.38981131940659</v>
      </c>
      <c r="R423" t="s">
        <v>208</v>
      </c>
      <c r="S423" t="s">
        <v>144</v>
      </c>
      <c r="T423">
        <v>123.98</v>
      </c>
      <c r="U423">
        <v>61.43</v>
      </c>
      <c r="V423">
        <f t="shared" si="61"/>
        <v>5981.6641978271009</v>
      </c>
      <c r="W423">
        <f t="shared" si="62"/>
        <v>5981.6641978271009</v>
      </c>
      <c r="X423">
        <v>0.63</v>
      </c>
      <c r="Y423">
        <v>0.3</v>
      </c>
      <c r="Z423">
        <v>0.28000000000000003</v>
      </c>
      <c r="AA423">
        <f t="shared" si="63"/>
        <v>113.68940491394753</v>
      </c>
    </row>
    <row r="424" spans="1:28" x14ac:dyDescent="0.25">
      <c r="A424">
        <v>423</v>
      </c>
      <c r="B424" t="s">
        <v>1029</v>
      </c>
      <c r="C424" t="s">
        <v>842</v>
      </c>
      <c r="D424">
        <v>2</v>
      </c>
      <c r="E424" t="s">
        <v>843</v>
      </c>
      <c r="F424" s="2" t="d">
        <v>2017-07-24</v>
      </c>
      <c r="G424" t="s">
        <v>205</v>
      </c>
      <c r="H424">
        <v>9.6999999999999993</v>
      </c>
      <c r="J424">
        <v>6.4000000000000001E-2</v>
      </c>
      <c r="K424">
        <v>10</v>
      </c>
      <c r="L424">
        <f t="shared" si="64"/>
        <v>7.38981131940659</v>
      </c>
      <c r="R424" t="s">
        <v>214</v>
      </c>
      <c r="S424">
        <v>12</v>
      </c>
      <c r="T424">
        <v>36.96</v>
      </c>
      <c r="U424">
        <v>20.86</v>
      </c>
      <c r="V424">
        <f t="shared" si="61"/>
        <v>605.53067424587971</v>
      </c>
      <c r="W424">
        <f t="shared" si="62"/>
        <v>7266.3680909505565</v>
      </c>
      <c r="X424">
        <v>0.24</v>
      </c>
      <c r="Y424">
        <v>0.24</v>
      </c>
      <c r="Z424">
        <v>0.23</v>
      </c>
      <c r="AA424">
        <f t="shared" si="63"/>
        <v>115.46580186572797</v>
      </c>
    </row>
    <row r="425" spans="1:28" x14ac:dyDescent="0.25">
      <c r="A425">
        <v>424</v>
      </c>
      <c r="B425" t="s">
        <v>1030</v>
      </c>
      <c r="C425" t="s">
        <v>554</v>
      </c>
      <c r="D425">
        <v>4</v>
      </c>
      <c r="E425" t="s">
        <v>555</v>
      </c>
      <c r="F425" s="2" t="d">
        <v>2017-07-24</v>
      </c>
      <c r="G425" t="s">
        <v>205</v>
      </c>
      <c r="H425">
        <v>9.6999999999999993</v>
      </c>
      <c r="J425">
        <v>6.5000000000000002E-2</v>
      </c>
      <c r="K425">
        <v>10</v>
      </c>
      <c r="L425">
        <f t="shared" si="64"/>
        <v>7.38981131940659</v>
      </c>
      <c r="R425" t="s">
        <v>208</v>
      </c>
      <c r="S425" t="s">
        <v>144</v>
      </c>
      <c r="T425">
        <v>152.12</v>
      </c>
      <c r="U425">
        <v>103.01</v>
      </c>
      <c r="V425">
        <f t="shared" si="61"/>
        <v>12307.095915136204</v>
      </c>
      <c r="W425">
        <f t="shared" si="62"/>
        <v>12307.095915136204</v>
      </c>
      <c r="X425">
        <v>0.5</v>
      </c>
      <c r="Y425">
        <v>0.5</v>
      </c>
      <c r="Z425">
        <v>0.5</v>
      </c>
      <c r="AA425">
        <f t="shared" si="63"/>
        <v>113.68940491394753</v>
      </c>
    </row>
    <row r="426" spans="1:28" x14ac:dyDescent="0.25">
      <c r="A426">
        <v>425</v>
      </c>
      <c r="B426" t="s">
        <v>1031</v>
      </c>
      <c r="C426" t="s">
        <v>842</v>
      </c>
      <c r="D426">
        <v>3</v>
      </c>
      <c r="E426" t="s">
        <v>843</v>
      </c>
      <c r="F426" s="2" t="d">
        <v>2017-07-24</v>
      </c>
      <c r="G426" t="s">
        <v>205</v>
      </c>
      <c r="H426">
        <v>7.1</v>
      </c>
      <c r="J426">
        <v>3.1E-2</v>
      </c>
      <c r="K426">
        <v>10</v>
      </c>
      <c r="L426">
        <f t="shared" si="64"/>
        <v>3.9591921416865365</v>
      </c>
      <c r="R426" t="s">
        <v>214</v>
      </c>
      <c r="S426">
        <v>9</v>
      </c>
      <c r="T426">
        <v>32.29</v>
      </c>
      <c r="U426">
        <v>18.14</v>
      </c>
      <c r="V426">
        <f t="shared" si="61"/>
        <v>460.03959146731938</v>
      </c>
      <c r="W426">
        <f t="shared" si="62"/>
        <v>4140.3563232058741</v>
      </c>
      <c r="X426">
        <v>0.19</v>
      </c>
      <c r="Y426">
        <v>0.19</v>
      </c>
      <c r="Z426">
        <v>0.19</v>
      </c>
      <c r="AA426">
        <f t="shared" si="63"/>
        <v>127.71587553827537</v>
      </c>
    </row>
    <row r="427" spans="1:28" x14ac:dyDescent="0.25">
      <c r="A427">
        <v>426</v>
      </c>
      <c r="B427" t="s">
        <v>1032</v>
      </c>
      <c r="C427" t="s">
        <v>512</v>
      </c>
      <c r="D427">
        <v>5</v>
      </c>
      <c r="E427" t="s">
        <v>513</v>
      </c>
      <c r="F427" s="2" t="d">
        <v>2017-07-24</v>
      </c>
      <c r="G427" t="s">
        <v>205</v>
      </c>
      <c r="H427">
        <v>7.1</v>
      </c>
      <c r="J427">
        <v>5.6000000000000001E-2</v>
      </c>
      <c r="K427">
        <v>9</v>
      </c>
      <c r="L427">
        <f t="shared" si="64"/>
        <v>3.5632729275178829</v>
      </c>
      <c r="R427" t="s">
        <v>208</v>
      </c>
      <c r="S427" t="s">
        <v>144</v>
      </c>
      <c r="T427">
        <v>73.930000000000007</v>
      </c>
      <c r="U427">
        <v>36.26</v>
      </c>
      <c r="V427">
        <f t="shared" si="61"/>
        <v>2105.4182703362339</v>
      </c>
      <c r="W427">
        <f t="shared" si="62"/>
        <v>2105.4182703362339</v>
      </c>
      <c r="X427">
        <v>0.35</v>
      </c>
      <c r="Y427">
        <v>0.34</v>
      </c>
      <c r="Z427">
        <v>0.36</v>
      </c>
      <c r="AA427">
        <f t="shared" si="63"/>
        <v>63.629873705676481</v>
      </c>
    </row>
    <row r="428" spans="1:28" x14ac:dyDescent="0.25">
      <c r="A428">
        <v>427</v>
      </c>
      <c r="B428" t="s">
        <v>1033</v>
      </c>
      <c r="C428" t="s">
        <v>352</v>
      </c>
      <c r="D428">
        <v>3</v>
      </c>
      <c r="E428" t="s">
        <v>375</v>
      </c>
      <c r="F428" s="2" t="d">
        <v>2017-07-24</v>
      </c>
      <c r="G428" t="s">
        <v>205</v>
      </c>
      <c r="H428">
        <v>9.6999999999999993</v>
      </c>
      <c r="J428">
        <v>6.6000000000000003E-2</v>
      </c>
      <c r="K428">
        <v>10</v>
      </c>
      <c r="L428">
        <f t="shared" si="64"/>
        <v>7.38981131940659</v>
      </c>
      <c r="R428" t="s">
        <v>208</v>
      </c>
      <c r="S428" t="s">
        <v>144</v>
      </c>
      <c r="T428">
        <v>128.16</v>
      </c>
      <c r="U428">
        <v>80.47</v>
      </c>
      <c r="V428">
        <f t="shared" si="61"/>
        <v>8099.838905133236</v>
      </c>
      <c r="W428">
        <f t="shared" si="62"/>
        <v>8099.838905133236</v>
      </c>
      <c r="X428">
        <v>0.59</v>
      </c>
      <c r="Y428">
        <v>0.41</v>
      </c>
      <c r="Z428">
        <v>0.57999999999999996</v>
      </c>
      <c r="AA428">
        <f t="shared" si="63"/>
        <v>111.96683817282711</v>
      </c>
    </row>
    <row r="429" spans="1:28" x14ac:dyDescent="0.25">
      <c r="A429">
        <v>428</v>
      </c>
      <c r="B429" t="s">
        <v>1034</v>
      </c>
      <c r="C429" t="s">
        <v>358</v>
      </c>
      <c r="D429">
        <v>5</v>
      </c>
      <c r="E429" t="s">
        <v>363</v>
      </c>
      <c r="F429" s="2" t="d">
        <v>2017-07-24</v>
      </c>
      <c r="G429" t="s">
        <v>205</v>
      </c>
      <c r="H429">
        <v>9.6999999999999993</v>
      </c>
      <c r="J429">
        <v>0.11799999999999999</v>
      </c>
      <c r="K429">
        <v>10</v>
      </c>
      <c r="L429">
        <f t="shared" si="64"/>
        <v>7.38981131940659</v>
      </c>
      <c r="R429" t="s">
        <v>208</v>
      </c>
      <c r="S429" t="s">
        <v>144</v>
      </c>
      <c r="T429">
        <f>156+59.73</f>
        <v>215.73</v>
      </c>
      <c r="U429">
        <v>56.77</v>
      </c>
      <c r="V429">
        <f t="shared" si="61"/>
        <v>9618.7651024830575</v>
      </c>
      <c r="W429">
        <f t="shared" si="62"/>
        <v>9618.7651024830575</v>
      </c>
      <c r="X429">
        <v>0.51</v>
      </c>
      <c r="Y429">
        <v>0.5</v>
      </c>
      <c r="Z429">
        <v>0.51</v>
      </c>
      <c r="AA429">
        <f t="shared" si="63"/>
        <v>62.625519655988057</v>
      </c>
    </row>
    <row r="430" spans="1:28" x14ac:dyDescent="0.25">
      <c r="A430">
        <v>429</v>
      </c>
      <c r="B430" t="s">
        <v>1035</v>
      </c>
      <c r="C430" t="s">
        <v>346</v>
      </c>
      <c r="D430">
        <v>6</v>
      </c>
      <c r="E430" t="s">
        <v>377</v>
      </c>
      <c r="F430" s="2" t="d">
        <v>2017-07-24</v>
      </c>
      <c r="G430" t="s">
        <v>205</v>
      </c>
      <c r="H430">
        <v>9.6999999999999993</v>
      </c>
      <c r="J430">
        <v>0.122</v>
      </c>
      <c r="K430">
        <v>10</v>
      </c>
      <c r="L430">
        <f t="shared" si="64"/>
        <v>7.38981131940659</v>
      </c>
      <c r="R430" t="s">
        <v>214</v>
      </c>
      <c r="S430">
        <v>5</v>
      </c>
      <c r="T430">
        <v>98.81</v>
      </c>
      <c r="U430">
        <v>50.64</v>
      </c>
      <c r="V430">
        <f t="shared" ref="V430:V439" si="65">(((T430/2) * (U430/2)) * PI())</f>
        <v>3929.9269494812866</v>
      </c>
      <c r="W430">
        <f t="shared" ref="W430:W439" si="66">IF(ISNUMBER(S430), S430*V430, V430)</f>
        <v>19649.634747406431</v>
      </c>
      <c r="X430">
        <v>0.57999999999999996</v>
      </c>
      <c r="Y430">
        <v>0.56999999999999995</v>
      </c>
      <c r="Z430">
        <v>0.53</v>
      </c>
      <c r="AA430">
        <f t="shared" si="63"/>
        <v>60.572223929562213</v>
      </c>
      <c r="AB430" t="s">
        <v>1036</v>
      </c>
    </row>
    <row r="431" spans="1:28" x14ac:dyDescent="0.25">
      <c r="A431">
        <v>430</v>
      </c>
      <c r="B431" t="s">
        <v>1037</v>
      </c>
      <c r="C431" t="s">
        <v>1038</v>
      </c>
      <c r="D431">
        <v>2</v>
      </c>
      <c r="E431" t="s">
        <v>1039</v>
      </c>
      <c r="F431" s="2" t="d">
        <v>2017-07-24</v>
      </c>
      <c r="G431" t="s">
        <v>205</v>
      </c>
      <c r="H431">
        <v>7.1</v>
      </c>
      <c r="J431">
        <v>3.6999999999999998E-2</v>
      </c>
      <c r="K431">
        <v>10</v>
      </c>
      <c r="L431">
        <f t="shared" si="64"/>
        <v>3.9591921416865365</v>
      </c>
      <c r="R431" t="s">
        <v>208</v>
      </c>
      <c r="S431" t="s">
        <v>144</v>
      </c>
      <c r="T431">
        <v>41.6</v>
      </c>
      <c r="U431">
        <v>17.78</v>
      </c>
      <c r="V431">
        <f t="shared" si="65"/>
        <v>580.91818076059587</v>
      </c>
      <c r="W431">
        <f t="shared" si="66"/>
        <v>580.91818076059587</v>
      </c>
      <c r="X431">
        <v>0.33</v>
      </c>
      <c r="Y431">
        <v>0.3</v>
      </c>
      <c r="Z431">
        <v>0.28999999999999998</v>
      </c>
      <c r="AA431">
        <f t="shared" si="63"/>
        <v>107.00519301855505</v>
      </c>
    </row>
    <row r="432" spans="1:28" x14ac:dyDescent="0.25">
      <c r="A432">
        <v>431</v>
      </c>
      <c r="B432" t="s">
        <v>1040</v>
      </c>
      <c r="C432" t="s">
        <v>881</v>
      </c>
      <c r="D432">
        <v>5</v>
      </c>
      <c r="E432" t="s">
        <v>882</v>
      </c>
      <c r="F432" s="2" t="d">
        <v>2017-07-24</v>
      </c>
      <c r="G432" t="s">
        <v>205</v>
      </c>
      <c r="H432">
        <v>9.6999999999999993</v>
      </c>
      <c r="J432">
        <v>5.7000000000000002E-2</v>
      </c>
      <c r="K432">
        <v>10</v>
      </c>
      <c r="L432">
        <f t="shared" si="64"/>
        <v>7.38981131940659</v>
      </c>
      <c r="R432" t="s">
        <v>208</v>
      </c>
      <c r="S432" t="s">
        <v>144</v>
      </c>
      <c r="T432">
        <v>84.84</v>
      </c>
      <c r="U432">
        <v>45.39</v>
      </c>
      <c r="V432">
        <f t="shared" si="65"/>
        <v>3024.4800484900074</v>
      </c>
      <c r="W432">
        <f t="shared" si="66"/>
        <v>3024.4800484900074</v>
      </c>
      <c r="X432">
        <v>0.26</v>
      </c>
      <c r="Y432">
        <v>0.24</v>
      </c>
      <c r="Z432">
        <v>0.22</v>
      </c>
      <c r="AA432">
        <f t="shared" si="63"/>
        <v>129.64581262116823</v>
      </c>
    </row>
    <row r="433" spans="1:27" x14ac:dyDescent="0.25">
      <c r="A433">
        <v>432</v>
      </c>
      <c r="B433" t="s">
        <v>1041</v>
      </c>
      <c r="C433" t="s">
        <v>881</v>
      </c>
      <c r="D433">
        <v>3</v>
      </c>
      <c r="E433" t="s">
        <v>882</v>
      </c>
      <c r="F433" s="2" t="d">
        <v>2017-07-24</v>
      </c>
      <c r="G433" t="s">
        <v>205</v>
      </c>
      <c r="H433">
        <v>9.6999999999999993</v>
      </c>
      <c r="J433">
        <v>4.4999999999999998E-2</v>
      </c>
      <c r="K433">
        <v>10</v>
      </c>
      <c r="L433">
        <f t="shared" si="64"/>
        <v>7.38981131940659</v>
      </c>
      <c r="R433" t="s">
        <v>208</v>
      </c>
      <c r="S433" t="s">
        <v>144</v>
      </c>
      <c r="T433">
        <v>137.94</v>
      </c>
      <c r="U433">
        <v>58.18</v>
      </c>
      <c r="V433">
        <f t="shared" si="65"/>
        <v>6303.0945223031804</v>
      </c>
      <c r="W433">
        <f t="shared" si="66"/>
        <v>6303.0945223031804</v>
      </c>
      <c r="X433">
        <v>0.23</v>
      </c>
      <c r="Y433">
        <v>0.22</v>
      </c>
      <c r="Z433">
        <v>0.2</v>
      </c>
      <c r="AA433">
        <f t="shared" si="63"/>
        <v>164.21802932014646</v>
      </c>
    </row>
    <row r="434" spans="1:27" x14ac:dyDescent="0.25">
      <c r="A434">
        <v>433</v>
      </c>
      <c r="B434" t="s">
        <v>1042</v>
      </c>
      <c r="C434" t="s">
        <v>845</v>
      </c>
      <c r="D434">
        <v>5</v>
      </c>
      <c r="E434" t="s">
        <v>846</v>
      </c>
      <c r="F434" s="2" t="d">
        <v>2017-07-24</v>
      </c>
      <c r="G434" t="s">
        <v>205</v>
      </c>
      <c r="H434">
        <v>7.1</v>
      </c>
      <c r="J434">
        <v>3.3000000000000002E-2</v>
      </c>
      <c r="K434">
        <v>10</v>
      </c>
      <c r="L434">
        <f t="shared" si="64"/>
        <v>3.9591921416865365</v>
      </c>
      <c r="R434" t="s">
        <v>214</v>
      </c>
      <c r="S434">
        <v>12</v>
      </c>
      <c r="T434">
        <v>107.73</v>
      </c>
      <c r="U434">
        <v>45.04</v>
      </c>
      <c r="V434">
        <f t="shared" si="65"/>
        <v>3810.8769241920318</v>
      </c>
      <c r="W434">
        <f t="shared" si="66"/>
        <v>45730.523090304385</v>
      </c>
      <c r="X434">
        <v>0.28000000000000003</v>
      </c>
      <c r="Y434">
        <v>0.18</v>
      </c>
      <c r="Z434">
        <v>0.22</v>
      </c>
      <c r="AA434">
        <f t="shared" si="63"/>
        <v>119.97551944504656</v>
      </c>
    </row>
    <row r="435" spans="1:27" x14ac:dyDescent="0.25">
      <c r="A435">
        <v>434</v>
      </c>
      <c r="B435" t="s">
        <v>1043</v>
      </c>
      <c r="C435" t="s">
        <v>898</v>
      </c>
      <c r="D435">
        <v>3</v>
      </c>
      <c r="E435" t="s">
        <v>899</v>
      </c>
      <c r="F435" s="2" t="d">
        <v>2017-07-24</v>
      </c>
      <c r="G435" t="s">
        <v>205</v>
      </c>
      <c r="H435">
        <v>9.6999999999999993</v>
      </c>
      <c r="J435">
        <v>4.7E-2</v>
      </c>
      <c r="K435">
        <v>10</v>
      </c>
      <c r="L435">
        <f t="shared" si="64"/>
        <v>7.38981131940659</v>
      </c>
      <c r="R435" t="s">
        <v>208</v>
      </c>
      <c r="S435" t="s">
        <v>144</v>
      </c>
      <c r="T435">
        <v>106.55</v>
      </c>
      <c r="U435">
        <v>58.07</v>
      </c>
      <c r="V435">
        <f t="shared" si="65"/>
        <v>4859.5400021815904</v>
      </c>
      <c r="W435">
        <f t="shared" si="66"/>
        <v>4859.5400021815904</v>
      </c>
      <c r="X435">
        <v>0.22</v>
      </c>
      <c r="Y435">
        <v>0.18</v>
      </c>
      <c r="Z435">
        <v>0.17</v>
      </c>
      <c r="AA435">
        <f t="shared" si="63"/>
        <v>157.23002807248065</v>
      </c>
    </row>
    <row r="436" spans="1:27" x14ac:dyDescent="0.25">
      <c r="A436">
        <v>435</v>
      </c>
      <c r="B436" t="s">
        <v>1044</v>
      </c>
      <c r="C436" t="s">
        <v>898</v>
      </c>
      <c r="D436">
        <v>2</v>
      </c>
      <c r="E436" t="s">
        <v>899</v>
      </c>
      <c r="F436" s="2" t="d">
        <v>2017-07-24</v>
      </c>
      <c r="G436" t="s">
        <v>205</v>
      </c>
      <c r="H436">
        <v>9.6999999999999993</v>
      </c>
      <c r="J436">
        <v>2.5999999999999999E-2</v>
      </c>
      <c r="K436">
        <v>10</v>
      </c>
      <c r="L436">
        <f t="shared" si="64"/>
        <v>7.38981131940659</v>
      </c>
      <c r="R436" t="s">
        <v>208</v>
      </c>
      <c r="S436" t="s">
        <v>144</v>
      </c>
      <c r="T436">
        <v>105.07</v>
      </c>
      <c r="U436">
        <v>56.41</v>
      </c>
      <c r="V436">
        <f t="shared" si="65"/>
        <v>4655.0538934390624</v>
      </c>
      <c r="W436">
        <f t="shared" si="66"/>
        <v>4655.0538934390624</v>
      </c>
      <c r="X436">
        <v>0.16</v>
      </c>
      <c r="Y436">
        <v>0.15</v>
      </c>
      <c r="Z436">
        <v>0.16</v>
      </c>
      <c r="AA436">
        <f t="shared" si="63"/>
        <v>284.22351228486883</v>
      </c>
    </row>
    <row r="437" spans="1:27" x14ac:dyDescent="0.25">
      <c r="A437">
        <v>436</v>
      </c>
      <c r="B437" t="s">
        <v>1045</v>
      </c>
      <c r="C437" t="s">
        <v>515</v>
      </c>
      <c r="D437">
        <v>5</v>
      </c>
      <c r="E437" t="s">
        <v>516</v>
      </c>
      <c r="F437" s="2" t="d">
        <v>2017-07-24</v>
      </c>
      <c r="G437" t="s">
        <v>205</v>
      </c>
      <c r="H437">
        <v>7.1</v>
      </c>
      <c r="J437">
        <v>5.5E-2</v>
      </c>
      <c r="K437">
        <v>10</v>
      </c>
      <c r="L437">
        <f t="shared" si="64"/>
        <v>3.9591921416865365</v>
      </c>
      <c r="R437" t="s">
        <v>208</v>
      </c>
      <c r="S437" t="s">
        <v>144</v>
      </c>
      <c r="T437">
        <v>123.07</v>
      </c>
      <c r="U437">
        <v>67.430000000000007</v>
      </c>
      <c r="V437">
        <f t="shared" si="65"/>
        <v>6517.7131312915144</v>
      </c>
      <c r="W437">
        <f t="shared" si="66"/>
        <v>6517.7131312915144</v>
      </c>
      <c r="X437">
        <v>0.3</v>
      </c>
      <c r="Y437">
        <v>0.28999999999999998</v>
      </c>
      <c r="Z437">
        <v>0.3</v>
      </c>
      <c r="AA437">
        <f t="shared" si="63"/>
        <v>71.985311667027943</v>
      </c>
    </row>
    <row r="438" spans="1:27" x14ac:dyDescent="0.25">
      <c r="A438">
        <v>437</v>
      </c>
      <c r="B438" t="s">
        <v>1046</v>
      </c>
      <c r="C438" t="s">
        <v>1038</v>
      </c>
      <c r="D438">
        <v>1</v>
      </c>
      <c r="E438" t="s">
        <v>1039</v>
      </c>
      <c r="F438" s="2" t="d">
        <v>2017-07-24</v>
      </c>
      <c r="G438" t="s">
        <v>205</v>
      </c>
      <c r="H438">
        <v>7.1</v>
      </c>
      <c r="J438">
        <v>0.03</v>
      </c>
      <c r="K438">
        <v>10</v>
      </c>
      <c r="L438">
        <f t="shared" si="64"/>
        <v>3.9591921416865365</v>
      </c>
      <c r="R438" t="s">
        <v>208</v>
      </c>
      <c r="S438" t="s">
        <v>144</v>
      </c>
      <c r="T438">
        <v>42.93</v>
      </c>
      <c r="U438">
        <v>23.5</v>
      </c>
      <c r="V438">
        <f t="shared" si="65"/>
        <v>792.35286413433266</v>
      </c>
      <c r="W438">
        <f t="shared" si="66"/>
        <v>792.35286413433266</v>
      </c>
      <c r="X438">
        <v>0.37</v>
      </c>
      <c r="Y438">
        <v>0.34</v>
      </c>
      <c r="Z438">
        <v>0.32</v>
      </c>
      <c r="AA438">
        <f t="shared" si="63"/>
        <v>131.97307138955122</v>
      </c>
    </row>
    <row r="439" spans="1:27" x14ac:dyDescent="0.25">
      <c r="A439">
        <v>438</v>
      </c>
      <c r="B439" t="s">
        <v>1047</v>
      </c>
      <c r="C439" t="s">
        <v>872</v>
      </c>
      <c r="D439">
        <v>2</v>
      </c>
      <c r="E439" t="s">
        <v>873</v>
      </c>
      <c r="F439" s="2" t="d">
        <v>2017-07-24</v>
      </c>
      <c r="G439" t="s">
        <v>205</v>
      </c>
      <c r="H439">
        <v>9.6999999999999993</v>
      </c>
      <c r="J439">
        <v>4.9000000000000002E-2</v>
      </c>
      <c r="K439">
        <v>10</v>
      </c>
      <c r="L439">
        <f t="shared" si="64"/>
        <v>7.38981131940659</v>
      </c>
      <c r="R439" t="s">
        <v>208</v>
      </c>
      <c r="S439" t="s">
        <v>144</v>
      </c>
      <c r="T439">
        <f>71.2+155.9</f>
        <v>227.10000000000002</v>
      </c>
      <c r="U439">
        <v>57.68</v>
      </c>
      <c r="V439">
        <f t="shared" si="65"/>
        <v>10288.03107330809</v>
      </c>
      <c r="W439">
        <f t="shared" si="66"/>
        <v>10288.03107330809</v>
      </c>
      <c r="X439">
        <v>0.18</v>
      </c>
      <c r="Y439">
        <v>0.18</v>
      </c>
      <c r="Z439">
        <v>0.17</v>
      </c>
      <c r="AA439">
        <f t="shared" si="63"/>
        <v>150.81247590625694</v>
      </c>
    </row>
    <row r="440" spans="1:27" x14ac:dyDescent="0.25">
      <c r="A440">
        <v>440</v>
      </c>
      <c r="B440" t="s">
        <v>1090</v>
      </c>
      <c r="C440" t="s">
        <v>370</v>
      </c>
      <c r="D440">
        <v>6</v>
      </c>
      <c r="E440" t="s">
        <v>285</v>
      </c>
      <c r="F440" s="2" t="d">
        <v>2017-08-03</v>
      </c>
      <c r="G440" t="s">
        <v>205</v>
      </c>
      <c r="H440">
        <v>9.6999999999999993</v>
      </c>
      <c r="J440">
        <v>5.3999999999999999E-2</v>
      </c>
      <c r="K440">
        <v>10</v>
      </c>
      <c r="L440">
        <f t="shared" si="64"/>
        <v>7.38981131940659</v>
      </c>
      <c r="R440" t="s">
        <v>208</v>
      </c>
      <c r="S440" t="s">
        <v>144</v>
      </c>
      <c r="T440">
        <f>157+18.27</f>
        <v>175.27</v>
      </c>
      <c r="U440">
        <v>99.09</v>
      </c>
      <c r="V440">
        <f t="shared" ref="V440:V473" si="67">(((T440/2) * (U440/2)) * PI())</f>
        <v>13640.405980017285</v>
      </c>
      <c r="W440">
        <f t="shared" ref="W440:W473" si="68">IF(ISNUMBER(S440), S440*V440, V440)</f>
        <v>13640.405980017285</v>
      </c>
      <c r="X440">
        <v>0.42</v>
      </c>
      <c r="Y440">
        <v>0.39</v>
      </c>
      <c r="Z440">
        <v>0.43</v>
      </c>
      <c r="AA440">
        <f t="shared" si="63"/>
        <v>136.84835776678869</v>
      </c>
    </row>
    <row r="441" spans="1:27" x14ac:dyDescent="0.25">
      <c r="A441">
        <v>441</v>
      </c>
      <c r="B441" t="s">
        <v>1103</v>
      </c>
      <c r="C441" t="s">
        <v>833</v>
      </c>
      <c r="D441">
        <v>5</v>
      </c>
      <c r="E441" t="s">
        <v>834</v>
      </c>
      <c r="F441" s="2" t="d">
        <v>2017-08-03</v>
      </c>
      <c r="G441" t="s">
        <v>205</v>
      </c>
      <c r="H441">
        <v>9.6999999999999993</v>
      </c>
      <c r="J441">
        <v>2.5999999999999999E-2</v>
      </c>
      <c r="K441">
        <v>13</v>
      </c>
      <c r="L441">
        <f>PI()*((H441/2)^2)/100 *K441</f>
        <v>9.6067547152285666</v>
      </c>
      <c r="R441" t="s">
        <v>208</v>
      </c>
      <c r="S441" t="s">
        <v>144</v>
      </c>
      <c r="T441">
        <v>125.66</v>
      </c>
      <c r="U441">
        <v>78.430000000000007</v>
      </c>
      <c r="V441">
        <f t="shared" si="67"/>
        <v>7740.5024378582066</v>
      </c>
      <c r="W441">
        <f t="shared" si="68"/>
        <v>7740.5024378582066</v>
      </c>
      <c r="X441">
        <v>0.15</v>
      </c>
      <c r="Y441">
        <v>0.19</v>
      </c>
      <c r="Z441">
        <v>0.16</v>
      </c>
      <c r="AA441">
        <f t="shared" si="63"/>
        <v>369.4905659703295</v>
      </c>
    </row>
    <row r="442" spans="1:27" x14ac:dyDescent="0.25">
      <c r="A442">
        <v>442</v>
      </c>
      <c r="B442" t="s">
        <v>1091</v>
      </c>
      <c r="C442" t="s">
        <v>833</v>
      </c>
      <c r="D442">
        <v>4</v>
      </c>
      <c r="E442" t="s">
        <v>834</v>
      </c>
      <c r="F442" s="2" t="d">
        <v>2017-08-03</v>
      </c>
      <c r="G442" t="s">
        <v>205</v>
      </c>
      <c r="H442">
        <v>9.6999999999999993</v>
      </c>
      <c r="J442">
        <v>0.05</v>
      </c>
      <c r="K442">
        <v>10</v>
      </c>
      <c r="L442">
        <f t="shared" si="64"/>
        <v>7.38981131940659</v>
      </c>
      <c r="R442" t="s">
        <v>208</v>
      </c>
      <c r="S442" t="s">
        <v>144</v>
      </c>
      <c r="T442">
        <f>157+64.79</f>
        <v>221.79000000000002</v>
      </c>
      <c r="U442">
        <f>157+4.48</f>
        <v>161.47999999999999</v>
      </c>
      <c r="V442">
        <f t="shared" si="67"/>
        <v>28128.759704403888</v>
      </c>
      <c r="W442">
        <f t="shared" si="68"/>
        <v>28128.759704403888</v>
      </c>
      <c r="X442">
        <v>0.38</v>
      </c>
      <c r="Y442">
        <v>0.39</v>
      </c>
      <c r="Z442">
        <v>0.32</v>
      </c>
      <c r="AA442">
        <f t="shared" si="63"/>
        <v>147.7962263881318</v>
      </c>
    </row>
    <row r="443" spans="1:27" x14ac:dyDescent="0.25">
      <c r="A443">
        <v>443</v>
      </c>
      <c r="B443" t="s">
        <v>1092</v>
      </c>
      <c r="C443" t="s">
        <v>369</v>
      </c>
      <c r="D443">
        <v>4</v>
      </c>
      <c r="E443" t="s">
        <v>373</v>
      </c>
      <c r="F443" s="2" t="d">
        <v>2017-08-03</v>
      </c>
      <c r="G443" t="s">
        <v>205</v>
      </c>
      <c r="H443">
        <v>7.1</v>
      </c>
      <c r="J443">
        <v>4.4999999999999998E-2</v>
      </c>
      <c r="K443">
        <v>11</v>
      </c>
      <c r="L443">
        <f t="shared" si="64"/>
        <v>4.3551113558551906</v>
      </c>
      <c r="R443" t="s">
        <v>214</v>
      </c>
      <c r="S443">
        <v>18</v>
      </c>
      <c r="T443">
        <v>44.12</v>
      </c>
      <c r="U443">
        <v>16.329999999999998</v>
      </c>
      <c r="V443">
        <f t="shared" si="67"/>
        <v>565.86335460532814</v>
      </c>
      <c r="W443">
        <f t="shared" si="68"/>
        <v>10185.540382895906</v>
      </c>
      <c r="X443">
        <v>0.26</v>
      </c>
      <c r="Y443">
        <v>0.25</v>
      </c>
      <c r="Z443">
        <v>0.3</v>
      </c>
      <c r="AA443">
        <f t="shared" si="63"/>
        <v>96.78025235233757</v>
      </c>
    </row>
    <row r="444" spans="1:27" x14ac:dyDescent="0.25">
      <c r="A444">
        <v>444</v>
      </c>
      <c r="B444" t="s">
        <v>1093</v>
      </c>
      <c r="C444" t="s">
        <v>842</v>
      </c>
      <c r="D444">
        <v>4</v>
      </c>
      <c r="E444" t="s">
        <v>843</v>
      </c>
      <c r="F444" s="2" t="d">
        <v>2017-08-03</v>
      </c>
      <c r="G444" t="s">
        <v>205</v>
      </c>
      <c r="H444">
        <v>9.6999999999999993</v>
      </c>
      <c r="J444">
        <v>4.3999999999999997E-2</v>
      </c>
      <c r="K444">
        <v>11</v>
      </c>
      <c r="L444">
        <f t="shared" si="64"/>
        <v>8.1287924513472483</v>
      </c>
      <c r="R444" t="s">
        <v>214</v>
      </c>
      <c r="S444">
        <v>11</v>
      </c>
      <c r="T444">
        <v>64.13</v>
      </c>
      <c r="U444">
        <v>22.97</v>
      </c>
      <c r="V444">
        <f t="shared" si="67"/>
        <v>1156.9434095030417</v>
      </c>
      <c r="W444">
        <f t="shared" si="68"/>
        <v>12726.377504533459</v>
      </c>
      <c r="X444">
        <v>0.16</v>
      </c>
      <c r="Y444">
        <v>0.15</v>
      </c>
      <c r="Z444">
        <v>0.18</v>
      </c>
      <c r="AA444">
        <f t="shared" si="63"/>
        <v>184.74528298516475</v>
      </c>
    </row>
    <row r="445" spans="1:27" x14ac:dyDescent="0.25">
      <c r="A445">
        <v>445</v>
      </c>
      <c r="B445" t="s">
        <v>1094</v>
      </c>
      <c r="C445" t="s">
        <v>907</v>
      </c>
      <c r="D445">
        <v>5</v>
      </c>
      <c r="E445" t="s">
        <v>908</v>
      </c>
      <c r="F445" s="2" t="d">
        <v>2017-08-03</v>
      </c>
      <c r="G445" t="s">
        <v>205</v>
      </c>
      <c r="H445">
        <v>7.1</v>
      </c>
      <c r="J445">
        <v>3.3000000000000002E-2</v>
      </c>
      <c r="K445">
        <v>12</v>
      </c>
      <c r="L445">
        <f t="shared" si="64"/>
        <v>4.7510305700238442</v>
      </c>
      <c r="R445" t="s">
        <v>214</v>
      </c>
      <c r="S445">
        <v>13</v>
      </c>
      <c r="T445">
        <v>60.09</v>
      </c>
      <c r="U445">
        <v>20.86</v>
      </c>
      <c r="V445">
        <f t="shared" si="67"/>
        <v>984.47884782020867</v>
      </c>
      <c r="W445">
        <f t="shared" si="68"/>
        <v>12798.225021662713</v>
      </c>
      <c r="X445">
        <v>0.18</v>
      </c>
      <c r="Y445">
        <v>0.18</v>
      </c>
      <c r="Z445">
        <v>0.16</v>
      </c>
      <c r="AA445">
        <f t="shared" si="63"/>
        <v>143.97062333405589</v>
      </c>
    </row>
    <row r="446" spans="1:27" x14ac:dyDescent="0.25">
      <c r="A446">
        <v>446</v>
      </c>
      <c r="B446" t="s">
        <v>1095</v>
      </c>
      <c r="C446" t="s">
        <v>534</v>
      </c>
      <c r="D446">
        <v>5</v>
      </c>
      <c r="E446" t="s">
        <v>535</v>
      </c>
      <c r="F446" s="2" t="d">
        <v>2017-08-03</v>
      </c>
      <c r="G446" t="s">
        <v>205</v>
      </c>
      <c r="H446">
        <v>9.6999999999999993</v>
      </c>
      <c r="J446">
        <v>6.4000000000000001E-2</v>
      </c>
      <c r="K446">
        <v>9</v>
      </c>
      <c r="L446">
        <f t="shared" si="64"/>
        <v>6.6508301874659308</v>
      </c>
      <c r="R446" t="s">
        <v>214</v>
      </c>
      <c r="S446">
        <v>70</v>
      </c>
      <c r="T446">
        <v>30.22</v>
      </c>
      <c r="U446">
        <v>26.97</v>
      </c>
      <c r="V446">
        <f t="shared" si="67"/>
        <v>640.12573546757778</v>
      </c>
      <c r="W446">
        <f t="shared" si="68"/>
        <v>44808.801482730443</v>
      </c>
      <c r="X446">
        <v>0.28000000000000003</v>
      </c>
      <c r="Y446">
        <v>0.25</v>
      </c>
      <c r="Z446">
        <v>0.25</v>
      </c>
      <c r="AA446">
        <f t="shared" si="63"/>
        <v>103.91922167915517</v>
      </c>
    </row>
    <row r="447" spans="1:27" x14ac:dyDescent="0.25">
      <c r="A447">
        <v>447</v>
      </c>
      <c r="B447" t="s">
        <v>1096</v>
      </c>
      <c r="C447" t="s">
        <v>842</v>
      </c>
      <c r="D447">
        <v>5</v>
      </c>
      <c r="E447" t="s">
        <v>843</v>
      </c>
      <c r="F447" s="2" t="d">
        <v>2017-08-03</v>
      </c>
      <c r="G447" t="s">
        <v>205</v>
      </c>
      <c r="H447">
        <v>7.1</v>
      </c>
      <c r="J447">
        <v>5.8999999999999997E-2</v>
      </c>
      <c r="K447">
        <v>11</v>
      </c>
      <c r="L447">
        <f t="shared" si="64"/>
        <v>4.3551113558551906</v>
      </c>
      <c r="R447" t="s">
        <v>214</v>
      </c>
      <c r="S447">
        <v>11</v>
      </c>
      <c r="T447">
        <v>39.26</v>
      </c>
      <c r="U447">
        <v>13.01</v>
      </c>
      <c r="V447">
        <f t="shared" si="67"/>
        <v>401.15986195373944</v>
      </c>
      <c r="W447">
        <f t="shared" si="68"/>
        <v>4412.7584814911334</v>
      </c>
      <c r="X447">
        <v>0.23</v>
      </c>
      <c r="Y447">
        <v>0.25</v>
      </c>
      <c r="Z447">
        <v>0.25</v>
      </c>
      <c r="AA447">
        <f t="shared" si="63"/>
        <v>73.815446709410011</v>
      </c>
    </row>
    <row r="448" spans="1:27" x14ac:dyDescent="0.25">
      <c r="A448">
        <v>448</v>
      </c>
      <c r="B448" t="s">
        <v>1097</v>
      </c>
      <c r="C448" t="s">
        <v>768</v>
      </c>
      <c r="D448">
        <v>3</v>
      </c>
      <c r="E448" t="s">
        <v>1098</v>
      </c>
      <c r="F448" s="2" t="d">
        <v>2017-08-03</v>
      </c>
      <c r="G448" t="s">
        <v>205</v>
      </c>
      <c r="H448">
        <v>7.1</v>
      </c>
      <c r="J448">
        <v>5.0999999999999997E-2</v>
      </c>
      <c r="K448">
        <v>10</v>
      </c>
      <c r="L448">
        <f t="shared" si="64"/>
        <v>3.9591921416865365</v>
      </c>
      <c r="R448" t="s">
        <v>208</v>
      </c>
      <c r="S448" t="s">
        <v>144</v>
      </c>
      <c r="T448">
        <v>21.95</v>
      </c>
      <c r="U448">
        <v>29.23</v>
      </c>
      <c r="V448">
        <f t="shared" si="67"/>
        <v>503.91028353855768</v>
      </c>
      <c r="W448">
        <f t="shared" si="68"/>
        <v>503.91028353855768</v>
      </c>
      <c r="X448">
        <v>0.36</v>
      </c>
      <c r="Y448">
        <v>0.44</v>
      </c>
      <c r="Z448">
        <v>0.4</v>
      </c>
      <c r="AA448">
        <f t="shared" si="63"/>
        <v>77.631218464441901</v>
      </c>
    </row>
    <row r="449" spans="1:27" x14ac:dyDescent="0.25">
      <c r="A449">
        <v>449</v>
      </c>
      <c r="B449" t="s">
        <v>1099</v>
      </c>
      <c r="C449" t="s">
        <v>369</v>
      </c>
      <c r="D449">
        <v>5</v>
      </c>
      <c r="E449" t="s">
        <v>373</v>
      </c>
      <c r="F449" s="2" t="d">
        <v>2017-08-03</v>
      </c>
      <c r="G449" t="s">
        <v>205</v>
      </c>
      <c r="H449">
        <v>7.1</v>
      </c>
      <c r="J449">
        <v>3.5999999999999997E-2</v>
      </c>
      <c r="K449">
        <v>10</v>
      </c>
      <c r="L449">
        <f t="shared" si="64"/>
        <v>3.9591921416865365</v>
      </c>
      <c r="R449" t="s">
        <v>214</v>
      </c>
      <c r="S449">
        <v>20</v>
      </c>
      <c r="T449">
        <v>60.78</v>
      </c>
      <c r="U449">
        <v>22.15</v>
      </c>
      <c r="V449">
        <f t="shared" si="67"/>
        <v>1057.3634832242265</v>
      </c>
      <c r="W449">
        <f t="shared" si="68"/>
        <v>21147.269664484527</v>
      </c>
      <c r="X449">
        <v>0.26</v>
      </c>
      <c r="Y449">
        <v>0.28999999999999998</v>
      </c>
      <c r="Z449">
        <v>0.3</v>
      </c>
      <c r="AA449">
        <f t="shared" si="63"/>
        <v>109.97755949129269</v>
      </c>
    </row>
    <row r="450" spans="1:27" x14ac:dyDescent="0.25">
      <c r="A450">
        <v>450</v>
      </c>
      <c r="B450" t="s">
        <v>1017</v>
      </c>
      <c r="C450" t="s">
        <v>796</v>
      </c>
      <c r="D450">
        <v>1</v>
      </c>
      <c r="E450" t="s">
        <v>797</v>
      </c>
      <c r="F450" s="2" t="d">
        <v>2017-08-03</v>
      </c>
      <c r="G450" t="s">
        <v>205</v>
      </c>
      <c r="H450">
        <v>9.6999999999999993</v>
      </c>
      <c r="J450">
        <v>8.7999999999999995E-2</v>
      </c>
      <c r="K450">
        <v>8</v>
      </c>
      <c r="L450">
        <f t="shared" si="64"/>
        <v>5.9118490555252716</v>
      </c>
      <c r="R450" t="s">
        <v>208</v>
      </c>
      <c r="S450" t="s">
        <v>144</v>
      </c>
      <c r="T450">
        <v>59.71</v>
      </c>
      <c r="U450">
        <v>36.83</v>
      </c>
      <c r="V450">
        <f t="shared" si="67"/>
        <v>1727.184259311882</v>
      </c>
      <c r="W450">
        <f t="shared" si="68"/>
        <v>1727.184259311882</v>
      </c>
      <c r="X450">
        <v>0.37</v>
      </c>
      <c r="Y450">
        <v>0.39</v>
      </c>
      <c r="Z450">
        <v>0.36</v>
      </c>
      <c r="AA450">
        <f t="shared" si="63"/>
        <v>67.180102903696266</v>
      </c>
    </row>
    <row r="451" spans="1:27" x14ac:dyDescent="0.25">
      <c r="A451">
        <v>451</v>
      </c>
      <c r="B451" t="s">
        <v>1100</v>
      </c>
      <c r="C451" t="s">
        <v>891</v>
      </c>
      <c r="D451">
        <v>2</v>
      </c>
      <c r="E451" t="s">
        <v>892</v>
      </c>
      <c r="F451" s="2" t="d">
        <v>2017-08-03</v>
      </c>
      <c r="G451" t="s">
        <v>205</v>
      </c>
      <c r="H451">
        <v>9.6999999999999993</v>
      </c>
      <c r="J451">
        <v>3.5999999999999997E-2</v>
      </c>
      <c r="K451">
        <v>9</v>
      </c>
      <c r="L451">
        <f t="shared" si="64"/>
        <v>6.6508301874659308</v>
      </c>
      <c r="R451" t="s">
        <v>208</v>
      </c>
      <c r="S451" t="s">
        <v>144</v>
      </c>
      <c r="T451">
        <v>91.47</v>
      </c>
      <c r="U451">
        <v>86.88</v>
      </c>
      <c r="V451">
        <f t="shared" si="67"/>
        <v>6241.4913461182041</v>
      </c>
      <c r="W451">
        <f t="shared" si="68"/>
        <v>6241.4913461182041</v>
      </c>
      <c r="X451">
        <v>0.26</v>
      </c>
      <c r="Y451">
        <v>0.26</v>
      </c>
      <c r="Z451">
        <v>0.27</v>
      </c>
      <c r="AA451">
        <f t="shared" si="63"/>
        <v>184.74528298516475</v>
      </c>
    </row>
    <row r="452" spans="1:27" x14ac:dyDescent="0.25">
      <c r="A452">
        <v>452</v>
      </c>
      <c r="B452" t="s">
        <v>1101</v>
      </c>
      <c r="C452" t="s">
        <v>400</v>
      </c>
      <c r="D452">
        <v>5</v>
      </c>
      <c r="E452" t="s">
        <v>268</v>
      </c>
      <c r="F452" s="2" t="d">
        <v>2017-08-03</v>
      </c>
      <c r="G452" t="s">
        <v>205</v>
      </c>
      <c r="H452">
        <v>9.6999999999999993</v>
      </c>
      <c r="J452">
        <v>0.108</v>
      </c>
      <c r="K452">
        <v>10</v>
      </c>
      <c r="L452">
        <f t="shared" si="64"/>
        <v>7.38981131940659</v>
      </c>
      <c r="R452" t="s">
        <v>214</v>
      </c>
      <c r="S452">
        <v>5</v>
      </c>
      <c r="T452">
        <v>145.47</v>
      </c>
      <c r="U452">
        <v>53.17</v>
      </c>
      <c r="V452">
        <f t="shared" si="67"/>
        <v>6074.7719720006235</v>
      </c>
      <c r="W452">
        <f t="shared" si="68"/>
        <v>30373.859860003118</v>
      </c>
      <c r="X452">
        <v>0.55000000000000004</v>
      </c>
      <c r="Y452">
        <v>0.53</v>
      </c>
      <c r="Z452">
        <v>0.5</v>
      </c>
      <c r="AA452">
        <f t="shared" si="63"/>
        <v>68.424178883394347</v>
      </c>
    </row>
    <row r="453" spans="1:27" x14ac:dyDescent="0.25">
      <c r="A453">
        <v>453</v>
      </c>
      <c r="B453" t="s">
        <v>1102</v>
      </c>
      <c r="C453" t="s">
        <v>768</v>
      </c>
      <c r="D453">
        <v>2</v>
      </c>
      <c r="E453" t="s">
        <v>1098</v>
      </c>
      <c r="F453" s="2" t="d">
        <v>2017-08-03</v>
      </c>
      <c r="G453" t="s">
        <v>205</v>
      </c>
      <c r="H453">
        <v>7.1</v>
      </c>
      <c r="J453">
        <v>3.9E-2</v>
      </c>
      <c r="K453">
        <v>10</v>
      </c>
      <c r="L453">
        <f t="shared" si="64"/>
        <v>3.9591921416865365</v>
      </c>
      <c r="R453" t="s">
        <v>208</v>
      </c>
      <c r="S453" t="s">
        <v>144</v>
      </c>
      <c r="T453">
        <v>82.45</v>
      </c>
      <c r="U453">
        <v>51.44</v>
      </c>
      <c r="V453">
        <f t="shared" si="67"/>
        <v>3331.052681749833</v>
      </c>
      <c r="W453">
        <f t="shared" si="68"/>
        <v>3331.052681749833</v>
      </c>
      <c r="X453">
        <v>0.34</v>
      </c>
      <c r="Y453">
        <v>0.31</v>
      </c>
      <c r="Z453">
        <v>0.36</v>
      </c>
      <c r="AA453">
        <f t="shared" si="63"/>
        <v>101.5177472227317</v>
      </c>
    </row>
    <row r="454" spans="1:27" x14ac:dyDescent="0.25">
      <c r="A454">
        <v>454</v>
      </c>
      <c r="B454" t="s">
        <v>1104</v>
      </c>
      <c r="C454" t="s">
        <v>356</v>
      </c>
      <c r="D454">
        <v>5</v>
      </c>
      <c r="E454" t="s">
        <v>336</v>
      </c>
      <c r="F454" s="2" t="d">
        <v>2017-08-04</v>
      </c>
      <c r="G454" t="s">
        <v>205</v>
      </c>
      <c r="H454">
        <v>9.6999999999999993</v>
      </c>
      <c r="J454">
        <v>0.11600000000000001</v>
      </c>
      <c r="K454">
        <v>10</v>
      </c>
      <c r="L454">
        <f t="shared" si="64"/>
        <v>7.38981131940659</v>
      </c>
      <c r="R454" t="s">
        <v>208</v>
      </c>
      <c r="S454" t="s">
        <v>144</v>
      </c>
      <c r="T454">
        <v>122.41</v>
      </c>
      <c r="U454">
        <v>58.65</v>
      </c>
      <c r="V454">
        <f t="shared" si="67"/>
        <v>5638.6455554938984</v>
      </c>
      <c r="W454">
        <f t="shared" si="68"/>
        <v>5638.6455554938984</v>
      </c>
      <c r="X454">
        <v>0.48</v>
      </c>
      <c r="Y454">
        <v>0.49</v>
      </c>
      <c r="Z454">
        <v>0.49</v>
      </c>
      <c r="AA454">
        <f t="shared" si="63"/>
        <v>63.705269994884397</v>
      </c>
    </row>
    <row r="455" spans="1:27" x14ac:dyDescent="0.25">
      <c r="A455">
        <v>455</v>
      </c>
      <c r="B455" t="s">
        <v>1105</v>
      </c>
      <c r="C455" t="s">
        <v>891</v>
      </c>
      <c r="D455">
        <v>3</v>
      </c>
      <c r="E455" t="s">
        <v>892</v>
      </c>
      <c r="F455" s="2" t="d">
        <v>2017-08-04</v>
      </c>
      <c r="G455" t="s">
        <v>205</v>
      </c>
      <c r="H455">
        <v>7.1</v>
      </c>
      <c r="J455">
        <v>4.1000000000000002E-2</v>
      </c>
      <c r="K455">
        <v>9</v>
      </c>
      <c r="L455">
        <f t="shared" si="64"/>
        <v>3.5632729275178829</v>
      </c>
      <c r="R455" t="s">
        <v>208</v>
      </c>
      <c r="S455" t="s">
        <v>144</v>
      </c>
      <c r="T455">
        <v>72.77</v>
      </c>
      <c r="U455">
        <v>64.27</v>
      </c>
      <c r="V455">
        <f t="shared" si="67"/>
        <v>3673.2505830022842</v>
      </c>
      <c r="W455">
        <f t="shared" si="68"/>
        <v>3673.2505830022842</v>
      </c>
      <c r="X455">
        <v>0.47</v>
      </c>
      <c r="Y455">
        <v>0.46</v>
      </c>
      <c r="Z455">
        <v>0.47</v>
      </c>
      <c r="AA455">
        <f t="shared" si="63"/>
        <v>86.909095793119093</v>
      </c>
    </row>
    <row r="456" spans="1:27" x14ac:dyDescent="0.25">
      <c r="A456">
        <v>456</v>
      </c>
      <c r="B456" t="s">
        <v>1106</v>
      </c>
      <c r="C456" t="s">
        <v>1038</v>
      </c>
      <c r="D456">
        <v>3</v>
      </c>
      <c r="E456" t="s">
        <v>1039</v>
      </c>
      <c r="F456" s="2" t="d">
        <v>2017-08-04</v>
      </c>
      <c r="G456" t="s">
        <v>205</v>
      </c>
      <c r="H456">
        <v>7.1</v>
      </c>
      <c r="J456">
        <v>3.5000000000000003E-2</v>
      </c>
      <c r="K456">
        <v>12</v>
      </c>
      <c r="L456">
        <f t="shared" si="64"/>
        <v>4.7510305700238442</v>
      </c>
      <c r="R456" t="s">
        <v>1107</v>
      </c>
      <c r="S456" t="s">
        <v>144</v>
      </c>
      <c r="T456">
        <v>57.32</v>
      </c>
      <c r="U456">
        <v>19.68</v>
      </c>
      <c r="V456">
        <f t="shared" si="67"/>
        <v>885.97436724653346</v>
      </c>
      <c r="W456">
        <f t="shared" si="68"/>
        <v>885.97436724653346</v>
      </c>
      <c r="X456">
        <v>0.25</v>
      </c>
      <c r="Y456">
        <v>0.25</v>
      </c>
      <c r="Z456">
        <v>0.3</v>
      </c>
      <c r="AA456">
        <f t="shared" si="63"/>
        <v>135.74373057210983</v>
      </c>
    </row>
    <row r="457" spans="1:27" x14ac:dyDescent="0.25">
      <c r="A457">
        <v>457</v>
      </c>
      <c r="B457" t="s">
        <v>1108</v>
      </c>
      <c r="C457" t="s">
        <v>891</v>
      </c>
      <c r="D457">
        <v>4</v>
      </c>
      <c r="E457" t="s">
        <v>892</v>
      </c>
      <c r="F457" s="2" t="d">
        <v>2017-08-04</v>
      </c>
      <c r="G457" t="s">
        <v>205</v>
      </c>
      <c r="H457">
        <v>9.6999999999999993</v>
      </c>
      <c r="J457">
        <v>9.7000000000000003E-2</v>
      </c>
      <c r="K457">
        <v>10</v>
      </c>
      <c r="L457">
        <f t="shared" si="64"/>
        <v>7.38981131940659</v>
      </c>
      <c r="R457" t="s">
        <v>1107</v>
      </c>
      <c r="S457" t="s">
        <v>144</v>
      </c>
      <c r="T457">
        <v>107.8</v>
      </c>
      <c r="U457">
        <v>118.54</v>
      </c>
      <c r="V457">
        <f t="shared" si="67"/>
        <v>10036.298395568594</v>
      </c>
      <c r="W457">
        <f t="shared" si="68"/>
        <v>10036.298395568594</v>
      </c>
      <c r="X457">
        <v>0.47</v>
      </c>
      <c r="Y457">
        <v>0.46</v>
      </c>
      <c r="Z457">
        <v>0.45</v>
      </c>
      <c r="AA457">
        <f t="shared" si="63"/>
        <v>76.183621849552466</v>
      </c>
    </row>
    <row r="458" spans="1:27" x14ac:dyDescent="0.25">
      <c r="A458">
        <v>458</v>
      </c>
      <c r="B458" t="s">
        <v>1109</v>
      </c>
      <c r="C458" t="s">
        <v>768</v>
      </c>
      <c r="D458">
        <v>4</v>
      </c>
      <c r="E458" t="s">
        <v>1098</v>
      </c>
      <c r="F458" s="2" t="d">
        <v>2017-08-04</v>
      </c>
      <c r="G458" t="s">
        <v>205</v>
      </c>
      <c r="H458">
        <v>5.5</v>
      </c>
      <c r="J458">
        <v>6.6000000000000003E-2</v>
      </c>
      <c r="K458">
        <v>20</v>
      </c>
      <c r="L458">
        <f t="shared" si="64"/>
        <v>4.7516588885545623</v>
      </c>
      <c r="R458" t="s">
        <v>1107</v>
      </c>
      <c r="S458" t="s">
        <v>144</v>
      </c>
      <c r="T458">
        <v>63.76</v>
      </c>
      <c r="U458">
        <v>29.54</v>
      </c>
      <c r="V458">
        <f t="shared" si="67"/>
        <v>1479.2741929734573</v>
      </c>
      <c r="W458">
        <f t="shared" si="68"/>
        <v>1479.2741929734573</v>
      </c>
      <c r="X458">
        <v>0.26</v>
      </c>
      <c r="Y458">
        <v>0.34</v>
      </c>
      <c r="Z458">
        <v>0.32</v>
      </c>
      <c r="AA458">
        <f t="shared" si="63"/>
        <v>71.994831644766094</v>
      </c>
    </row>
    <row r="459" spans="1:27" x14ac:dyDescent="0.25">
      <c r="A459">
        <v>459</v>
      </c>
      <c r="B459" t="s">
        <v>1110</v>
      </c>
      <c r="C459" t="s">
        <v>768</v>
      </c>
      <c r="D459">
        <v>5</v>
      </c>
      <c r="E459" t="s">
        <v>1098</v>
      </c>
      <c r="F459" s="2" t="d">
        <v>2017-08-04</v>
      </c>
      <c r="G459" t="s">
        <v>205</v>
      </c>
      <c r="H459">
        <v>5.5</v>
      </c>
      <c r="J459">
        <v>8.7999999999999995E-2</v>
      </c>
      <c r="K459">
        <v>24</v>
      </c>
      <c r="L459">
        <f t="shared" si="64"/>
        <v>5.7019906662654751</v>
      </c>
      <c r="R459" t="s">
        <v>1107</v>
      </c>
      <c r="S459" t="s">
        <v>144</v>
      </c>
      <c r="T459">
        <v>63.6</v>
      </c>
      <c r="U459">
        <v>26.57</v>
      </c>
      <c r="V459">
        <f t="shared" si="67"/>
        <v>1327.2066572135047</v>
      </c>
      <c r="W459">
        <f t="shared" si="68"/>
        <v>1327.2066572135047</v>
      </c>
      <c r="X459">
        <v>0.35</v>
      </c>
      <c r="Y459">
        <v>0.33</v>
      </c>
      <c r="Z459">
        <v>0.27</v>
      </c>
      <c r="AA459">
        <f t="shared" si="63"/>
        <v>64.795348480289491</v>
      </c>
    </row>
    <row r="460" spans="1:27" x14ac:dyDescent="0.25">
      <c r="A460">
        <v>460</v>
      </c>
      <c r="B460" t="s">
        <v>1111</v>
      </c>
      <c r="C460" t="s">
        <v>554</v>
      </c>
      <c r="D460">
        <v>5</v>
      </c>
      <c r="E460" t="s">
        <v>555</v>
      </c>
      <c r="F460" s="2" t="d">
        <v>2017-08-04</v>
      </c>
      <c r="G460" t="s">
        <v>205</v>
      </c>
      <c r="H460">
        <v>9.6999999999999993</v>
      </c>
      <c r="J460">
        <v>5.2999999999999999E-2</v>
      </c>
      <c r="K460">
        <v>10</v>
      </c>
      <c r="L460">
        <f t="shared" si="64"/>
        <v>7.38981131940659</v>
      </c>
      <c r="R460" t="s">
        <v>1107</v>
      </c>
      <c r="S460" t="s">
        <v>144</v>
      </c>
      <c r="T460">
        <v>137.27000000000001</v>
      </c>
      <c r="U460">
        <v>85.96</v>
      </c>
      <c r="V460">
        <f t="shared" si="67"/>
        <v>9267.4856422672419</v>
      </c>
      <c r="W460">
        <f t="shared" si="68"/>
        <v>9267.4856422672419</v>
      </c>
      <c r="X460">
        <v>0.46</v>
      </c>
      <c r="Y460">
        <v>0.49</v>
      </c>
      <c r="Z460">
        <v>0.4</v>
      </c>
      <c r="AA460">
        <f t="shared" si="63"/>
        <v>139.43040225295454</v>
      </c>
    </row>
    <row r="461" spans="1:27" x14ac:dyDescent="0.25">
      <c r="A461">
        <v>461</v>
      </c>
      <c r="B461" t="s">
        <v>1112</v>
      </c>
      <c r="C461" t="s">
        <v>898</v>
      </c>
      <c r="D461">
        <v>5</v>
      </c>
      <c r="E461" t="s">
        <v>899</v>
      </c>
      <c r="F461" s="2" t="d">
        <v>2017-08-04</v>
      </c>
      <c r="G461" t="s">
        <v>205</v>
      </c>
      <c r="H461">
        <v>9.6999999999999993</v>
      </c>
      <c r="J461">
        <v>8.6999999999999994E-2</v>
      </c>
      <c r="K461">
        <v>10</v>
      </c>
      <c r="L461">
        <f t="shared" si="64"/>
        <v>7.38981131940659</v>
      </c>
      <c r="R461" t="s">
        <v>1107</v>
      </c>
      <c r="S461" t="s">
        <v>144</v>
      </c>
      <c r="T461">
        <v>128.07</v>
      </c>
      <c r="U461">
        <v>79.150000000000006</v>
      </c>
      <c r="V461">
        <f t="shared" si="67"/>
        <v>7961.3773715365314</v>
      </c>
      <c r="W461">
        <f t="shared" si="68"/>
        <v>7961.3773715365314</v>
      </c>
      <c r="X461">
        <v>0.43</v>
      </c>
      <c r="Y461">
        <v>0.45</v>
      </c>
      <c r="Z461">
        <v>0.44</v>
      </c>
      <c r="AA461">
        <f t="shared" si="63"/>
        <v>84.9403599931792</v>
      </c>
    </row>
    <row r="462" spans="1:27" x14ac:dyDescent="0.25">
      <c r="A462">
        <v>462</v>
      </c>
      <c r="B462" t="s">
        <v>1113</v>
      </c>
      <c r="C462" t="s">
        <v>891</v>
      </c>
      <c r="D462">
        <v>5</v>
      </c>
      <c r="E462" t="s">
        <v>892</v>
      </c>
      <c r="F462" s="2" t="d">
        <v>2017-08-04</v>
      </c>
      <c r="G462" t="s">
        <v>205</v>
      </c>
      <c r="H462">
        <v>9.6999999999999993</v>
      </c>
      <c r="J462">
        <v>8.1000000000000003E-2</v>
      </c>
      <c r="K462">
        <v>10</v>
      </c>
      <c r="L462">
        <f t="shared" si="64"/>
        <v>7.38981131940659</v>
      </c>
      <c r="R462" t="s">
        <v>1107</v>
      </c>
      <c r="S462" t="s">
        <v>144</v>
      </c>
      <c r="T462">
        <v>89.67</v>
      </c>
      <c r="U462">
        <v>87.21</v>
      </c>
      <c r="V462">
        <f t="shared" si="67"/>
        <v>6141.908435326367</v>
      </c>
      <c r="W462">
        <f t="shared" si="68"/>
        <v>6141.908435326367</v>
      </c>
      <c r="X462">
        <v>0.47</v>
      </c>
      <c r="Y462">
        <v>0.42</v>
      </c>
      <c r="Z462">
        <v>0.47</v>
      </c>
      <c r="AA462">
        <f t="shared" si="63"/>
        <v>91.232238511192463</v>
      </c>
    </row>
    <row r="463" spans="1:27" x14ac:dyDescent="0.25">
      <c r="A463">
        <v>463</v>
      </c>
      <c r="B463" t="s">
        <v>1114</v>
      </c>
      <c r="C463" t="s">
        <v>1038</v>
      </c>
      <c r="D463">
        <v>4</v>
      </c>
      <c r="E463" t="s">
        <v>1039</v>
      </c>
      <c r="F463" s="2" t="d">
        <v>2017-08-04</v>
      </c>
      <c r="G463" t="s">
        <v>204</v>
      </c>
      <c r="H463" t="s">
        <v>144</v>
      </c>
      <c r="J463">
        <v>0.10100000000000001</v>
      </c>
      <c r="K463" t="s">
        <v>144</v>
      </c>
      <c r="L463" t="e">
        <f t="shared" si="64"/>
        <v>#VALUE!</v>
      </c>
      <c r="R463" t="s">
        <v>1107</v>
      </c>
      <c r="S463" t="s">
        <v>144</v>
      </c>
      <c r="T463">
        <v>24.67</v>
      </c>
      <c r="U463">
        <v>11.51</v>
      </c>
      <c r="V463">
        <f t="shared" si="67"/>
        <v>223.01514367358322</v>
      </c>
      <c r="W463">
        <f t="shared" si="68"/>
        <v>223.01514367358322</v>
      </c>
      <c r="X463">
        <v>0.43</v>
      </c>
      <c r="Y463">
        <v>0.52</v>
      </c>
      <c r="Z463">
        <v>0.51</v>
      </c>
      <c r="AA463" t="e">
        <f t="shared" si="63"/>
        <v>#VALUE!</v>
      </c>
    </row>
    <row r="464" spans="1:27" x14ac:dyDescent="0.25">
      <c r="A464">
        <v>464</v>
      </c>
      <c r="B464" t="s">
        <v>1115</v>
      </c>
      <c r="C464" t="s">
        <v>1038</v>
      </c>
      <c r="D464">
        <v>5</v>
      </c>
      <c r="E464" t="s">
        <v>1039</v>
      </c>
      <c r="F464" s="2" t="d">
        <v>2017-08-04</v>
      </c>
      <c r="G464" t="s">
        <v>204</v>
      </c>
      <c r="H464" t="s">
        <v>144</v>
      </c>
      <c r="J464">
        <v>0.17899999999999999</v>
      </c>
      <c r="K464" t="s">
        <v>144</v>
      </c>
      <c r="L464" t="e">
        <f t="shared" si="64"/>
        <v>#VALUE!</v>
      </c>
      <c r="R464" t="s">
        <v>1107</v>
      </c>
      <c r="S464" t="s">
        <v>144</v>
      </c>
      <c r="T464">
        <v>29.91</v>
      </c>
      <c r="U464">
        <v>15.96</v>
      </c>
      <c r="V464">
        <f t="shared" si="67"/>
        <v>374.92049471279415</v>
      </c>
      <c r="W464">
        <f t="shared" si="68"/>
        <v>374.92049471279415</v>
      </c>
      <c r="X464">
        <v>0.49</v>
      </c>
      <c r="Y464">
        <v>0.49</v>
      </c>
      <c r="Z464">
        <v>0.6</v>
      </c>
      <c r="AA464" t="e">
        <f t="shared" si="63"/>
        <v>#VALUE!</v>
      </c>
    </row>
    <row r="465" spans="1:27" x14ac:dyDescent="0.25">
      <c r="A465">
        <v>465</v>
      </c>
      <c r="B465" t="s">
        <v>1124</v>
      </c>
      <c r="C465" t="s">
        <v>603</v>
      </c>
      <c r="D465">
        <v>4</v>
      </c>
      <c r="E465" t="s">
        <v>604</v>
      </c>
      <c r="F465" s="2" t="d">
        <v>2017-08-05</v>
      </c>
      <c r="G465" t="s">
        <v>205</v>
      </c>
      <c r="H465">
        <v>9.6999999999999993</v>
      </c>
      <c r="J465">
        <v>6.6000000000000003E-2</v>
      </c>
      <c r="K465">
        <v>10</v>
      </c>
      <c r="L465">
        <f t="shared" si="64"/>
        <v>7.38981131940659</v>
      </c>
      <c r="R465" t="s">
        <v>208</v>
      </c>
      <c r="S465" t="s">
        <v>144</v>
      </c>
      <c r="T465">
        <v>48.44</v>
      </c>
      <c r="U465">
        <v>25.35</v>
      </c>
      <c r="V465">
        <f t="shared" si="67"/>
        <v>964.43281633655022</v>
      </c>
      <c r="W465">
        <f t="shared" si="68"/>
        <v>964.43281633655022</v>
      </c>
      <c r="X465">
        <v>0.2</v>
      </c>
      <c r="Y465">
        <v>0.2</v>
      </c>
      <c r="Z465">
        <v>0.19</v>
      </c>
      <c r="AA465">
        <f t="shared" si="63"/>
        <v>111.96683817282711</v>
      </c>
    </row>
    <row r="466" spans="1:27" x14ac:dyDescent="0.25">
      <c r="A466">
        <v>466</v>
      </c>
      <c r="B466" t="s">
        <v>1123</v>
      </c>
      <c r="C466" t="s">
        <v>603</v>
      </c>
      <c r="D466">
        <v>5</v>
      </c>
      <c r="E466" t="s">
        <v>604</v>
      </c>
      <c r="F466" s="2" t="d">
        <v>2017-08-05</v>
      </c>
      <c r="G466" t="s">
        <v>205</v>
      </c>
      <c r="H466">
        <v>9.6999999999999993</v>
      </c>
      <c r="J466">
        <v>6.9000000000000006E-2</v>
      </c>
      <c r="K466">
        <v>10</v>
      </c>
      <c r="L466">
        <f t="shared" si="64"/>
        <v>7.38981131940659</v>
      </c>
      <c r="R466" t="s">
        <v>208</v>
      </c>
      <c r="S466" t="s">
        <v>144</v>
      </c>
      <c r="T466">
        <v>64.08</v>
      </c>
      <c r="U466">
        <v>29.31</v>
      </c>
      <c r="V466">
        <f t="shared" si="67"/>
        <v>1475.1228924410036</v>
      </c>
      <c r="W466">
        <f t="shared" si="68"/>
        <v>1475.1228924410036</v>
      </c>
      <c r="X466">
        <v>0.25</v>
      </c>
      <c r="Y466">
        <v>0.24</v>
      </c>
      <c r="Z466">
        <v>0.25</v>
      </c>
      <c r="AA466">
        <f t="shared" si="63"/>
        <v>107.09871477400854</v>
      </c>
    </row>
    <row r="467" spans="1:27" x14ac:dyDescent="0.25">
      <c r="A467">
        <v>467</v>
      </c>
      <c r="B467" t="s">
        <v>1122</v>
      </c>
      <c r="C467" t="s">
        <v>1117</v>
      </c>
      <c r="D467">
        <v>5</v>
      </c>
      <c r="E467" t="s">
        <v>1118</v>
      </c>
      <c r="F467" s="2" t="d">
        <v>2017-08-05</v>
      </c>
      <c r="G467" t="s">
        <v>205</v>
      </c>
      <c r="H467">
        <v>9.6999999999999993</v>
      </c>
      <c r="J467">
        <v>5.7000000000000002E-2</v>
      </c>
      <c r="K467">
        <v>10</v>
      </c>
      <c r="L467">
        <f t="shared" si="64"/>
        <v>7.38981131940659</v>
      </c>
      <c r="R467" t="s">
        <v>208</v>
      </c>
      <c r="S467" t="s">
        <v>144</v>
      </c>
      <c r="T467">
        <f>153.66+10.54</f>
        <v>164.2</v>
      </c>
      <c r="U467">
        <v>105.48</v>
      </c>
      <c r="V467">
        <f t="shared" si="67"/>
        <v>13602.951676781739</v>
      </c>
      <c r="W467">
        <f t="shared" si="68"/>
        <v>13602.951676781739</v>
      </c>
      <c r="X467">
        <v>0.47</v>
      </c>
      <c r="Y467">
        <v>0.37</v>
      </c>
      <c r="Z467">
        <v>0.42</v>
      </c>
      <c r="AA467">
        <f t="shared" si="63"/>
        <v>129.64581262116823</v>
      </c>
    </row>
    <row r="468" spans="1:27" x14ac:dyDescent="0.25">
      <c r="A468">
        <v>468</v>
      </c>
      <c r="B468" t="s">
        <v>1121</v>
      </c>
      <c r="C468" t="s">
        <v>1117</v>
      </c>
      <c r="D468">
        <v>4</v>
      </c>
      <c r="E468" t="s">
        <v>1118</v>
      </c>
      <c r="F468" s="2" t="d">
        <v>2017-08-05</v>
      </c>
      <c r="G468" t="s">
        <v>205</v>
      </c>
      <c r="H468">
        <v>9.6999999999999993</v>
      </c>
      <c r="J468">
        <v>4.9000000000000002E-2</v>
      </c>
      <c r="K468">
        <v>10</v>
      </c>
      <c r="L468">
        <f t="shared" si="64"/>
        <v>7.38981131940659</v>
      </c>
      <c r="R468" t="s">
        <v>208</v>
      </c>
      <c r="S468" t="s">
        <v>144</v>
      </c>
      <c r="T468">
        <f>154+46.7</f>
        <v>200.7</v>
      </c>
      <c r="U468">
        <v>102.15</v>
      </c>
      <c r="V468">
        <f t="shared" si="67"/>
        <v>16101.844373883603</v>
      </c>
      <c r="W468">
        <f t="shared" si="68"/>
        <v>16101.844373883603</v>
      </c>
      <c r="X468">
        <v>0.53</v>
      </c>
      <c r="Y468">
        <v>0.4</v>
      </c>
      <c r="Z468">
        <v>0.41</v>
      </c>
      <c r="AA468">
        <f t="shared" si="63"/>
        <v>150.81247590625694</v>
      </c>
    </row>
    <row r="469" spans="1:27" x14ac:dyDescent="0.25">
      <c r="A469">
        <v>469</v>
      </c>
      <c r="B469" t="s">
        <v>1120</v>
      </c>
      <c r="C469" t="s">
        <v>1117</v>
      </c>
      <c r="D469">
        <v>3</v>
      </c>
      <c r="E469" t="s">
        <v>1118</v>
      </c>
      <c r="F469" s="2" t="d">
        <v>2017-08-05</v>
      </c>
      <c r="G469" t="s">
        <v>205</v>
      </c>
      <c r="H469">
        <v>9.6999999999999993</v>
      </c>
      <c r="J469">
        <v>5.1999999999999998E-2</v>
      </c>
      <c r="K469">
        <v>10</v>
      </c>
      <c r="L469">
        <f t="shared" si="64"/>
        <v>7.38981131940659</v>
      </c>
      <c r="R469" t="s">
        <v>208</v>
      </c>
      <c r="S469" t="s">
        <v>144</v>
      </c>
      <c r="T469">
        <f>154+16.71</f>
        <v>170.71</v>
      </c>
      <c r="U469">
        <v>90.24</v>
      </c>
      <c r="V469">
        <f t="shared" si="67"/>
        <v>12098.956919535714</v>
      </c>
      <c r="W469">
        <f t="shared" si="68"/>
        <v>12098.956919535714</v>
      </c>
      <c r="X469">
        <v>0.48</v>
      </c>
      <c r="Y469">
        <v>0.43</v>
      </c>
      <c r="Z469">
        <v>0.39</v>
      </c>
      <c r="AA469">
        <f t="shared" si="63"/>
        <v>142.11175614243442</v>
      </c>
    </row>
    <row r="470" spans="1:27" x14ac:dyDescent="0.25">
      <c r="A470">
        <v>470</v>
      </c>
      <c r="B470" t="s">
        <v>1119</v>
      </c>
      <c r="C470" t="s">
        <v>1117</v>
      </c>
      <c r="D470">
        <v>2</v>
      </c>
      <c r="E470" t="s">
        <v>1118</v>
      </c>
      <c r="F470" s="2" t="d">
        <v>2017-08-05</v>
      </c>
      <c r="G470" t="s">
        <v>205</v>
      </c>
      <c r="H470">
        <v>9.6999999999999993</v>
      </c>
      <c r="J470">
        <v>0.06</v>
      </c>
      <c r="K470">
        <v>10</v>
      </c>
      <c r="L470">
        <f t="shared" si="64"/>
        <v>7.38981131940659</v>
      </c>
      <c r="R470" t="s">
        <v>208</v>
      </c>
      <c r="S470" t="s">
        <v>144</v>
      </c>
      <c r="T470">
        <f>154+24.84</f>
        <v>178.84</v>
      </c>
      <c r="U470">
        <v>83.96</v>
      </c>
      <c r="V470">
        <f t="shared" si="67"/>
        <v>11793.07260922629</v>
      </c>
      <c r="W470">
        <f t="shared" si="68"/>
        <v>11793.07260922629</v>
      </c>
      <c r="X470">
        <v>0.34</v>
      </c>
      <c r="Y470">
        <v>0.33</v>
      </c>
      <c r="Z470">
        <v>0.34</v>
      </c>
      <c r="AA470">
        <f t="shared" si="63"/>
        <v>123.16352199010984</v>
      </c>
    </row>
    <row r="471" spans="1:27" x14ac:dyDescent="0.25">
      <c r="A471">
        <v>471</v>
      </c>
      <c r="B471" t="s">
        <v>1116</v>
      </c>
      <c r="C471" t="s">
        <v>1117</v>
      </c>
      <c r="D471">
        <v>1</v>
      </c>
      <c r="E471" t="s">
        <v>1118</v>
      </c>
      <c r="F471" s="2" t="d">
        <v>2017-08-05</v>
      </c>
      <c r="G471" t="s">
        <v>205</v>
      </c>
      <c r="H471">
        <v>9.6999999999999993</v>
      </c>
      <c r="J471">
        <v>6.4000000000000001E-2</v>
      </c>
      <c r="K471">
        <v>10</v>
      </c>
      <c r="L471">
        <f t="shared" si="64"/>
        <v>7.38981131940659</v>
      </c>
      <c r="R471" t="s">
        <v>208</v>
      </c>
      <c r="S471" t="s">
        <v>144</v>
      </c>
      <c r="T471">
        <f>154+54.25</f>
        <v>208.25</v>
      </c>
      <c r="U471">
        <v>106.94</v>
      </c>
      <c r="V471">
        <f t="shared" si="67"/>
        <v>17491.017375392839</v>
      </c>
      <c r="W471">
        <f t="shared" si="68"/>
        <v>17491.017375392839</v>
      </c>
      <c r="X471">
        <v>0.37</v>
      </c>
      <c r="Y471">
        <v>0.41</v>
      </c>
      <c r="Z471">
        <v>0.34</v>
      </c>
      <c r="AA471">
        <f t="shared" si="63"/>
        <v>115.46580186572797</v>
      </c>
    </row>
    <row r="472" spans="1:27" x14ac:dyDescent="0.25">
      <c r="A472">
        <v>472</v>
      </c>
      <c r="B472" t="s">
        <v>1144</v>
      </c>
      <c r="C472" t="s">
        <v>447</v>
      </c>
      <c r="D472">
        <v>4</v>
      </c>
      <c r="E472" t="s">
        <v>448</v>
      </c>
      <c r="F472" s="2" t="d">
        <v>2017-08-08</v>
      </c>
      <c r="G472" t="s">
        <v>205</v>
      </c>
      <c r="H472">
        <v>7.1</v>
      </c>
      <c r="J472">
        <v>4.9000000000000002E-2</v>
      </c>
      <c r="K472">
        <v>10</v>
      </c>
      <c r="L472">
        <f t="shared" si="64"/>
        <v>3.9591921416865365</v>
      </c>
      <c r="R472" t="s">
        <v>214</v>
      </c>
      <c r="S472">
        <v>5</v>
      </c>
      <c r="T472">
        <v>95.87</v>
      </c>
      <c r="U472">
        <v>26.54</v>
      </c>
      <c r="V472">
        <f t="shared" si="67"/>
        <v>1998.3590758872008</v>
      </c>
      <c r="W472">
        <f t="shared" si="68"/>
        <v>9991.7953794360037</v>
      </c>
      <c r="X472">
        <v>0.24</v>
      </c>
      <c r="Y472">
        <v>0.27</v>
      </c>
      <c r="Z472">
        <v>0.27</v>
      </c>
      <c r="AA472">
        <f t="shared" si="63"/>
        <v>80.799839626255846</v>
      </c>
    </row>
    <row r="473" spans="1:27" x14ac:dyDescent="0.25">
      <c r="A473">
        <v>473</v>
      </c>
      <c r="B473" t="s">
        <v>1145</v>
      </c>
      <c r="C473" t="s">
        <v>447</v>
      </c>
      <c r="D473">
        <v>5</v>
      </c>
      <c r="E473" t="s">
        <v>448</v>
      </c>
      <c r="F473" s="2" t="d">
        <v>2017-08-08</v>
      </c>
      <c r="G473" t="s">
        <v>205</v>
      </c>
      <c r="H473">
        <v>7.1</v>
      </c>
      <c r="J473">
        <v>4.2000000000000003E-2</v>
      </c>
      <c r="K473">
        <v>10</v>
      </c>
      <c r="L473">
        <f t="shared" si="64"/>
        <v>3.9591921416865365</v>
      </c>
      <c r="R473" t="s">
        <v>214</v>
      </c>
      <c r="S473">
        <v>5</v>
      </c>
      <c r="T473">
        <v>124.39</v>
      </c>
      <c r="U473">
        <v>35.369999999999997</v>
      </c>
      <c r="V473">
        <f t="shared" si="67"/>
        <v>3455.4961147669537</v>
      </c>
      <c r="W473">
        <f t="shared" si="68"/>
        <v>17277.480573834768</v>
      </c>
      <c r="X473">
        <v>0.21</v>
      </c>
      <c r="Y473">
        <v>0.21</v>
      </c>
      <c r="Z473">
        <v>0.2</v>
      </c>
      <c r="AA473">
        <f t="shared" si="63"/>
        <v>94.266479563965149</v>
      </c>
    </row>
  </sheetData>
  <autoFilter ref="A1:AB453">
    <sortState ref="A2:AB439">
      <sortCondition ref="A1:A439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474"/>
  <sheetViews>
    <sheetView tabSelected="1" zoomScaleNormal="100" workbookViewId="0">
      <pane ySplit="1" topLeftCell="A2" activePane="bottomLeft" state="frozen"/>
      <selection activeCell="A349" sqref="A349"/>
      <selection pane="bottomLeft" activeCell="B2" sqref="B2"/>
    </sheetView>
  </sheetViews>
  <sheetFormatPr defaultRowHeight="15" x14ac:dyDescent="0.25"/>
  <cols>
    <col min="2" max="2" width="11" bestFit="1" customWidth="1"/>
    <col min="3" max="4" width="11" customWidth="1"/>
    <col min="5" max="5" width="27.28515625" customWidth="1"/>
    <col min="6" max="6" width="12.28515625" hidden="1" customWidth="1"/>
    <col min="7" max="7" width="14.7109375" hidden="1" customWidth="1"/>
    <col min="8" max="8" width="5.28515625" customWidth="1"/>
    <col min="9" max="10" width="14.7109375" customWidth="1"/>
    <col min="11" max="12" width="18.28515625" customWidth="1"/>
    <col min="13" max="13" width="18.42578125" customWidth="1"/>
    <col min="14" max="14" width="9.140625" customWidth="1"/>
    <col min="15" max="15" width="14.7109375" bestFit="1" customWidth="1"/>
    <col min="16" max="16" width="11.7109375" customWidth="1"/>
    <col min="17" max="17" width="16.85546875" customWidth="1"/>
    <col min="18" max="18" width="14.140625" customWidth="1"/>
  </cols>
  <sheetData>
    <row r="1" spans="1:19" x14ac:dyDescent="0.25">
      <c r="A1" t="s">
        <v>984</v>
      </c>
      <c r="B1" t="s">
        <v>342</v>
      </c>
      <c r="C1" t="s">
        <v>0</v>
      </c>
      <c r="D1" t="s">
        <v>343</v>
      </c>
      <c r="E1" t="s">
        <v>1</v>
      </c>
      <c r="F1" t="s">
        <v>145</v>
      </c>
      <c r="G1" t="s">
        <v>146</v>
      </c>
      <c r="H1" t="s">
        <v>136</v>
      </c>
      <c r="I1" t="s">
        <v>322</v>
      </c>
      <c r="J1" t="s">
        <v>323</v>
      </c>
      <c r="K1" t="s">
        <v>324</v>
      </c>
      <c r="L1" t="s">
        <v>331</v>
      </c>
      <c r="M1" t="s">
        <v>140</v>
      </c>
      <c r="N1" t="s">
        <v>147</v>
      </c>
      <c r="O1" t="s">
        <v>139</v>
      </c>
      <c r="P1" t="s">
        <v>143</v>
      </c>
      <c r="Q1" t="s">
        <v>142</v>
      </c>
      <c r="R1" t="s">
        <v>559</v>
      </c>
      <c r="S1" t="s">
        <v>337</v>
      </c>
    </row>
    <row r="2" spans="1:19" x14ac:dyDescent="0.25">
      <c r="A2">
        <v>1</v>
      </c>
      <c r="B2" t="s">
        <v>27</v>
      </c>
      <c r="C2" t="s">
        <v>356</v>
      </c>
      <c r="E2" t="s">
        <v>336</v>
      </c>
      <c r="F2">
        <v>8.6199999999999992</v>
      </c>
      <c r="G2">
        <v>5.0999999999999996</v>
      </c>
      <c r="H2" t="s">
        <v>137</v>
      </c>
      <c r="I2">
        <v>6.27</v>
      </c>
      <c r="J2">
        <v>4.51</v>
      </c>
      <c r="K2">
        <f>(I2-J2)/2</f>
        <v>0.87999999999999989</v>
      </c>
      <c r="L2">
        <f>K2/I2</f>
        <v>0.14035087719298245</v>
      </c>
      <c r="N2">
        <v>1.6E-2</v>
      </c>
      <c r="O2">
        <f>(3.14159*((G2/2)*2) * F2)/1000</f>
        <v>0.13811057957999995</v>
      </c>
      <c r="P2">
        <v>8.4000000000000005E-2</v>
      </c>
      <c r="Q2">
        <f>P2/O2</f>
        <v>0.60820829407455623</v>
      </c>
    </row>
    <row r="3" spans="1:19" x14ac:dyDescent="0.25">
      <c r="A3">
        <v>2</v>
      </c>
      <c r="B3" t="s">
        <v>26</v>
      </c>
      <c r="C3" t="s">
        <v>350</v>
      </c>
      <c r="E3" t="s">
        <v>17</v>
      </c>
      <c r="F3">
        <v>5.5</v>
      </c>
      <c r="G3">
        <v>5.0999999999999996</v>
      </c>
      <c r="H3" t="s">
        <v>137</v>
      </c>
      <c r="I3">
        <v>11.63</v>
      </c>
      <c r="J3">
        <v>4.75</v>
      </c>
      <c r="K3">
        <f>(I3-J3)/2</f>
        <v>3.4400000000000004</v>
      </c>
      <c r="L3">
        <f>K3/I3</f>
        <v>0.295786758383491</v>
      </c>
      <c r="N3">
        <v>1.6E-2</v>
      </c>
      <c r="O3">
        <f>(3.14159*((G3/2)*2) * F3)/1000</f>
        <v>8.8121599499999995E-2</v>
      </c>
      <c r="P3">
        <v>5.1999999999999998E-2</v>
      </c>
      <c r="Q3">
        <f>P3/O3</f>
        <v>0.59009369206921847</v>
      </c>
    </row>
    <row r="4" spans="1:19" x14ac:dyDescent="0.25">
      <c r="A4">
        <v>3</v>
      </c>
      <c r="B4" t="s">
        <v>24</v>
      </c>
      <c r="C4" t="s">
        <v>354</v>
      </c>
      <c r="E4" t="s">
        <v>334</v>
      </c>
      <c r="F4">
        <v>5.01</v>
      </c>
      <c r="G4">
        <v>5.0999999999999996</v>
      </c>
      <c r="H4" t="s">
        <v>137</v>
      </c>
      <c r="I4">
        <v>6.62</v>
      </c>
      <c r="J4">
        <v>3.89</v>
      </c>
      <c r="K4">
        <f>(I4-J4)/2</f>
        <v>1.365</v>
      </c>
      <c r="L4">
        <f>K4/I4</f>
        <v>0.20619335347432025</v>
      </c>
      <c r="N4">
        <v>1.6E-2</v>
      </c>
      <c r="O4">
        <f>(3.14159*((G4/2)*2) * F4)/1000</f>
        <v>8.0270766089999987E-2</v>
      </c>
      <c r="P4">
        <v>3.7999999999999999E-2</v>
      </c>
      <c r="Q4">
        <f>P4/O4</f>
        <v>0.47339774928015771</v>
      </c>
    </row>
    <row r="5" spans="1:19" x14ac:dyDescent="0.25">
      <c r="A5">
        <v>4</v>
      </c>
      <c r="B5" t="s">
        <v>71</v>
      </c>
      <c r="C5" t="s">
        <v>351</v>
      </c>
      <c r="E5" t="s">
        <v>21</v>
      </c>
      <c r="F5">
        <v>20.61</v>
      </c>
      <c r="G5">
        <v>5.0999999999999996</v>
      </c>
      <c r="H5" t="s">
        <v>137</v>
      </c>
      <c r="I5">
        <v>8.99</v>
      </c>
      <c r="J5">
        <v>6.21</v>
      </c>
      <c r="K5">
        <f>(I5-J5)/2</f>
        <v>1.3900000000000001</v>
      </c>
      <c r="L5">
        <f>K5/I5</f>
        <v>0.1546162402669633</v>
      </c>
      <c r="N5">
        <v>1.6E-2</v>
      </c>
      <c r="O5">
        <f>(3.14159*((G5/2)*2) * F5)/1000</f>
        <v>0.33021566648999995</v>
      </c>
      <c r="P5">
        <v>0.13400000000000001</v>
      </c>
      <c r="Q5">
        <f>P5/O5</f>
        <v>0.40579540463461927</v>
      </c>
    </row>
    <row r="6" spans="1:19" x14ac:dyDescent="0.25">
      <c r="A6">
        <v>5</v>
      </c>
      <c r="B6" t="s">
        <v>72</v>
      </c>
      <c r="C6" t="s">
        <v>371</v>
      </c>
      <c r="E6" t="s">
        <v>73</v>
      </c>
      <c r="F6">
        <v>12</v>
      </c>
      <c r="G6">
        <v>5.0999999999999996</v>
      </c>
      <c r="H6" t="s">
        <v>137</v>
      </c>
      <c r="I6">
        <v>5.55</v>
      </c>
      <c r="J6">
        <v>3.55</v>
      </c>
      <c r="K6">
        <f>(I6-J6)/2</f>
        <v>1</v>
      </c>
      <c r="L6">
        <f>K6/I6</f>
        <v>0.1801801801801802</v>
      </c>
      <c r="N6">
        <v>1.6E-2</v>
      </c>
      <c r="O6">
        <f>(3.14159*((G6/2)*2) * F6)/1000</f>
        <v>0.19226530799999994</v>
      </c>
      <c r="P6">
        <v>9.5000000000000001E-2</v>
      </c>
      <c r="Q6">
        <f>P6/O6</f>
        <v>0.49410890081116471</v>
      </c>
    </row>
    <row r="7" spans="1:19" x14ac:dyDescent="0.25">
      <c r="A7">
        <v>6</v>
      </c>
      <c r="B7" t="s">
        <v>74</v>
      </c>
      <c r="C7" t="s">
        <v>357</v>
      </c>
      <c r="E7" t="s">
        <v>291</v>
      </c>
      <c r="F7">
        <v>26.81</v>
      </c>
      <c r="G7">
        <v>5.0999999999999996</v>
      </c>
      <c r="H7" t="s">
        <v>137</v>
      </c>
      <c r="I7">
        <v>7.19</v>
      </c>
      <c r="J7">
        <v>5.66</v>
      </c>
      <c r="K7">
        <f>(I7-J7)/2</f>
        <v>0.76500000000000012</v>
      </c>
      <c r="L7">
        <f>K7/I7</f>
        <v>0.10639777468706538</v>
      </c>
      <c r="N7">
        <v>1.6E-2</v>
      </c>
      <c r="O7">
        <f>(3.14159*((G7/2)*2) * F7)/1000</f>
        <v>0.4295527422899999</v>
      </c>
      <c r="P7">
        <v>0.15</v>
      </c>
      <c r="Q7">
        <f>P7/O7</f>
        <v>0.34920042460986528</v>
      </c>
    </row>
    <row r="8" spans="1:19" x14ac:dyDescent="0.25">
      <c r="A8">
        <v>7</v>
      </c>
      <c r="B8" t="s">
        <v>75</v>
      </c>
      <c r="C8" t="s">
        <v>345</v>
      </c>
      <c r="E8" t="s">
        <v>376</v>
      </c>
      <c r="F8">
        <v>50.05</v>
      </c>
      <c r="G8">
        <v>5.0999999999999996</v>
      </c>
      <c r="H8" t="s">
        <v>137</v>
      </c>
      <c r="I8">
        <v>8.99</v>
      </c>
      <c r="J8">
        <v>6.21</v>
      </c>
      <c r="K8">
        <f>(I8-J8)/2</f>
        <v>1.3900000000000001</v>
      </c>
      <c r="L8">
        <f>K8/I8</f>
        <v>0.1546162402669633</v>
      </c>
      <c r="N8">
        <v>1.6E-2</v>
      </c>
      <c r="O8">
        <f>(3.14159*((G8/2)*2) * F8)/1000</f>
        <v>0.80190655544999978</v>
      </c>
      <c r="P8">
        <v>0.46</v>
      </c>
      <c r="Q8">
        <f>P8/O8</f>
        <v>0.57363292128453214</v>
      </c>
    </row>
    <row r="9" spans="1:19" x14ac:dyDescent="0.25">
      <c r="A9">
        <v>8</v>
      </c>
      <c r="B9" t="s">
        <v>83</v>
      </c>
      <c r="C9" t="s">
        <v>652</v>
      </c>
      <c r="D9">
        <v>1</v>
      </c>
      <c r="E9" t="s">
        <v>653</v>
      </c>
      <c r="F9" t="s">
        <v>144</v>
      </c>
      <c r="G9" t="s">
        <v>144</v>
      </c>
      <c r="H9" t="s">
        <v>138</v>
      </c>
      <c r="I9">
        <v>4.76</v>
      </c>
      <c r="J9">
        <v>3.96</v>
      </c>
      <c r="K9">
        <f>(I9-J9)/2</f>
        <v>0.39999999999999991</v>
      </c>
      <c r="L9">
        <f>K9/I9</f>
        <v>8.403361344537813E-2</v>
      </c>
      <c r="M9">
        <f>0.302+0.27+0.343</f>
        <v>0.91500000000000004</v>
      </c>
      <c r="N9">
        <v>1.6E-2</v>
      </c>
      <c r="O9">
        <f>M9-N2</f>
        <v>0.89900000000000002</v>
      </c>
      <c r="P9">
        <v>0.52300000000000002</v>
      </c>
      <c r="Q9">
        <f>P9/O9</f>
        <v>0.58175750834260287</v>
      </c>
    </row>
    <row r="10" spans="1:19" x14ac:dyDescent="0.25">
      <c r="A10">
        <v>9</v>
      </c>
      <c r="B10" t="s">
        <v>81</v>
      </c>
      <c r="C10" t="s">
        <v>368</v>
      </c>
      <c r="E10" t="s">
        <v>318</v>
      </c>
      <c r="F10" t="s">
        <v>144</v>
      </c>
      <c r="G10" t="s">
        <v>144</v>
      </c>
      <c r="H10" t="s">
        <v>138</v>
      </c>
      <c r="I10">
        <v>5.95</v>
      </c>
      <c r="J10">
        <v>4.6399999999999997</v>
      </c>
      <c r="K10">
        <f>(I10-J10)/2</f>
        <v>0.65500000000000025</v>
      </c>
      <c r="L10">
        <f>K10/I10</f>
        <v>0.11008403361344542</v>
      </c>
      <c r="M10">
        <f>0.6+0.277</f>
        <v>0.877</v>
      </c>
      <c r="N10">
        <v>1.6E-2</v>
      </c>
      <c r="O10">
        <f>M10-N2</f>
        <v>0.86099999999999999</v>
      </c>
      <c r="P10">
        <v>0.74299999999999999</v>
      </c>
      <c r="Q10">
        <f>P10/O10</f>
        <v>0.86295005807200931</v>
      </c>
    </row>
    <row r="11" spans="1:19" x14ac:dyDescent="0.25">
      <c r="A11">
        <v>10</v>
      </c>
      <c r="B11" t="s">
        <v>88</v>
      </c>
      <c r="C11" t="s">
        <v>652</v>
      </c>
      <c r="D11">
        <v>2</v>
      </c>
      <c r="E11" t="s">
        <v>653</v>
      </c>
      <c r="F11" t="s">
        <v>144</v>
      </c>
      <c r="G11" t="s">
        <v>144</v>
      </c>
      <c r="H11" t="s">
        <v>138</v>
      </c>
      <c r="I11">
        <v>10.33</v>
      </c>
      <c r="J11">
        <v>9.0299999999999994</v>
      </c>
      <c r="K11">
        <f>(I11-J11)/2</f>
        <v>0.65000000000000036</v>
      </c>
      <c r="L11">
        <f>K11/I11</f>
        <v>6.2923523717328206E-2</v>
      </c>
      <c r="M11">
        <v>2.9049999999999998</v>
      </c>
      <c r="N11">
        <v>1.6E-2</v>
      </c>
      <c r="O11">
        <f>M11-N2</f>
        <v>2.8889999999999998</v>
      </c>
      <c r="P11">
        <v>1.339</v>
      </c>
      <c r="Q11">
        <f>P11/O11</f>
        <v>0.46348217376254763</v>
      </c>
    </row>
    <row r="12" spans="1:19" x14ac:dyDescent="0.25">
      <c r="A12">
        <v>11</v>
      </c>
      <c r="B12" t="s">
        <v>77</v>
      </c>
      <c r="C12" t="s">
        <v>359</v>
      </c>
      <c r="E12" t="s">
        <v>386</v>
      </c>
      <c r="F12">
        <v>11.96</v>
      </c>
      <c r="G12">
        <v>5.0999999999999996</v>
      </c>
      <c r="H12" t="s">
        <v>137</v>
      </c>
      <c r="I12">
        <v>7.61</v>
      </c>
      <c r="J12">
        <v>6.1</v>
      </c>
      <c r="K12">
        <f>(I12-J12)/2</f>
        <v>0.75500000000000034</v>
      </c>
      <c r="L12">
        <f>K12/I12</f>
        <v>9.9211563731931712E-2</v>
      </c>
      <c r="M12">
        <v>0.2</v>
      </c>
      <c r="N12">
        <v>1.6E-2</v>
      </c>
      <c r="O12">
        <f>(3.14159*((G12/2)^2) * F12)/1000</f>
        <v>0.24432114014100001</v>
      </c>
      <c r="P12">
        <v>0.14699999999999999</v>
      </c>
      <c r="Q12">
        <f>P12/O12</f>
        <v>0.60166713332773791</v>
      </c>
    </row>
    <row r="13" spans="1:19" x14ac:dyDescent="0.25">
      <c r="A13">
        <v>12</v>
      </c>
      <c r="B13" t="s">
        <v>89</v>
      </c>
      <c r="C13" t="s">
        <v>371</v>
      </c>
      <c r="E13" t="s">
        <v>270</v>
      </c>
      <c r="F13">
        <v>11.67</v>
      </c>
      <c r="G13">
        <v>5.15</v>
      </c>
      <c r="H13" t="s">
        <v>137</v>
      </c>
      <c r="I13">
        <v>4.75</v>
      </c>
      <c r="J13">
        <v>3.59</v>
      </c>
      <c r="K13">
        <f>(I13-J13)/2</f>
        <v>0.58000000000000007</v>
      </c>
      <c r="L13">
        <f>K13/I13</f>
        <v>0.12210526315789476</v>
      </c>
      <c r="M13">
        <v>0.17499999999999999</v>
      </c>
      <c r="N13">
        <v>1.6E-2</v>
      </c>
      <c r="O13">
        <f>(3.14159*((G13/2)^2) * F13)/1000</f>
        <v>0.24309432961106253</v>
      </c>
      <c r="P13">
        <v>0.13700000000000001</v>
      </c>
      <c r="Q13">
        <f>P13/O13</f>
        <v>0.56356723836048506</v>
      </c>
    </row>
    <row r="14" spans="1:19" x14ac:dyDescent="0.25">
      <c r="A14">
        <v>13</v>
      </c>
      <c r="B14" t="s">
        <v>87</v>
      </c>
      <c r="C14" t="s">
        <v>359</v>
      </c>
      <c r="E14" t="s">
        <v>386</v>
      </c>
      <c r="F14">
        <v>26.4</v>
      </c>
      <c r="G14">
        <v>5.0999999999999996</v>
      </c>
      <c r="H14" t="s">
        <v>137</v>
      </c>
      <c r="I14">
        <v>5.37</v>
      </c>
      <c r="J14">
        <v>3.52</v>
      </c>
      <c r="K14">
        <f>(I14-J14)/2</f>
        <v>0.92500000000000004</v>
      </c>
      <c r="L14">
        <f>K14/I14</f>
        <v>0.17225325884543763</v>
      </c>
      <c r="M14">
        <v>0.495</v>
      </c>
      <c r="N14">
        <v>1.6E-2</v>
      </c>
      <c r="O14">
        <f>(3.14159*((G14/2)^2) * F14)/1000</f>
        <v>0.53930418893999987</v>
      </c>
      <c r="P14">
        <v>0.38400000000000001</v>
      </c>
      <c r="Q14">
        <f>P14/O14</f>
        <v>0.7120285877154976</v>
      </c>
    </row>
    <row r="15" spans="1:19" x14ac:dyDescent="0.25">
      <c r="A15">
        <v>14</v>
      </c>
      <c r="B15" t="s">
        <v>85</v>
      </c>
      <c r="C15" t="s">
        <v>351</v>
      </c>
      <c r="E15" t="s">
        <v>21</v>
      </c>
      <c r="F15">
        <v>24.52</v>
      </c>
      <c r="G15">
        <v>5.16</v>
      </c>
      <c r="H15" t="s">
        <v>137</v>
      </c>
      <c r="I15">
        <v>5.91</v>
      </c>
      <c r="J15">
        <v>3.66</v>
      </c>
      <c r="K15">
        <f>(I15-J15)/2</f>
        <v>1.125</v>
      </c>
      <c r="L15">
        <f>K15/I15</f>
        <v>0.19035532994923857</v>
      </c>
      <c r="M15">
        <v>0.48299999999999998</v>
      </c>
      <c r="N15">
        <v>1.6E-2</v>
      </c>
      <c r="O15">
        <f>(3.14159*((G15/2)^2) * F15)/1000</f>
        <v>0.51275438565552012</v>
      </c>
      <c r="P15">
        <v>0.20399999999999999</v>
      </c>
      <c r="Q15">
        <f>P15/O15</f>
        <v>0.39785130211846059</v>
      </c>
    </row>
    <row r="16" spans="1:19" x14ac:dyDescent="0.25">
      <c r="A16">
        <v>15</v>
      </c>
      <c r="B16" t="s">
        <v>141</v>
      </c>
      <c r="C16" t="s">
        <v>366</v>
      </c>
      <c r="E16" t="s">
        <v>367</v>
      </c>
      <c r="F16">
        <v>59</v>
      </c>
      <c r="G16">
        <v>5.0999999999999996</v>
      </c>
      <c r="H16" t="s">
        <v>137</v>
      </c>
      <c r="I16">
        <v>6.34</v>
      </c>
      <c r="J16">
        <v>5.01</v>
      </c>
      <c r="K16">
        <f>(I16-J16)/2</f>
        <v>0.66500000000000004</v>
      </c>
      <c r="L16">
        <f>K16/I16</f>
        <v>0.10488958990536279</v>
      </c>
      <c r="M16">
        <v>1.1319999999999999</v>
      </c>
      <c r="N16">
        <v>1.6E-2</v>
      </c>
      <c r="O16">
        <f>(3.14159*((G16/2)^2) * F16)/1000</f>
        <v>1.2052631495249997</v>
      </c>
      <c r="P16">
        <v>0.68300000000000005</v>
      </c>
      <c r="Q16">
        <f>P16/O16</f>
        <v>0.56668122664264131</v>
      </c>
    </row>
    <row r="17" spans="1:17" x14ac:dyDescent="0.25">
      <c r="A17">
        <v>16</v>
      </c>
      <c r="B17" t="s">
        <v>119</v>
      </c>
      <c r="C17" t="s">
        <v>351</v>
      </c>
      <c r="E17" t="s">
        <v>21</v>
      </c>
      <c r="F17">
        <v>40</v>
      </c>
      <c r="G17">
        <v>5.0999999999999996</v>
      </c>
      <c r="H17" t="s">
        <v>137</v>
      </c>
      <c r="I17">
        <v>5.44</v>
      </c>
      <c r="J17">
        <v>3.68</v>
      </c>
      <c r="K17">
        <f>(I17-J17)/2</f>
        <v>0.88000000000000012</v>
      </c>
      <c r="L17">
        <f>K17/I17</f>
        <v>0.16176470588235295</v>
      </c>
      <c r="M17">
        <v>0.80400000000000005</v>
      </c>
      <c r="N17">
        <v>1.6E-2</v>
      </c>
      <c r="O17">
        <f>(3.14159*((G17/2)^2) * F17)/1000</f>
        <v>0.81712755899999989</v>
      </c>
      <c r="P17">
        <v>0.30599999999999999</v>
      </c>
      <c r="Q17">
        <f>P17/O17</f>
        <v>0.37448253535161946</v>
      </c>
    </row>
    <row r="18" spans="1:17" x14ac:dyDescent="0.25">
      <c r="A18">
        <v>17</v>
      </c>
      <c r="B18" t="s">
        <v>78</v>
      </c>
      <c r="C18" t="s">
        <v>365</v>
      </c>
      <c r="E18" t="s">
        <v>222</v>
      </c>
      <c r="F18">
        <v>34.79</v>
      </c>
      <c r="G18">
        <v>5.0999999999999996</v>
      </c>
      <c r="H18" t="s">
        <v>137</v>
      </c>
      <c r="I18">
        <v>6.37</v>
      </c>
      <c r="J18">
        <v>4.83</v>
      </c>
      <c r="K18">
        <f>(I18-J18)/2</f>
        <v>0.77</v>
      </c>
      <c r="L18">
        <f>K18/I18</f>
        <v>0.12087912087912088</v>
      </c>
      <c r="M18">
        <v>0.68300000000000005</v>
      </c>
      <c r="N18">
        <v>1.6E-2</v>
      </c>
      <c r="O18">
        <f>(3.14159*((G18/2)^2) * F18)/1000</f>
        <v>0.71069669444024985</v>
      </c>
      <c r="P18">
        <v>0.39</v>
      </c>
      <c r="Q18">
        <f>P18/O18</f>
        <v>0.54875730118199995</v>
      </c>
    </row>
    <row r="19" spans="1:17" x14ac:dyDescent="0.25">
      <c r="A19">
        <v>18</v>
      </c>
      <c r="B19" t="s">
        <v>212</v>
      </c>
      <c r="C19" t="s">
        <v>391</v>
      </c>
      <c r="E19" t="s">
        <v>325</v>
      </c>
      <c r="F19" t="s">
        <v>144</v>
      </c>
      <c r="G19" t="s">
        <v>144</v>
      </c>
      <c r="H19" t="s">
        <v>138</v>
      </c>
      <c r="I19">
        <v>6.35</v>
      </c>
      <c r="J19">
        <v>5.23</v>
      </c>
      <c r="K19">
        <f>(I19-J19)/2</f>
        <v>0.55999999999999961</v>
      </c>
      <c r="L19">
        <f>K19/I19</f>
        <v>8.8188976377952699E-2</v>
      </c>
      <c r="M19">
        <v>0.89700000000000002</v>
      </c>
      <c r="N19">
        <v>0.02</v>
      </c>
      <c r="O19">
        <f>M19-N19</f>
        <v>0.877</v>
      </c>
      <c r="P19">
        <v>0.46200000000000002</v>
      </c>
      <c r="Q19">
        <f>P19/O19</f>
        <v>0.52679589509692137</v>
      </c>
    </row>
    <row r="20" spans="1:17" x14ac:dyDescent="0.25">
      <c r="A20">
        <v>19</v>
      </c>
      <c r="B20" t="s">
        <v>307</v>
      </c>
      <c r="C20" t="s">
        <v>364</v>
      </c>
      <c r="E20" t="s">
        <v>232</v>
      </c>
      <c r="F20" t="s">
        <v>144</v>
      </c>
      <c r="G20" t="s">
        <v>144</v>
      </c>
      <c r="H20" t="s">
        <v>138</v>
      </c>
      <c r="I20">
        <v>11.81</v>
      </c>
      <c r="J20">
        <v>5.69</v>
      </c>
      <c r="K20">
        <f>(I20-J20)/2</f>
        <v>3.06</v>
      </c>
      <c r="L20">
        <f>K20/I20</f>
        <v>0.2591024555461473</v>
      </c>
      <c r="M20">
        <v>0.63200000000000001</v>
      </c>
      <c r="N20">
        <v>0.02</v>
      </c>
      <c r="O20">
        <f>M20-N20</f>
        <v>0.61199999999999999</v>
      </c>
      <c r="P20">
        <v>0.46200000000000002</v>
      </c>
      <c r="Q20">
        <f>P20/O20</f>
        <v>0.75490196078431382</v>
      </c>
    </row>
    <row r="21" spans="1:17" x14ac:dyDescent="0.25">
      <c r="A21">
        <v>20</v>
      </c>
      <c r="B21" t="s">
        <v>305</v>
      </c>
      <c r="C21" t="s">
        <v>402</v>
      </c>
      <c r="E21" t="s">
        <v>294</v>
      </c>
      <c r="F21" t="s">
        <v>144</v>
      </c>
      <c r="G21" t="s">
        <v>144</v>
      </c>
      <c r="H21" t="s">
        <v>138</v>
      </c>
      <c r="I21">
        <v>7.39</v>
      </c>
      <c r="J21">
        <v>6.33</v>
      </c>
      <c r="K21">
        <f>(I21-J21)/2</f>
        <v>0.5299999999999998</v>
      </c>
      <c r="L21">
        <f>K21/I21</f>
        <v>7.1718538565629208E-2</v>
      </c>
      <c r="M21">
        <v>0.96099999999999997</v>
      </c>
      <c r="N21">
        <v>0.02</v>
      </c>
      <c r="O21">
        <f>M21-N21</f>
        <v>0.94099999999999995</v>
      </c>
      <c r="P21">
        <v>0.69899999999999995</v>
      </c>
      <c r="Q21">
        <f>P21/O21</f>
        <v>0.74282678002125402</v>
      </c>
    </row>
    <row r="22" spans="1:17" x14ac:dyDescent="0.25">
      <c r="A22">
        <v>21</v>
      </c>
      <c r="B22" t="s">
        <v>306</v>
      </c>
      <c r="C22" t="s">
        <v>371</v>
      </c>
      <c r="E22" t="s">
        <v>270</v>
      </c>
      <c r="F22" t="s">
        <v>144</v>
      </c>
      <c r="G22" t="s">
        <v>144</v>
      </c>
      <c r="H22" t="s">
        <v>138</v>
      </c>
      <c r="I22">
        <v>11.93</v>
      </c>
      <c r="J22">
        <v>8.6199999999999992</v>
      </c>
      <c r="K22">
        <f>(I22-J22)/2</f>
        <v>1.6550000000000002</v>
      </c>
      <c r="L22">
        <f>K22/I22</f>
        <v>0.13872590108968988</v>
      </c>
      <c r="M22">
        <v>1.68</v>
      </c>
      <c r="N22">
        <v>0.02</v>
      </c>
      <c r="O22">
        <f>M22-N22</f>
        <v>1.66</v>
      </c>
      <c r="P22">
        <v>0.86</v>
      </c>
      <c r="Q22">
        <f>P22/O22</f>
        <v>0.51807228915662651</v>
      </c>
    </row>
    <row r="23" spans="1:17" x14ac:dyDescent="0.25">
      <c r="A23">
        <v>22</v>
      </c>
      <c r="B23" t="s">
        <v>304</v>
      </c>
      <c r="C23" t="s">
        <v>396</v>
      </c>
      <c r="E23" t="s">
        <v>245</v>
      </c>
      <c r="F23" t="s">
        <v>144</v>
      </c>
      <c r="G23" t="s">
        <v>144</v>
      </c>
      <c r="H23" t="s">
        <v>138</v>
      </c>
      <c r="I23">
        <v>9.65</v>
      </c>
      <c r="J23">
        <v>7.57</v>
      </c>
      <c r="K23">
        <f>(I23-J23)/2</f>
        <v>1.04</v>
      </c>
      <c r="L23">
        <f>K23/I23</f>
        <v>0.10777202072538861</v>
      </c>
      <c r="M23">
        <v>1.254</v>
      </c>
      <c r="N23">
        <v>0.02</v>
      </c>
      <c r="O23">
        <f>M23-N23</f>
        <v>1.234</v>
      </c>
      <c r="P23">
        <v>0.56599999999999995</v>
      </c>
      <c r="Q23">
        <f>P23/O23</f>
        <v>0.45867098865478118</v>
      </c>
    </row>
    <row r="24" spans="1:17" x14ac:dyDescent="0.25">
      <c r="A24">
        <v>23</v>
      </c>
      <c r="B24" t="s">
        <v>301</v>
      </c>
      <c r="C24" t="s">
        <v>393</v>
      </c>
      <c r="E24" t="s">
        <v>240</v>
      </c>
      <c r="F24" t="s">
        <v>144</v>
      </c>
      <c r="G24" t="s">
        <v>144</v>
      </c>
      <c r="H24" t="s">
        <v>138</v>
      </c>
      <c r="I24">
        <v>9.6300000000000008</v>
      </c>
      <c r="J24">
        <v>7.91</v>
      </c>
      <c r="K24">
        <f>(I24-J24)/2</f>
        <v>0.86000000000000032</v>
      </c>
      <c r="L24">
        <f>K24/I24</f>
        <v>8.9304257528556613E-2</v>
      </c>
      <c r="M24">
        <v>1.4079999999999999</v>
      </c>
      <c r="N24">
        <v>0.02</v>
      </c>
      <c r="O24">
        <f>M24-N24</f>
        <v>1.3879999999999999</v>
      </c>
      <c r="P24">
        <v>0.874</v>
      </c>
      <c r="Q24">
        <f>P24/O24</f>
        <v>0.62968299711815567</v>
      </c>
    </row>
    <row r="25" spans="1:17" x14ac:dyDescent="0.25">
      <c r="A25">
        <v>24</v>
      </c>
      <c r="B25" t="s">
        <v>295</v>
      </c>
      <c r="C25" t="s">
        <v>391</v>
      </c>
      <c r="E25" t="s">
        <v>325</v>
      </c>
      <c r="F25" t="s">
        <v>144</v>
      </c>
      <c r="G25" t="s">
        <v>144</v>
      </c>
      <c r="H25" t="s">
        <v>138</v>
      </c>
      <c r="I25">
        <v>7.72</v>
      </c>
      <c r="J25">
        <v>6.96</v>
      </c>
      <c r="K25">
        <f>(I25-J25)/2</f>
        <v>0.37999999999999989</v>
      </c>
      <c r="L25">
        <f>K25/I25</f>
        <v>4.9222797927461127E-2</v>
      </c>
      <c r="M25">
        <v>0.78700000000000003</v>
      </c>
      <c r="N25">
        <v>0.02</v>
      </c>
      <c r="O25">
        <f>M25-N25</f>
        <v>0.76700000000000002</v>
      </c>
      <c r="P25">
        <v>0.46500000000000002</v>
      </c>
      <c r="Q25">
        <f>P25/O25</f>
        <v>0.60625814863103</v>
      </c>
    </row>
    <row r="26" spans="1:17" x14ac:dyDescent="0.25">
      <c r="A26">
        <v>25</v>
      </c>
      <c r="B26" t="s">
        <v>300</v>
      </c>
      <c r="C26" t="s">
        <v>403</v>
      </c>
      <c r="E26" t="s">
        <v>297</v>
      </c>
      <c r="F26" t="s">
        <v>144</v>
      </c>
      <c r="G26" t="s">
        <v>144</v>
      </c>
      <c r="H26" t="s">
        <v>138</v>
      </c>
      <c r="I26">
        <v>8.18</v>
      </c>
      <c r="J26">
        <v>3.66</v>
      </c>
      <c r="K26">
        <f>(I26-J26)/2</f>
        <v>2.2599999999999998</v>
      </c>
      <c r="L26">
        <f>K26/I26</f>
        <v>0.27628361858190709</v>
      </c>
      <c r="M26">
        <v>0.41599999999999998</v>
      </c>
      <c r="N26">
        <v>0.02</v>
      </c>
      <c r="O26">
        <f>M26-N26</f>
        <v>0.39599999999999996</v>
      </c>
      <c r="P26">
        <v>0.21299999999999999</v>
      </c>
      <c r="Q26">
        <f>P26/O26</f>
        <v>0.53787878787878796</v>
      </c>
    </row>
    <row r="27" spans="1:17" x14ac:dyDescent="0.25">
      <c r="A27">
        <v>26</v>
      </c>
      <c r="B27" t="s">
        <v>298</v>
      </c>
      <c r="C27" t="s">
        <v>403</v>
      </c>
      <c r="E27" t="s">
        <v>297</v>
      </c>
      <c r="F27" t="s">
        <v>144</v>
      </c>
      <c r="G27" t="s">
        <v>144</v>
      </c>
      <c r="H27" t="s">
        <v>138</v>
      </c>
      <c r="I27">
        <v>12.06</v>
      </c>
      <c r="J27">
        <v>8.14</v>
      </c>
      <c r="K27">
        <f>(I27-J27)/2</f>
        <v>1.96</v>
      </c>
      <c r="L27">
        <f>K27/I27</f>
        <v>0.16252072968490877</v>
      </c>
      <c r="M27">
        <v>0.79500000000000004</v>
      </c>
      <c r="N27">
        <v>0.02</v>
      </c>
      <c r="O27">
        <f>M27-N27</f>
        <v>0.77500000000000002</v>
      </c>
      <c r="P27">
        <v>0.38500000000000001</v>
      </c>
      <c r="Q27">
        <f>P27/O27</f>
        <v>0.49677419354838709</v>
      </c>
    </row>
    <row r="28" spans="1:17" x14ac:dyDescent="0.25">
      <c r="A28">
        <v>27</v>
      </c>
      <c r="B28" t="s">
        <v>293</v>
      </c>
      <c r="C28" t="s">
        <v>402</v>
      </c>
      <c r="E28" t="s">
        <v>294</v>
      </c>
      <c r="F28" t="s">
        <v>144</v>
      </c>
      <c r="G28" t="s">
        <v>144</v>
      </c>
      <c r="H28" t="s">
        <v>138</v>
      </c>
      <c r="I28">
        <v>10.3</v>
      </c>
      <c r="J28">
        <v>9.09</v>
      </c>
      <c r="K28">
        <f>(I28-J28)/2</f>
        <v>0.60500000000000043</v>
      </c>
      <c r="L28">
        <f>K28/I28</f>
        <v>5.8737864077669941E-2</v>
      </c>
      <c r="M28">
        <v>1.649</v>
      </c>
      <c r="N28">
        <v>0.02</v>
      </c>
      <c r="O28">
        <f>M28-N28</f>
        <v>1.629</v>
      </c>
      <c r="P28">
        <v>0.94499999999999995</v>
      </c>
      <c r="Q28">
        <f>P28/O28</f>
        <v>0.58011049723756902</v>
      </c>
    </row>
    <row r="29" spans="1:17" x14ac:dyDescent="0.25">
      <c r="A29">
        <v>28</v>
      </c>
      <c r="B29" t="s">
        <v>105</v>
      </c>
      <c r="C29" t="s">
        <v>397</v>
      </c>
      <c r="E29" t="s">
        <v>326</v>
      </c>
      <c r="F29" t="s">
        <v>144</v>
      </c>
      <c r="G29" t="s">
        <v>144</v>
      </c>
      <c r="H29" t="s">
        <v>138</v>
      </c>
      <c r="I29">
        <v>6.73</v>
      </c>
      <c r="J29">
        <v>5.12</v>
      </c>
      <c r="K29">
        <f>(I29-J29)/2</f>
        <v>0.80500000000000016</v>
      </c>
      <c r="L29">
        <f>K29/I29</f>
        <v>0.11961367013372959</v>
      </c>
      <c r="M29">
        <v>0.73</v>
      </c>
      <c r="N29">
        <v>0.02</v>
      </c>
      <c r="O29">
        <f>M29-N29</f>
        <v>0.71</v>
      </c>
      <c r="P29">
        <v>0.40200000000000002</v>
      </c>
      <c r="Q29">
        <f>P29/O29</f>
        <v>0.56619718309859157</v>
      </c>
    </row>
    <row r="30" spans="1:17" x14ac:dyDescent="0.25">
      <c r="A30">
        <v>29</v>
      </c>
      <c r="B30" t="s">
        <v>299</v>
      </c>
      <c r="C30" t="s">
        <v>393</v>
      </c>
      <c r="E30" t="s">
        <v>240</v>
      </c>
      <c r="F30" t="s">
        <v>144</v>
      </c>
      <c r="G30" t="s">
        <v>144</v>
      </c>
      <c r="H30" t="s">
        <v>138</v>
      </c>
      <c r="I30">
        <v>12.54</v>
      </c>
      <c r="J30">
        <v>10.31</v>
      </c>
      <c r="K30">
        <f>(I30-J30)/2</f>
        <v>1.1149999999999993</v>
      </c>
      <c r="L30">
        <f>K30/I30</f>
        <v>8.8915470494417809E-2</v>
      </c>
      <c r="M30">
        <v>2.3740000000000001</v>
      </c>
      <c r="N30">
        <v>0.02</v>
      </c>
      <c r="O30">
        <f>M30-N30</f>
        <v>2.3540000000000001</v>
      </c>
      <c r="P30">
        <v>1.5209999999999999</v>
      </c>
      <c r="Q30">
        <f>P30/O30</f>
        <v>0.64613423959218341</v>
      </c>
    </row>
    <row r="31" spans="1:17" x14ac:dyDescent="0.25">
      <c r="A31">
        <v>30</v>
      </c>
      <c r="B31" t="s">
        <v>296</v>
      </c>
      <c r="C31" t="s">
        <v>403</v>
      </c>
      <c r="E31" t="s">
        <v>297</v>
      </c>
      <c r="F31" t="s">
        <v>144</v>
      </c>
      <c r="G31" t="s">
        <v>144</v>
      </c>
      <c r="H31" t="s">
        <v>138</v>
      </c>
      <c r="I31">
        <v>7.55</v>
      </c>
      <c r="J31">
        <v>5.43</v>
      </c>
      <c r="K31">
        <f>(I31-J31)/2</f>
        <v>1.06</v>
      </c>
      <c r="L31">
        <f>K31/I31</f>
        <v>0.1403973509933775</v>
      </c>
      <c r="M31">
        <v>0.63100000000000001</v>
      </c>
      <c r="N31">
        <v>0.02</v>
      </c>
      <c r="O31">
        <f>M31-N31</f>
        <v>0.61099999999999999</v>
      </c>
      <c r="P31">
        <v>0.33400000000000002</v>
      </c>
      <c r="Q31">
        <f>P31/O31</f>
        <v>0.54664484451718498</v>
      </c>
    </row>
    <row r="32" spans="1:17" x14ac:dyDescent="0.25">
      <c r="A32">
        <v>31</v>
      </c>
      <c r="B32" t="s">
        <v>288</v>
      </c>
      <c r="C32" t="s">
        <v>391</v>
      </c>
      <c r="E32" t="s">
        <v>325</v>
      </c>
      <c r="F32" t="s">
        <v>144</v>
      </c>
      <c r="G32" t="s">
        <v>144</v>
      </c>
      <c r="H32" t="s">
        <v>138</v>
      </c>
      <c r="I32">
        <v>9.2200000000000006</v>
      </c>
      <c r="J32">
        <v>7.57</v>
      </c>
      <c r="K32">
        <f>(I32-J32)/2</f>
        <v>0.82500000000000018</v>
      </c>
      <c r="L32">
        <f>K32/I32</f>
        <v>8.9479392624728857E-2</v>
      </c>
      <c r="M32">
        <v>1.0549999999999999</v>
      </c>
      <c r="N32">
        <v>0.02</v>
      </c>
      <c r="O32">
        <f>M32-N32</f>
        <v>1.0349999999999999</v>
      </c>
      <c r="P32">
        <v>0.61799999999999999</v>
      </c>
      <c r="Q32">
        <f>P32/O32</f>
        <v>0.59710144927536235</v>
      </c>
    </row>
    <row r="33" spans="1:17" x14ac:dyDescent="0.25">
      <c r="A33">
        <v>32</v>
      </c>
      <c r="B33" t="s">
        <v>284</v>
      </c>
      <c r="C33" t="s">
        <v>370</v>
      </c>
      <c r="E33" t="s">
        <v>285</v>
      </c>
      <c r="F33" t="s">
        <v>144</v>
      </c>
      <c r="G33" t="s">
        <v>144</v>
      </c>
      <c r="H33" t="s">
        <v>138</v>
      </c>
      <c r="I33">
        <v>5.45</v>
      </c>
      <c r="J33">
        <v>4.3600000000000003</v>
      </c>
      <c r="K33">
        <f>(I33-J33)/2</f>
        <v>0.54499999999999993</v>
      </c>
      <c r="L33">
        <f>K33/I33</f>
        <v>9.9999999999999978E-2</v>
      </c>
      <c r="M33">
        <v>0.75</v>
      </c>
      <c r="N33">
        <v>0.02</v>
      </c>
      <c r="O33">
        <f>M33-N33</f>
        <v>0.73</v>
      </c>
      <c r="P33">
        <v>0.24199999999999999</v>
      </c>
      <c r="Q33">
        <f>P33/O33</f>
        <v>0.33150684931506852</v>
      </c>
    </row>
    <row r="34" spans="1:17" x14ac:dyDescent="0.25">
      <c r="A34">
        <v>33</v>
      </c>
      <c r="B34" t="s">
        <v>271</v>
      </c>
      <c r="C34" t="s">
        <v>365</v>
      </c>
      <c r="E34" t="s">
        <v>222</v>
      </c>
      <c r="F34" t="s">
        <v>144</v>
      </c>
      <c r="G34" t="s">
        <v>144</v>
      </c>
      <c r="H34" t="s">
        <v>138</v>
      </c>
      <c r="I34">
        <v>9.17</v>
      </c>
      <c r="J34">
        <v>7.49</v>
      </c>
      <c r="K34">
        <f>(I34-J34)/2</f>
        <v>0.83999999999999986</v>
      </c>
      <c r="L34">
        <f>K34/I34</f>
        <v>9.160305343511449E-2</v>
      </c>
      <c r="M34">
        <v>1.3779999999999999</v>
      </c>
      <c r="N34">
        <v>0.02</v>
      </c>
      <c r="O34">
        <f>M34-N34</f>
        <v>1.3579999999999999</v>
      </c>
      <c r="P34">
        <v>0.79300000000000004</v>
      </c>
      <c r="Q34">
        <f>P34/O34</f>
        <v>0.58394698085419738</v>
      </c>
    </row>
    <row r="35" spans="1:17" x14ac:dyDescent="0.25">
      <c r="A35">
        <v>34</v>
      </c>
      <c r="B35" t="s">
        <v>269</v>
      </c>
      <c r="C35" t="s">
        <v>371</v>
      </c>
      <c r="E35" t="s">
        <v>270</v>
      </c>
      <c r="F35" t="s">
        <v>144</v>
      </c>
      <c r="G35" t="s">
        <v>144</v>
      </c>
      <c r="H35" t="s">
        <v>138</v>
      </c>
      <c r="I35">
        <v>9.66</v>
      </c>
      <c r="J35">
        <v>7.4</v>
      </c>
      <c r="K35">
        <f>(I35-J35)/2</f>
        <v>1.1299999999999999</v>
      </c>
      <c r="L35">
        <f>K35/I35</f>
        <v>0.11697722567287784</v>
      </c>
      <c r="M35">
        <v>1.532</v>
      </c>
      <c r="N35">
        <v>0.02</v>
      </c>
      <c r="O35">
        <f>M35-N35</f>
        <v>1.512</v>
      </c>
      <c r="P35">
        <v>0.76500000000000001</v>
      </c>
      <c r="Q35">
        <f>P35/O35</f>
        <v>0.50595238095238093</v>
      </c>
    </row>
    <row r="36" spans="1:17" x14ac:dyDescent="0.25">
      <c r="A36">
        <v>35</v>
      </c>
      <c r="B36" t="s">
        <v>266</v>
      </c>
      <c r="C36" t="s">
        <v>398</v>
      </c>
      <c r="E36" t="s">
        <v>262</v>
      </c>
      <c r="F36" t="s">
        <v>144</v>
      </c>
      <c r="G36" t="s">
        <v>144</v>
      </c>
      <c r="H36" t="s">
        <v>138</v>
      </c>
      <c r="I36">
        <v>8.77</v>
      </c>
      <c r="J36">
        <v>6.73</v>
      </c>
      <c r="K36">
        <f>(I36-J36)/2</f>
        <v>1.0199999999999996</v>
      </c>
      <c r="L36">
        <f>K36/I36</f>
        <v>0.11630558722919038</v>
      </c>
      <c r="M36">
        <v>0.623</v>
      </c>
      <c r="N36">
        <v>0.02</v>
      </c>
      <c r="O36">
        <f>M36-N36</f>
        <v>0.60299999999999998</v>
      </c>
      <c r="P36">
        <v>0.46400000000000002</v>
      </c>
      <c r="Q36">
        <f>P36/O36</f>
        <v>0.76948590381426207</v>
      </c>
    </row>
    <row r="37" spans="1:17" x14ac:dyDescent="0.25">
      <c r="A37">
        <v>36</v>
      </c>
      <c r="B37" t="s">
        <v>261</v>
      </c>
      <c r="C37" t="s">
        <v>398</v>
      </c>
      <c r="E37" t="s">
        <v>262</v>
      </c>
      <c r="F37" t="s">
        <v>144</v>
      </c>
      <c r="G37" t="s">
        <v>144</v>
      </c>
      <c r="H37" t="s">
        <v>138</v>
      </c>
      <c r="I37">
        <v>7.39</v>
      </c>
      <c r="J37">
        <v>6.19</v>
      </c>
      <c r="K37">
        <f>(I37-J37)/2</f>
        <v>0.59999999999999964</v>
      </c>
      <c r="L37">
        <f>K37/I37</f>
        <v>8.1190798376183981E-2</v>
      </c>
      <c r="M37">
        <v>0.7</v>
      </c>
      <c r="N37">
        <v>0.02</v>
      </c>
      <c r="O37">
        <f>M37-N37</f>
        <v>0.67999999999999994</v>
      </c>
      <c r="P37">
        <v>0.44700000000000001</v>
      </c>
      <c r="Q37">
        <f>P37/O37</f>
        <v>0.6573529411764707</v>
      </c>
    </row>
    <row r="38" spans="1:17" x14ac:dyDescent="0.25">
      <c r="A38">
        <v>37</v>
      </c>
      <c r="B38" t="s">
        <v>267</v>
      </c>
      <c r="C38" t="s">
        <v>400</v>
      </c>
      <c r="E38" t="s">
        <v>268</v>
      </c>
      <c r="F38" t="s">
        <v>144</v>
      </c>
      <c r="G38" t="s">
        <v>144</v>
      </c>
      <c r="H38" t="s">
        <v>138</v>
      </c>
      <c r="I38">
        <v>8.4</v>
      </c>
      <c r="J38">
        <v>5.6</v>
      </c>
      <c r="K38">
        <f>(I38-J38)/2</f>
        <v>1.4000000000000004</v>
      </c>
      <c r="L38">
        <f>K38/I38</f>
        <v>0.16666666666666671</v>
      </c>
      <c r="M38">
        <v>0.94299999999999995</v>
      </c>
      <c r="N38">
        <v>0.02</v>
      </c>
      <c r="O38">
        <f>M38-N38</f>
        <v>0.92299999999999993</v>
      </c>
      <c r="P38">
        <v>0.42199999999999999</v>
      </c>
      <c r="Q38">
        <f>P38/O38</f>
        <v>0.45720476706392199</v>
      </c>
    </row>
    <row r="39" spans="1:17" x14ac:dyDescent="0.25">
      <c r="A39">
        <v>38</v>
      </c>
      <c r="B39" t="s">
        <v>281</v>
      </c>
      <c r="C39" t="s">
        <v>379</v>
      </c>
      <c r="E39" t="s">
        <v>504</v>
      </c>
      <c r="F39" t="s">
        <v>144</v>
      </c>
      <c r="G39" t="s">
        <v>144</v>
      </c>
      <c r="H39" t="s">
        <v>138</v>
      </c>
      <c r="I39">
        <v>10.26</v>
      </c>
      <c r="J39">
        <v>8.35</v>
      </c>
      <c r="K39">
        <f>(I39-J39)/2</f>
        <v>0.95500000000000007</v>
      </c>
      <c r="L39">
        <f>K39/I39</f>
        <v>9.3079922027290457E-2</v>
      </c>
      <c r="M39">
        <v>1.1499999999999999</v>
      </c>
      <c r="N39">
        <v>0.02</v>
      </c>
      <c r="O39">
        <f>M39-N39</f>
        <v>1.1299999999999999</v>
      </c>
      <c r="P39">
        <v>0.52900000000000003</v>
      </c>
      <c r="Q39">
        <f>P39/O39</f>
        <v>0.46814159292035407</v>
      </c>
    </row>
    <row r="40" spans="1:17" x14ac:dyDescent="0.25">
      <c r="A40">
        <v>39</v>
      </c>
      <c r="B40" t="s">
        <v>272</v>
      </c>
      <c r="C40" t="s">
        <v>401</v>
      </c>
      <c r="E40" t="s">
        <v>273</v>
      </c>
      <c r="F40" t="s">
        <v>144</v>
      </c>
      <c r="G40" t="s">
        <v>144</v>
      </c>
      <c r="H40" t="s">
        <v>138</v>
      </c>
      <c r="I40">
        <v>8.24</v>
      </c>
      <c r="J40">
        <v>5.91</v>
      </c>
      <c r="K40">
        <f>(I40-J40)/2</f>
        <v>1.165</v>
      </c>
      <c r="L40">
        <f>K40/I40</f>
        <v>0.14138349514563106</v>
      </c>
      <c r="M40">
        <v>1.0209999999999999</v>
      </c>
      <c r="N40">
        <v>0.02</v>
      </c>
      <c r="O40">
        <f>M40-N40</f>
        <v>1.0009999999999999</v>
      </c>
      <c r="P40">
        <v>0.72899999999999998</v>
      </c>
      <c r="Q40">
        <f>P40/O40</f>
        <v>0.72827172827172837</v>
      </c>
    </row>
    <row r="41" spans="1:17" x14ac:dyDescent="0.25">
      <c r="A41">
        <v>40</v>
      </c>
      <c r="B41" t="s">
        <v>287</v>
      </c>
      <c r="C41" t="s">
        <v>394</v>
      </c>
      <c r="E41" t="s">
        <v>327</v>
      </c>
      <c r="F41" t="s">
        <v>144</v>
      </c>
      <c r="G41" t="s">
        <v>144</v>
      </c>
      <c r="H41" t="s">
        <v>138</v>
      </c>
      <c r="I41">
        <v>9.83</v>
      </c>
      <c r="J41">
        <v>7.28</v>
      </c>
      <c r="K41">
        <f>(I41-J41)/2</f>
        <v>1.2749999999999999</v>
      </c>
      <c r="L41">
        <f>K41/I41</f>
        <v>0.12970498474059003</v>
      </c>
      <c r="M41">
        <v>0.58599999999999997</v>
      </c>
      <c r="N41">
        <v>0.02</v>
      </c>
      <c r="O41">
        <f>M41-N41</f>
        <v>0.56599999999999995</v>
      </c>
      <c r="P41">
        <v>0.372</v>
      </c>
      <c r="Q41">
        <f>P41/O41</f>
        <v>0.65724381625441697</v>
      </c>
    </row>
    <row r="42" spans="1:17" x14ac:dyDescent="0.25">
      <c r="A42">
        <v>41</v>
      </c>
      <c r="B42" t="s">
        <v>234</v>
      </c>
      <c r="C42" t="s">
        <v>392</v>
      </c>
      <c r="E42" t="s">
        <v>235</v>
      </c>
      <c r="F42" t="s">
        <v>144</v>
      </c>
      <c r="G42" t="s">
        <v>144</v>
      </c>
      <c r="H42" t="s">
        <v>138</v>
      </c>
      <c r="I42">
        <v>7.06</v>
      </c>
      <c r="J42">
        <v>4.78</v>
      </c>
      <c r="K42">
        <f>(I42-J42)/2</f>
        <v>1.1399999999999997</v>
      </c>
      <c r="L42">
        <f>K42/I42</f>
        <v>0.16147308781869685</v>
      </c>
      <c r="M42">
        <v>0.89400000000000002</v>
      </c>
      <c r="N42">
        <v>0.02</v>
      </c>
      <c r="O42">
        <f>M42-N42</f>
        <v>0.874</v>
      </c>
      <c r="P42">
        <v>0.51800000000000002</v>
      </c>
      <c r="Q42">
        <f>P42/O42</f>
        <v>0.59267734553775742</v>
      </c>
    </row>
    <row r="43" spans="1:17" x14ac:dyDescent="0.25">
      <c r="A43">
        <v>42</v>
      </c>
      <c r="B43" t="s">
        <v>264</v>
      </c>
      <c r="C43" t="s">
        <v>399</v>
      </c>
      <c r="E43" t="s">
        <v>265</v>
      </c>
      <c r="F43" t="s">
        <v>144</v>
      </c>
      <c r="G43" t="s">
        <v>144</v>
      </c>
      <c r="H43" t="s">
        <v>138</v>
      </c>
      <c r="I43">
        <v>8.24</v>
      </c>
      <c r="J43">
        <v>4.6500000000000004</v>
      </c>
      <c r="K43">
        <f>(I43-J43)/2</f>
        <v>1.7949999999999999</v>
      </c>
      <c r="L43">
        <f>K43/I43</f>
        <v>0.2178398058252427</v>
      </c>
      <c r="M43">
        <v>0.95499999999999996</v>
      </c>
      <c r="N43">
        <v>0.02</v>
      </c>
      <c r="O43">
        <f>M43-N43</f>
        <v>0.93499999999999994</v>
      </c>
      <c r="P43">
        <v>0.30099999999999999</v>
      </c>
      <c r="Q43">
        <f>P43/O43</f>
        <v>0.3219251336898396</v>
      </c>
    </row>
    <row r="44" spans="1:17" x14ac:dyDescent="0.25">
      <c r="A44">
        <v>43</v>
      </c>
      <c r="B44" t="s">
        <v>290</v>
      </c>
      <c r="C44" t="s">
        <v>357</v>
      </c>
      <c r="E44" t="s">
        <v>291</v>
      </c>
      <c r="F44" t="s">
        <v>144</v>
      </c>
      <c r="G44" t="s">
        <v>144</v>
      </c>
      <c r="H44" t="s">
        <v>138</v>
      </c>
      <c r="I44">
        <v>6.61</v>
      </c>
      <c r="J44">
        <v>5.2</v>
      </c>
      <c r="K44">
        <f>(I44-J44)/2</f>
        <v>0.70500000000000007</v>
      </c>
      <c r="L44">
        <f>K44/I44</f>
        <v>0.10665658093797277</v>
      </c>
      <c r="M44">
        <v>0.52500000000000002</v>
      </c>
      <c r="N44">
        <v>0.02</v>
      </c>
      <c r="O44">
        <f>M44-N44</f>
        <v>0.505</v>
      </c>
      <c r="P44">
        <v>0.24299999999999999</v>
      </c>
      <c r="Q44">
        <f>P44/O44</f>
        <v>0.48118811881188117</v>
      </c>
    </row>
    <row r="45" spans="1:17" x14ac:dyDescent="0.25">
      <c r="A45">
        <v>44</v>
      </c>
      <c r="B45" t="s">
        <v>258</v>
      </c>
      <c r="C45" t="s">
        <v>397</v>
      </c>
      <c r="E45" t="s">
        <v>328</v>
      </c>
      <c r="F45" t="s">
        <v>144</v>
      </c>
      <c r="G45" t="s">
        <v>144</v>
      </c>
      <c r="H45" t="s">
        <v>138</v>
      </c>
      <c r="I45">
        <v>8.31</v>
      </c>
      <c r="J45">
        <v>6.28</v>
      </c>
      <c r="K45">
        <f>(I45-J45)/2</f>
        <v>1.0150000000000001</v>
      </c>
      <c r="L45">
        <f>K45/I45</f>
        <v>0.12214199759326114</v>
      </c>
      <c r="M45">
        <v>1.575</v>
      </c>
      <c r="N45">
        <v>0.02</v>
      </c>
      <c r="O45">
        <f>M45-N45</f>
        <v>1.5549999999999999</v>
      </c>
      <c r="P45">
        <v>1.002</v>
      </c>
      <c r="Q45">
        <f>P45/O45</f>
        <v>0.64437299035369777</v>
      </c>
    </row>
    <row r="46" spans="1:17" x14ac:dyDescent="0.25">
      <c r="A46">
        <v>45</v>
      </c>
      <c r="B46" t="s">
        <v>292</v>
      </c>
      <c r="C46" t="s">
        <v>392</v>
      </c>
      <c r="E46" t="s">
        <v>235</v>
      </c>
      <c r="F46" t="s">
        <v>144</v>
      </c>
      <c r="G46" t="s">
        <v>144</v>
      </c>
      <c r="H46" t="s">
        <v>138</v>
      </c>
      <c r="I46">
        <v>7.68</v>
      </c>
      <c r="J46">
        <v>5.0599999999999996</v>
      </c>
      <c r="K46">
        <f>(I46-J46)/2</f>
        <v>1.31</v>
      </c>
      <c r="L46">
        <f>K46/I46</f>
        <v>0.17057291666666669</v>
      </c>
      <c r="M46">
        <v>0.70299999999999996</v>
      </c>
      <c r="N46">
        <v>0.02</v>
      </c>
      <c r="O46">
        <f>M46-N46</f>
        <v>0.68299999999999994</v>
      </c>
      <c r="P46">
        <v>0.41399999999999998</v>
      </c>
      <c r="Q46">
        <f>P46/O46</f>
        <v>0.60614934114202057</v>
      </c>
    </row>
    <row r="47" spans="1:17" x14ac:dyDescent="0.25">
      <c r="A47">
        <v>46</v>
      </c>
      <c r="B47" t="s">
        <v>312</v>
      </c>
      <c r="C47" t="s">
        <v>398</v>
      </c>
      <c r="E47" t="s">
        <v>262</v>
      </c>
      <c r="F47" t="s">
        <v>144</v>
      </c>
      <c r="G47" t="s">
        <v>144</v>
      </c>
      <c r="H47" t="s">
        <v>138</v>
      </c>
      <c r="I47">
        <v>7.9</v>
      </c>
      <c r="J47">
        <v>6.6</v>
      </c>
      <c r="K47">
        <f>(I47-J47)/2</f>
        <v>0.65000000000000036</v>
      </c>
      <c r="L47">
        <f>K47/I47</f>
        <v>8.2278481012658264E-2</v>
      </c>
      <c r="M47">
        <v>1.0760000000000001</v>
      </c>
      <c r="N47">
        <v>0.02</v>
      </c>
      <c r="O47">
        <f>M47-N47</f>
        <v>1.056</v>
      </c>
      <c r="P47">
        <v>0.72799999999999998</v>
      </c>
      <c r="Q47">
        <f>P47/O47</f>
        <v>0.68939393939393934</v>
      </c>
    </row>
    <row r="48" spans="1:17" x14ac:dyDescent="0.25">
      <c r="A48">
        <v>47</v>
      </c>
      <c r="B48" t="s">
        <v>320</v>
      </c>
      <c r="C48" t="s">
        <v>355</v>
      </c>
      <c r="E48" t="s">
        <v>227</v>
      </c>
      <c r="F48" t="s">
        <v>144</v>
      </c>
      <c r="G48" t="s">
        <v>144</v>
      </c>
      <c r="H48" t="s">
        <v>138</v>
      </c>
      <c r="I48">
        <v>7.13</v>
      </c>
      <c r="J48">
        <v>4.58</v>
      </c>
      <c r="K48">
        <f>(I48-J48)/2</f>
        <v>1.2749999999999999</v>
      </c>
      <c r="L48">
        <f>K48/I48</f>
        <v>0.17882187938288918</v>
      </c>
      <c r="M48">
        <v>0.40799999999999997</v>
      </c>
      <c r="N48">
        <v>0.02</v>
      </c>
      <c r="O48">
        <f>M48-N48</f>
        <v>0.38799999999999996</v>
      </c>
      <c r="P48">
        <v>0.22900000000000001</v>
      </c>
      <c r="Q48">
        <f>P48/O48</f>
        <v>0.59020618556701043</v>
      </c>
    </row>
    <row r="49" spans="1:17" x14ac:dyDescent="0.25">
      <c r="A49">
        <v>48</v>
      </c>
      <c r="B49" t="s">
        <v>490</v>
      </c>
      <c r="C49" t="s">
        <v>357</v>
      </c>
      <c r="D49">
        <v>3</v>
      </c>
      <c r="E49" t="s">
        <v>291</v>
      </c>
      <c r="F49" t="s">
        <v>144</v>
      </c>
      <c r="G49" t="s">
        <v>144</v>
      </c>
      <c r="H49" t="s">
        <v>138</v>
      </c>
      <c r="I49">
        <v>6.11</v>
      </c>
      <c r="J49">
        <v>4.9800000000000004</v>
      </c>
      <c r="K49">
        <f>(I49-J49)/2</f>
        <v>0.56499999999999995</v>
      </c>
      <c r="L49">
        <f>K49/I49</f>
        <v>9.2471358428805217E-2</v>
      </c>
      <c r="M49">
        <v>0.92</v>
      </c>
      <c r="N49">
        <v>0.02</v>
      </c>
      <c r="O49">
        <f>M49-N49</f>
        <v>0.9</v>
      </c>
      <c r="P49">
        <v>0.64200000000000002</v>
      </c>
      <c r="Q49">
        <f>P49/O49</f>
        <v>0.71333333333333337</v>
      </c>
    </row>
    <row r="50" spans="1:17" x14ac:dyDescent="0.25">
      <c r="A50">
        <v>49</v>
      </c>
      <c r="B50" t="s">
        <v>244</v>
      </c>
      <c r="C50" t="s">
        <v>396</v>
      </c>
      <c r="E50" t="s">
        <v>245</v>
      </c>
      <c r="F50" t="s">
        <v>144</v>
      </c>
      <c r="G50" t="s">
        <v>144</v>
      </c>
      <c r="H50" t="s">
        <v>138</v>
      </c>
      <c r="I50">
        <v>7.05</v>
      </c>
      <c r="J50">
        <v>5.28</v>
      </c>
      <c r="K50">
        <f>(I50-J50)/2</f>
        <v>0.88499999999999979</v>
      </c>
      <c r="L50">
        <f>K50/I50</f>
        <v>0.12553191489361698</v>
      </c>
      <c r="M50">
        <v>0.53400000000000003</v>
      </c>
      <c r="N50">
        <v>0.02</v>
      </c>
      <c r="O50">
        <f>M50-N50</f>
        <v>0.51400000000000001</v>
      </c>
      <c r="P50">
        <v>0.17799999999999999</v>
      </c>
      <c r="Q50">
        <f>P50/O50</f>
        <v>0.34630350194552528</v>
      </c>
    </row>
    <row r="51" spans="1:17" x14ac:dyDescent="0.25">
      <c r="A51">
        <v>50</v>
      </c>
      <c r="B51" t="s">
        <v>216</v>
      </c>
      <c r="C51" t="s">
        <v>387</v>
      </c>
      <c r="D51">
        <v>2</v>
      </c>
      <c r="E51" t="s">
        <v>329</v>
      </c>
      <c r="F51" t="s">
        <v>144</v>
      </c>
      <c r="G51" t="s">
        <v>144</v>
      </c>
      <c r="H51" t="s">
        <v>138</v>
      </c>
      <c r="I51">
        <v>6.62</v>
      </c>
      <c r="J51">
        <v>4.7699999999999996</v>
      </c>
      <c r="K51">
        <f>(I51-J51)/2</f>
        <v>0.92500000000000027</v>
      </c>
      <c r="L51">
        <f>K51/I51</f>
        <v>0.13972809667673719</v>
      </c>
      <c r="M51">
        <v>0.58599999999999997</v>
      </c>
      <c r="N51">
        <v>0.02</v>
      </c>
      <c r="O51">
        <f>M51-N51</f>
        <v>0.56599999999999995</v>
      </c>
      <c r="P51">
        <v>0.42599999999999999</v>
      </c>
      <c r="Q51">
        <f>P51/O51</f>
        <v>0.75265017667844525</v>
      </c>
    </row>
    <row r="52" spans="1:17" x14ac:dyDescent="0.25">
      <c r="A52">
        <v>51</v>
      </c>
      <c r="B52" t="s">
        <v>242</v>
      </c>
      <c r="C52" t="s">
        <v>364</v>
      </c>
      <c r="E52" t="s">
        <v>232</v>
      </c>
      <c r="F52" t="s">
        <v>144</v>
      </c>
      <c r="G52" t="s">
        <v>144</v>
      </c>
      <c r="H52" t="s">
        <v>138</v>
      </c>
      <c r="I52">
        <v>14.18</v>
      </c>
      <c r="J52">
        <v>5.0999999999999996</v>
      </c>
      <c r="K52">
        <f>(I52-J52)/2</f>
        <v>4.54</v>
      </c>
      <c r="L52">
        <f>K52/I52</f>
        <v>0.32016925246826516</v>
      </c>
      <c r="M52">
        <v>0.52</v>
      </c>
      <c r="N52">
        <v>0.02</v>
      </c>
      <c r="O52">
        <f>M52-N52</f>
        <v>0.5</v>
      </c>
      <c r="P52">
        <v>0.30299999999999999</v>
      </c>
      <c r="Q52">
        <f>P52/O52</f>
        <v>0.60599999999999998</v>
      </c>
    </row>
    <row r="53" spans="1:17" x14ac:dyDescent="0.25">
      <c r="A53">
        <v>52</v>
      </c>
      <c r="B53" t="s">
        <v>226</v>
      </c>
      <c r="C53" t="s">
        <v>355</v>
      </c>
      <c r="E53" t="s">
        <v>227</v>
      </c>
      <c r="F53" t="s">
        <v>144</v>
      </c>
      <c r="G53" t="s">
        <v>144</v>
      </c>
      <c r="H53" t="s">
        <v>138</v>
      </c>
      <c r="I53">
        <v>8.93</v>
      </c>
      <c r="J53">
        <v>5.01</v>
      </c>
      <c r="K53">
        <f>(I53-J53)/2</f>
        <v>1.96</v>
      </c>
      <c r="L53">
        <f>K53/I53</f>
        <v>0.219484882418813</v>
      </c>
      <c r="M53">
        <v>0.27800000000000002</v>
      </c>
      <c r="N53">
        <v>0.02</v>
      </c>
      <c r="O53">
        <f>M53-N53</f>
        <v>0.25800000000000001</v>
      </c>
      <c r="P53">
        <v>0.126</v>
      </c>
      <c r="Q53">
        <f>P53/O53</f>
        <v>0.48837209302325579</v>
      </c>
    </row>
    <row r="54" spans="1:17" x14ac:dyDescent="0.25">
      <c r="A54">
        <v>53</v>
      </c>
      <c r="B54" t="s">
        <v>302</v>
      </c>
      <c r="C54" t="s">
        <v>404</v>
      </c>
      <c r="E54" t="s">
        <v>330</v>
      </c>
      <c r="F54" t="s">
        <v>144</v>
      </c>
      <c r="G54" t="s">
        <v>144</v>
      </c>
      <c r="H54" t="s">
        <v>138</v>
      </c>
      <c r="I54">
        <v>8.85</v>
      </c>
      <c r="J54">
        <v>7.22</v>
      </c>
      <c r="K54">
        <f>(I54-J54)/2</f>
        <v>0.81499999999999995</v>
      </c>
      <c r="L54">
        <f>K54/I54</f>
        <v>9.2090395480225989E-2</v>
      </c>
      <c r="M54">
        <v>1.1000000000000001</v>
      </c>
      <c r="N54">
        <v>0.02</v>
      </c>
      <c r="O54">
        <f>M54-N54</f>
        <v>1.08</v>
      </c>
      <c r="P54">
        <v>0.47099999999999997</v>
      </c>
      <c r="Q54">
        <f>P54/O54</f>
        <v>0.43611111111111106</v>
      </c>
    </row>
    <row r="55" spans="1:17" x14ac:dyDescent="0.25">
      <c r="A55">
        <v>54</v>
      </c>
      <c r="B55" t="s">
        <v>202</v>
      </c>
      <c r="C55" t="s">
        <v>390</v>
      </c>
      <c r="E55" t="s">
        <v>201</v>
      </c>
      <c r="F55" t="s">
        <v>144</v>
      </c>
      <c r="G55" t="s">
        <v>144</v>
      </c>
      <c r="H55" t="s">
        <v>138</v>
      </c>
      <c r="I55">
        <v>7.82</v>
      </c>
      <c r="J55">
        <v>6.6</v>
      </c>
      <c r="K55">
        <f>(I55-J55)/2</f>
        <v>0.61000000000000032</v>
      </c>
      <c r="L55">
        <f>K55/I55</f>
        <v>7.8005115089514104E-2</v>
      </c>
      <c r="M55">
        <v>0.71399999999999997</v>
      </c>
      <c r="N55">
        <v>0.02</v>
      </c>
      <c r="O55">
        <f>M55-N55</f>
        <v>0.69399999999999995</v>
      </c>
      <c r="P55">
        <v>0.54</v>
      </c>
      <c r="Q55">
        <f>P55/O55</f>
        <v>0.77809798270893382</v>
      </c>
    </row>
    <row r="56" spans="1:17" x14ac:dyDescent="0.25">
      <c r="A56">
        <v>55</v>
      </c>
      <c r="B56" t="s">
        <v>315</v>
      </c>
      <c r="C56" t="s">
        <v>403</v>
      </c>
      <c r="E56" t="s">
        <v>297</v>
      </c>
      <c r="F56" t="s">
        <v>144</v>
      </c>
      <c r="G56" t="s">
        <v>144</v>
      </c>
      <c r="H56" t="s">
        <v>138</v>
      </c>
      <c r="I56">
        <v>12.44</v>
      </c>
      <c r="J56">
        <v>8.08</v>
      </c>
      <c r="K56">
        <f>(I56-J56)/2</f>
        <v>2.1799999999999997</v>
      </c>
      <c r="L56">
        <f>K56/I56</f>
        <v>0.17524115755627009</v>
      </c>
      <c r="M56">
        <v>0.57499999999999996</v>
      </c>
      <c r="N56">
        <v>0.02</v>
      </c>
      <c r="O56">
        <f>M56-N56</f>
        <v>0.55499999999999994</v>
      </c>
      <c r="P56">
        <v>0.27800000000000002</v>
      </c>
      <c r="Q56">
        <f>P56/O56</f>
        <v>0.500900900900901</v>
      </c>
    </row>
    <row r="57" spans="1:17" x14ac:dyDescent="0.25">
      <c r="A57">
        <v>56</v>
      </c>
      <c r="B57" t="s">
        <v>229</v>
      </c>
      <c r="C57" t="s">
        <v>229</v>
      </c>
      <c r="E57" t="s">
        <v>227</v>
      </c>
      <c r="F57" t="s">
        <v>144</v>
      </c>
      <c r="G57" t="s">
        <v>144</v>
      </c>
      <c r="H57" t="s">
        <v>138</v>
      </c>
      <c r="I57">
        <v>19.149999999999999</v>
      </c>
      <c r="J57">
        <v>10.08</v>
      </c>
      <c r="K57">
        <f>(I57-J57)/2</f>
        <v>4.5349999999999993</v>
      </c>
      <c r="L57">
        <f>K57/I57</f>
        <v>0.23681462140992166</v>
      </c>
      <c r="M57">
        <v>1.27</v>
      </c>
      <c r="N57">
        <v>0.02</v>
      </c>
      <c r="O57">
        <f>M57-N57</f>
        <v>1.25</v>
      </c>
      <c r="P57">
        <v>0.874</v>
      </c>
      <c r="Q57">
        <f>P57/O57</f>
        <v>0.69920000000000004</v>
      </c>
    </row>
    <row r="58" spans="1:17" x14ac:dyDescent="0.25">
      <c r="A58">
        <v>57</v>
      </c>
      <c r="B58" t="s">
        <v>317</v>
      </c>
      <c r="C58" t="s">
        <v>368</v>
      </c>
      <c r="E58" t="s">
        <v>318</v>
      </c>
      <c r="F58" t="s">
        <v>144</v>
      </c>
      <c r="G58" t="s">
        <v>144</v>
      </c>
      <c r="H58" t="s">
        <v>138</v>
      </c>
      <c r="I58">
        <v>8.6999999999999993</v>
      </c>
      <c r="J58">
        <v>6.2</v>
      </c>
      <c r="K58">
        <f>(I58-J58)/2</f>
        <v>1.2499999999999996</v>
      </c>
      <c r="L58">
        <f>K58/I58</f>
        <v>0.14367816091954019</v>
      </c>
      <c r="M58">
        <v>0.312</v>
      </c>
      <c r="N58">
        <v>0.02</v>
      </c>
      <c r="O58">
        <f>M58-N58</f>
        <v>0.29199999999999998</v>
      </c>
      <c r="P58">
        <v>0.23200000000000001</v>
      </c>
      <c r="Q58">
        <f>P58/O58</f>
        <v>0.79452054794520555</v>
      </c>
    </row>
    <row r="59" spans="1:17" x14ac:dyDescent="0.25">
      <c r="A59">
        <v>58</v>
      </c>
      <c r="B59" t="s">
        <v>316</v>
      </c>
      <c r="C59" t="s">
        <v>393</v>
      </c>
      <c r="E59" t="s">
        <v>240</v>
      </c>
      <c r="F59" t="s">
        <v>144</v>
      </c>
      <c r="G59" t="s">
        <v>144</v>
      </c>
      <c r="H59" t="s">
        <v>138</v>
      </c>
      <c r="I59">
        <v>9.8800000000000008</v>
      </c>
      <c r="J59">
        <v>8.1999999999999993</v>
      </c>
      <c r="K59">
        <f>(I59-J59)/2</f>
        <v>0.84000000000000075</v>
      </c>
      <c r="L59">
        <f>K59/I59</f>
        <v>8.5020242914979824E-2</v>
      </c>
      <c r="M59">
        <v>1.3120000000000001</v>
      </c>
      <c r="N59">
        <v>0.02</v>
      </c>
      <c r="O59">
        <f>M59-N59</f>
        <v>1.292</v>
      </c>
      <c r="P59">
        <v>0.97199999999999998</v>
      </c>
      <c r="Q59">
        <f>P59/O59</f>
        <v>0.75232198142414852</v>
      </c>
    </row>
    <row r="60" spans="1:17" x14ac:dyDescent="0.25">
      <c r="A60">
        <v>59</v>
      </c>
      <c r="B60" t="s">
        <v>231</v>
      </c>
      <c r="C60" t="s">
        <v>364</v>
      </c>
      <c r="E60" t="s">
        <v>232</v>
      </c>
      <c r="F60" t="s">
        <v>144</v>
      </c>
      <c r="G60" t="s">
        <v>144</v>
      </c>
      <c r="H60" t="s">
        <v>138</v>
      </c>
      <c r="I60">
        <v>10.69</v>
      </c>
      <c r="J60">
        <v>4.55</v>
      </c>
      <c r="K60">
        <f>(I60-J60)/2</f>
        <v>3.07</v>
      </c>
      <c r="L60">
        <f>K60/I60</f>
        <v>0.28718428437792332</v>
      </c>
      <c r="M60">
        <v>0.373</v>
      </c>
      <c r="N60">
        <v>0.02</v>
      </c>
      <c r="O60">
        <f>M60-N60</f>
        <v>0.35299999999999998</v>
      </c>
      <c r="P60">
        <v>0.26800000000000002</v>
      </c>
      <c r="Q60">
        <f>P60/O60</f>
        <v>0.7592067988668556</v>
      </c>
    </row>
    <row r="61" spans="1:17" x14ac:dyDescent="0.25">
      <c r="A61">
        <v>60</v>
      </c>
      <c r="B61" t="s">
        <v>249</v>
      </c>
      <c r="C61" t="s">
        <v>394</v>
      </c>
      <c r="E61" t="s">
        <v>327</v>
      </c>
      <c r="F61" t="s">
        <v>144</v>
      </c>
      <c r="G61" t="s">
        <v>144</v>
      </c>
      <c r="H61" t="s">
        <v>138</v>
      </c>
      <c r="I61">
        <v>10.74</v>
      </c>
      <c r="J61">
        <v>7.05</v>
      </c>
      <c r="K61">
        <f>(I61-J61)/2</f>
        <v>1.8450000000000002</v>
      </c>
      <c r="L61">
        <f>K61/I61</f>
        <v>0.17178770949720673</v>
      </c>
      <c r="M61">
        <v>1.024</v>
      </c>
      <c r="N61">
        <v>0.02</v>
      </c>
      <c r="O61">
        <f>M61-N61</f>
        <v>1.004</v>
      </c>
      <c r="P61">
        <v>0.63200000000000001</v>
      </c>
      <c r="Q61">
        <f>P61/O61</f>
        <v>0.62948207171314741</v>
      </c>
    </row>
    <row r="62" spans="1:17" x14ac:dyDescent="0.25">
      <c r="A62">
        <v>61</v>
      </c>
      <c r="B62" t="s">
        <v>246</v>
      </c>
      <c r="C62" t="s">
        <v>394</v>
      </c>
      <c r="E62" t="s">
        <v>327</v>
      </c>
      <c r="F62" t="s">
        <v>144</v>
      </c>
      <c r="G62" t="s">
        <v>144</v>
      </c>
      <c r="H62" t="s">
        <v>138</v>
      </c>
      <c r="I62">
        <v>11.81</v>
      </c>
      <c r="J62">
        <v>9.52</v>
      </c>
      <c r="K62">
        <f>(I62-J62)/2</f>
        <v>1.1450000000000005</v>
      </c>
      <c r="L62">
        <f>K62/I62</f>
        <v>9.6951735817104187E-2</v>
      </c>
      <c r="M62">
        <v>1.3420000000000001</v>
      </c>
      <c r="N62">
        <v>0.02</v>
      </c>
      <c r="O62">
        <f>M62-N62</f>
        <v>1.3220000000000001</v>
      </c>
      <c r="P62">
        <v>0.86199999999999999</v>
      </c>
      <c r="Q62">
        <f>P62/O62</f>
        <v>0.6520423600605143</v>
      </c>
    </row>
    <row r="63" spans="1:17" x14ac:dyDescent="0.25">
      <c r="A63">
        <v>62</v>
      </c>
      <c r="B63" t="s">
        <v>251</v>
      </c>
      <c r="C63" t="s">
        <v>395</v>
      </c>
      <c r="E63" t="s">
        <v>252</v>
      </c>
      <c r="F63" t="s">
        <v>144</v>
      </c>
      <c r="G63" t="s">
        <v>144</v>
      </c>
      <c r="H63" t="s">
        <v>138</v>
      </c>
      <c r="I63">
        <v>6.29</v>
      </c>
      <c r="J63">
        <v>3.75</v>
      </c>
      <c r="K63">
        <f>(I63-J63)/2</f>
        <v>1.27</v>
      </c>
      <c r="L63">
        <f>K63/I63</f>
        <v>0.20190779014308427</v>
      </c>
      <c r="M63">
        <v>0.27700000000000002</v>
      </c>
      <c r="N63">
        <v>0.02</v>
      </c>
      <c r="O63">
        <f>M63-N63</f>
        <v>0.25700000000000001</v>
      </c>
      <c r="P63">
        <v>0.126</v>
      </c>
      <c r="Q63">
        <f>P63/O63</f>
        <v>0.49027237354085601</v>
      </c>
    </row>
    <row r="64" spans="1:17" x14ac:dyDescent="0.25">
      <c r="A64">
        <v>63</v>
      </c>
      <c r="B64" t="s">
        <v>239</v>
      </c>
      <c r="C64" t="s">
        <v>393</v>
      </c>
      <c r="E64" t="s">
        <v>240</v>
      </c>
      <c r="F64" t="s">
        <v>144</v>
      </c>
      <c r="G64" t="s">
        <v>144</v>
      </c>
      <c r="H64" t="s">
        <v>138</v>
      </c>
      <c r="I64">
        <v>7.77</v>
      </c>
      <c r="J64">
        <v>6.52</v>
      </c>
      <c r="K64">
        <f>(I64-J64)/2</f>
        <v>0.625</v>
      </c>
      <c r="L64">
        <f>K64/I64</f>
        <v>8.0437580437580439E-2</v>
      </c>
      <c r="M64">
        <v>1.1279999999999999</v>
      </c>
      <c r="N64">
        <v>0.02</v>
      </c>
      <c r="O64">
        <f>M64-N64</f>
        <v>1.1079999999999999</v>
      </c>
      <c r="P64">
        <v>0.69799999999999995</v>
      </c>
      <c r="Q64">
        <f>P64/O64</f>
        <v>0.62996389891696758</v>
      </c>
    </row>
    <row r="65" spans="1:19" x14ac:dyDescent="0.25">
      <c r="A65">
        <v>64</v>
      </c>
      <c r="B65" t="s">
        <v>255</v>
      </c>
      <c r="C65" t="s">
        <v>364</v>
      </c>
      <c r="E65" t="s">
        <v>232</v>
      </c>
      <c r="F65" t="s">
        <v>144</v>
      </c>
      <c r="G65" t="s">
        <v>144</v>
      </c>
      <c r="H65" t="s">
        <v>138</v>
      </c>
      <c r="I65">
        <v>10.15</v>
      </c>
      <c r="J65">
        <v>4.34</v>
      </c>
      <c r="K65">
        <f>(I65-J65)/2</f>
        <v>2.9050000000000002</v>
      </c>
      <c r="L65">
        <f>K65/I65</f>
        <v>0.28620689655172415</v>
      </c>
      <c r="M65">
        <v>0.33</v>
      </c>
      <c r="N65">
        <v>0.02</v>
      </c>
      <c r="O65">
        <f>M65-N65</f>
        <v>0.31</v>
      </c>
      <c r="P65">
        <v>0.218</v>
      </c>
      <c r="Q65">
        <f>P65/O65</f>
        <v>0.70322580645161292</v>
      </c>
    </row>
    <row r="66" spans="1:19" x14ac:dyDescent="0.25">
      <c r="A66">
        <v>65</v>
      </c>
      <c r="B66" t="s">
        <v>224</v>
      </c>
      <c r="C66" t="s">
        <v>365</v>
      </c>
      <c r="E66" t="s">
        <v>222</v>
      </c>
      <c r="F66" t="s">
        <v>144</v>
      </c>
      <c r="G66" t="s">
        <v>144</v>
      </c>
      <c r="H66" t="s">
        <v>138</v>
      </c>
      <c r="I66">
        <v>7.63</v>
      </c>
      <c r="J66">
        <v>5.44</v>
      </c>
      <c r="K66">
        <f>(I66-J66)/2</f>
        <v>1.0949999999999998</v>
      </c>
      <c r="L66">
        <f>K66/I66</f>
        <v>0.14351245085190037</v>
      </c>
      <c r="M66">
        <v>0.67500000000000004</v>
      </c>
      <c r="N66">
        <v>0.02</v>
      </c>
      <c r="O66">
        <f>M66-N66</f>
        <v>0.65500000000000003</v>
      </c>
      <c r="P66">
        <v>0.41099999999999998</v>
      </c>
      <c r="Q66">
        <f>P66/O66</f>
        <v>0.62748091603053424</v>
      </c>
    </row>
    <row r="67" spans="1:19" x14ac:dyDescent="0.25">
      <c r="A67">
        <v>66</v>
      </c>
      <c r="B67" t="s">
        <v>237</v>
      </c>
      <c r="C67" t="s">
        <v>391</v>
      </c>
      <c r="E67" t="s">
        <v>325</v>
      </c>
      <c r="F67" t="s">
        <v>144</v>
      </c>
      <c r="G67" t="s">
        <v>144</v>
      </c>
      <c r="H67" t="s">
        <v>138</v>
      </c>
      <c r="I67">
        <v>8.81</v>
      </c>
      <c r="J67">
        <v>6.63</v>
      </c>
      <c r="K67">
        <f>(I67-J67)/2</f>
        <v>1.0900000000000003</v>
      </c>
      <c r="L67">
        <f>K67/I67</f>
        <v>0.12372304199772988</v>
      </c>
      <c r="M67">
        <v>1.0349999999999999</v>
      </c>
      <c r="N67">
        <v>0.02</v>
      </c>
      <c r="O67">
        <f>M67-N67</f>
        <v>1.0149999999999999</v>
      </c>
      <c r="P67">
        <v>0.501</v>
      </c>
      <c r="Q67">
        <f>P67/O67</f>
        <v>0.49359605911330057</v>
      </c>
    </row>
    <row r="68" spans="1:19" x14ac:dyDescent="0.25">
      <c r="A68">
        <v>67</v>
      </c>
      <c r="B68" t="s">
        <v>221</v>
      </c>
      <c r="C68" t="s">
        <v>365</v>
      </c>
      <c r="E68" t="s">
        <v>222</v>
      </c>
      <c r="F68" t="s">
        <v>144</v>
      </c>
      <c r="G68" t="s">
        <v>144</v>
      </c>
      <c r="H68" t="s">
        <v>138</v>
      </c>
      <c r="I68">
        <v>9.39</v>
      </c>
      <c r="J68">
        <v>7.96</v>
      </c>
      <c r="K68">
        <f>(I68-J68)/2</f>
        <v>0.7150000000000003</v>
      </c>
      <c r="L68">
        <f>K68/I68</f>
        <v>7.614483493077745E-2</v>
      </c>
      <c r="M68">
        <v>0.99</v>
      </c>
      <c r="N68">
        <v>0.02</v>
      </c>
      <c r="O68">
        <f>M68-N68</f>
        <v>0.97</v>
      </c>
      <c r="P68">
        <v>0.54700000000000004</v>
      </c>
      <c r="Q68">
        <f>P68/O68</f>
        <v>0.56391752577319598</v>
      </c>
    </row>
    <row r="69" spans="1:19" x14ac:dyDescent="0.25">
      <c r="A69">
        <v>68</v>
      </c>
      <c r="B69" t="s">
        <v>219</v>
      </c>
      <c r="C69" t="s">
        <v>359</v>
      </c>
      <c r="E69" t="s">
        <v>64</v>
      </c>
      <c r="F69" t="s">
        <v>144</v>
      </c>
      <c r="G69" t="s">
        <v>144</v>
      </c>
      <c r="H69" t="s">
        <v>138</v>
      </c>
      <c r="I69">
        <v>5.88</v>
      </c>
      <c r="J69">
        <v>4.46</v>
      </c>
      <c r="K69">
        <f>(I69-J69)/2</f>
        <v>0.71</v>
      </c>
      <c r="L69">
        <f>K69/I69</f>
        <v>0.12074829931972789</v>
      </c>
      <c r="M69">
        <v>0.438</v>
      </c>
      <c r="N69">
        <v>0.02</v>
      </c>
      <c r="O69">
        <f>M69-N69</f>
        <v>0.41799999999999998</v>
      </c>
      <c r="P69">
        <v>0.19400000000000001</v>
      </c>
      <c r="Q69">
        <f>P69/O69</f>
        <v>0.4641148325358852</v>
      </c>
    </row>
    <row r="70" spans="1:19" x14ac:dyDescent="0.25">
      <c r="A70">
        <v>69</v>
      </c>
      <c r="B70" t="s">
        <v>209</v>
      </c>
      <c r="C70" t="s">
        <v>345</v>
      </c>
      <c r="E70" t="s">
        <v>76</v>
      </c>
      <c r="F70" t="s">
        <v>144</v>
      </c>
      <c r="G70" t="s">
        <v>144</v>
      </c>
      <c r="H70" t="s">
        <v>138</v>
      </c>
      <c r="I70">
        <v>8.82</v>
      </c>
      <c r="J70">
        <v>5.97</v>
      </c>
      <c r="K70">
        <f>(I70-J70)/2</f>
        <v>1.4250000000000003</v>
      </c>
      <c r="L70">
        <f>K70/I70</f>
        <v>0.16156462585034015</v>
      </c>
      <c r="M70">
        <v>0.72099999999999997</v>
      </c>
      <c r="N70">
        <v>0.02</v>
      </c>
      <c r="O70">
        <f>M70-N70</f>
        <v>0.70099999999999996</v>
      </c>
      <c r="P70">
        <v>0.44400000000000001</v>
      </c>
      <c r="Q70">
        <f>P70/O70</f>
        <v>0.63338088445078466</v>
      </c>
    </row>
    <row r="71" spans="1:19" x14ac:dyDescent="0.25">
      <c r="A71">
        <v>70</v>
      </c>
      <c r="B71" t="s">
        <v>308</v>
      </c>
      <c r="C71" t="s">
        <v>388</v>
      </c>
      <c r="E71" t="s">
        <v>332</v>
      </c>
      <c r="F71" t="s">
        <v>144</v>
      </c>
      <c r="G71" t="s">
        <v>144</v>
      </c>
      <c r="H71" t="s">
        <v>138</v>
      </c>
      <c r="I71">
        <v>13.27</v>
      </c>
      <c r="J71">
        <v>9.02</v>
      </c>
      <c r="K71">
        <f>(I71-J71)/2</f>
        <v>2.125</v>
      </c>
      <c r="L71">
        <f>K71/I71</f>
        <v>0.16013564431047475</v>
      </c>
      <c r="M71">
        <v>1.0549999999999999</v>
      </c>
      <c r="N71">
        <v>0.02</v>
      </c>
      <c r="O71">
        <f>M71-N71</f>
        <v>1.0349999999999999</v>
      </c>
      <c r="P71">
        <v>0.55500000000000005</v>
      </c>
      <c r="Q71">
        <f>P71/O71</f>
        <v>0.53623188405797106</v>
      </c>
    </row>
    <row r="72" spans="1:19" x14ac:dyDescent="0.25">
      <c r="A72">
        <v>71</v>
      </c>
      <c r="B72" t="s">
        <v>310</v>
      </c>
      <c r="C72" t="s">
        <v>405</v>
      </c>
      <c r="E72" t="s">
        <v>333</v>
      </c>
      <c r="F72" t="s">
        <v>144</v>
      </c>
      <c r="G72" t="s">
        <v>144</v>
      </c>
      <c r="H72" t="s">
        <v>138</v>
      </c>
      <c r="I72">
        <v>6.97</v>
      </c>
      <c r="J72">
        <v>5.17</v>
      </c>
      <c r="K72">
        <f>(I72-J72)/2</f>
        <v>0.89999999999999991</v>
      </c>
      <c r="L72">
        <f>K72/I72</f>
        <v>0.1291248206599713</v>
      </c>
      <c r="M72">
        <v>0.81799999999999995</v>
      </c>
      <c r="N72">
        <v>0.02</v>
      </c>
      <c r="O72">
        <f>M72-N72</f>
        <v>0.79799999999999993</v>
      </c>
      <c r="P72">
        <v>0.41899999999999998</v>
      </c>
      <c r="Q72">
        <f>P72/O72</f>
        <v>0.52506265664160401</v>
      </c>
    </row>
    <row r="73" spans="1:19" x14ac:dyDescent="0.25">
      <c r="A73">
        <v>72</v>
      </c>
      <c r="B73" t="s">
        <v>24</v>
      </c>
      <c r="C73" t="s">
        <v>354</v>
      </c>
      <c r="E73" t="s">
        <v>334</v>
      </c>
      <c r="F73" t="s">
        <v>144</v>
      </c>
      <c r="G73" t="s">
        <v>144</v>
      </c>
      <c r="H73" t="s">
        <v>138</v>
      </c>
      <c r="I73">
        <v>9.4700000000000006</v>
      </c>
      <c r="J73">
        <v>5.46</v>
      </c>
      <c r="K73">
        <f>(I73-J73)/2</f>
        <v>2.0050000000000003</v>
      </c>
      <c r="L73">
        <f>K73/I73</f>
        <v>0.21172122492080256</v>
      </c>
      <c r="M73">
        <v>0.73299999999999998</v>
      </c>
      <c r="N73">
        <v>0.02</v>
      </c>
      <c r="O73">
        <f>M73-N73</f>
        <v>0.71299999999999997</v>
      </c>
      <c r="P73">
        <v>0.37</v>
      </c>
      <c r="Q73">
        <f>P73/O73</f>
        <v>0.5189340813464236</v>
      </c>
    </row>
    <row r="74" spans="1:19" x14ac:dyDescent="0.25">
      <c r="A74">
        <v>73</v>
      </c>
      <c r="B74" t="s">
        <v>6</v>
      </c>
      <c r="C74" t="s">
        <v>382</v>
      </c>
      <c r="E74" t="s">
        <v>335</v>
      </c>
      <c r="F74" t="s">
        <v>144</v>
      </c>
      <c r="G74" t="s">
        <v>144</v>
      </c>
      <c r="H74" t="s">
        <v>138</v>
      </c>
      <c r="I74">
        <v>8.86</v>
      </c>
      <c r="J74">
        <v>7.15</v>
      </c>
      <c r="K74">
        <f>(I74-J74)/2</f>
        <v>0.85499999999999954</v>
      </c>
      <c r="L74">
        <f>K74/I74</f>
        <v>9.650112866817151E-2</v>
      </c>
      <c r="M74">
        <v>0.94199999999999995</v>
      </c>
      <c r="N74">
        <v>0.02</v>
      </c>
      <c r="O74">
        <f>M74-N74</f>
        <v>0.92199999999999993</v>
      </c>
      <c r="P74">
        <v>0.57599999999999996</v>
      </c>
      <c r="Q74">
        <f>P74/O74</f>
        <v>0.62472885032537961</v>
      </c>
    </row>
    <row r="75" spans="1:19" x14ac:dyDescent="0.25">
      <c r="A75">
        <v>74</v>
      </c>
      <c r="B75" t="s">
        <v>27</v>
      </c>
      <c r="C75" t="s">
        <v>356</v>
      </c>
      <c r="E75" t="s">
        <v>336</v>
      </c>
      <c r="F75" t="s">
        <v>144</v>
      </c>
      <c r="G75" t="s">
        <v>144</v>
      </c>
      <c r="H75" t="s">
        <v>138</v>
      </c>
      <c r="I75">
        <v>12.4</v>
      </c>
      <c r="J75">
        <v>8.66</v>
      </c>
      <c r="K75">
        <f>(I75-J75)/2</f>
        <v>1.87</v>
      </c>
      <c r="L75">
        <f>K75/I75</f>
        <v>0.15080645161290324</v>
      </c>
      <c r="M75">
        <v>1.367</v>
      </c>
      <c r="N75">
        <v>0.02</v>
      </c>
      <c r="O75">
        <f>M75-N75</f>
        <v>1.347</v>
      </c>
      <c r="P75">
        <v>0.90400000000000003</v>
      </c>
      <c r="Q75">
        <f>P75/O75</f>
        <v>0.67112100965107646</v>
      </c>
      <c r="S75" t="s">
        <v>338</v>
      </c>
    </row>
    <row r="76" spans="1:19" x14ac:dyDescent="0.25">
      <c r="A76">
        <v>75</v>
      </c>
      <c r="B76" t="s">
        <v>22</v>
      </c>
      <c r="C76" t="s">
        <v>352</v>
      </c>
      <c r="E76" t="s">
        <v>339</v>
      </c>
      <c r="F76" t="s">
        <v>144</v>
      </c>
      <c r="G76" t="s">
        <v>144</v>
      </c>
      <c r="H76" t="s">
        <v>138</v>
      </c>
      <c r="I76">
        <v>9.4499999999999993</v>
      </c>
      <c r="J76">
        <v>7.9</v>
      </c>
      <c r="K76">
        <f>(I76-J76)/2</f>
        <v>0.77499999999999947</v>
      </c>
      <c r="L76">
        <f>K76/I76</f>
        <v>8.2010582010581964E-2</v>
      </c>
      <c r="M76">
        <v>0.54500000000000004</v>
      </c>
      <c r="N76">
        <v>0.02</v>
      </c>
      <c r="O76">
        <f>M76-N76</f>
        <v>0.52500000000000002</v>
      </c>
      <c r="P76">
        <v>0.39300000000000002</v>
      </c>
      <c r="Q76">
        <f>P76/O76</f>
        <v>0.74857142857142855</v>
      </c>
    </row>
    <row r="77" spans="1:19" x14ac:dyDescent="0.25">
      <c r="A77">
        <v>76</v>
      </c>
      <c r="B77" t="s">
        <v>28</v>
      </c>
      <c r="C77" t="s">
        <v>357</v>
      </c>
      <c r="E77" t="s">
        <v>291</v>
      </c>
      <c r="F77" t="s">
        <v>144</v>
      </c>
      <c r="G77" t="s">
        <v>144</v>
      </c>
      <c r="H77" t="s">
        <v>138</v>
      </c>
      <c r="I77">
        <v>10.87</v>
      </c>
      <c r="J77">
        <v>8.1300000000000008</v>
      </c>
      <c r="K77">
        <f>(I77-J77)/2</f>
        <v>1.3699999999999992</v>
      </c>
      <c r="L77">
        <f>K77/I77</f>
        <v>0.12603495860165587</v>
      </c>
      <c r="M77">
        <v>0.60899999999999999</v>
      </c>
      <c r="N77">
        <v>0.02</v>
      </c>
      <c r="O77">
        <f>M77-N77</f>
        <v>0.58899999999999997</v>
      </c>
      <c r="P77">
        <v>0.27500000000000002</v>
      </c>
      <c r="Q77">
        <f>P77/O77</f>
        <v>0.46689303904923607</v>
      </c>
    </row>
    <row r="78" spans="1:19" x14ac:dyDescent="0.25">
      <c r="A78">
        <v>77</v>
      </c>
      <c r="B78" t="s">
        <v>31</v>
      </c>
      <c r="C78" t="s">
        <v>349</v>
      </c>
      <c r="E78" t="s">
        <v>62</v>
      </c>
      <c r="F78" t="s">
        <v>144</v>
      </c>
      <c r="G78" t="s">
        <v>144</v>
      </c>
      <c r="H78" t="s">
        <v>138</v>
      </c>
      <c r="I78">
        <v>13.07</v>
      </c>
      <c r="J78">
        <v>8.1</v>
      </c>
      <c r="K78">
        <f>(I78-J78)/2</f>
        <v>2.4850000000000003</v>
      </c>
      <c r="L78">
        <f>K78/I78</f>
        <v>0.19013006885998471</v>
      </c>
      <c r="M78">
        <v>1.548</v>
      </c>
      <c r="N78">
        <v>0.02</v>
      </c>
      <c r="O78">
        <f>M78-N78</f>
        <v>1.528</v>
      </c>
      <c r="P78">
        <v>0.70099999999999996</v>
      </c>
      <c r="Q78">
        <f>P78/O78</f>
        <v>0.45876963350785338</v>
      </c>
    </row>
    <row r="79" spans="1:19" x14ac:dyDescent="0.25">
      <c r="A79">
        <v>78</v>
      </c>
      <c r="B79" t="s">
        <v>32</v>
      </c>
      <c r="C79" t="s">
        <v>359</v>
      </c>
      <c r="E79" t="s">
        <v>64</v>
      </c>
      <c r="F79" t="s">
        <v>144</v>
      </c>
      <c r="G79" t="s">
        <v>144</v>
      </c>
      <c r="H79" t="s">
        <v>138</v>
      </c>
      <c r="I79">
        <v>9.51</v>
      </c>
      <c r="J79">
        <v>7</v>
      </c>
      <c r="K79">
        <f>(I79-J79)/2</f>
        <v>1.2549999999999999</v>
      </c>
      <c r="L79">
        <f>K79/I79</f>
        <v>0.1319663512092534</v>
      </c>
      <c r="M79">
        <v>0.58799999999999997</v>
      </c>
      <c r="N79">
        <v>0.02</v>
      </c>
      <c r="O79">
        <f>M79-N79</f>
        <v>0.56799999999999995</v>
      </c>
      <c r="P79">
        <v>0.35699999999999998</v>
      </c>
      <c r="Q79">
        <f>P79/O79</f>
        <v>0.62852112676056338</v>
      </c>
    </row>
    <row r="80" spans="1:19" x14ac:dyDescent="0.25">
      <c r="A80">
        <v>79</v>
      </c>
      <c r="B80" t="s">
        <v>95</v>
      </c>
      <c r="C80" t="s">
        <v>370</v>
      </c>
      <c r="E80" t="s">
        <v>285</v>
      </c>
      <c r="F80" t="s">
        <v>144</v>
      </c>
      <c r="G80" t="s">
        <v>144</v>
      </c>
      <c r="H80" t="s">
        <v>138</v>
      </c>
      <c r="I80">
        <v>7.42</v>
      </c>
      <c r="J80">
        <v>4.99</v>
      </c>
      <c r="K80">
        <f>(I80-J80)/2</f>
        <v>1.2149999999999999</v>
      </c>
      <c r="L80">
        <f>K80/I80</f>
        <v>0.1637466307277628</v>
      </c>
      <c r="M80">
        <v>0.56200000000000006</v>
      </c>
      <c r="N80">
        <v>0.02</v>
      </c>
      <c r="O80">
        <f>M80-N80</f>
        <v>0.54200000000000004</v>
      </c>
      <c r="P80">
        <v>0.248</v>
      </c>
      <c r="Q80">
        <f>P80/O80</f>
        <v>0.45756457564575642</v>
      </c>
    </row>
    <row r="81" spans="1:17" x14ac:dyDescent="0.25">
      <c r="A81">
        <v>80</v>
      </c>
      <c r="B81" t="s">
        <v>121</v>
      </c>
      <c r="C81" t="s">
        <v>383</v>
      </c>
      <c r="E81" t="s">
        <v>101</v>
      </c>
      <c r="F81" t="s">
        <v>144</v>
      </c>
      <c r="G81" t="s">
        <v>144</v>
      </c>
      <c r="H81" t="s">
        <v>138</v>
      </c>
      <c r="I81">
        <v>8.64</v>
      </c>
      <c r="J81">
        <v>7.08</v>
      </c>
      <c r="K81">
        <f>(I81-J81)/2</f>
        <v>0.78000000000000025</v>
      </c>
      <c r="L81">
        <f>K81/I81</f>
        <v>9.0277777777777804E-2</v>
      </c>
      <c r="M81">
        <v>0.71099999999999997</v>
      </c>
      <c r="N81">
        <v>0.02</v>
      </c>
      <c r="O81">
        <f>M81-N81</f>
        <v>0.69099999999999995</v>
      </c>
      <c r="P81">
        <v>0.40699999999999997</v>
      </c>
      <c r="Q81">
        <f>P81/O81</f>
        <v>0.58900144717800285</v>
      </c>
    </row>
    <row r="82" spans="1:17" x14ac:dyDescent="0.25">
      <c r="A82">
        <v>81</v>
      </c>
      <c r="B82" t="s">
        <v>99</v>
      </c>
      <c r="C82" t="s">
        <v>383</v>
      </c>
      <c r="E82" t="s">
        <v>101</v>
      </c>
      <c r="F82" t="s">
        <v>144</v>
      </c>
      <c r="G82" t="s">
        <v>144</v>
      </c>
      <c r="H82" t="s">
        <v>138</v>
      </c>
      <c r="I82">
        <v>6.2</v>
      </c>
      <c r="J82">
        <v>5.0999999999999996</v>
      </c>
      <c r="K82">
        <f>(I82-J82)/2</f>
        <v>0.55000000000000027</v>
      </c>
      <c r="L82">
        <f>K82/I82</f>
        <v>8.8709677419354885E-2</v>
      </c>
      <c r="M82">
        <v>0.997</v>
      </c>
      <c r="N82">
        <v>0.02</v>
      </c>
      <c r="O82">
        <f>M82-N82</f>
        <v>0.97699999999999998</v>
      </c>
      <c r="P82">
        <v>0.53400000000000003</v>
      </c>
      <c r="Q82">
        <f>P82/O82</f>
        <v>0.54657113613101338</v>
      </c>
    </row>
    <row r="83" spans="1:17" x14ac:dyDescent="0.25">
      <c r="A83">
        <v>82</v>
      </c>
      <c r="B83" t="s">
        <v>134</v>
      </c>
      <c r="C83" t="s">
        <v>349</v>
      </c>
      <c r="E83" t="s">
        <v>62</v>
      </c>
      <c r="F83" t="s">
        <v>144</v>
      </c>
      <c r="G83" t="s">
        <v>144</v>
      </c>
      <c r="H83" t="s">
        <v>138</v>
      </c>
      <c r="I83">
        <v>6.47</v>
      </c>
      <c r="J83">
        <v>3.44</v>
      </c>
      <c r="K83">
        <f>(I83-J83)/2</f>
        <v>1.5149999999999999</v>
      </c>
      <c r="L83">
        <f>K83/I83</f>
        <v>0.23415765069551778</v>
      </c>
      <c r="M83">
        <v>0.434</v>
      </c>
      <c r="N83">
        <v>0.02</v>
      </c>
      <c r="O83">
        <f>M83-N83</f>
        <v>0.41399999999999998</v>
      </c>
      <c r="P83">
        <v>0.161</v>
      </c>
      <c r="Q83">
        <f>P83/O83</f>
        <v>0.3888888888888889</v>
      </c>
    </row>
    <row r="84" spans="1:17" x14ac:dyDescent="0.25">
      <c r="A84">
        <v>83</v>
      </c>
      <c r="B84" t="s">
        <v>43</v>
      </c>
      <c r="C84" t="s">
        <v>364</v>
      </c>
      <c r="E84" t="s">
        <v>232</v>
      </c>
      <c r="F84" t="s">
        <v>144</v>
      </c>
      <c r="G84" t="s">
        <v>144</v>
      </c>
      <c r="H84" t="s">
        <v>138</v>
      </c>
      <c r="I84">
        <v>11.82</v>
      </c>
      <c r="J84">
        <v>3.82</v>
      </c>
      <c r="K84">
        <f>(I84-J84)/2</f>
        <v>4</v>
      </c>
      <c r="L84">
        <f>K84/I84</f>
        <v>0.33840947546531303</v>
      </c>
      <c r="M84">
        <v>0.627</v>
      </c>
      <c r="N84">
        <v>0.02</v>
      </c>
      <c r="O84">
        <f>M84-N84</f>
        <v>0.60699999999999998</v>
      </c>
      <c r="P84">
        <v>0.41199999999999998</v>
      </c>
      <c r="Q84">
        <f>P84/O84</f>
        <v>0.67874794069192745</v>
      </c>
    </row>
    <row r="85" spans="1:17" x14ac:dyDescent="0.25">
      <c r="A85">
        <v>84</v>
      </c>
      <c r="B85" t="s">
        <v>126</v>
      </c>
      <c r="C85" t="s">
        <v>353</v>
      </c>
      <c r="E85" t="s">
        <v>63</v>
      </c>
      <c r="F85" t="s">
        <v>144</v>
      </c>
      <c r="G85" t="s">
        <v>144</v>
      </c>
      <c r="H85" t="s">
        <v>138</v>
      </c>
      <c r="I85">
        <v>6.82</v>
      </c>
      <c r="J85">
        <v>4.5999999999999996</v>
      </c>
      <c r="K85">
        <f>(I85-J85)/2</f>
        <v>1.1100000000000003</v>
      </c>
      <c r="L85">
        <f>K85/I85</f>
        <v>0.16275659824046926</v>
      </c>
      <c r="M85">
        <v>0.45200000000000001</v>
      </c>
      <c r="N85">
        <v>0.02</v>
      </c>
      <c r="O85">
        <f>M85-N85</f>
        <v>0.432</v>
      </c>
      <c r="P85">
        <v>0.22900000000000001</v>
      </c>
      <c r="Q85">
        <f>P85/O85</f>
        <v>0.53009259259259267</v>
      </c>
    </row>
    <row r="86" spans="1:17" x14ac:dyDescent="0.25">
      <c r="A86">
        <v>85</v>
      </c>
      <c r="B86" t="s">
        <v>340</v>
      </c>
      <c r="C86" t="s">
        <v>554</v>
      </c>
      <c r="E86" t="s">
        <v>555</v>
      </c>
      <c r="F86" t="s">
        <v>144</v>
      </c>
      <c r="G86" t="s">
        <v>144</v>
      </c>
      <c r="H86" t="s">
        <v>138</v>
      </c>
      <c r="I86">
        <v>8.1</v>
      </c>
      <c r="J86">
        <v>5.51</v>
      </c>
      <c r="K86">
        <f>(I86-J86)/2</f>
        <v>1.2949999999999999</v>
      </c>
      <c r="L86">
        <f>K86/I86</f>
        <v>0.15987654320987654</v>
      </c>
      <c r="M86">
        <v>0.748</v>
      </c>
      <c r="N86">
        <v>0.02</v>
      </c>
      <c r="O86">
        <f>M86-N86</f>
        <v>0.72799999999999998</v>
      </c>
      <c r="P86">
        <v>0.26500000000000001</v>
      </c>
      <c r="Q86">
        <f>P86/O86</f>
        <v>0.36401098901098905</v>
      </c>
    </row>
    <row r="87" spans="1:17" x14ac:dyDescent="0.25">
      <c r="A87">
        <v>86</v>
      </c>
      <c r="B87" t="s">
        <v>39</v>
      </c>
      <c r="C87" t="s">
        <v>361</v>
      </c>
      <c r="E87" t="s">
        <v>341</v>
      </c>
      <c r="F87" t="s">
        <v>144</v>
      </c>
      <c r="G87" t="s">
        <v>144</v>
      </c>
      <c r="H87" t="s">
        <v>138</v>
      </c>
      <c r="I87">
        <v>7.49</v>
      </c>
      <c r="J87">
        <v>4.92</v>
      </c>
      <c r="K87">
        <f>(I87-J87)/2</f>
        <v>1.2850000000000001</v>
      </c>
      <c r="L87">
        <f>K87/I87</f>
        <v>0.17156208277703605</v>
      </c>
      <c r="M87">
        <v>0.64300000000000002</v>
      </c>
      <c r="N87">
        <v>0.02</v>
      </c>
      <c r="O87">
        <f>M87-N87</f>
        <v>0.623</v>
      </c>
      <c r="P87">
        <v>0.33100000000000002</v>
      </c>
      <c r="Q87">
        <f>P87/O87</f>
        <v>0.5313001605136437</v>
      </c>
    </row>
    <row r="88" spans="1:17" x14ac:dyDescent="0.25">
      <c r="A88">
        <v>87</v>
      </c>
      <c r="B88" t="s">
        <v>127</v>
      </c>
      <c r="C88" t="s">
        <v>383</v>
      </c>
      <c r="E88" t="s">
        <v>101</v>
      </c>
      <c r="F88" t="s">
        <v>144</v>
      </c>
      <c r="G88" t="s">
        <v>144</v>
      </c>
      <c r="H88" t="s">
        <v>138</v>
      </c>
      <c r="I88">
        <v>8.4600000000000009</v>
      </c>
      <c r="J88">
        <v>7.13</v>
      </c>
      <c r="K88">
        <f>(I88-J88)/2</f>
        <v>0.66500000000000048</v>
      </c>
      <c r="L88">
        <f>K88/I88</f>
        <v>7.8605200945626522E-2</v>
      </c>
      <c r="M88">
        <v>1.1419999999999999</v>
      </c>
      <c r="N88">
        <v>0.02</v>
      </c>
      <c r="O88">
        <f>M88-N88</f>
        <v>1.1219999999999999</v>
      </c>
      <c r="P88">
        <v>0.58899999999999997</v>
      </c>
      <c r="Q88">
        <f>P88/O88</f>
        <v>0.52495543672014267</v>
      </c>
    </row>
    <row r="89" spans="1:17" x14ac:dyDescent="0.25">
      <c r="A89">
        <v>88</v>
      </c>
      <c r="B89" t="s">
        <v>15</v>
      </c>
      <c r="C89" t="s">
        <v>349</v>
      </c>
      <c r="E89" t="s">
        <v>62</v>
      </c>
      <c r="F89" t="s">
        <v>144</v>
      </c>
      <c r="G89" t="s">
        <v>144</v>
      </c>
      <c r="H89" t="s">
        <v>138</v>
      </c>
      <c r="I89">
        <v>9.98</v>
      </c>
      <c r="J89">
        <v>6.82</v>
      </c>
      <c r="K89">
        <f>(I89-J89)/2</f>
        <v>1.58</v>
      </c>
      <c r="L89">
        <f>K89/I89</f>
        <v>0.15831663326653306</v>
      </c>
      <c r="M89">
        <v>0.69</v>
      </c>
      <c r="N89">
        <v>0.02</v>
      </c>
      <c r="O89">
        <f>M89-N89</f>
        <v>0.66999999999999993</v>
      </c>
      <c r="P89">
        <v>0.24399999999999999</v>
      </c>
      <c r="Q89">
        <f>P89/O89</f>
        <v>0.36417910447761198</v>
      </c>
    </row>
    <row r="90" spans="1:17" x14ac:dyDescent="0.25">
      <c r="A90">
        <v>89</v>
      </c>
      <c r="B90" t="s">
        <v>10</v>
      </c>
      <c r="C90" t="s">
        <v>346</v>
      </c>
      <c r="E90" t="s">
        <v>377</v>
      </c>
      <c r="F90" t="s">
        <v>144</v>
      </c>
      <c r="G90" t="s">
        <v>144</v>
      </c>
      <c r="H90" t="s">
        <v>138</v>
      </c>
      <c r="I90">
        <v>6.57</v>
      </c>
      <c r="J90">
        <v>3.98</v>
      </c>
      <c r="K90">
        <f>(I90-J90)/2</f>
        <v>1.2950000000000002</v>
      </c>
      <c r="L90">
        <f>K90/I90</f>
        <v>0.19710806697108069</v>
      </c>
      <c r="M90">
        <v>0.41499999999999998</v>
      </c>
      <c r="N90">
        <v>0.02</v>
      </c>
      <c r="O90">
        <f>M90-N90</f>
        <v>0.39499999999999996</v>
      </c>
      <c r="P90">
        <v>0.254</v>
      </c>
      <c r="Q90">
        <f>P90/O90</f>
        <v>0.6430379746835444</v>
      </c>
    </row>
    <row r="91" spans="1:17" x14ac:dyDescent="0.25">
      <c r="A91">
        <v>90</v>
      </c>
      <c r="B91" t="s">
        <v>26</v>
      </c>
      <c r="C91" t="s">
        <v>350</v>
      </c>
      <c r="E91" t="s">
        <v>17</v>
      </c>
      <c r="F91" t="s">
        <v>144</v>
      </c>
      <c r="G91" t="s">
        <v>144</v>
      </c>
      <c r="H91" t="s">
        <v>138</v>
      </c>
      <c r="I91">
        <v>8.83</v>
      </c>
      <c r="J91">
        <v>4.54</v>
      </c>
      <c r="K91">
        <f>(I91-J91)/2</f>
        <v>2.145</v>
      </c>
      <c r="L91">
        <f>K91/I91</f>
        <v>0.24292185730464327</v>
      </c>
      <c r="M91">
        <v>0.56599999999999995</v>
      </c>
      <c r="N91">
        <v>0.03</v>
      </c>
      <c r="O91">
        <f>M91-N91</f>
        <v>0.53599999999999992</v>
      </c>
      <c r="P91">
        <v>0.32700000000000001</v>
      </c>
      <c r="Q91">
        <f>P91/O91</f>
        <v>0.61007462686567171</v>
      </c>
    </row>
    <row r="92" spans="1:17" x14ac:dyDescent="0.25">
      <c r="A92">
        <v>91</v>
      </c>
      <c r="B92" t="s">
        <v>155</v>
      </c>
      <c r="C92" t="s">
        <v>345</v>
      </c>
      <c r="E92" t="s">
        <v>376</v>
      </c>
      <c r="F92" t="s">
        <v>144</v>
      </c>
      <c r="G92" t="s">
        <v>144</v>
      </c>
      <c r="H92" t="s">
        <v>138</v>
      </c>
      <c r="I92">
        <v>12.82</v>
      </c>
      <c r="J92">
        <v>8.32</v>
      </c>
      <c r="K92">
        <f>(I92-J92)/2</f>
        <v>2.25</v>
      </c>
      <c r="L92">
        <f>K92/I92</f>
        <v>0.17550702028081122</v>
      </c>
      <c r="M92">
        <v>1.6779999999999999</v>
      </c>
      <c r="N92">
        <v>0.03</v>
      </c>
      <c r="O92">
        <f>M92-N92</f>
        <v>1.6479999999999999</v>
      </c>
      <c r="P92">
        <v>1.0029999999999999</v>
      </c>
      <c r="Q92">
        <f>P92/O92</f>
        <v>0.60861650485436891</v>
      </c>
    </row>
    <row r="93" spans="1:17" x14ac:dyDescent="0.25">
      <c r="A93">
        <v>92</v>
      </c>
      <c r="B93" t="s">
        <v>492</v>
      </c>
      <c r="C93" t="s">
        <v>654</v>
      </c>
      <c r="E93" t="s">
        <v>655</v>
      </c>
      <c r="F93" t="s">
        <v>144</v>
      </c>
      <c r="G93" t="s">
        <v>144</v>
      </c>
      <c r="H93" t="s">
        <v>138</v>
      </c>
      <c r="I93">
        <v>6.88</v>
      </c>
      <c r="J93">
        <v>5.7</v>
      </c>
      <c r="K93">
        <f>(I93-J93)/2</f>
        <v>0.58999999999999986</v>
      </c>
      <c r="L93">
        <f>K93/I93</f>
        <v>8.5755813953488358E-2</v>
      </c>
      <c r="M93">
        <v>0.79</v>
      </c>
      <c r="N93">
        <v>0.03</v>
      </c>
      <c r="O93">
        <f>M93-N93</f>
        <v>0.76</v>
      </c>
      <c r="P93">
        <v>0.53100000000000003</v>
      </c>
      <c r="Q93">
        <f>P93/O93</f>
        <v>0.6986842105263158</v>
      </c>
    </row>
    <row r="94" spans="1:17" x14ac:dyDescent="0.25">
      <c r="A94">
        <v>93</v>
      </c>
      <c r="B94" t="s">
        <v>9</v>
      </c>
      <c r="C94" t="s">
        <v>346</v>
      </c>
      <c r="E94" t="s">
        <v>377</v>
      </c>
      <c r="F94" t="s">
        <v>144</v>
      </c>
      <c r="G94" t="s">
        <v>144</v>
      </c>
      <c r="H94" t="s">
        <v>138</v>
      </c>
      <c r="I94">
        <v>7.18</v>
      </c>
      <c r="J94">
        <v>4.16</v>
      </c>
      <c r="K94">
        <f>(I94-J94)/2</f>
        <v>1.5099999999999998</v>
      </c>
      <c r="L94">
        <f>K94/I94</f>
        <v>0.21030640668523676</v>
      </c>
      <c r="M94">
        <v>0.48099999999999998</v>
      </c>
      <c r="N94">
        <v>0.03</v>
      </c>
      <c r="O94">
        <f>M94-N94</f>
        <v>0.45099999999999996</v>
      </c>
      <c r="P94">
        <v>0.29299999999999998</v>
      </c>
      <c r="Q94">
        <f>P94/O94</f>
        <v>0.64966740576496673</v>
      </c>
    </row>
    <row r="95" spans="1:17" x14ac:dyDescent="0.25">
      <c r="A95">
        <v>94</v>
      </c>
      <c r="B95" t="s">
        <v>36</v>
      </c>
      <c r="C95" t="s">
        <v>353</v>
      </c>
      <c r="E95" t="s">
        <v>63</v>
      </c>
      <c r="F95" t="s">
        <v>144</v>
      </c>
      <c r="G95" t="s">
        <v>144</v>
      </c>
      <c r="H95" t="s">
        <v>138</v>
      </c>
      <c r="I95">
        <v>9.2100000000000009</v>
      </c>
      <c r="J95">
        <v>6.7</v>
      </c>
      <c r="K95">
        <f>(I95-J95)/2</f>
        <v>1.2550000000000003</v>
      </c>
      <c r="L95">
        <f>K95/I95</f>
        <v>0.13626492942453858</v>
      </c>
      <c r="M95">
        <v>0.49</v>
      </c>
      <c r="N95">
        <v>0.03</v>
      </c>
      <c r="O95">
        <f>M95-N95</f>
        <v>0.45999999999999996</v>
      </c>
      <c r="P95">
        <v>0.245</v>
      </c>
      <c r="Q95">
        <f>P95/O95</f>
        <v>0.53260869565217395</v>
      </c>
    </row>
    <row r="96" spans="1:17" x14ac:dyDescent="0.25">
      <c r="A96">
        <v>95</v>
      </c>
      <c r="B96" t="s">
        <v>4</v>
      </c>
      <c r="C96" t="s">
        <v>344</v>
      </c>
      <c r="E96" t="s">
        <v>5</v>
      </c>
      <c r="F96" t="s">
        <v>144</v>
      </c>
      <c r="G96" t="s">
        <v>144</v>
      </c>
      <c r="H96" t="s">
        <v>138</v>
      </c>
      <c r="I96">
        <v>9.16</v>
      </c>
      <c r="J96">
        <v>7.74</v>
      </c>
      <c r="K96">
        <f>(I96-J96)/2</f>
        <v>0.71</v>
      </c>
      <c r="L96">
        <f>K96/I96</f>
        <v>7.7510917030567686E-2</v>
      </c>
      <c r="M96">
        <v>0.78800000000000003</v>
      </c>
      <c r="N96">
        <v>0.03</v>
      </c>
      <c r="O96">
        <f>M96-N96</f>
        <v>0.75800000000000001</v>
      </c>
      <c r="P96">
        <v>0.42499999999999999</v>
      </c>
      <c r="Q96">
        <f>P96/O96</f>
        <v>0.56068601583113453</v>
      </c>
    </row>
    <row r="97" spans="1:17" x14ac:dyDescent="0.25">
      <c r="A97">
        <v>96</v>
      </c>
      <c r="B97" t="s">
        <v>493</v>
      </c>
      <c r="C97" t="s">
        <v>399</v>
      </c>
      <c r="E97" t="s">
        <v>265</v>
      </c>
      <c r="F97" t="s">
        <v>144</v>
      </c>
      <c r="G97" t="s">
        <v>144</v>
      </c>
      <c r="H97" t="s">
        <v>138</v>
      </c>
      <c r="I97">
        <v>9.4499999999999993</v>
      </c>
      <c r="J97">
        <v>4.74</v>
      </c>
      <c r="K97">
        <f>(I97-J97)/2</f>
        <v>2.3549999999999995</v>
      </c>
      <c r="L97">
        <f>K97/I97</f>
        <v>0.24920634920634918</v>
      </c>
      <c r="M97">
        <v>0.68799999999999994</v>
      </c>
      <c r="N97">
        <v>0.03</v>
      </c>
      <c r="O97">
        <f>M97-N97</f>
        <v>0.65799999999999992</v>
      </c>
      <c r="P97">
        <v>0.19700000000000001</v>
      </c>
      <c r="Q97">
        <f>P97/O97</f>
        <v>0.29939209726443772</v>
      </c>
    </row>
    <row r="98" spans="1:17" x14ac:dyDescent="0.25">
      <c r="A98">
        <v>97</v>
      </c>
      <c r="B98" t="s">
        <v>117</v>
      </c>
      <c r="C98" t="s">
        <v>351</v>
      </c>
      <c r="E98" t="s">
        <v>21</v>
      </c>
      <c r="F98" t="s">
        <v>144</v>
      </c>
      <c r="G98" t="s">
        <v>144</v>
      </c>
      <c r="H98" t="s">
        <v>138</v>
      </c>
      <c r="I98">
        <v>7.64</v>
      </c>
      <c r="J98">
        <v>5.44</v>
      </c>
      <c r="K98">
        <f>(I98-J98)/2</f>
        <v>1.0999999999999996</v>
      </c>
      <c r="L98">
        <f>K98/I98</f>
        <v>0.14397905759162299</v>
      </c>
      <c r="M98">
        <v>0.60399999999999998</v>
      </c>
      <c r="N98">
        <v>0.03</v>
      </c>
      <c r="O98">
        <f>M98-N98</f>
        <v>0.57399999999999995</v>
      </c>
      <c r="P98">
        <v>0.27800000000000002</v>
      </c>
      <c r="Q98">
        <f>P98/O98</f>
        <v>0.48432055749128927</v>
      </c>
    </row>
    <row r="99" spans="1:17" x14ac:dyDescent="0.25">
      <c r="A99">
        <v>98</v>
      </c>
      <c r="B99" t="s">
        <v>494</v>
      </c>
      <c r="C99" t="s">
        <v>654</v>
      </c>
      <c r="E99" t="s">
        <v>655</v>
      </c>
      <c r="F99" t="s">
        <v>144</v>
      </c>
      <c r="G99" t="s">
        <v>144</v>
      </c>
      <c r="H99" t="s">
        <v>138</v>
      </c>
      <c r="I99">
        <v>6.34</v>
      </c>
      <c r="J99">
        <v>5.2</v>
      </c>
      <c r="K99">
        <f>(I99-J99)/2</f>
        <v>0.56999999999999984</v>
      </c>
      <c r="L99">
        <f>K99/I99</f>
        <v>8.9905362776025219E-2</v>
      </c>
      <c r="M99">
        <v>0.755</v>
      </c>
      <c r="N99">
        <v>0.03</v>
      </c>
      <c r="O99">
        <f>M99-N99</f>
        <v>0.72499999999999998</v>
      </c>
      <c r="P99">
        <v>0.41899999999999998</v>
      </c>
      <c r="Q99">
        <f>P99/O99</f>
        <v>0.57793103448275862</v>
      </c>
    </row>
    <row r="100" spans="1:17" x14ac:dyDescent="0.25">
      <c r="A100">
        <v>99</v>
      </c>
      <c r="B100" t="s">
        <v>11</v>
      </c>
      <c r="C100" t="s">
        <v>347</v>
      </c>
      <c r="E100" t="s">
        <v>378</v>
      </c>
      <c r="F100" t="s">
        <v>144</v>
      </c>
      <c r="G100" t="s">
        <v>144</v>
      </c>
      <c r="H100" t="s">
        <v>138</v>
      </c>
      <c r="I100">
        <v>6.94</v>
      </c>
      <c r="J100">
        <v>5.14</v>
      </c>
      <c r="K100">
        <f>(I100-J100)/2</f>
        <v>0.90000000000000036</v>
      </c>
      <c r="L100">
        <f>K100/I100</f>
        <v>0.12968299711815567</v>
      </c>
      <c r="M100">
        <v>0.56799999999999995</v>
      </c>
      <c r="N100">
        <v>0.03</v>
      </c>
      <c r="O100">
        <f>M100-N100</f>
        <v>0.53799999999999992</v>
      </c>
      <c r="P100">
        <v>0.22</v>
      </c>
      <c r="Q100">
        <f>P100/O100</f>
        <v>0.4089219330855019</v>
      </c>
    </row>
    <row r="101" spans="1:17" x14ac:dyDescent="0.25">
      <c r="A101">
        <v>100</v>
      </c>
      <c r="B101" t="s">
        <v>495</v>
      </c>
      <c r="C101" t="s">
        <v>399</v>
      </c>
      <c r="E101" t="s">
        <v>265</v>
      </c>
      <c r="F101" t="s">
        <v>144</v>
      </c>
      <c r="G101" t="s">
        <v>144</v>
      </c>
      <c r="H101" t="s">
        <v>138</v>
      </c>
      <c r="I101">
        <v>8.36</v>
      </c>
      <c r="J101">
        <v>5.07</v>
      </c>
      <c r="K101">
        <f>(I101-J101)/2</f>
        <v>1.6449999999999996</v>
      </c>
      <c r="L101">
        <f>K101/I101</f>
        <v>0.19677033492822962</v>
      </c>
      <c r="M101">
        <v>0.99</v>
      </c>
      <c r="N101">
        <v>0.03</v>
      </c>
      <c r="O101">
        <f>M101-N101</f>
        <v>0.96</v>
      </c>
      <c r="P101">
        <v>0.25700000000000001</v>
      </c>
      <c r="Q101">
        <f>P101/O101</f>
        <v>0.26770833333333333</v>
      </c>
    </row>
    <row r="102" spans="1:17" x14ac:dyDescent="0.25">
      <c r="A102">
        <v>101</v>
      </c>
      <c r="B102" t="s">
        <v>496</v>
      </c>
      <c r="C102" t="s">
        <v>348</v>
      </c>
      <c r="E102" t="s">
        <v>497</v>
      </c>
      <c r="F102" t="s">
        <v>144</v>
      </c>
      <c r="G102" t="s">
        <v>144</v>
      </c>
      <c r="H102" t="s">
        <v>138</v>
      </c>
      <c r="I102">
        <v>8.2200000000000006</v>
      </c>
      <c r="J102">
        <v>6.61</v>
      </c>
      <c r="K102">
        <f>(I102-J102)/2</f>
        <v>0.80500000000000016</v>
      </c>
      <c r="L102">
        <f>K102/I102</f>
        <v>9.793187347931874E-2</v>
      </c>
      <c r="M102">
        <v>1.5720000000000001</v>
      </c>
      <c r="N102">
        <v>0.03</v>
      </c>
      <c r="O102">
        <f>M102-N102</f>
        <v>1.542</v>
      </c>
      <c r="P102">
        <v>1.129</v>
      </c>
      <c r="Q102">
        <f>P102/O102</f>
        <v>0.73216601815823601</v>
      </c>
    </row>
    <row r="103" spans="1:17" x14ac:dyDescent="0.25">
      <c r="A103">
        <v>102</v>
      </c>
      <c r="B103" t="s">
        <v>29</v>
      </c>
      <c r="C103" t="s">
        <v>358</v>
      </c>
      <c r="E103" t="s">
        <v>363</v>
      </c>
      <c r="F103" t="s">
        <v>144</v>
      </c>
      <c r="G103" t="s">
        <v>144</v>
      </c>
      <c r="H103" t="s">
        <v>138</v>
      </c>
      <c r="I103">
        <v>7.75</v>
      </c>
      <c r="J103">
        <v>4.42</v>
      </c>
      <c r="K103">
        <f>(I103-J103)/2</f>
        <v>1.665</v>
      </c>
      <c r="L103">
        <f>K103/I103</f>
        <v>0.21483870967741936</v>
      </c>
      <c r="M103">
        <v>0.60399999999999998</v>
      </c>
      <c r="N103">
        <v>0.03</v>
      </c>
      <c r="O103">
        <f>M103-N103</f>
        <v>0.57399999999999995</v>
      </c>
      <c r="P103">
        <v>0.27300000000000002</v>
      </c>
      <c r="Q103">
        <f>P103/O103</f>
        <v>0.47560975609756106</v>
      </c>
    </row>
    <row r="104" spans="1:17" x14ac:dyDescent="0.25">
      <c r="A104">
        <v>103</v>
      </c>
      <c r="B104" t="s">
        <v>30</v>
      </c>
      <c r="C104" t="s">
        <v>350</v>
      </c>
      <c r="E104" t="s">
        <v>17</v>
      </c>
      <c r="F104" t="s">
        <v>144</v>
      </c>
      <c r="G104" t="s">
        <v>144</v>
      </c>
      <c r="H104" t="s">
        <v>138</v>
      </c>
      <c r="I104">
        <v>10.02</v>
      </c>
      <c r="J104">
        <v>4.2</v>
      </c>
      <c r="K104">
        <f>(I104-J104)/2</f>
        <v>2.9099999999999997</v>
      </c>
      <c r="L104">
        <f>K104/I104</f>
        <v>0.29041916167664666</v>
      </c>
      <c r="M104">
        <v>0.55400000000000005</v>
      </c>
      <c r="N104">
        <v>0.03</v>
      </c>
      <c r="O104">
        <f>M104-N104</f>
        <v>0.52400000000000002</v>
      </c>
      <c r="P104">
        <v>0.32500000000000001</v>
      </c>
      <c r="Q104">
        <f>P104/O104</f>
        <v>0.62022900763358779</v>
      </c>
    </row>
    <row r="105" spans="1:17" x14ac:dyDescent="0.25">
      <c r="A105">
        <v>104</v>
      </c>
      <c r="B105" t="s">
        <v>25</v>
      </c>
      <c r="C105" t="s">
        <v>355</v>
      </c>
      <c r="E105" t="s">
        <v>227</v>
      </c>
      <c r="F105" t="s">
        <v>144</v>
      </c>
      <c r="G105" t="s">
        <v>144</v>
      </c>
      <c r="H105" t="s">
        <v>138</v>
      </c>
      <c r="I105">
        <v>9.5299999999999994</v>
      </c>
      <c r="J105">
        <v>4.47</v>
      </c>
      <c r="K105">
        <f>(I105-J105)/2</f>
        <v>2.5299999999999998</v>
      </c>
      <c r="L105">
        <f>K105/I105</f>
        <v>0.26547743966421827</v>
      </c>
      <c r="M105">
        <v>0.79300000000000004</v>
      </c>
      <c r="N105">
        <v>0.03</v>
      </c>
      <c r="O105">
        <f>M105-N105</f>
        <v>0.76300000000000001</v>
      </c>
      <c r="P105">
        <v>0.38900000000000001</v>
      </c>
      <c r="Q105">
        <f>P105/O105</f>
        <v>0.509829619921363</v>
      </c>
    </row>
    <row r="106" spans="1:17" x14ac:dyDescent="0.25">
      <c r="A106">
        <v>105</v>
      </c>
      <c r="B106" t="s">
        <v>499</v>
      </c>
      <c r="C106" t="s">
        <v>399</v>
      </c>
      <c r="E106" t="s">
        <v>265</v>
      </c>
      <c r="F106" t="s">
        <v>144</v>
      </c>
      <c r="G106" t="s">
        <v>144</v>
      </c>
      <c r="H106" t="s">
        <v>138</v>
      </c>
      <c r="I106">
        <v>10.7</v>
      </c>
      <c r="J106">
        <v>4.8099999999999996</v>
      </c>
      <c r="K106">
        <f>(I106-J106)/2</f>
        <v>2.9449999999999998</v>
      </c>
      <c r="L106">
        <f>K106/I106</f>
        <v>0.27523364485981311</v>
      </c>
      <c r="M106">
        <v>0.77800000000000002</v>
      </c>
      <c r="N106">
        <v>0.03</v>
      </c>
      <c r="O106">
        <f>M106-N106</f>
        <v>0.748</v>
      </c>
      <c r="P106">
        <v>0.27500000000000002</v>
      </c>
      <c r="Q106">
        <f>P106/O106</f>
        <v>0.36764705882352944</v>
      </c>
    </row>
    <row r="107" spans="1:17" x14ac:dyDescent="0.25">
      <c r="A107">
        <v>106</v>
      </c>
      <c r="B107" t="s">
        <v>498</v>
      </c>
      <c r="C107" t="s">
        <v>441</v>
      </c>
      <c r="E107" t="s">
        <v>489</v>
      </c>
      <c r="F107" t="s">
        <v>144</v>
      </c>
      <c r="G107" t="s">
        <v>144</v>
      </c>
      <c r="H107" t="s">
        <v>138</v>
      </c>
      <c r="I107">
        <v>6.08</v>
      </c>
      <c r="J107">
        <v>3.7</v>
      </c>
      <c r="K107">
        <f>(I107-J107)/2</f>
        <v>1.19</v>
      </c>
      <c r="L107">
        <f>K107/I107</f>
        <v>0.1957236842105263</v>
      </c>
      <c r="M107">
        <v>0.38700000000000001</v>
      </c>
      <c r="N107">
        <v>0.03</v>
      </c>
      <c r="O107">
        <f>M107-N107</f>
        <v>0.35699999999999998</v>
      </c>
      <c r="P107">
        <v>0.127</v>
      </c>
      <c r="Q107">
        <f>P107/O107</f>
        <v>0.35574229691876752</v>
      </c>
    </row>
    <row r="108" spans="1:17" x14ac:dyDescent="0.25">
      <c r="A108">
        <v>107</v>
      </c>
      <c r="B108" t="s">
        <v>37</v>
      </c>
      <c r="C108" t="s">
        <v>360</v>
      </c>
      <c r="E108" t="s">
        <v>801</v>
      </c>
      <c r="F108" t="s">
        <v>144</v>
      </c>
      <c r="G108" t="s">
        <v>144</v>
      </c>
      <c r="H108" t="s">
        <v>138</v>
      </c>
      <c r="I108">
        <v>5.7</v>
      </c>
      <c r="J108">
        <v>4.3099999999999996</v>
      </c>
      <c r="K108">
        <f>(I108-J108)/2</f>
        <v>0.69500000000000028</v>
      </c>
      <c r="L108">
        <f>K108/I108</f>
        <v>0.12192982456140355</v>
      </c>
      <c r="M108">
        <v>0.50600000000000001</v>
      </c>
      <c r="N108">
        <v>0.03</v>
      </c>
      <c r="O108">
        <f>M108-N108</f>
        <v>0.47599999999999998</v>
      </c>
      <c r="P108">
        <v>0.28999999999999998</v>
      </c>
      <c r="Q108">
        <f>P108/O108</f>
        <v>0.60924369747899154</v>
      </c>
    </row>
    <row r="109" spans="1:17" x14ac:dyDescent="0.25">
      <c r="A109">
        <v>108</v>
      </c>
      <c r="B109" t="s">
        <v>38</v>
      </c>
      <c r="C109" t="s">
        <v>354</v>
      </c>
      <c r="E109" t="s">
        <v>334</v>
      </c>
      <c r="F109" t="s">
        <v>144</v>
      </c>
      <c r="G109" t="s">
        <v>144</v>
      </c>
      <c r="H109" t="s">
        <v>138</v>
      </c>
      <c r="I109">
        <v>8.8800000000000008</v>
      </c>
      <c r="J109">
        <v>6.3</v>
      </c>
      <c r="K109">
        <f>(I109-J109)/2</f>
        <v>1.2900000000000005</v>
      </c>
      <c r="L109">
        <f>K109/I109</f>
        <v>0.14527027027027031</v>
      </c>
      <c r="M109">
        <v>0.47499999999999998</v>
      </c>
      <c r="N109">
        <v>0.03</v>
      </c>
      <c r="O109">
        <f>M109-N109</f>
        <v>0.44499999999999995</v>
      </c>
      <c r="P109">
        <v>0.25900000000000001</v>
      </c>
      <c r="Q109">
        <f>P109/O109</f>
        <v>0.58202247191011247</v>
      </c>
    </row>
    <row r="110" spans="1:17" x14ac:dyDescent="0.25">
      <c r="A110">
        <v>109</v>
      </c>
      <c r="B110" t="s">
        <v>20</v>
      </c>
      <c r="C110" t="s">
        <v>351</v>
      </c>
      <c r="E110" t="s">
        <v>21</v>
      </c>
      <c r="F110" t="s">
        <v>144</v>
      </c>
      <c r="G110" t="s">
        <v>144</v>
      </c>
      <c r="H110" t="s">
        <v>138</v>
      </c>
      <c r="I110">
        <v>10.36</v>
      </c>
      <c r="J110">
        <v>6.15</v>
      </c>
      <c r="K110">
        <f>(I110-J110)/2</f>
        <v>2.1049999999999995</v>
      </c>
      <c r="L110">
        <f>K110/I110</f>
        <v>0.20318532818532814</v>
      </c>
      <c r="M110">
        <v>0.63600000000000001</v>
      </c>
      <c r="N110">
        <v>0.03</v>
      </c>
      <c r="O110">
        <f>M110-N110</f>
        <v>0.60599999999999998</v>
      </c>
      <c r="P110">
        <v>0.23599999999999999</v>
      </c>
      <c r="Q110">
        <f>P110/O110</f>
        <v>0.38943894389438943</v>
      </c>
    </row>
    <row r="111" spans="1:17" x14ac:dyDescent="0.25">
      <c r="A111">
        <v>110</v>
      </c>
      <c r="B111" t="s">
        <v>500</v>
      </c>
      <c r="C111" t="s">
        <v>441</v>
      </c>
      <c r="E111" t="s">
        <v>489</v>
      </c>
      <c r="F111" t="s">
        <v>144</v>
      </c>
      <c r="G111" t="s">
        <v>144</v>
      </c>
      <c r="H111" t="s">
        <v>138</v>
      </c>
      <c r="I111">
        <v>8.49</v>
      </c>
      <c r="J111">
        <v>5.0999999999999996</v>
      </c>
      <c r="K111">
        <f>(I111-J111)/2</f>
        <v>1.6950000000000003</v>
      </c>
      <c r="L111">
        <f>K111/I111</f>
        <v>0.19964664310954067</v>
      </c>
      <c r="M111">
        <v>0.46800000000000003</v>
      </c>
      <c r="N111">
        <v>0.03</v>
      </c>
      <c r="O111">
        <f>M111-N111</f>
        <v>0.43800000000000006</v>
      </c>
      <c r="P111">
        <v>0.17299999999999999</v>
      </c>
      <c r="Q111">
        <f>P111/O111</f>
        <v>0.39497716894977158</v>
      </c>
    </row>
    <row r="112" spans="1:17" x14ac:dyDescent="0.25">
      <c r="A112">
        <v>111</v>
      </c>
      <c r="B112" t="s">
        <v>110</v>
      </c>
      <c r="C112" t="s">
        <v>350</v>
      </c>
      <c r="E112" t="s">
        <v>17</v>
      </c>
      <c r="F112" t="s">
        <v>144</v>
      </c>
      <c r="G112" t="s">
        <v>144</v>
      </c>
      <c r="H112" t="s">
        <v>138</v>
      </c>
      <c r="I112">
        <v>17.46</v>
      </c>
      <c r="J112">
        <v>4.88</v>
      </c>
      <c r="K112">
        <f>(I112-J112)/2</f>
        <v>6.2900000000000009</v>
      </c>
      <c r="L112">
        <f>K112/I112</f>
        <v>0.36025200458190154</v>
      </c>
      <c r="M112">
        <v>0.72099999999999997</v>
      </c>
      <c r="N112">
        <v>0.03</v>
      </c>
      <c r="O112">
        <f>M112-N112</f>
        <v>0.69099999999999995</v>
      </c>
      <c r="P112">
        <v>0.39100000000000001</v>
      </c>
      <c r="Q112">
        <f>P112/O112</f>
        <v>0.56584659913169322</v>
      </c>
    </row>
    <row r="113" spans="1:17" x14ac:dyDescent="0.25">
      <c r="A113">
        <v>112</v>
      </c>
      <c r="B113" t="s">
        <v>501</v>
      </c>
      <c r="C113" t="s">
        <v>381</v>
      </c>
      <c r="E113" t="s">
        <v>385</v>
      </c>
      <c r="F113" t="s">
        <v>144</v>
      </c>
      <c r="G113" t="s">
        <v>144</v>
      </c>
      <c r="H113" t="s">
        <v>138</v>
      </c>
      <c r="I113">
        <v>7.1</v>
      </c>
      <c r="J113">
        <v>5.86</v>
      </c>
      <c r="K113">
        <f>(I113-J113)/2</f>
        <v>0.61999999999999966</v>
      </c>
      <c r="L113">
        <f>K113/I113</f>
        <v>8.7323943661971784E-2</v>
      </c>
      <c r="M113">
        <v>0.628</v>
      </c>
      <c r="N113">
        <v>0.03</v>
      </c>
      <c r="O113">
        <f>M113-N113</f>
        <v>0.59799999999999998</v>
      </c>
      <c r="P113">
        <v>0.38700000000000001</v>
      </c>
      <c r="Q113">
        <f>P113/O113</f>
        <v>0.64715719063545152</v>
      </c>
    </row>
    <row r="114" spans="1:17" x14ac:dyDescent="0.25">
      <c r="A114">
        <v>113</v>
      </c>
      <c r="B114" t="s">
        <v>82</v>
      </c>
      <c r="C114" t="s">
        <v>365</v>
      </c>
      <c r="E114" t="s">
        <v>222</v>
      </c>
      <c r="F114" t="s">
        <v>144</v>
      </c>
      <c r="G114" t="s">
        <v>144</v>
      </c>
      <c r="H114" t="s">
        <v>137</v>
      </c>
      <c r="I114">
        <v>7.7</v>
      </c>
      <c r="J114">
        <v>6.15</v>
      </c>
      <c r="K114">
        <f>(I114-J114)/2</f>
        <v>0.77499999999999991</v>
      </c>
      <c r="L114">
        <f>K114/I114</f>
        <v>0.10064935064935064</v>
      </c>
      <c r="M114">
        <v>0.54</v>
      </c>
      <c r="N114">
        <v>0.03</v>
      </c>
      <c r="O114">
        <f>M114-N114</f>
        <v>0.51</v>
      </c>
      <c r="P114">
        <v>0.35899999999999999</v>
      </c>
      <c r="Q114">
        <f>P114/O114</f>
        <v>0.70392156862745092</v>
      </c>
    </row>
    <row r="115" spans="1:17" x14ac:dyDescent="0.25">
      <c r="A115">
        <v>114</v>
      </c>
      <c r="B115" t="s">
        <v>91</v>
      </c>
      <c r="C115" t="s">
        <v>359</v>
      </c>
      <c r="E115" t="s">
        <v>386</v>
      </c>
      <c r="F115" t="s">
        <v>144</v>
      </c>
      <c r="G115" t="s">
        <v>144</v>
      </c>
      <c r="H115" t="s">
        <v>137</v>
      </c>
      <c r="I115">
        <v>8.6</v>
      </c>
      <c r="J115">
        <v>5.67</v>
      </c>
      <c r="K115">
        <f>(I115-J115)/2</f>
        <v>1.4649999999999999</v>
      </c>
      <c r="L115">
        <f>K115/I115</f>
        <v>0.17034883720930233</v>
      </c>
      <c r="M115">
        <v>0.35099999999999998</v>
      </c>
      <c r="N115">
        <v>0.03</v>
      </c>
      <c r="O115">
        <f>M115-N115</f>
        <v>0.32099999999999995</v>
      </c>
      <c r="P115">
        <v>0.252</v>
      </c>
      <c r="Q115">
        <f>P115/O115</f>
        <v>0.7850467289719627</v>
      </c>
    </row>
    <row r="116" spans="1:17" x14ac:dyDescent="0.25">
      <c r="A116">
        <v>115</v>
      </c>
      <c r="B116" t="s">
        <v>133</v>
      </c>
      <c r="C116" t="s">
        <v>352</v>
      </c>
      <c r="E116" t="s">
        <v>375</v>
      </c>
      <c r="F116" t="s">
        <v>144</v>
      </c>
      <c r="G116" t="s">
        <v>144</v>
      </c>
      <c r="H116" t="s">
        <v>138</v>
      </c>
      <c r="I116">
        <v>6.34</v>
      </c>
      <c r="J116">
        <v>4.66</v>
      </c>
      <c r="K116">
        <f>(I116-J116)/2</f>
        <v>0.83999999999999986</v>
      </c>
      <c r="L116">
        <f>K116/I116</f>
        <v>0.13249211356466875</v>
      </c>
      <c r="M116">
        <v>0.995</v>
      </c>
      <c r="N116">
        <v>0.03</v>
      </c>
      <c r="O116">
        <f>M116-N116</f>
        <v>0.96499999999999997</v>
      </c>
      <c r="P116">
        <v>0.74399999999999999</v>
      </c>
      <c r="Q116">
        <f>P116/O116</f>
        <v>0.77098445595854925</v>
      </c>
    </row>
    <row r="117" spans="1:17" x14ac:dyDescent="0.25">
      <c r="A117">
        <v>116</v>
      </c>
      <c r="B117" t="s">
        <v>16</v>
      </c>
      <c r="C117" t="s">
        <v>350</v>
      </c>
      <c r="E117" t="s">
        <v>17</v>
      </c>
      <c r="F117" t="s">
        <v>144</v>
      </c>
      <c r="G117" t="s">
        <v>144</v>
      </c>
      <c r="H117" t="s">
        <v>138</v>
      </c>
      <c r="I117">
        <v>11.42</v>
      </c>
      <c r="J117">
        <v>5.07</v>
      </c>
      <c r="K117">
        <f>(I117-J117)/2</f>
        <v>3.1749999999999998</v>
      </c>
      <c r="L117">
        <f>K117/I117</f>
        <v>0.27802101576182137</v>
      </c>
      <c r="M117">
        <v>0.75700000000000001</v>
      </c>
      <c r="N117">
        <v>0.03</v>
      </c>
      <c r="O117">
        <f>M117-N117</f>
        <v>0.72699999999999998</v>
      </c>
      <c r="P117">
        <v>0.40899999999999997</v>
      </c>
      <c r="Q117">
        <f>P117/O117</f>
        <v>0.56258596973865194</v>
      </c>
    </row>
    <row r="118" spans="1:17" x14ac:dyDescent="0.25">
      <c r="A118">
        <v>117</v>
      </c>
      <c r="B118" t="s">
        <v>502</v>
      </c>
      <c r="C118" t="s">
        <v>399</v>
      </c>
      <c r="E118" t="s">
        <v>265</v>
      </c>
      <c r="F118" t="s">
        <v>144</v>
      </c>
      <c r="G118" t="s">
        <v>144</v>
      </c>
      <c r="H118" t="s">
        <v>137</v>
      </c>
      <c r="I118">
        <v>11.2</v>
      </c>
      <c r="J118">
        <v>5.85</v>
      </c>
      <c r="K118">
        <f>(I118-J118)/2</f>
        <v>2.6749999999999998</v>
      </c>
      <c r="L118">
        <f>K118/I118</f>
        <v>0.23883928571428573</v>
      </c>
      <c r="M118">
        <v>0.81299999999999994</v>
      </c>
      <c r="N118">
        <v>0.03</v>
      </c>
      <c r="O118">
        <f>M118-N118</f>
        <v>0.78299999999999992</v>
      </c>
      <c r="P118">
        <v>0.39</v>
      </c>
      <c r="Q118">
        <f>P118/O118</f>
        <v>0.49808429118773956</v>
      </c>
    </row>
    <row r="119" spans="1:17" x14ac:dyDescent="0.25">
      <c r="A119">
        <v>118</v>
      </c>
      <c r="B119" t="s">
        <v>115</v>
      </c>
      <c r="C119" t="s">
        <v>344</v>
      </c>
      <c r="E119" t="s">
        <v>5</v>
      </c>
      <c r="F119" t="s">
        <v>144</v>
      </c>
      <c r="G119" t="s">
        <v>144</v>
      </c>
      <c r="H119" t="s">
        <v>137</v>
      </c>
      <c r="I119">
        <v>7.87</v>
      </c>
      <c r="J119">
        <v>5.99</v>
      </c>
      <c r="K119">
        <f>(I119-J119)/2</f>
        <v>0.94</v>
      </c>
      <c r="L119">
        <f>K119/I119</f>
        <v>0.11944091486658195</v>
      </c>
      <c r="M119">
        <v>0.66500000000000004</v>
      </c>
      <c r="N119">
        <v>0.03</v>
      </c>
      <c r="O119">
        <f>M119-N119</f>
        <v>0.63500000000000001</v>
      </c>
      <c r="P119">
        <v>0.38200000000000001</v>
      </c>
      <c r="Q119">
        <f>P119/O119</f>
        <v>0.60157480314960632</v>
      </c>
    </row>
    <row r="120" spans="1:17" x14ac:dyDescent="0.25">
      <c r="A120">
        <v>119</v>
      </c>
      <c r="B120" t="s">
        <v>97</v>
      </c>
      <c r="C120" t="s">
        <v>380</v>
      </c>
      <c r="E120" t="s">
        <v>270</v>
      </c>
      <c r="F120" t="s">
        <v>144</v>
      </c>
      <c r="G120" t="s">
        <v>144</v>
      </c>
      <c r="H120" t="s">
        <v>138</v>
      </c>
      <c r="I120">
        <v>6.31</v>
      </c>
      <c r="J120">
        <v>4.8899999999999997</v>
      </c>
      <c r="K120">
        <f>(I120-J120)/2</f>
        <v>0.71</v>
      </c>
      <c r="L120">
        <f>K120/I120</f>
        <v>0.11251980982567354</v>
      </c>
      <c r="M120">
        <v>0.46200000000000002</v>
      </c>
      <c r="N120">
        <v>0.03</v>
      </c>
      <c r="O120">
        <f>M120-N120</f>
        <v>0.43200000000000005</v>
      </c>
      <c r="P120">
        <v>0.24299999999999999</v>
      </c>
      <c r="Q120">
        <f>P120/O120</f>
        <v>0.56249999999999989</v>
      </c>
    </row>
    <row r="121" spans="1:17" x14ac:dyDescent="0.25">
      <c r="A121">
        <v>120</v>
      </c>
      <c r="B121" t="s">
        <v>131</v>
      </c>
      <c r="C121" t="s">
        <v>357</v>
      </c>
      <c r="E121" t="s">
        <v>291</v>
      </c>
      <c r="F121" t="s">
        <v>144</v>
      </c>
      <c r="G121" t="s">
        <v>144</v>
      </c>
      <c r="H121" t="s">
        <v>137</v>
      </c>
      <c r="I121">
        <v>8.1999999999999993</v>
      </c>
      <c r="J121">
        <v>6.32</v>
      </c>
      <c r="K121">
        <f>(I121-J121)/2</f>
        <v>0.9399999999999995</v>
      </c>
      <c r="L121">
        <f>K121/I121</f>
        <v>0.11463414634146336</v>
      </c>
      <c r="M121">
        <v>0.73299999999999998</v>
      </c>
      <c r="N121">
        <v>0.03</v>
      </c>
      <c r="O121">
        <f>M121-N121</f>
        <v>0.70299999999999996</v>
      </c>
      <c r="P121">
        <v>0.28299999999999997</v>
      </c>
      <c r="Q121">
        <f>P121/O121</f>
        <v>0.40256045519203415</v>
      </c>
    </row>
    <row r="122" spans="1:17" x14ac:dyDescent="0.25">
      <c r="A122">
        <v>121</v>
      </c>
      <c r="B122" t="s">
        <v>109</v>
      </c>
      <c r="C122" t="s">
        <v>350</v>
      </c>
      <c r="E122" t="s">
        <v>17</v>
      </c>
      <c r="F122" t="s">
        <v>144</v>
      </c>
      <c r="G122" t="s">
        <v>144</v>
      </c>
      <c r="H122" t="s">
        <v>137</v>
      </c>
      <c r="I122">
        <v>9.42</v>
      </c>
      <c r="J122">
        <v>5.08</v>
      </c>
      <c r="K122">
        <f>(I122-J122)/2</f>
        <v>2.17</v>
      </c>
      <c r="L122">
        <f>K122/I122</f>
        <v>0.23036093418259024</v>
      </c>
      <c r="M122">
        <v>0.495</v>
      </c>
      <c r="N122">
        <v>0.03</v>
      </c>
      <c r="O122">
        <f>M122-N122</f>
        <v>0.46499999999999997</v>
      </c>
      <c r="P122">
        <v>0.309</v>
      </c>
      <c r="Q122">
        <f>P122/O122</f>
        <v>0.6645161290322581</v>
      </c>
    </row>
    <row r="123" spans="1:17" x14ac:dyDescent="0.25">
      <c r="A123">
        <v>122</v>
      </c>
      <c r="B123" t="s">
        <v>84</v>
      </c>
      <c r="C123" t="s">
        <v>369</v>
      </c>
      <c r="E123" t="s">
        <v>503</v>
      </c>
      <c r="F123" t="s">
        <v>144</v>
      </c>
      <c r="G123" t="s">
        <v>144</v>
      </c>
      <c r="H123" t="s">
        <v>138</v>
      </c>
      <c r="I123">
        <v>6.15</v>
      </c>
      <c r="J123">
        <v>5.03</v>
      </c>
      <c r="K123">
        <f>(I123-J123)/2</f>
        <v>0.56000000000000005</v>
      </c>
      <c r="L123">
        <f>K123/I123</f>
        <v>9.1056910569105698E-2</v>
      </c>
      <c r="M123">
        <v>0.89</v>
      </c>
      <c r="N123">
        <v>0.03</v>
      </c>
      <c r="O123">
        <f>M123-N123</f>
        <v>0.86</v>
      </c>
      <c r="P123">
        <v>0.46600000000000003</v>
      </c>
      <c r="Q123">
        <f>P123/O123</f>
        <v>0.54186046511627906</v>
      </c>
    </row>
    <row r="124" spans="1:17" x14ac:dyDescent="0.25">
      <c r="A124">
        <v>123</v>
      </c>
      <c r="B124" t="s">
        <v>116</v>
      </c>
      <c r="C124" t="s">
        <v>387</v>
      </c>
      <c r="D124">
        <v>1</v>
      </c>
      <c r="E124" t="s">
        <v>329</v>
      </c>
      <c r="F124" t="s">
        <v>144</v>
      </c>
      <c r="G124" t="s">
        <v>144</v>
      </c>
      <c r="H124" t="s">
        <v>138</v>
      </c>
      <c r="I124">
        <v>6.23</v>
      </c>
      <c r="J124">
        <v>4.9000000000000004</v>
      </c>
      <c r="K124">
        <f>(I124-J124)/2</f>
        <v>0.66500000000000004</v>
      </c>
      <c r="L124">
        <f>K124/I124</f>
        <v>0.10674157303370786</v>
      </c>
      <c r="M124">
        <v>0.72599999999999998</v>
      </c>
      <c r="N124">
        <v>0.03</v>
      </c>
      <c r="O124">
        <f>M124-N124</f>
        <v>0.69599999999999995</v>
      </c>
      <c r="P124">
        <v>0.51200000000000001</v>
      </c>
      <c r="Q124">
        <f>P124/O124</f>
        <v>0.73563218390804608</v>
      </c>
    </row>
    <row r="125" spans="1:17" x14ac:dyDescent="0.25">
      <c r="A125">
        <v>124</v>
      </c>
      <c r="B125" t="s">
        <v>92</v>
      </c>
      <c r="C125" t="s">
        <v>379</v>
      </c>
      <c r="E125" t="s">
        <v>504</v>
      </c>
      <c r="F125" t="s">
        <v>144</v>
      </c>
      <c r="G125" t="s">
        <v>144</v>
      </c>
      <c r="H125" t="s">
        <v>138</v>
      </c>
      <c r="I125">
        <v>9.31</v>
      </c>
      <c r="J125">
        <v>6.32</v>
      </c>
      <c r="K125">
        <f>(I125-J125)/2</f>
        <v>1.4950000000000001</v>
      </c>
      <c r="L125">
        <f>K125/I125</f>
        <v>0.16058002148227712</v>
      </c>
      <c r="M125">
        <v>0.94199999999999995</v>
      </c>
      <c r="N125">
        <v>0.03</v>
      </c>
      <c r="O125">
        <f>M125-N125</f>
        <v>0.91199999999999992</v>
      </c>
      <c r="P125">
        <v>0.64100000000000001</v>
      </c>
      <c r="Q125">
        <f>P125/O125</f>
        <v>0.70285087719298256</v>
      </c>
    </row>
    <row r="126" spans="1:17" x14ac:dyDescent="0.25">
      <c r="A126">
        <v>125</v>
      </c>
      <c r="B126" t="s">
        <v>103</v>
      </c>
      <c r="C126" t="s">
        <v>383</v>
      </c>
      <c r="E126" t="s">
        <v>101</v>
      </c>
      <c r="F126" t="s">
        <v>144</v>
      </c>
      <c r="G126" t="s">
        <v>144</v>
      </c>
      <c r="H126" t="s">
        <v>138</v>
      </c>
      <c r="I126">
        <v>7.61</v>
      </c>
      <c r="J126">
        <v>6.47</v>
      </c>
      <c r="K126">
        <f>(I126-J126)/2</f>
        <v>0.57000000000000028</v>
      </c>
      <c r="L126">
        <f>K126/I126</f>
        <v>7.4901445466491495E-2</v>
      </c>
      <c r="M126">
        <v>0.748</v>
      </c>
      <c r="N126">
        <v>0.03</v>
      </c>
      <c r="O126">
        <f>M126-N126</f>
        <v>0.71799999999999997</v>
      </c>
      <c r="P126">
        <v>0.35599999999999998</v>
      </c>
      <c r="Q126">
        <f>P126/O126</f>
        <v>0.49582172701949861</v>
      </c>
    </row>
    <row r="127" spans="1:17" x14ac:dyDescent="0.25">
      <c r="A127">
        <v>126</v>
      </c>
      <c r="B127" t="s">
        <v>112</v>
      </c>
      <c r="C127" t="s">
        <v>366</v>
      </c>
      <c r="E127" t="s">
        <v>367</v>
      </c>
      <c r="F127" t="s">
        <v>144</v>
      </c>
      <c r="G127" t="s">
        <v>144</v>
      </c>
      <c r="H127" t="s">
        <v>138</v>
      </c>
      <c r="I127">
        <v>6.55</v>
      </c>
      <c r="J127">
        <v>4.34</v>
      </c>
      <c r="K127">
        <f>(I127-J127)/2</f>
        <v>1.105</v>
      </c>
      <c r="L127">
        <f>K127/I127</f>
        <v>0.16870229007633589</v>
      </c>
      <c r="M127">
        <v>0.58299999999999996</v>
      </c>
      <c r="N127">
        <v>0.03</v>
      </c>
      <c r="O127">
        <f>M127-N127</f>
        <v>0.55299999999999994</v>
      </c>
      <c r="P127">
        <v>0.29799999999999999</v>
      </c>
      <c r="Q127">
        <f>P127/O127</f>
        <v>0.53887884267631103</v>
      </c>
    </row>
    <row r="128" spans="1:17" x14ac:dyDescent="0.25">
      <c r="A128">
        <v>127</v>
      </c>
      <c r="B128" t="s">
        <v>105</v>
      </c>
      <c r="C128" t="s">
        <v>380</v>
      </c>
      <c r="E128" t="s">
        <v>326</v>
      </c>
      <c r="F128" t="s">
        <v>144</v>
      </c>
      <c r="G128" t="s">
        <v>144</v>
      </c>
      <c r="H128" t="s">
        <v>138</v>
      </c>
      <c r="I128">
        <v>5.63</v>
      </c>
      <c r="J128">
        <v>4.5199999999999996</v>
      </c>
      <c r="K128">
        <f>(I128-J128)/2</f>
        <v>0.55500000000000016</v>
      </c>
      <c r="L128">
        <f>K128/I128</f>
        <v>9.8579040852575517E-2</v>
      </c>
      <c r="M128">
        <v>0.40500000000000003</v>
      </c>
      <c r="N128">
        <v>0.03</v>
      </c>
      <c r="O128">
        <f>M128-N128</f>
        <v>0.375</v>
      </c>
      <c r="P128">
        <v>0.23799999999999999</v>
      </c>
      <c r="Q128">
        <f>P128/O128</f>
        <v>0.6346666666666666</v>
      </c>
    </row>
    <row r="129" spans="1:17" x14ac:dyDescent="0.25">
      <c r="A129">
        <v>128</v>
      </c>
      <c r="B129" t="s">
        <v>90</v>
      </c>
      <c r="C129" t="s">
        <v>372</v>
      </c>
      <c r="E129" t="s">
        <v>384</v>
      </c>
      <c r="F129" t="s">
        <v>144</v>
      </c>
      <c r="G129" t="s">
        <v>144</v>
      </c>
      <c r="H129" t="s">
        <v>138</v>
      </c>
      <c r="I129">
        <v>9.69</v>
      </c>
      <c r="J129">
        <v>7.39</v>
      </c>
      <c r="K129">
        <f>(I129-J129)/2</f>
        <v>1.1499999999999999</v>
      </c>
      <c r="L129">
        <f>K129/I129</f>
        <v>0.11867905056759545</v>
      </c>
      <c r="M129">
        <v>0.77300000000000002</v>
      </c>
      <c r="N129">
        <v>0.03</v>
      </c>
      <c r="O129">
        <f>M129-N129</f>
        <v>0.74299999999999999</v>
      </c>
      <c r="P129">
        <v>0.49399999999999999</v>
      </c>
      <c r="Q129">
        <f>P129/O129</f>
        <v>0.66487213997308214</v>
      </c>
    </row>
    <row r="130" spans="1:17" x14ac:dyDescent="0.25">
      <c r="A130">
        <v>129</v>
      </c>
      <c r="B130" t="s">
        <v>108</v>
      </c>
      <c r="C130" t="s">
        <v>365</v>
      </c>
      <c r="E130" t="s">
        <v>222</v>
      </c>
      <c r="F130" t="s">
        <v>144</v>
      </c>
      <c r="G130" t="s">
        <v>144</v>
      </c>
      <c r="H130" t="s">
        <v>138</v>
      </c>
      <c r="I130">
        <v>8.94</v>
      </c>
      <c r="J130">
        <v>7.06</v>
      </c>
      <c r="K130">
        <f>(I130-J130)/2</f>
        <v>0.94</v>
      </c>
      <c r="L130">
        <f>K130/I130</f>
        <v>0.10514541387024609</v>
      </c>
      <c r="M130">
        <v>0.91400000000000003</v>
      </c>
      <c r="N130">
        <v>0.03</v>
      </c>
      <c r="O130">
        <f>M130-N130</f>
        <v>0.88400000000000001</v>
      </c>
      <c r="P130">
        <v>0.58299999999999996</v>
      </c>
      <c r="Q130">
        <f>P130/O130</f>
        <v>0.6595022624434389</v>
      </c>
    </row>
    <row r="131" spans="1:17" x14ac:dyDescent="0.25">
      <c r="A131">
        <v>130</v>
      </c>
      <c r="B131" t="s">
        <v>505</v>
      </c>
      <c r="C131" t="s">
        <v>348</v>
      </c>
      <c r="E131" t="s">
        <v>497</v>
      </c>
      <c r="F131" t="s">
        <v>144</v>
      </c>
      <c r="G131" t="s">
        <v>144</v>
      </c>
      <c r="H131" t="s">
        <v>138</v>
      </c>
      <c r="I131">
        <v>7.85</v>
      </c>
      <c r="J131">
        <v>6.38</v>
      </c>
      <c r="K131">
        <f>(I131-J131)/2</f>
        <v>0.73499999999999988</v>
      </c>
      <c r="L131">
        <f>K131/I131</f>
        <v>9.3630573248407636E-2</v>
      </c>
      <c r="M131">
        <v>0.82799999999999996</v>
      </c>
      <c r="N131">
        <v>0.03</v>
      </c>
      <c r="O131">
        <f>M131-N131</f>
        <v>0.79799999999999993</v>
      </c>
      <c r="P131">
        <v>0.61</v>
      </c>
      <c r="Q131">
        <f>P131/O131</f>
        <v>0.76441102756892232</v>
      </c>
    </row>
    <row r="132" spans="1:17" x14ac:dyDescent="0.25">
      <c r="A132">
        <v>131</v>
      </c>
      <c r="B132" t="s">
        <v>506</v>
      </c>
      <c r="C132" t="s">
        <v>554</v>
      </c>
      <c r="E132" t="s">
        <v>555</v>
      </c>
      <c r="F132" t="s">
        <v>144</v>
      </c>
      <c r="G132" t="s">
        <v>144</v>
      </c>
      <c r="H132" t="s">
        <v>138</v>
      </c>
      <c r="I132">
        <v>9.24</v>
      </c>
      <c r="J132">
        <v>6.98</v>
      </c>
      <c r="K132">
        <f>(I132-J132)/2</f>
        <v>1.1299999999999999</v>
      </c>
      <c r="L132">
        <f>K132/I132</f>
        <v>0.12229437229437227</v>
      </c>
      <c r="M132">
        <v>0.77800000000000002</v>
      </c>
      <c r="N132">
        <v>0.03</v>
      </c>
      <c r="O132">
        <f>M132-N132</f>
        <v>0.748</v>
      </c>
      <c r="P132">
        <v>0.214</v>
      </c>
      <c r="Q132">
        <f>P132/O132</f>
        <v>0.28609625668449196</v>
      </c>
    </row>
    <row r="133" spans="1:17" x14ac:dyDescent="0.25">
      <c r="A133">
        <v>132</v>
      </c>
      <c r="B133" t="s">
        <v>96</v>
      </c>
      <c r="C133" t="s">
        <v>354</v>
      </c>
      <c r="E133" t="s">
        <v>334</v>
      </c>
      <c r="F133" t="s">
        <v>144</v>
      </c>
      <c r="G133" t="s">
        <v>144</v>
      </c>
      <c r="H133" t="s">
        <v>138</v>
      </c>
      <c r="I133">
        <v>5.99</v>
      </c>
      <c r="J133">
        <v>3.97</v>
      </c>
      <c r="K133">
        <f>(I133-J133)/2</f>
        <v>1.01</v>
      </c>
      <c r="L133">
        <f>K133/I133</f>
        <v>0.1686143572621035</v>
      </c>
      <c r="M133">
        <v>0.6</v>
      </c>
      <c r="N133">
        <v>0.03</v>
      </c>
      <c r="O133">
        <f>M133-N133</f>
        <v>0.56999999999999995</v>
      </c>
      <c r="P133">
        <v>0.39400000000000002</v>
      </c>
      <c r="Q133">
        <f>P133/O133</f>
        <v>0.69122807017543864</v>
      </c>
    </row>
    <row r="134" spans="1:17" x14ac:dyDescent="0.25">
      <c r="A134">
        <v>133</v>
      </c>
      <c r="B134" t="s">
        <v>120</v>
      </c>
      <c r="C134" t="s">
        <v>388</v>
      </c>
      <c r="E134" t="s">
        <v>332</v>
      </c>
      <c r="F134" t="s">
        <v>144</v>
      </c>
      <c r="G134" t="s">
        <v>144</v>
      </c>
      <c r="H134" t="s">
        <v>138</v>
      </c>
      <c r="I134">
        <v>6.46</v>
      </c>
      <c r="J134">
        <v>5.54</v>
      </c>
      <c r="K134">
        <f>(I134-J134)/2</f>
        <v>0.45999999999999996</v>
      </c>
      <c r="L134">
        <f>K134/I134</f>
        <v>7.1207430340557265E-2</v>
      </c>
      <c r="M134">
        <v>0.52100000000000002</v>
      </c>
      <c r="N134">
        <v>0.03</v>
      </c>
      <c r="O134">
        <f>M134-N134</f>
        <v>0.49099999999999999</v>
      </c>
      <c r="P134">
        <v>0.27400000000000002</v>
      </c>
      <c r="Q134">
        <f>P134/O134</f>
        <v>0.5580448065173117</v>
      </c>
    </row>
    <row r="135" spans="1:17" x14ac:dyDescent="0.25">
      <c r="A135">
        <v>134</v>
      </c>
      <c r="B135" t="s">
        <v>23</v>
      </c>
      <c r="C135" t="s">
        <v>353</v>
      </c>
      <c r="E135" t="s">
        <v>63</v>
      </c>
      <c r="F135" t="s">
        <v>144</v>
      </c>
      <c r="G135" t="s">
        <v>144</v>
      </c>
      <c r="H135" t="s">
        <v>138</v>
      </c>
      <c r="I135">
        <v>9.92</v>
      </c>
      <c r="J135">
        <v>6.88</v>
      </c>
      <c r="K135">
        <f>(I135-J135)/2</f>
        <v>1.52</v>
      </c>
      <c r="L135">
        <f>K135/I135</f>
        <v>0.15322580645161291</v>
      </c>
      <c r="M135">
        <v>0.68500000000000005</v>
      </c>
      <c r="N135">
        <v>0.03</v>
      </c>
      <c r="O135">
        <f>M135-N135</f>
        <v>0.65500000000000003</v>
      </c>
      <c r="P135">
        <v>0.251</v>
      </c>
      <c r="Q135">
        <f>P135/O135</f>
        <v>0.38320610687022899</v>
      </c>
    </row>
    <row r="136" spans="1:17" x14ac:dyDescent="0.25">
      <c r="A136">
        <v>135</v>
      </c>
      <c r="B136" t="s">
        <v>118</v>
      </c>
      <c r="C136" t="s">
        <v>379</v>
      </c>
      <c r="E136" t="s">
        <v>504</v>
      </c>
      <c r="F136" t="s">
        <v>144</v>
      </c>
      <c r="G136" t="s">
        <v>144</v>
      </c>
      <c r="H136" t="s">
        <v>138</v>
      </c>
      <c r="I136">
        <v>9.9499999999999993</v>
      </c>
      <c r="J136">
        <v>7.71</v>
      </c>
      <c r="K136">
        <f>(I136-J136)/2</f>
        <v>1.1199999999999997</v>
      </c>
      <c r="L136">
        <f>K136/I136</f>
        <v>0.11256281407035174</v>
      </c>
      <c r="M136">
        <v>1.155</v>
      </c>
      <c r="N136">
        <v>0.03</v>
      </c>
      <c r="O136">
        <f>M136-N136</f>
        <v>1.125</v>
      </c>
      <c r="P136">
        <v>0.65200000000000002</v>
      </c>
      <c r="Q136">
        <f>P136/O136</f>
        <v>0.5795555555555556</v>
      </c>
    </row>
    <row r="137" spans="1:17" x14ac:dyDescent="0.25">
      <c r="A137">
        <v>136</v>
      </c>
      <c r="B137" t="s">
        <v>507</v>
      </c>
      <c r="C137" t="s">
        <v>399</v>
      </c>
      <c r="E137" t="s">
        <v>265</v>
      </c>
      <c r="F137" t="s">
        <v>144</v>
      </c>
      <c r="G137" t="s">
        <v>144</v>
      </c>
      <c r="H137" t="s">
        <v>138</v>
      </c>
      <c r="I137">
        <v>10.89</v>
      </c>
      <c r="J137">
        <v>6.8</v>
      </c>
      <c r="K137">
        <f>(I137-J137)/2</f>
        <v>2.0450000000000004</v>
      </c>
      <c r="L137">
        <f>K137/I137</f>
        <v>0.18778696051423327</v>
      </c>
      <c r="M137">
        <v>0.78200000000000003</v>
      </c>
      <c r="N137">
        <v>0.03</v>
      </c>
      <c r="O137">
        <f>M137-N137</f>
        <v>0.752</v>
      </c>
      <c r="P137">
        <v>0.24299999999999999</v>
      </c>
      <c r="Q137">
        <f>P137/O137</f>
        <v>0.32313829787234044</v>
      </c>
    </row>
    <row r="138" spans="1:17" x14ac:dyDescent="0.25">
      <c r="A138">
        <v>137</v>
      </c>
      <c r="B138" t="s">
        <v>123</v>
      </c>
      <c r="C138" t="s">
        <v>399</v>
      </c>
      <c r="E138" t="s">
        <v>367</v>
      </c>
      <c r="F138" t="s">
        <v>144</v>
      </c>
      <c r="G138" t="s">
        <v>144</v>
      </c>
      <c r="H138" t="s">
        <v>138</v>
      </c>
      <c r="I138">
        <v>6.91</v>
      </c>
      <c r="J138">
        <v>5.47</v>
      </c>
      <c r="K138">
        <f>(I138-J138)/2</f>
        <v>0.7200000000000002</v>
      </c>
      <c r="L138">
        <f>K138/I138</f>
        <v>0.10419681620839366</v>
      </c>
      <c r="M138">
        <v>0.46100000000000002</v>
      </c>
      <c r="N138">
        <v>0.03</v>
      </c>
      <c r="O138">
        <f>M138-N138</f>
        <v>0.43100000000000005</v>
      </c>
      <c r="P138">
        <v>0.27600000000000002</v>
      </c>
      <c r="Q138">
        <f>P138/O138</f>
        <v>0.6403712296983759</v>
      </c>
    </row>
    <row r="139" spans="1:17" x14ac:dyDescent="0.25">
      <c r="A139">
        <v>138</v>
      </c>
      <c r="B139" t="s">
        <v>132</v>
      </c>
      <c r="C139" t="s">
        <v>368</v>
      </c>
      <c r="E139" t="s">
        <v>318</v>
      </c>
      <c r="F139" t="s">
        <v>144</v>
      </c>
      <c r="G139" t="s">
        <v>144</v>
      </c>
      <c r="H139" t="s">
        <v>138</v>
      </c>
      <c r="I139">
        <v>4.6100000000000003</v>
      </c>
      <c r="J139">
        <v>3.82</v>
      </c>
      <c r="K139">
        <f>(I139-J139)/2</f>
        <v>0.39500000000000024</v>
      </c>
      <c r="L139">
        <f>K139/I139</f>
        <v>8.568329718004343E-2</v>
      </c>
      <c r="M139">
        <v>0.4</v>
      </c>
      <c r="N139">
        <v>0.03</v>
      </c>
      <c r="O139">
        <f>M139-N139</f>
        <v>0.37</v>
      </c>
      <c r="P139">
        <v>0.28199999999999997</v>
      </c>
      <c r="Q139">
        <f>P139/O139</f>
        <v>0.76216216216216215</v>
      </c>
    </row>
    <row r="140" spans="1:17" x14ac:dyDescent="0.25">
      <c r="A140">
        <v>139</v>
      </c>
      <c r="B140" t="s">
        <v>508</v>
      </c>
      <c r="C140" t="s">
        <v>348</v>
      </c>
      <c r="E140" t="s">
        <v>497</v>
      </c>
      <c r="F140" t="s">
        <v>144</v>
      </c>
      <c r="G140" t="s">
        <v>144</v>
      </c>
      <c r="H140" t="s">
        <v>137</v>
      </c>
      <c r="I140">
        <v>7.03</v>
      </c>
      <c r="J140">
        <v>5.08</v>
      </c>
      <c r="K140">
        <f>(I140-J140)/2</f>
        <v>0.97500000000000009</v>
      </c>
      <c r="L140">
        <f>K140/I140</f>
        <v>0.13869132290184921</v>
      </c>
      <c r="M140">
        <v>0.52900000000000003</v>
      </c>
      <c r="N140">
        <v>0.03</v>
      </c>
      <c r="O140">
        <f>M140-N140</f>
        <v>0.499</v>
      </c>
      <c r="P140">
        <v>0.435</v>
      </c>
      <c r="Q140">
        <f>P140/O140</f>
        <v>0.87174348697394788</v>
      </c>
    </row>
    <row r="141" spans="1:17" x14ac:dyDescent="0.25">
      <c r="A141">
        <v>140</v>
      </c>
      <c r="B141" t="s">
        <v>80</v>
      </c>
      <c r="C141" t="s">
        <v>366</v>
      </c>
      <c r="E141" t="s">
        <v>367</v>
      </c>
      <c r="F141" t="s">
        <v>144</v>
      </c>
      <c r="G141" t="s">
        <v>144</v>
      </c>
      <c r="H141" t="s">
        <v>137</v>
      </c>
      <c r="I141">
        <v>10.74</v>
      </c>
      <c r="J141">
        <v>7.51</v>
      </c>
      <c r="K141">
        <f>(I141-J141)/2</f>
        <v>1.6150000000000002</v>
      </c>
      <c r="L141">
        <f>K141/I141</f>
        <v>0.15037243947858475</v>
      </c>
      <c r="M141">
        <v>0.61499999999999999</v>
      </c>
      <c r="N141">
        <v>0.03</v>
      </c>
      <c r="O141">
        <f>M141-N141</f>
        <v>0.58499999999999996</v>
      </c>
      <c r="P141">
        <v>0.36199999999999999</v>
      </c>
      <c r="Q141">
        <f>P141/O141</f>
        <v>0.61880341880341883</v>
      </c>
    </row>
    <row r="142" spans="1:17" x14ac:dyDescent="0.25">
      <c r="A142">
        <v>141</v>
      </c>
      <c r="B142" t="s">
        <v>509</v>
      </c>
      <c r="C142" t="s">
        <v>355</v>
      </c>
      <c r="E142" t="s">
        <v>227</v>
      </c>
      <c r="F142" t="s">
        <v>144</v>
      </c>
      <c r="G142" t="s">
        <v>144</v>
      </c>
      <c r="H142" t="s">
        <v>137</v>
      </c>
      <c r="I142">
        <v>6.78</v>
      </c>
      <c r="J142">
        <v>3.61</v>
      </c>
      <c r="K142">
        <f>(I142-J142)/2</f>
        <v>1.5850000000000002</v>
      </c>
      <c r="L142">
        <f>K142/I142</f>
        <v>0.23377581120943955</v>
      </c>
      <c r="M142">
        <v>0.84699999999999998</v>
      </c>
      <c r="N142">
        <v>0.03</v>
      </c>
      <c r="O142">
        <f>M142-N142</f>
        <v>0.81699999999999995</v>
      </c>
      <c r="P142">
        <v>0.57799999999999996</v>
      </c>
      <c r="Q142">
        <f>P142/O142</f>
        <v>0.70746634026927779</v>
      </c>
    </row>
    <row r="143" spans="1:17" x14ac:dyDescent="0.25">
      <c r="A143">
        <v>142</v>
      </c>
      <c r="B143" t="s">
        <v>195</v>
      </c>
      <c r="C143" t="s">
        <v>361</v>
      </c>
      <c r="E143" t="s">
        <v>341</v>
      </c>
      <c r="F143" t="s">
        <v>144</v>
      </c>
      <c r="G143" t="s">
        <v>144</v>
      </c>
      <c r="H143" t="s">
        <v>137</v>
      </c>
      <c r="I143">
        <v>9.2200000000000006</v>
      </c>
      <c r="J143">
        <v>6.85</v>
      </c>
      <c r="K143">
        <f>(I143-J143)/2</f>
        <v>1.1850000000000005</v>
      </c>
      <c r="L143">
        <f>K143/I143</f>
        <v>0.12852494577006512</v>
      </c>
      <c r="M143">
        <v>0.70299999999999996</v>
      </c>
      <c r="N143">
        <v>0.03</v>
      </c>
      <c r="O143">
        <f>M143-N143</f>
        <v>0.67299999999999993</v>
      </c>
      <c r="P143">
        <v>0.48</v>
      </c>
      <c r="Q143">
        <f>P143/O143</f>
        <v>0.71322436849925708</v>
      </c>
    </row>
    <row r="144" spans="1:17" x14ac:dyDescent="0.25">
      <c r="A144">
        <v>143</v>
      </c>
      <c r="B144" t="s">
        <v>510</v>
      </c>
      <c r="C144" t="s">
        <v>399</v>
      </c>
      <c r="E144" t="s">
        <v>265</v>
      </c>
      <c r="F144" t="s">
        <v>144</v>
      </c>
      <c r="G144" t="s">
        <v>144</v>
      </c>
      <c r="H144" t="s">
        <v>137</v>
      </c>
      <c r="I144">
        <v>9.6300000000000008</v>
      </c>
      <c r="J144">
        <v>5.81</v>
      </c>
      <c r="K144">
        <f>(I144-J144)/2</f>
        <v>1.9100000000000006</v>
      </c>
      <c r="L144">
        <f>K144/I144</f>
        <v>0.19833852544132921</v>
      </c>
      <c r="M144">
        <v>1.248</v>
      </c>
      <c r="N144">
        <v>0.03</v>
      </c>
      <c r="O144">
        <f>M144-N144</f>
        <v>1.218</v>
      </c>
      <c r="P144">
        <v>0.64300000000000002</v>
      </c>
      <c r="Q144">
        <f>P144/O144</f>
        <v>0.52791461412151075</v>
      </c>
    </row>
    <row r="145" spans="1:20" x14ac:dyDescent="0.25">
      <c r="A145">
        <v>144</v>
      </c>
      <c r="B145" t="s">
        <v>79</v>
      </c>
      <c r="C145" t="s">
        <v>366</v>
      </c>
      <c r="E145" t="s">
        <v>367</v>
      </c>
      <c r="F145" t="s">
        <v>144</v>
      </c>
      <c r="G145" t="s">
        <v>144</v>
      </c>
      <c r="H145" t="s">
        <v>137</v>
      </c>
      <c r="I145">
        <v>9.43</v>
      </c>
      <c r="J145">
        <v>5.9</v>
      </c>
      <c r="K145">
        <f>(I145-J145)/2</f>
        <v>1.7649999999999997</v>
      </c>
      <c r="L145">
        <f>K145/I145</f>
        <v>0.18716861081654293</v>
      </c>
      <c r="M145">
        <v>0.90500000000000003</v>
      </c>
      <c r="N145">
        <v>0.03</v>
      </c>
      <c r="O145">
        <f>M145-N145</f>
        <v>0.875</v>
      </c>
      <c r="P145">
        <v>0.61399999999999999</v>
      </c>
      <c r="Q145">
        <f>P145/O145</f>
        <v>0.70171428571428573</v>
      </c>
    </row>
    <row r="146" spans="1:20" x14ac:dyDescent="0.25">
      <c r="A146">
        <v>145</v>
      </c>
      <c r="B146" t="s">
        <v>197</v>
      </c>
      <c r="C146" t="s">
        <v>388</v>
      </c>
      <c r="E146" t="s">
        <v>332</v>
      </c>
      <c r="F146" t="s">
        <v>144</v>
      </c>
      <c r="G146" t="s">
        <v>144</v>
      </c>
      <c r="H146" t="s">
        <v>137</v>
      </c>
      <c r="I146">
        <v>8.66</v>
      </c>
      <c r="J146">
        <v>6.69</v>
      </c>
      <c r="K146">
        <f>(I146-J146)/2</f>
        <v>0.98499999999999988</v>
      </c>
      <c r="L146">
        <f>K146/I146</f>
        <v>0.11374133949191684</v>
      </c>
      <c r="M146">
        <v>0.185</v>
      </c>
      <c r="N146">
        <v>0.03</v>
      </c>
      <c r="O146">
        <f>M146-N146</f>
        <v>0.155</v>
      </c>
      <c r="P146">
        <v>0.10299999999999999</v>
      </c>
      <c r="Q146">
        <f>P146/O146</f>
        <v>0.66451612903225799</v>
      </c>
    </row>
    <row r="147" spans="1:20" x14ac:dyDescent="0.25">
      <c r="A147">
        <v>146</v>
      </c>
      <c r="B147" t="s">
        <v>124</v>
      </c>
      <c r="C147" t="s">
        <v>344</v>
      </c>
      <c r="E147" t="s">
        <v>5</v>
      </c>
      <c r="F147" t="s">
        <v>144</v>
      </c>
      <c r="G147" t="s">
        <v>144</v>
      </c>
      <c r="H147" t="s">
        <v>137</v>
      </c>
      <c r="I147">
        <v>4.84</v>
      </c>
      <c r="J147">
        <v>3.86</v>
      </c>
      <c r="K147">
        <f>(I147-J147)/2</f>
        <v>0.49</v>
      </c>
      <c r="L147">
        <f>K147/I147</f>
        <v>0.1012396694214876</v>
      </c>
      <c r="M147">
        <v>0.748</v>
      </c>
      <c r="N147">
        <v>0.03</v>
      </c>
      <c r="O147">
        <f>M147-N147</f>
        <v>0.71799999999999997</v>
      </c>
      <c r="P147">
        <v>0.36099999999999999</v>
      </c>
      <c r="Q147">
        <f>P147/O147</f>
        <v>0.50278551532033422</v>
      </c>
    </row>
    <row r="148" spans="1:20" x14ac:dyDescent="0.25">
      <c r="A148">
        <v>147</v>
      </c>
      <c r="B148" t="s">
        <v>86</v>
      </c>
      <c r="C148" t="s">
        <v>370</v>
      </c>
      <c r="E148" t="s">
        <v>285</v>
      </c>
      <c r="F148" t="s">
        <v>144</v>
      </c>
      <c r="G148" t="s">
        <v>144</v>
      </c>
      <c r="H148" t="s">
        <v>137</v>
      </c>
      <c r="I148">
        <v>5.38</v>
      </c>
      <c r="J148">
        <v>4.03</v>
      </c>
      <c r="K148">
        <f>(I148-J148)/2</f>
        <v>0.67499999999999982</v>
      </c>
      <c r="L148">
        <f>K148/I148</f>
        <v>0.12546468401486985</v>
      </c>
      <c r="M148">
        <v>0.39</v>
      </c>
      <c r="N148">
        <v>0.03</v>
      </c>
      <c r="O148">
        <f>M148-N148</f>
        <v>0.36</v>
      </c>
      <c r="P148">
        <v>0.188</v>
      </c>
      <c r="Q148">
        <f>P148/O148</f>
        <v>0.52222222222222225</v>
      </c>
    </row>
    <row r="149" spans="1:20" x14ac:dyDescent="0.25">
      <c r="A149">
        <v>148</v>
      </c>
      <c r="B149" t="s">
        <v>549</v>
      </c>
      <c r="C149" t="s">
        <v>379</v>
      </c>
      <c r="E149" t="s">
        <v>504</v>
      </c>
      <c r="F149" t="s">
        <v>144</v>
      </c>
      <c r="G149" t="s">
        <v>144</v>
      </c>
      <c r="H149" t="s">
        <v>138</v>
      </c>
      <c r="I149">
        <v>9</v>
      </c>
      <c r="J149">
        <v>6.93</v>
      </c>
      <c r="K149">
        <f>(I149-J149)/2</f>
        <v>1.0350000000000001</v>
      </c>
      <c r="L149">
        <f>K149/I149</f>
        <v>0.11500000000000002</v>
      </c>
      <c r="M149">
        <v>0.61199999999999999</v>
      </c>
      <c r="N149">
        <v>2.5999999999999999E-2</v>
      </c>
      <c r="O149">
        <f>M149-N149</f>
        <v>0.58599999999999997</v>
      </c>
      <c r="P149">
        <v>0.45100000000000001</v>
      </c>
      <c r="Q149">
        <f>P149/O149</f>
        <v>0.7696245733788396</v>
      </c>
    </row>
    <row r="150" spans="1:20" x14ac:dyDescent="0.25">
      <c r="A150">
        <v>149</v>
      </c>
      <c r="B150" t="s">
        <v>552</v>
      </c>
      <c r="C150" t="s">
        <v>518</v>
      </c>
      <c r="E150" t="s">
        <v>519</v>
      </c>
      <c r="F150" t="s">
        <v>144</v>
      </c>
      <c r="G150" t="s">
        <v>144</v>
      </c>
      <c r="H150" t="s">
        <v>138</v>
      </c>
      <c r="I150">
        <v>8.89</v>
      </c>
      <c r="J150">
        <v>6.33</v>
      </c>
      <c r="K150">
        <f>(I150-J150)/2</f>
        <v>1.2800000000000002</v>
      </c>
      <c r="L150">
        <f>K150/I150</f>
        <v>0.1439820022497188</v>
      </c>
      <c r="M150">
        <v>0.86</v>
      </c>
      <c r="N150">
        <v>2.5999999999999999E-2</v>
      </c>
      <c r="O150">
        <f>M150-N150</f>
        <v>0.83399999999999996</v>
      </c>
      <c r="P150">
        <v>0.53400000000000003</v>
      </c>
      <c r="Q150">
        <f>P150/O150</f>
        <v>0.64028776978417268</v>
      </c>
    </row>
    <row r="151" spans="1:20" x14ac:dyDescent="0.25">
      <c r="A151">
        <v>150</v>
      </c>
      <c r="B151" t="s">
        <v>550</v>
      </c>
      <c r="C151" t="s">
        <v>441</v>
      </c>
      <c r="E151" t="s">
        <v>489</v>
      </c>
      <c r="F151" t="s">
        <v>144</v>
      </c>
      <c r="G151" t="s">
        <v>144</v>
      </c>
      <c r="H151" t="s">
        <v>138</v>
      </c>
      <c r="I151">
        <v>12.6</v>
      </c>
      <c r="J151">
        <v>6.83</v>
      </c>
      <c r="K151">
        <f>(I151-J151)/2</f>
        <v>2.8849999999999998</v>
      </c>
      <c r="L151">
        <f>K151/I151</f>
        <v>0.22896825396825396</v>
      </c>
      <c r="M151">
        <v>0.68200000000000005</v>
      </c>
      <c r="N151">
        <v>2.5999999999999999E-2</v>
      </c>
      <c r="O151">
        <f>M151-N151</f>
        <v>0.65600000000000003</v>
      </c>
      <c r="P151">
        <v>0.217</v>
      </c>
      <c r="Q151">
        <f>P151/O151</f>
        <v>0.33079268292682923</v>
      </c>
    </row>
    <row r="152" spans="1:20" x14ac:dyDescent="0.25">
      <c r="A152">
        <v>151</v>
      </c>
      <c r="B152" t="s">
        <v>548</v>
      </c>
      <c r="C152" t="s">
        <v>518</v>
      </c>
      <c r="E152" t="s">
        <v>519</v>
      </c>
      <c r="F152" t="s">
        <v>144</v>
      </c>
      <c r="G152" t="s">
        <v>144</v>
      </c>
      <c r="H152" t="s">
        <v>138</v>
      </c>
      <c r="I152">
        <v>6.98</v>
      </c>
      <c r="J152">
        <v>4.78</v>
      </c>
      <c r="K152">
        <f>(I152-J152)/2</f>
        <v>1.1000000000000001</v>
      </c>
      <c r="L152">
        <f>K152/I152</f>
        <v>0.15759312320916904</v>
      </c>
      <c r="M152">
        <v>0.66600000000000004</v>
      </c>
      <c r="N152">
        <v>2.5999999999999999E-2</v>
      </c>
      <c r="O152">
        <f>M152-N152</f>
        <v>0.64</v>
      </c>
      <c r="P152">
        <v>0.46</v>
      </c>
      <c r="Q152">
        <f>P152/O152</f>
        <v>0.71875</v>
      </c>
    </row>
    <row r="153" spans="1:20" x14ac:dyDescent="0.25">
      <c r="A153">
        <v>152</v>
      </c>
      <c r="B153" t="s">
        <v>546</v>
      </c>
      <c r="C153" t="s">
        <v>515</v>
      </c>
      <c r="E153" t="s">
        <v>516</v>
      </c>
      <c r="F153" t="s">
        <v>144</v>
      </c>
      <c r="G153" t="s">
        <v>144</v>
      </c>
      <c r="H153" t="s">
        <v>138</v>
      </c>
      <c r="I153">
        <v>8.19</v>
      </c>
      <c r="J153">
        <v>7.09</v>
      </c>
      <c r="K153">
        <f>(I153-J153)/2</f>
        <v>0.54999999999999982</v>
      </c>
      <c r="L153">
        <f>K153/I153</f>
        <v>6.7155067155067139E-2</v>
      </c>
      <c r="M153">
        <v>0.61099999999999999</v>
      </c>
      <c r="N153">
        <v>2.5999999999999999E-2</v>
      </c>
      <c r="O153">
        <f>M153-N153</f>
        <v>0.58499999999999996</v>
      </c>
      <c r="P153">
        <v>0.52</v>
      </c>
      <c r="Q153">
        <f>P153/O153</f>
        <v>0.88888888888888895</v>
      </c>
    </row>
    <row r="154" spans="1:20" x14ac:dyDescent="0.25">
      <c r="A154">
        <v>153</v>
      </c>
      <c r="B154" t="s">
        <v>543</v>
      </c>
      <c r="C154" t="s">
        <v>538</v>
      </c>
      <c r="E154" t="s">
        <v>556</v>
      </c>
      <c r="F154" t="s">
        <v>144</v>
      </c>
      <c r="G154" t="s">
        <v>144</v>
      </c>
      <c r="H154" t="s">
        <v>138</v>
      </c>
      <c r="I154">
        <v>8.57</v>
      </c>
      <c r="J154">
        <v>5.59</v>
      </c>
      <c r="K154">
        <f>(I154-J154)/2</f>
        <v>1.4900000000000002</v>
      </c>
      <c r="L154">
        <f>K154/I154</f>
        <v>0.17386231038506419</v>
      </c>
      <c r="M154">
        <v>0.66200000000000003</v>
      </c>
      <c r="N154">
        <v>2.5999999999999999E-2</v>
      </c>
      <c r="O154">
        <f>M154-N154</f>
        <v>0.63600000000000001</v>
      </c>
      <c r="P154">
        <v>0.29199999999999998</v>
      </c>
      <c r="Q154">
        <f>P154/O154</f>
        <v>0.45911949685534587</v>
      </c>
    </row>
    <row r="155" spans="1:20" x14ac:dyDescent="0.25">
      <c r="A155">
        <v>154</v>
      </c>
      <c r="B155" t="s">
        <v>551</v>
      </c>
      <c r="C155" t="s">
        <v>522</v>
      </c>
      <c r="E155" t="s">
        <v>523</v>
      </c>
      <c r="F155" t="s">
        <v>144</v>
      </c>
      <c r="G155" t="s">
        <v>144</v>
      </c>
      <c r="H155" t="s">
        <v>138</v>
      </c>
      <c r="I155">
        <v>7.71</v>
      </c>
      <c r="J155">
        <v>6.41</v>
      </c>
      <c r="K155">
        <f>(I155-J155)/2</f>
        <v>0.64999999999999991</v>
      </c>
      <c r="L155">
        <f>K155/I155</f>
        <v>8.4306095979247722E-2</v>
      </c>
      <c r="M155">
        <v>0.65300000000000002</v>
      </c>
      <c r="N155">
        <v>2.5999999999999999E-2</v>
      </c>
      <c r="O155">
        <f>M155-N155</f>
        <v>0.627</v>
      </c>
      <c r="P155">
        <v>0.36099999999999999</v>
      </c>
      <c r="Q155">
        <f>P155/O155</f>
        <v>0.57575757575757569</v>
      </c>
    </row>
    <row r="156" spans="1:20" x14ac:dyDescent="0.25">
      <c r="A156">
        <v>155</v>
      </c>
      <c r="B156" t="s">
        <v>547</v>
      </c>
      <c r="C156" t="s">
        <v>404</v>
      </c>
      <c r="E156" t="s">
        <v>330</v>
      </c>
      <c r="F156" t="s">
        <v>144</v>
      </c>
      <c r="G156" t="s">
        <v>144</v>
      </c>
      <c r="H156" t="s">
        <v>138</v>
      </c>
      <c r="I156">
        <v>7.91</v>
      </c>
      <c r="J156">
        <v>6.38</v>
      </c>
      <c r="K156">
        <f>(I156-J156)/2</f>
        <v>0.76500000000000012</v>
      </c>
      <c r="L156">
        <f>K156/I156</f>
        <v>9.6713021491782569E-2</v>
      </c>
      <c r="M156">
        <v>1.331</v>
      </c>
      <c r="N156">
        <v>2.5999999999999999E-2</v>
      </c>
      <c r="O156">
        <f>M156-N156</f>
        <v>1.3049999999999999</v>
      </c>
      <c r="P156">
        <v>0.69499999999999995</v>
      </c>
      <c r="Q156">
        <f>P156/O156</f>
        <v>0.53256704980842906</v>
      </c>
    </row>
    <row r="157" spans="1:20" x14ac:dyDescent="0.25">
      <c r="A157">
        <v>156</v>
      </c>
      <c r="B157" t="s">
        <v>542</v>
      </c>
      <c r="C157" t="s">
        <v>379</v>
      </c>
      <c r="E157" t="s">
        <v>504</v>
      </c>
      <c r="F157" t="s">
        <v>144</v>
      </c>
      <c r="G157" t="s">
        <v>144</v>
      </c>
      <c r="H157" t="s">
        <v>138</v>
      </c>
      <c r="I157">
        <v>6.89</v>
      </c>
      <c r="J157">
        <v>4.87</v>
      </c>
      <c r="K157">
        <f>(I157-J157)/2</f>
        <v>1.0099999999999998</v>
      </c>
      <c r="L157">
        <f>K157/I157</f>
        <v>0.14658925979680695</v>
      </c>
      <c r="M157">
        <v>0.99</v>
      </c>
      <c r="N157">
        <v>2.5999999999999999E-2</v>
      </c>
      <c r="O157">
        <f>M157-N157</f>
        <v>0.96399999999999997</v>
      </c>
      <c r="P157">
        <v>0.61199999999999999</v>
      </c>
      <c r="Q157">
        <f>P157/O157</f>
        <v>0.63485477178423233</v>
      </c>
    </row>
    <row r="158" spans="1:20" x14ac:dyDescent="0.25">
      <c r="A158">
        <v>157</v>
      </c>
      <c r="B158" t="s">
        <v>544</v>
      </c>
      <c r="C158" t="s">
        <v>545</v>
      </c>
      <c r="E158" t="s">
        <v>802</v>
      </c>
      <c r="F158" t="s">
        <v>144</v>
      </c>
      <c r="G158" t="s">
        <v>144</v>
      </c>
      <c r="H158" t="s">
        <v>138</v>
      </c>
      <c r="I158">
        <v>7.35</v>
      </c>
      <c r="J158">
        <v>5.81</v>
      </c>
      <c r="K158">
        <f>(I158-J158)/2</f>
        <v>0.77</v>
      </c>
      <c r="L158">
        <f>K158/I158</f>
        <v>0.10476190476190476</v>
      </c>
      <c r="M158">
        <v>0.79200000000000004</v>
      </c>
      <c r="N158">
        <v>2.5999999999999999E-2</v>
      </c>
      <c r="O158">
        <f>M158-N158</f>
        <v>0.76600000000000001</v>
      </c>
      <c r="P158">
        <v>0.29799999999999999</v>
      </c>
      <c r="Q158">
        <f>P158/O158</f>
        <v>0.38903394255874674</v>
      </c>
      <c r="T158" s="1"/>
    </row>
    <row r="159" spans="1:20" x14ac:dyDescent="0.25">
      <c r="A159">
        <v>158</v>
      </c>
      <c r="B159" t="s">
        <v>541</v>
      </c>
      <c r="C159" t="s">
        <v>369</v>
      </c>
      <c r="E159" t="s">
        <v>503</v>
      </c>
      <c r="F159" t="s">
        <v>144</v>
      </c>
      <c r="G159" t="s">
        <v>144</v>
      </c>
      <c r="H159" t="s">
        <v>138</v>
      </c>
      <c r="I159">
        <v>4.78</v>
      </c>
      <c r="J159">
        <v>3.06</v>
      </c>
      <c r="K159">
        <f>(I159-J159)/2</f>
        <v>0.8600000000000001</v>
      </c>
      <c r="L159">
        <f>K159/I159</f>
        <v>0.1799163179916318</v>
      </c>
      <c r="M159">
        <v>0.32600000000000001</v>
      </c>
      <c r="N159">
        <v>2.5999999999999999E-2</v>
      </c>
      <c r="O159">
        <f>M159-N159</f>
        <v>0.3</v>
      </c>
      <c r="P159">
        <v>0.17199999999999999</v>
      </c>
      <c r="Q159">
        <f>P159/O159</f>
        <v>0.57333333333333336</v>
      </c>
    </row>
    <row r="160" spans="1:20" x14ac:dyDescent="0.25">
      <c r="A160">
        <v>159</v>
      </c>
      <c r="B160" t="s">
        <v>520</v>
      </c>
      <c r="C160" t="s">
        <v>518</v>
      </c>
      <c r="E160" t="s">
        <v>519</v>
      </c>
      <c r="F160" t="s">
        <v>144</v>
      </c>
      <c r="G160" t="s">
        <v>144</v>
      </c>
      <c r="H160" t="s">
        <v>138</v>
      </c>
      <c r="I160">
        <v>8.81</v>
      </c>
      <c r="J160">
        <v>6.43</v>
      </c>
      <c r="K160">
        <f>(I160-J160)/2</f>
        <v>1.1900000000000004</v>
      </c>
      <c r="L160">
        <f>K160/I160</f>
        <v>0.13507377979568674</v>
      </c>
      <c r="M160">
        <v>0.71799999999999997</v>
      </c>
      <c r="N160">
        <v>2.5999999999999999E-2</v>
      </c>
      <c r="O160">
        <f>M160-N160</f>
        <v>0.69199999999999995</v>
      </c>
      <c r="P160">
        <v>0.46899999999999997</v>
      </c>
      <c r="Q160">
        <f>P160/O160</f>
        <v>0.6777456647398844</v>
      </c>
    </row>
    <row r="161" spans="1:19" x14ac:dyDescent="0.25">
      <c r="A161">
        <v>160</v>
      </c>
      <c r="B161" t="s">
        <v>533</v>
      </c>
      <c r="C161" t="s">
        <v>534</v>
      </c>
      <c r="E161" t="s">
        <v>535</v>
      </c>
      <c r="F161" t="s">
        <v>144</v>
      </c>
      <c r="G161" t="s">
        <v>144</v>
      </c>
      <c r="H161" t="s">
        <v>138</v>
      </c>
      <c r="I161">
        <v>8.69</v>
      </c>
      <c r="J161">
        <v>4.8099999999999996</v>
      </c>
      <c r="K161">
        <f>(I161-J161)/2</f>
        <v>1.94</v>
      </c>
      <c r="L161">
        <f>K161/I161</f>
        <v>0.2232451093210587</v>
      </c>
      <c r="M161">
        <v>0.379</v>
      </c>
      <c r="N161">
        <v>2.5999999999999999E-2</v>
      </c>
      <c r="O161">
        <f>M161-N161</f>
        <v>0.35299999999999998</v>
      </c>
      <c r="P161">
        <v>0.17699999999999999</v>
      </c>
      <c r="Q161">
        <f>P161/O161</f>
        <v>0.50141643059490082</v>
      </c>
    </row>
    <row r="162" spans="1:19" x14ac:dyDescent="0.25">
      <c r="A162">
        <v>161</v>
      </c>
      <c r="B162" t="s">
        <v>537</v>
      </c>
      <c r="C162" t="s">
        <v>538</v>
      </c>
      <c r="E162" t="s">
        <v>556</v>
      </c>
      <c r="F162" t="s">
        <v>144</v>
      </c>
      <c r="G162" t="s">
        <v>144</v>
      </c>
      <c r="H162" t="s">
        <v>138</v>
      </c>
      <c r="I162">
        <v>10</v>
      </c>
      <c r="J162">
        <v>5.59</v>
      </c>
      <c r="K162">
        <f>(I162-J162)/2</f>
        <v>2.2050000000000001</v>
      </c>
      <c r="L162">
        <f>K162/I162</f>
        <v>0.2205</v>
      </c>
      <c r="M162">
        <v>0.57199999999999995</v>
      </c>
      <c r="N162">
        <v>2.5999999999999999E-2</v>
      </c>
      <c r="O162">
        <f>M162-N162</f>
        <v>0.54599999999999993</v>
      </c>
      <c r="P162">
        <v>0.247</v>
      </c>
      <c r="Q162">
        <f>P162/O162</f>
        <v>0.45238095238095244</v>
      </c>
    </row>
    <row r="163" spans="1:19" x14ac:dyDescent="0.25">
      <c r="A163">
        <v>162</v>
      </c>
      <c r="B163" t="s">
        <v>530</v>
      </c>
      <c r="C163" t="s">
        <v>522</v>
      </c>
      <c r="E163" t="s">
        <v>523</v>
      </c>
      <c r="F163" t="s">
        <v>144</v>
      </c>
      <c r="G163" t="s">
        <v>144</v>
      </c>
      <c r="H163" t="s">
        <v>138</v>
      </c>
      <c r="I163">
        <v>6.67</v>
      </c>
      <c r="J163">
        <v>4.3600000000000003</v>
      </c>
      <c r="K163">
        <f>(I163-J163)/2</f>
        <v>1.1549999999999998</v>
      </c>
      <c r="L163">
        <f>K163/I163</f>
        <v>0.17316341829085455</v>
      </c>
      <c r="M163">
        <v>0.61099999999999999</v>
      </c>
      <c r="N163">
        <v>2.5999999999999999E-2</v>
      </c>
      <c r="O163">
        <f>M163-N163</f>
        <v>0.58499999999999996</v>
      </c>
      <c r="P163">
        <v>0.36299999999999999</v>
      </c>
      <c r="Q163">
        <f>P163/O163</f>
        <v>0.62051282051282053</v>
      </c>
    </row>
    <row r="164" spans="1:19" x14ac:dyDescent="0.25">
      <c r="A164">
        <v>163</v>
      </c>
      <c r="B164" t="s">
        <v>540</v>
      </c>
      <c r="C164" t="s">
        <v>403</v>
      </c>
      <c r="E164" t="s">
        <v>297</v>
      </c>
      <c r="F164" t="s">
        <v>144</v>
      </c>
      <c r="G164" t="s">
        <v>144</v>
      </c>
      <c r="H164" t="s">
        <v>138</v>
      </c>
      <c r="I164">
        <v>11.8</v>
      </c>
      <c r="J164">
        <v>5.95</v>
      </c>
      <c r="K164">
        <f>(I164-J164)/2</f>
        <v>2.9250000000000003</v>
      </c>
      <c r="L164">
        <f>K164/I164</f>
        <v>0.2478813559322034</v>
      </c>
      <c r="M164">
        <v>0.40600000000000003</v>
      </c>
      <c r="N164">
        <v>2.5999999999999999E-2</v>
      </c>
      <c r="O164">
        <f>M164-N164</f>
        <v>0.38</v>
      </c>
      <c r="P164">
        <v>0.19700000000000001</v>
      </c>
      <c r="Q164">
        <f>P164/O164</f>
        <v>0.518421052631579</v>
      </c>
    </row>
    <row r="165" spans="1:19" x14ac:dyDescent="0.25">
      <c r="A165">
        <v>164</v>
      </c>
      <c r="B165" t="s">
        <v>511</v>
      </c>
      <c r="C165" t="s">
        <v>512</v>
      </c>
      <c r="E165" t="s">
        <v>513</v>
      </c>
      <c r="F165" t="s">
        <v>144</v>
      </c>
      <c r="G165" t="s">
        <v>144</v>
      </c>
      <c r="H165" t="s">
        <v>138</v>
      </c>
      <c r="I165">
        <v>7.72</v>
      </c>
      <c r="J165">
        <v>5.95</v>
      </c>
      <c r="K165">
        <f>(I165-J165)/2</f>
        <v>0.88499999999999979</v>
      </c>
      <c r="L165">
        <f>K165/I165</f>
        <v>0.11463730569948184</v>
      </c>
      <c r="M165">
        <v>0.81799999999999995</v>
      </c>
      <c r="N165">
        <v>2.5999999999999999E-2</v>
      </c>
      <c r="O165">
        <f>M165-N165</f>
        <v>0.79199999999999993</v>
      </c>
      <c r="P165">
        <v>0.49099999999999999</v>
      </c>
      <c r="Q165">
        <f>P165/O165</f>
        <v>0.61994949494949503</v>
      </c>
    </row>
    <row r="166" spans="1:19" x14ac:dyDescent="0.25">
      <c r="A166">
        <v>165</v>
      </c>
      <c r="B166" t="s">
        <v>517</v>
      </c>
      <c r="C166" t="s">
        <v>518</v>
      </c>
      <c r="E166" t="s">
        <v>519</v>
      </c>
      <c r="F166" t="s">
        <v>144</v>
      </c>
      <c r="G166" t="s">
        <v>144</v>
      </c>
      <c r="H166" t="s">
        <v>138</v>
      </c>
      <c r="I166">
        <v>8.89</v>
      </c>
      <c r="J166">
        <v>6.55</v>
      </c>
      <c r="K166">
        <f>(I166-J166)/2</f>
        <v>1.1700000000000004</v>
      </c>
      <c r="L166">
        <f>K166/I166</f>
        <v>0.1316085489313836</v>
      </c>
      <c r="M166">
        <v>0.56899999999999995</v>
      </c>
      <c r="N166">
        <v>2.5999999999999999E-2</v>
      </c>
      <c r="O166">
        <f>M166-N166</f>
        <v>0.54299999999999993</v>
      </c>
      <c r="P166">
        <v>0.32600000000000001</v>
      </c>
      <c r="Q166">
        <f>P166/O166</f>
        <v>0.60036832412523033</v>
      </c>
    </row>
    <row r="167" spans="1:19" x14ac:dyDescent="0.25">
      <c r="A167">
        <v>166</v>
      </c>
      <c r="B167" t="s">
        <v>521</v>
      </c>
      <c r="C167" t="s">
        <v>522</v>
      </c>
      <c r="E167" t="s">
        <v>523</v>
      </c>
      <c r="F167" t="s">
        <v>144</v>
      </c>
      <c r="G167" t="s">
        <v>144</v>
      </c>
      <c r="H167" t="s">
        <v>138</v>
      </c>
      <c r="I167">
        <v>6.59</v>
      </c>
      <c r="J167">
        <v>5.66</v>
      </c>
      <c r="K167">
        <f>(I167-J167)/2</f>
        <v>0.46499999999999986</v>
      </c>
      <c r="L167">
        <f>K167/I167</f>
        <v>7.0561456752655516E-2</v>
      </c>
      <c r="M167">
        <v>0.92700000000000005</v>
      </c>
      <c r="N167">
        <v>2.5999999999999999E-2</v>
      </c>
      <c r="O167">
        <f>M167-N167</f>
        <v>0.90100000000000002</v>
      </c>
      <c r="P167">
        <v>0.48099999999999998</v>
      </c>
      <c r="Q167">
        <f>P167/O167</f>
        <v>0.53385127635960039</v>
      </c>
      <c r="S167" t="s">
        <v>557</v>
      </c>
    </row>
    <row r="168" spans="1:19" x14ac:dyDescent="0.25">
      <c r="A168">
        <v>167</v>
      </c>
      <c r="B168" t="s">
        <v>528</v>
      </c>
      <c r="C168" t="s">
        <v>441</v>
      </c>
      <c r="E168" t="s">
        <v>489</v>
      </c>
      <c r="F168" t="s">
        <v>144</v>
      </c>
      <c r="G168" t="s">
        <v>144</v>
      </c>
      <c r="H168" t="s">
        <v>138</v>
      </c>
      <c r="I168">
        <v>7.11</v>
      </c>
      <c r="J168">
        <v>3.47</v>
      </c>
      <c r="K168">
        <f>(I168-J168)/2</f>
        <v>1.82</v>
      </c>
      <c r="L168">
        <f>K168/I168</f>
        <v>0.25597749648382562</v>
      </c>
      <c r="M168">
        <v>0.45800000000000002</v>
      </c>
      <c r="N168">
        <v>2.5999999999999999E-2</v>
      </c>
      <c r="O168">
        <f>M168-N168</f>
        <v>0.432</v>
      </c>
      <c r="P168">
        <v>0.159</v>
      </c>
      <c r="Q168">
        <f>P168/O168</f>
        <v>0.36805555555555558</v>
      </c>
    </row>
    <row r="169" spans="1:19" x14ac:dyDescent="0.25">
      <c r="A169">
        <v>168</v>
      </c>
      <c r="B169" t="s">
        <v>529</v>
      </c>
      <c r="C169" t="s">
        <v>372</v>
      </c>
      <c r="E169" t="s">
        <v>384</v>
      </c>
      <c r="F169" t="s">
        <v>144</v>
      </c>
      <c r="G169" t="s">
        <v>144</v>
      </c>
      <c r="H169" t="s">
        <v>138</v>
      </c>
      <c r="I169">
        <v>7.45</v>
      </c>
      <c r="J169">
        <v>5.66</v>
      </c>
      <c r="K169">
        <f>(I169-J169)/2</f>
        <v>0.89500000000000002</v>
      </c>
      <c r="L169">
        <f>K169/I169</f>
        <v>0.12013422818791947</v>
      </c>
      <c r="M169">
        <v>0.69199999999999995</v>
      </c>
      <c r="N169">
        <v>2.5999999999999999E-2</v>
      </c>
      <c r="O169">
        <f>M169-N169</f>
        <v>0.66599999999999993</v>
      </c>
      <c r="P169">
        <v>0.45700000000000002</v>
      </c>
      <c r="Q169">
        <f>P169/O169</f>
        <v>0.68618618618618632</v>
      </c>
    </row>
    <row r="170" spans="1:19" x14ac:dyDescent="0.25">
      <c r="A170">
        <v>169</v>
      </c>
      <c r="B170" t="s">
        <v>514</v>
      </c>
      <c r="C170" t="s">
        <v>515</v>
      </c>
      <c r="E170" t="s">
        <v>516</v>
      </c>
      <c r="F170" t="s">
        <v>144</v>
      </c>
      <c r="G170" t="s">
        <v>144</v>
      </c>
      <c r="H170" t="s">
        <v>138</v>
      </c>
      <c r="I170">
        <v>9.0500000000000007</v>
      </c>
      <c r="J170">
        <v>7.51</v>
      </c>
      <c r="K170">
        <f>(I170-J170)/2</f>
        <v>0.77000000000000046</v>
      </c>
      <c r="L170">
        <f>K170/I170</f>
        <v>8.5082872928176845E-2</v>
      </c>
      <c r="M170">
        <v>0.46</v>
      </c>
      <c r="N170">
        <v>2.5999999999999999E-2</v>
      </c>
      <c r="O170">
        <f>M170-N170</f>
        <v>0.434</v>
      </c>
      <c r="P170">
        <v>0.40100000000000002</v>
      </c>
      <c r="Q170">
        <f>P170/O170</f>
        <v>0.92396313364055305</v>
      </c>
    </row>
    <row r="171" spans="1:19" x14ac:dyDescent="0.25">
      <c r="A171">
        <v>170</v>
      </c>
      <c r="B171" t="s">
        <v>553</v>
      </c>
      <c r="C171" t="s">
        <v>392</v>
      </c>
      <c r="E171" t="s">
        <v>235</v>
      </c>
      <c r="F171" t="s">
        <v>144</v>
      </c>
      <c r="G171" t="s">
        <v>144</v>
      </c>
      <c r="H171" t="s">
        <v>138</v>
      </c>
      <c r="I171">
        <v>9.09</v>
      </c>
      <c r="J171">
        <v>4.79</v>
      </c>
      <c r="K171">
        <f>(I171-J171)/2</f>
        <v>2.15</v>
      </c>
      <c r="L171">
        <f>K171/I171</f>
        <v>0.23652365236523651</v>
      </c>
      <c r="M171">
        <v>0.74099999999999999</v>
      </c>
      <c r="N171">
        <v>2.5999999999999999E-2</v>
      </c>
      <c r="O171">
        <f>M171-N171</f>
        <v>0.71499999999999997</v>
      </c>
      <c r="P171">
        <v>0.44700000000000001</v>
      </c>
      <c r="Q171">
        <f>P171/O171</f>
        <v>0.62517482517482525</v>
      </c>
    </row>
    <row r="172" spans="1:19" x14ac:dyDescent="0.25">
      <c r="A172">
        <v>171</v>
      </c>
      <c r="B172" t="s">
        <v>525</v>
      </c>
      <c r="C172" t="s">
        <v>526</v>
      </c>
      <c r="E172" t="s">
        <v>558</v>
      </c>
      <c r="F172" t="s">
        <v>144</v>
      </c>
      <c r="G172" t="s">
        <v>144</v>
      </c>
      <c r="H172" t="s">
        <v>138</v>
      </c>
      <c r="I172">
        <v>7.61</v>
      </c>
      <c r="J172">
        <v>6.27</v>
      </c>
      <c r="K172">
        <f>(I172-J172)/2</f>
        <v>0.67000000000000037</v>
      </c>
      <c r="L172">
        <f>K172/I172</f>
        <v>8.8042049934297026E-2</v>
      </c>
      <c r="M172">
        <v>0.99299999999999999</v>
      </c>
      <c r="N172">
        <v>2.5999999999999999E-2</v>
      </c>
      <c r="O172">
        <f>M172-N172</f>
        <v>0.96699999999999997</v>
      </c>
      <c r="P172">
        <v>0.58199999999999996</v>
      </c>
      <c r="Q172">
        <f>P172/O172</f>
        <v>0.60186142709410551</v>
      </c>
    </row>
    <row r="173" spans="1:19" x14ac:dyDescent="0.25">
      <c r="A173">
        <v>172</v>
      </c>
      <c r="B173" t="s">
        <v>531</v>
      </c>
      <c r="C173" t="s">
        <v>532</v>
      </c>
      <c r="E173" t="s">
        <v>803</v>
      </c>
      <c r="F173" t="s">
        <v>144</v>
      </c>
      <c r="G173" t="s">
        <v>144</v>
      </c>
      <c r="H173" t="s">
        <v>138</v>
      </c>
      <c r="I173">
        <v>6.69</v>
      </c>
      <c r="J173">
        <v>5.51</v>
      </c>
      <c r="K173">
        <f>(I173-J173)/2</f>
        <v>0.5900000000000003</v>
      </c>
      <c r="L173">
        <f>K173/I173</f>
        <v>8.8191330343796753E-2</v>
      </c>
      <c r="M173">
        <v>0.42699999999999999</v>
      </c>
      <c r="N173">
        <v>2.5999999999999999E-2</v>
      </c>
      <c r="O173">
        <f>M173-N173</f>
        <v>0.40099999999999997</v>
      </c>
      <c r="P173">
        <v>0.17100000000000001</v>
      </c>
      <c r="Q173">
        <f>P173/O173</f>
        <v>0.42643391521197016</v>
      </c>
    </row>
    <row r="174" spans="1:19" x14ac:dyDescent="0.25">
      <c r="A174">
        <v>173</v>
      </c>
      <c r="B174" t="s">
        <v>536</v>
      </c>
      <c r="C174" t="s">
        <v>349</v>
      </c>
      <c r="E174" t="s">
        <v>62</v>
      </c>
      <c r="F174" t="s">
        <v>144</v>
      </c>
      <c r="G174" t="s">
        <v>144</v>
      </c>
      <c r="H174" t="s">
        <v>138</v>
      </c>
      <c r="I174">
        <v>10.08</v>
      </c>
      <c r="J174">
        <v>5.6</v>
      </c>
      <c r="K174">
        <f>(I174-J174)/2</f>
        <v>2.2400000000000002</v>
      </c>
      <c r="L174">
        <f>K174/I174</f>
        <v>0.22222222222222224</v>
      </c>
      <c r="M174">
        <v>1.0920000000000001</v>
      </c>
      <c r="N174">
        <v>2.5999999999999999E-2</v>
      </c>
      <c r="O174">
        <f>M174-N174</f>
        <v>1.0660000000000001</v>
      </c>
      <c r="P174">
        <v>0.45900000000000002</v>
      </c>
      <c r="Q174">
        <f>P174/O174</f>
        <v>0.43058161350844276</v>
      </c>
    </row>
    <row r="175" spans="1:19" x14ac:dyDescent="0.25">
      <c r="A175">
        <v>174</v>
      </c>
      <c r="B175" t="s">
        <v>624</v>
      </c>
      <c r="C175" t="s">
        <v>383</v>
      </c>
      <c r="D175">
        <v>6</v>
      </c>
      <c r="E175" t="s">
        <v>101</v>
      </c>
      <c r="F175" t="s">
        <v>144</v>
      </c>
      <c r="G175" t="s">
        <v>144</v>
      </c>
      <c r="H175" t="s">
        <v>138</v>
      </c>
      <c r="I175">
        <v>9.15</v>
      </c>
      <c r="J175">
        <v>7.48</v>
      </c>
      <c r="K175">
        <f>(I175-J175)/2</f>
        <v>0.83499999999999996</v>
      </c>
      <c r="L175">
        <f>K175/I175</f>
        <v>9.1256830601092895E-2</v>
      </c>
      <c r="M175">
        <v>1.4419999999999999</v>
      </c>
      <c r="N175">
        <v>2.5999999999999999E-2</v>
      </c>
      <c r="O175">
        <f>M175-N175</f>
        <v>1.4159999999999999</v>
      </c>
      <c r="P175">
        <v>0.871</v>
      </c>
      <c r="Q175">
        <f>P175/O175</f>
        <v>0.61511299435028255</v>
      </c>
      <c r="S175" t="s">
        <v>776</v>
      </c>
    </row>
    <row r="176" spans="1:19" x14ac:dyDescent="0.25">
      <c r="A176">
        <v>175</v>
      </c>
      <c r="B176" t="s">
        <v>524</v>
      </c>
      <c r="C176" t="s">
        <v>394</v>
      </c>
      <c r="E176" t="s">
        <v>247</v>
      </c>
      <c r="F176" t="s">
        <v>144</v>
      </c>
      <c r="G176" t="s">
        <v>144</v>
      </c>
      <c r="H176" t="s">
        <v>138</v>
      </c>
      <c r="I176">
        <v>5.96</v>
      </c>
      <c r="J176">
        <v>4.74</v>
      </c>
      <c r="K176">
        <f>(I176-J176)/2</f>
        <v>0.60999999999999988</v>
      </c>
      <c r="L176">
        <f>K176/I176</f>
        <v>0.10234899328859058</v>
      </c>
      <c r="M176">
        <v>0.98499999999999999</v>
      </c>
      <c r="N176">
        <v>2.5999999999999999E-2</v>
      </c>
      <c r="O176">
        <f>M176-N176</f>
        <v>0.95899999999999996</v>
      </c>
      <c r="P176">
        <v>0.62</v>
      </c>
      <c r="Q176">
        <f>P176/O176</f>
        <v>0.6465067778936392</v>
      </c>
    </row>
    <row r="177" spans="1:18" x14ac:dyDescent="0.25">
      <c r="A177">
        <v>176</v>
      </c>
      <c r="B177" t="s">
        <v>482</v>
      </c>
      <c r="C177" t="s">
        <v>361</v>
      </c>
      <c r="E177" t="s">
        <v>341</v>
      </c>
      <c r="F177" t="s">
        <v>144</v>
      </c>
      <c r="G177" t="s">
        <v>144</v>
      </c>
      <c r="H177" t="s">
        <v>138</v>
      </c>
      <c r="I177">
        <v>8.8000000000000007</v>
      </c>
      <c r="J177">
        <v>6.59</v>
      </c>
      <c r="K177">
        <f>(I177-J177)/2</f>
        <v>1.1050000000000004</v>
      </c>
      <c r="L177">
        <f>K177/I177</f>
        <v>0.12556818181818186</v>
      </c>
      <c r="M177">
        <v>1.0820000000000001</v>
      </c>
      <c r="N177">
        <v>2.5999999999999999E-2</v>
      </c>
      <c r="O177">
        <f>M177-N177</f>
        <v>1.056</v>
      </c>
      <c r="P177">
        <v>0.51300000000000001</v>
      </c>
      <c r="Q177">
        <f>P177/O177</f>
        <v>0.48579545454545453</v>
      </c>
    </row>
    <row r="178" spans="1:18" x14ac:dyDescent="0.25">
      <c r="A178">
        <v>177</v>
      </c>
      <c r="B178" t="s">
        <v>480</v>
      </c>
      <c r="C178" t="s">
        <v>437</v>
      </c>
      <c r="E178" t="s">
        <v>516</v>
      </c>
      <c r="F178" t="s">
        <v>144</v>
      </c>
      <c r="G178" t="s">
        <v>144</v>
      </c>
      <c r="H178" t="s">
        <v>138</v>
      </c>
      <c r="I178">
        <v>5.74</v>
      </c>
      <c r="J178">
        <v>4.7</v>
      </c>
      <c r="K178">
        <f>(I178-J178)/2</f>
        <v>0.52</v>
      </c>
      <c r="L178">
        <f>K178/I178</f>
        <v>9.0592334494773524E-2</v>
      </c>
      <c r="M178">
        <v>0.52</v>
      </c>
      <c r="N178">
        <v>2.5999999999999999E-2</v>
      </c>
      <c r="O178">
        <f>M178-N178</f>
        <v>0.49399999999999999</v>
      </c>
      <c r="P178">
        <v>0.35399999999999998</v>
      </c>
      <c r="Q178">
        <f>P178/O178</f>
        <v>0.7165991902834008</v>
      </c>
    </row>
    <row r="179" spans="1:18" x14ac:dyDescent="0.25">
      <c r="A179">
        <v>178</v>
      </c>
      <c r="B179" t="s">
        <v>484</v>
      </c>
      <c r="C179" t="s">
        <v>467</v>
      </c>
      <c r="E179" t="s">
        <v>468</v>
      </c>
      <c r="F179" t="s">
        <v>144</v>
      </c>
      <c r="G179" t="s">
        <v>144</v>
      </c>
      <c r="H179" t="s">
        <v>138</v>
      </c>
      <c r="I179">
        <v>8.06</v>
      </c>
      <c r="J179">
        <v>5.6</v>
      </c>
      <c r="K179">
        <f>(I179-J179)/2</f>
        <v>1.2300000000000004</v>
      </c>
      <c r="L179">
        <f>K179/I179</f>
        <v>0.15260545905707201</v>
      </c>
      <c r="M179">
        <v>0.95499999999999996</v>
      </c>
      <c r="N179">
        <v>2.5999999999999999E-2</v>
      </c>
      <c r="O179">
        <f>M179-N179</f>
        <v>0.92899999999999994</v>
      </c>
      <c r="P179">
        <v>0.57299999999999995</v>
      </c>
      <c r="Q179">
        <f>P179/O179</f>
        <v>0.61679224973089342</v>
      </c>
    </row>
    <row r="180" spans="1:18" x14ac:dyDescent="0.25">
      <c r="A180">
        <v>179</v>
      </c>
      <c r="B180" t="s">
        <v>481</v>
      </c>
      <c r="C180" t="s">
        <v>345</v>
      </c>
      <c r="E180" t="s">
        <v>376</v>
      </c>
      <c r="F180" t="s">
        <v>144</v>
      </c>
      <c r="G180" t="s">
        <v>144</v>
      </c>
      <c r="H180" t="s">
        <v>138</v>
      </c>
      <c r="I180">
        <v>9.07</v>
      </c>
      <c r="J180">
        <v>7.31</v>
      </c>
      <c r="K180">
        <f>(I180-J180)/2</f>
        <v>0.88000000000000034</v>
      </c>
      <c r="L180">
        <f>K180/I180</f>
        <v>9.7023153252480746E-2</v>
      </c>
      <c r="M180">
        <v>0.97699999999999998</v>
      </c>
      <c r="N180">
        <v>2.5999999999999999E-2</v>
      </c>
      <c r="O180">
        <f>M180-N180</f>
        <v>0.95099999999999996</v>
      </c>
      <c r="P180">
        <v>0.58499999999999996</v>
      </c>
      <c r="Q180">
        <f>P180/O180</f>
        <v>0.6151419558359621</v>
      </c>
    </row>
    <row r="181" spans="1:18" x14ac:dyDescent="0.25">
      <c r="A181">
        <v>180</v>
      </c>
      <c r="B181" t="s">
        <v>483</v>
      </c>
      <c r="C181" t="s">
        <v>370</v>
      </c>
      <c r="E181" t="s">
        <v>285</v>
      </c>
      <c r="F181" t="s">
        <v>144</v>
      </c>
      <c r="G181" t="s">
        <v>144</v>
      </c>
      <c r="H181" t="s">
        <v>138</v>
      </c>
      <c r="I181">
        <v>10.15</v>
      </c>
      <c r="J181">
        <v>6.88</v>
      </c>
      <c r="K181">
        <f>(I181-J181)/2</f>
        <v>1.6350000000000002</v>
      </c>
      <c r="L181">
        <f>K181/I181</f>
        <v>0.16108374384236454</v>
      </c>
      <c r="M181">
        <v>1.333</v>
      </c>
      <c r="N181">
        <v>2.5999999999999999E-2</v>
      </c>
      <c r="O181">
        <f>M181-N181</f>
        <v>1.3069999999999999</v>
      </c>
      <c r="P181">
        <v>0.54</v>
      </c>
      <c r="Q181">
        <f>P181/O181</f>
        <v>0.41315990818668713</v>
      </c>
    </row>
    <row r="182" spans="1:18" x14ac:dyDescent="0.25">
      <c r="A182">
        <v>181</v>
      </c>
      <c r="B182" t="s">
        <v>477</v>
      </c>
      <c r="C182" t="s">
        <v>451</v>
      </c>
      <c r="E182" t="s">
        <v>452</v>
      </c>
      <c r="F182" t="s">
        <v>144</v>
      </c>
      <c r="G182" t="s">
        <v>144</v>
      </c>
      <c r="H182" t="s">
        <v>138</v>
      </c>
      <c r="I182">
        <v>7.34</v>
      </c>
      <c r="J182">
        <v>4.66</v>
      </c>
      <c r="K182">
        <f>(I182-J182)/2</f>
        <v>1.3399999999999999</v>
      </c>
      <c r="L182">
        <f>K182/I182</f>
        <v>0.18256130790190733</v>
      </c>
      <c r="M182">
        <v>0.745</v>
      </c>
      <c r="N182">
        <v>2.5999999999999999E-2</v>
      </c>
      <c r="O182">
        <f>M182-N182</f>
        <v>0.71899999999999997</v>
      </c>
      <c r="P182">
        <v>0.313</v>
      </c>
      <c r="Q182">
        <f>P182/O182</f>
        <v>0.43532684283727402</v>
      </c>
    </row>
    <row r="183" spans="1:18" x14ac:dyDescent="0.25">
      <c r="A183">
        <v>182</v>
      </c>
      <c r="B183" t="s">
        <v>476</v>
      </c>
      <c r="C183" t="s">
        <v>451</v>
      </c>
      <c r="E183" t="s">
        <v>452</v>
      </c>
      <c r="F183" t="s">
        <v>144</v>
      </c>
      <c r="G183" t="s">
        <v>144</v>
      </c>
      <c r="H183" t="s">
        <v>138</v>
      </c>
      <c r="I183">
        <v>6.22</v>
      </c>
      <c r="J183">
        <v>3.92</v>
      </c>
      <c r="K183">
        <f>(I183-J183)/2</f>
        <v>1.1499999999999999</v>
      </c>
      <c r="L183">
        <f>K183/I183</f>
        <v>0.18488745980707394</v>
      </c>
      <c r="M183">
        <v>0.373</v>
      </c>
      <c r="N183">
        <v>2.5999999999999999E-2</v>
      </c>
      <c r="O183">
        <f>M183-N183</f>
        <v>0.34699999999999998</v>
      </c>
      <c r="P183">
        <v>0.20300000000000001</v>
      </c>
      <c r="Q183">
        <f>P183/O183</f>
        <v>0.58501440922190207</v>
      </c>
    </row>
    <row r="184" spans="1:18" x14ac:dyDescent="0.25">
      <c r="A184">
        <v>183</v>
      </c>
      <c r="B184" t="s">
        <v>475</v>
      </c>
      <c r="C184" t="s">
        <v>470</v>
      </c>
      <c r="E184" t="s">
        <v>804</v>
      </c>
      <c r="F184" t="s">
        <v>144</v>
      </c>
      <c r="G184" t="s">
        <v>144</v>
      </c>
      <c r="H184" t="s">
        <v>138</v>
      </c>
      <c r="I184">
        <v>8.36</v>
      </c>
      <c r="J184">
        <v>4.97</v>
      </c>
      <c r="K184">
        <f>(I184-J184)/2</f>
        <v>1.6949999999999998</v>
      </c>
      <c r="L184">
        <f>K184/I184</f>
        <v>0.20275119617224879</v>
      </c>
      <c r="M184">
        <v>0.52800000000000002</v>
      </c>
      <c r="N184">
        <v>2.5999999999999999E-2</v>
      </c>
      <c r="O184">
        <f>M184-N184</f>
        <v>0.502</v>
      </c>
      <c r="P184">
        <v>0.31</v>
      </c>
      <c r="Q184">
        <f>P184/O184</f>
        <v>0.61752988047808766</v>
      </c>
      <c r="R184" t="s">
        <v>560</v>
      </c>
    </row>
    <row r="185" spans="1:18" x14ac:dyDescent="0.25">
      <c r="A185">
        <v>184</v>
      </c>
      <c r="B185" t="s">
        <v>488</v>
      </c>
      <c r="F185" t="s">
        <v>144</v>
      </c>
      <c r="G185" t="s">
        <v>144</v>
      </c>
      <c r="H185" t="s">
        <v>138</v>
      </c>
      <c r="I185">
        <v>8.77</v>
      </c>
      <c r="J185">
        <v>5.63</v>
      </c>
      <c r="K185">
        <f>(I185-J185)/2</f>
        <v>1.5699999999999998</v>
      </c>
      <c r="L185">
        <f>K185/I185</f>
        <v>0.1790193842645382</v>
      </c>
      <c r="M185">
        <v>0.59099999999999997</v>
      </c>
      <c r="N185">
        <v>2.5999999999999999E-2</v>
      </c>
      <c r="O185">
        <f>M185-N185</f>
        <v>0.56499999999999995</v>
      </c>
      <c r="P185">
        <v>0.28399999999999997</v>
      </c>
      <c r="Q185">
        <f>P185/O185</f>
        <v>0.50265486725663722</v>
      </c>
      <c r="R185" t="s">
        <v>561</v>
      </c>
    </row>
    <row r="186" spans="1:18" x14ac:dyDescent="0.25">
      <c r="A186">
        <v>185</v>
      </c>
      <c r="B186" t="s">
        <v>466</v>
      </c>
      <c r="C186" t="s">
        <v>467</v>
      </c>
      <c r="E186" t="s">
        <v>468</v>
      </c>
      <c r="F186" t="s">
        <v>144</v>
      </c>
      <c r="G186" t="s">
        <v>144</v>
      </c>
      <c r="H186" t="s">
        <v>138</v>
      </c>
      <c r="I186">
        <v>9.4700000000000006</v>
      </c>
      <c r="J186">
        <v>7.04</v>
      </c>
      <c r="K186">
        <f>(I186-J186)/2</f>
        <v>1.2150000000000003</v>
      </c>
      <c r="L186">
        <f>K186/I186</f>
        <v>0.12829989440337911</v>
      </c>
      <c r="M186">
        <v>0.84799999999999998</v>
      </c>
      <c r="N186">
        <v>2.5999999999999999E-2</v>
      </c>
      <c r="O186">
        <f>M186-N186</f>
        <v>0.82199999999999995</v>
      </c>
      <c r="P186">
        <v>0.46400000000000002</v>
      </c>
      <c r="Q186">
        <f>P186/O186</f>
        <v>0.56447688564476894</v>
      </c>
      <c r="R186" t="s">
        <v>561</v>
      </c>
    </row>
    <row r="187" spans="1:18" x14ac:dyDescent="0.25">
      <c r="A187">
        <v>186</v>
      </c>
      <c r="B187" t="s">
        <v>462</v>
      </c>
      <c r="C187" t="s">
        <v>358</v>
      </c>
      <c r="E187" t="s">
        <v>363</v>
      </c>
      <c r="F187" t="s">
        <v>144</v>
      </c>
      <c r="G187" t="s">
        <v>144</v>
      </c>
      <c r="H187" t="s">
        <v>138</v>
      </c>
      <c r="I187">
        <v>9.2899999999999991</v>
      </c>
      <c r="J187">
        <v>5</v>
      </c>
      <c r="K187">
        <f>(I187-J187)/2</f>
        <v>2.1449999999999996</v>
      </c>
      <c r="L187">
        <f>K187/I187</f>
        <v>0.23089343379978469</v>
      </c>
      <c r="M187">
        <v>0.40699999999999997</v>
      </c>
      <c r="N187">
        <v>2.5999999999999999E-2</v>
      </c>
      <c r="O187">
        <f>M187-N187</f>
        <v>0.38099999999999995</v>
      </c>
      <c r="P187">
        <v>0.13600000000000001</v>
      </c>
      <c r="Q187">
        <f>P187/O187</f>
        <v>0.35695538057742787</v>
      </c>
      <c r="R187" t="s">
        <v>560</v>
      </c>
    </row>
    <row r="188" spans="1:18" x14ac:dyDescent="0.25">
      <c r="A188">
        <v>187</v>
      </c>
      <c r="B188" t="s">
        <v>464</v>
      </c>
      <c r="C188" t="s">
        <v>358</v>
      </c>
      <c r="E188" t="s">
        <v>363</v>
      </c>
      <c r="F188" t="s">
        <v>144</v>
      </c>
      <c r="G188" t="s">
        <v>144</v>
      </c>
      <c r="H188" t="s">
        <v>138</v>
      </c>
      <c r="I188">
        <v>6.17</v>
      </c>
      <c r="J188">
        <v>3.34</v>
      </c>
      <c r="K188">
        <f>(I188-J188)/2</f>
        <v>1.415</v>
      </c>
      <c r="L188">
        <f>K188/I188</f>
        <v>0.22933549432739062</v>
      </c>
      <c r="M188">
        <v>0.38900000000000001</v>
      </c>
      <c r="N188">
        <v>2.5999999999999999E-2</v>
      </c>
      <c r="O188">
        <f>M188-N188</f>
        <v>0.36299999999999999</v>
      </c>
      <c r="P188">
        <v>0.18</v>
      </c>
      <c r="Q188">
        <f>P188/O188</f>
        <v>0.49586776859504134</v>
      </c>
      <c r="R188" t="s">
        <v>560</v>
      </c>
    </row>
    <row r="189" spans="1:18" x14ac:dyDescent="0.25">
      <c r="A189">
        <v>188</v>
      </c>
      <c r="B189" t="s">
        <v>562</v>
      </c>
      <c r="C189" t="s">
        <v>563</v>
      </c>
      <c r="E189" t="s">
        <v>564</v>
      </c>
      <c r="F189" t="s">
        <v>144</v>
      </c>
      <c r="G189" t="s">
        <v>144</v>
      </c>
      <c r="H189" t="s">
        <v>138</v>
      </c>
      <c r="I189">
        <v>7.28</v>
      </c>
      <c r="J189">
        <v>6.15</v>
      </c>
      <c r="K189">
        <f>(I189-J189)/2</f>
        <v>0.56499999999999995</v>
      </c>
      <c r="L189">
        <f>K189/I189</f>
        <v>7.7609890109890098E-2</v>
      </c>
      <c r="M189">
        <v>0.61</v>
      </c>
      <c r="N189">
        <v>2.5999999999999999E-2</v>
      </c>
      <c r="O189">
        <f>M189-N189</f>
        <v>0.58399999999999996</v>
      </c>
      <c r="P189">
        <v>0.42699999999999999</v>
      </c>
      <c r="Q189">
        <f>P189/O189</f>
        <v>0.73116438356164382</v>
      </c>
      <c r="R189" t="s">
        <v>561</v>
      </c>
    </row>
    <row r="190" spans="1:18" x14ac:dyDescent="0.25">
      <c r="A190">
        <v>189</v>
      </c>
      <c r="B190" t="s">
        <v>461</v>
      </c>
      <c r="C190" t="s">
        <v>396</v>
      </c>
      <c r="E190" t="s">
        <v>245</v>
      </c>
      <c r="F190" t="s">
        <v>144</v>
      </c>
      <c r="G190" t="s">
        <v>144</v>
      </c>
      <c r="H190" t="s">
        <v>138</v>
      </c>
      <c r="I190">
        <v>7.13</v>
      </c>
      <c r="J190">
        <v>5.28</v>
      </c>
      <c r="K190">
        <f>(I190-J190)/2</f>
        <v>0.92499999999999982</v>
      </c>
      <c r="L190">
        <f>K190/I190</f>
        <v>0.12973352033660587</v>
      </c>
      <c r="M190">
        <v>0.70499999999999996</v>
      </c>
      <c r="N190">
        <v>2.5999999999999999E-2</v>
      </c>
      <c r="O190">
        <f>M190-N190</f>
        <v>0.67899999999999994</v>
      </c>
      <c r="P190">
        <v>0.32500000000000001</v>
      </c>
      <c r="Q190">
        <f>P190/O190</f>
        <v>0.47864506627393233</v>
      </c>
      <c r="R190" t="s">
        <v>561</v>
      </c>
    </row>
    <row r="191" spans="1:18" x14ac:dyDescent="0.25">
      <c r="A191">
        <v>190</v>
      </c>
      <c r="B191" t="s">
        <v>465</v>
      </c>
      <c r="C191" t="s">
        <v>360</v>
      </c>
      <c r="E191" t="s">
        <v>374</v>
      </c>
      <c r="F191" t="s">
        <v>144</v>
      </c>
      <c r="G191" t="s">
        <v>144</v>
      </c>
      <c r="H191" t="s">
        <v>138</v>
      </c>
      <c r="I191">
        <v>6.66</v>
      </c>
      <c r="J191">
        <v>4.53</v>
      </c>
      <c r="K191">
        <f>(I191-J191)/2</f>
        <v>1.0649999999999999</v>
      </c>
      <c r="L191">
        <f>K191/I191</f>
        <v>0.15990990990990989</v>
      </c>
      <c r="M191">
        <v>0.44400000000000001</v>
      </c>
      <c r="N191">
        <v>2.5999999999999999E-2</v>
      </c>
      <c r="O191">
        <f>M191-N191</f>
        <v>0.41799999999999998</v>
      </c>
      <c r="P191">
        <v>0.27200000000000002</v>
      </c>
      <c r="Q191">
        <f>P191/O191</f>
        <v>0.65071770334928236</v>
      </c>
      <c r="R191" t="s">
        <v>561</v>
      </c>
    </row>
    <row r="192" spans="1:18" x14ac:dyDescent="0.25">
      <c r="A192">
        <v>191</v>
      </c>
      <c r="B192" t="s">
        <v>459</v>
      </c>
      <c r="C192" t="s">
        <v>402</v>
      </c>
      <c r="E192" t="s">
        <v>294</v>
      </c>
      <c r="F192" t="s">
        <v>144</v>
      </c>
      <c r="G192" t="s">
        <v>144</v>
      </c>
      <c r="H192" t="s">
        <v>138</v>
      </c>
      <c r="I192">
        <v>7.75</v>
      </c>
      <c r="J192">
        <v>6.84</v>
      </c>
      <c r="K192">
        <f>(I192-J192)/2</f>
        <v>0.45500000000000007</v>
      </c>
      <c r="L192">
        <f>K192/I192</f>
        <v>5.8709677419354851E-2</v>
      </c>
      <c r="M192">
        <v>0.97599999999999998</v>
      </c>
      <c r="N192">
        <v>2.5999999999999999E-2</v>
      </c>
      <c r="O192">
        <f>M192-N192</f>
        <v>0.95</v>
      </c>
      <c r="P192">
        <v>0.66900000000000004</v>
      </c>
      <c r="Q192">
        <f>P192/O192</f>
        <v>0.70421052631578951</v>
      </c>
      <c r="R192" t="s">
        <v>561</v>
      </c>
    </row>
    <row r="193" spans="1:18" x14ac:dyDescent="0.25">
      <c r="A193">
        <v>192</v>
      </c>
      <c r="B193" t="s">
        <v>457</v>
      </c>
      <c r="C193" t="s">
        <v>405</v>
      </c>
      <c r="E193" t="s">
        <v>333</v>
      </c>
      <c r="F193" t="s">
        <v>144</v>
      </c>
      <c r="G193" t="s">
        <v>144</v>
      </c>
      <c r="H193" t="s">
        <v>138</v>
      </c>
      <c r="I193">
        <v>10.07</v>
      </c>
      <c r="J193">
        <v>8.3699999999999992</v>
      </c>
      <c r="K193">
        <f>(I193-J193)/2</f>
        <v>0.85000000000000053</v>
      </c>
      <c r="L193">
        <f>K193/I193</f>
        <v>8.440913604766638E-2</v>
      </c>
      <c r="M193">
        <v>1.1779999999999999</v>
      </c>
      <c r="N193">
        <v>2.5999999999999999E-2</v>
      </c>
      <c r="O193">
        <f>M193-N193</f>
        <v>1.1519999999999999</v>
      </c>
      <c r="P193">
        <v>0.497</v>
      </c>
      <c r="Q193">
        <f>P193/O193</f>
        <v>0.43142361111111116</v>
      </c>
      <c r="R193" t="s">
        <v>561</v>
      </c>
    </row>
    <row r="194" spans="1:18" x14ac:dyDescent="0.25">
      <c r="A194">
        <v>193</v>
      </c>
      <c r="B194" t="s">
        <v>565</v>
      </c>
      <c r="C194" t="s">
        <v>380</v>
      </c>
      <c r="E194" t="s">
        <v>270</v>
      </c>
      <c r="F194" t="s">
        <v>144</v>
      </c>
      <c r="G194" t="s">
        <v>144</v>
      </c>
      <c r="H194" t="s">
        <v>138</v>
      </c>
      <c r="I194">
        <v>5.3</v>
      </c>
      <c r="J194">
        <v>3.65</v>
      </c>
      <c r="K194">
        <f>(I194-J194)/2</f>
        <v>0.82499999999999996</v>
      </c>
      <c r="L194">
        <f>K194/I194</f>
        <v>0.15566037735849056</v>
      </c>
      <c r="M194">
        <v>0.315</v>
      </c>
      <c r="N194">
        <v>2.5999999999999999E-2</v>
      </c>
      <c r="O194">
        <f>M194-N194</f>
        <v>0.28899999999999998</v>
      </c>
      <c r="P194">
        <v>0.20799999999999999</v>
      </c>
      <c r="Q194">
        <f>P194/O194</f>
        <v>0.7197231833910035</v>
      </c>
      <c r="R194" t="s">
        <v>561</v>
      </c>
    </row>
    <row r="195" spans="1:18" x14ac:dyDescent="0.25">
      <c r="A195">
        <v>194</v>
      </c>
      <c r="B195" t="s">
        <v>456</v>
      </c>
      <c r="C195" t="s">
        <v>392</v>
      </c>
      <c r="E195" t="s">
        <v>235</v>
      </c>
      <c r="F195" t="s">
        <v>144</v>
      </c>
      <c r="G195" t="s">
        <v>144</v>
      </c>
      <c r="H195" t="s">
        <v>138</v>
      </c>
      <c r="I195">
        <v>8.9</v>
      </c>
      <c r="J195">
        <v>7.02</v>
      </c>
      <c r="K195">
        <f>(I195-J195)/2</f>
        <v>0.94000000000000039</v>
      </c>
      <c r="L195">
        <f>K195/I195</f>
        <v>0.10561797752808992</v>
      </c>
      <c r="M195">
        <v>0.56299999999999994</v>
      </c>
      <c r="N195">
        <v>2.5999999999999999E-2</v>
      </c>
      <c r="O195">
        <f>M195-N195</f>
        <v>0.53699999999999992</v>
      </c>
      <c r="P195">
        <v>0.34499999999999997</v>
      </c>
      <c r="Q195">
        <f>P195/O195</f>
        <v>0.64245810055865926</v>
      </c>
      <c r="R195" t="s">
        <v>561</v>
      </c>
    </row>
    <row r="196" spans="1:18" x14ac:dyDescent="0.25">
      <c r="A196">
        <v>195</v>
      </c>
      <c r="B196" t="s">
        <v>455</v>
      </c>
      <c r="C196" t="s">
        <v>347</v>
      </c>
      <c r="E196" t="s">
        <v>378</v>
      </c>
      <c r="F196" t="s">
        <v>144</v>
      </c>
      <c r="G196" t="s">
        <v>144</v>
      </c>
      <c r="H196" t="s">
        <v>138</v>
      </c>
      <c r="I196">
        <v>11.76</v>
      </c>
      <c r="J196">
        <v>9.6300000000000008</v>
      </c>
      <c r="K196">
        <f>(I196-J196)/2</f>
        <v>1.0649999999999995</v>
      </c>
      <c r="L196">
        <f>K196/I196</f>
        <v>9.056122448979588E-2</v>
      </c>
      <c r="M196">
        <v>1.298</v>
      </c>
      <c r="N196">
        <v>2.5999999999999999E-2</v>
      </c>
      <c r="O196">
        <f>M196-N196</f>
        <v>1.272</v>
      </c>
      <c r="P196">
        <v>0.64</v>
      </c>
      <c r="Q196">
        <f>P196/O196</f>
        <v>0.50314465408805031</v>
      </c>
      <c r="R196" t="s">
        <v>561</v>
      </c>
    </row>
    <row r="197" spans="1:18" x14ac:dyDescent="0.25">
      <c r="A197">
        <v>196</v>
      </c>
      <c r="B197" t="s">
        <v>443</v>
      </c>
      <c r="C197" t="s">
        <v>405</v>
      </c>
      <c r="E197" t="s">
        <v>333</v>
      </c>
      <c r="F197" t="s">
        <v>144</v>
      </c>
      <c r="G197" t="s">
        <v>144</v>
      </c>
      <c r="H197" t="s">
        <v>138</v>
      </c>
      <c r="I197">
        <v>12.76</v>
      </c>
      <c r="J197">
        <v>10.62</v>
      </c>
      <c r="K197">
        <f>(I197-J197)/2</f>
        <v>1.0700000000000003</v>
      </c>
      <c r="L197">
        <f>K197/I197</f>
        <v>8.3855799373040774E-2</v>
      </c>
      <c r="M197">
        <v>1.4339999999999999</v>
      </c>
      <c r="N197">
        <v>2.5999999999999999E-2</v>
      </c>
      <c r="O197">
        <f>M197-N197</f>
        <v>1.4079999999999999</v>
      </c>
      <c r="P197">
        <v>0.72</v>
      </c>
      <c r="Q197">
        <f>P197/O197</f>
        <v>0.51136363636363635</v>
      </c>
      <c r="R197" t="s">
        <v>561</v>
      </c>
    </row>
    <row r="198" spans="1:18" x14ac:dyDescent="0.25">
      <c r="A198">
        <v>197</v>
      </c>
      <c r="B198" t="s">
        <v>453</v>
      </c>
      <c r="C198" t="s">
        <v>432</v>
      </c>
      <c r="E198" t="s">
        <v>433</v>
      </c>
      <c r="F198" t="s">
        <v>144</v>
      </c>
      <c r="G198" t="s">
        <v>144</v>
      </c>
      <c r="H198" t="s">
        <v>138</v>
      </c>
      <c r="I198">
        <v>8.09</v>
      </c>
      <c r="J198">
        <v>4.53</v>
      </c>
      <c r="K198">
        <f>(I198-J198)/2</f>
        <v>1.7799999999999998</v>
      </c>
      <c r="L198">
        <f>K198/I198</f>
        <v>0.22002472187886277</v>
      </c>
      <c r="M198">
        <v>0.58199999999999996</v>
      </c>
      <c r="N198">
        <v>2.5999999999999999E-2</v>
      </c>
      <c r="O198">
        <f>M198-N198</f>
        <v>0.55599999999999994</v>
      </c>
      <c r="P198">
        <v>0.30199999999999999</v>
      </c>
      <c r="Q198">
        <f>P198/O198</f>
        <v>0.54316546762589935</v>
      </c>
      <c r="R198" t="s">
        <v>561</v>
      </c>
    </row>
    <row r="199" spans="1:18" x14ac:dyDescent="0.25">
      <c r="A199">
        <v>198</v>
      </c>
      <c r="B199" t="s">
        <v>469</v>
      </c>
      <c r="C199" t="s">
        <v>470</v>
      </c>
      <c r="E199" t="s">
        <v>471</v>
      </c>
      <c r="F199" t="s">
        <v>144</v>
      </c>
      <c r="G199" t="s">
        <v>144</v>
      </c>
      <c r="H199" t="s">
        <v>138</v>
      </c>
      <c r="I199">
        <v>8.92</v>
      </c>
      <c r="J199">
        <v>5.71</v>
      </c>
      <c r="K199">
        <f>(I199-J199)/2</f>
        <v>1.605</v>
      </c>
      <c r="L199">
        <f>K199/I199</f>
        <v>0.17993273542600896</v>
      </c>
      <c r="M199">
        <v>0.56399999999999995</v>
      </c>
      <c r="N199">
        <v>2.5999999999999999E-2</v>
      </c>
      <c r="O199">
        <f>M199-N199</f>
        <v>0.53799999999999992</v>
      </c>
      <c r="P199">
        <v>0.26700000000000002</v>
      </c>
      <c r="Q199">
        <f>P199/O199</f>
        <v>0.49628252788104099</v>
      </c>
      <c r="R199" t="s">
        <v>560</v>
      </c>
    </row>
    <row r="200" spans="1:18" x14ac:dyDescent="0.25">
      <c r="A200">
        <v>199</v>
      </c>
      <c r="B200" t="s">
        <v>425</v>
      </c>
      <c r="C200" t="s">
        <v>396</v>
      </c>
      <c r="E200" t="s">
        <v>245</v>
      </c>
      <c r="F200" t="s">
        <v>144</v>
      </c>
      <c r="G200" t="s">
        <v>144</v>
      </c>
      <c r="H200" t="s">
        <v>138</v>
      </c>
      <c r="I200">
        <v>10.44</v>
      </c>
      <c r="J200">
        <v>7.67</v>
      </c>
      <c r="K200">
        <f>(I200-J200)/2</f>
        <v>1.3849999999999998</v>
      </c>
      <c r="L200">
        <f>K200/I200</f>
        <v>0.13266283524904213</v>
      </c>
      <c r="M200">
        <v>0.97399999999999998</v>
      </c>
      <c r="N200">
        <v>2.5999999999999999E-2</v>
      </c>
      <c r="O200">
        <f>M200-N200</f>
        <v>0.94799999999999995</v>
      </c>
      <c r="P200">
        <v>0.436</v>
      </c>
      <c r="Q200">
        <f>P200/O200</f>
        <v>0.45991561181434604</v>
      </c>
      <c r="R200" t="s">
        <v>561</v>
      </c>
    </row>
    <row r="201" spans="1:18" x14ac:dyDescent="0.25">
      <c r="A201">
        <v>200</v>
      </c>
      <c r="B201" t="s">
        <v>427</v>
      </c>
      <c r="C201" t="s">
        <v>368</v>
      </c>
      <c r="E201" t="s">
        <v>318</v>
      </c>
      <c r="F201" t="s">
        <v>144</v>
      </c>
      <c r="G201" t="s">
        <v>144</v>
      </c>
      <c r="H201" t="s">
        <v>138</v>
      </c>
      <c r="I201">
        <v>4.29</v>
      </c>
      <c r="J201">
        <v>3.09</v>
      </c>
      <c r="K201">
        <f>(I201-J201)/2</f>
        <v>0.60000000000000009</v>
      </c>
      <c r="L201">
        <f>K201/I201</f>
        <v>0.13986013986013987</v>
      </c>
      <c r="M201">
        <v>0.39700000000000002</v>
      </c>
      <c r="N201">
        <v>2.5999999999999999E-2</v>
      </c>
      <c r="O201">
        <f>M201-N201</f>
        <v>0.371</v>
      </c>
      <c r="P201">
        <v>0.318</v>
      </c>
      <c r="Q201">
        <f>P201/O201</f>
        <v>0.85714285714285721</v>
      </c>
      <c r="R201" t="s">
        <v>561</v>
      </c>
    </row>
    <row r="202" spans="1:18" x14ac:dyDescent="0.25">
      <c r="A202">
        <v>201</v>
      </c>
      <c r="B202" t="s">
        <v>426</v>
      </c>
      <c r="C202" t="s">
        <v>393</v>
      </c>
      <c r="E202" t="s">
        <v>240</v>
      </c>
      <c r="F202" t="s">
        <v>144</v>
      </c>
      <c r="G202" t="s">
        <v>144</v>
      </c>
      <c r="H202" t="s">
        <v>138</v>
      </c>
      <c r="I202">
        <v>12.23</v>
      </c>
      <c r="J202">
        <v>10</v>
      </c>
      <c r="K202">
        <f>(I202-J202)/2</f>
        <v>1.1150000000000002</v>
      </c>
      <c r="L202">
        <f>K202/I202</f>
        <v>9.1169255928045798E-2</v>
      </c>
      <c r="M202">
        <v>1.6040000000000001</v>
      </c>
      <c r="N202">
        <v>2.5999999999999999E-2</v>
      </c>
      <c r="O202">
        <f>M202-N202</f>
        <v>1.5780000000000001</v>
      </c>
      <c r="P202">
        <v>0.93300000000000005</v>
      </c>
      <c r="Q202">
        <f>P202/O202</f>
        <v>0.59125475285171103</v>
      </c>
      <c r="R202" t="s">
        <v>561</v>
      </c>
    </row>
    <row r="203" spans="1:18" x14ac:dyDescent="0.25">
      <c r="A203">
        <v>202</v>
      </c>
      <c r="B203" t="s">
        <v>429</v>
      </c>
      <c r="C203" t="s">
        <v>388</v>
      </c>
      <c r="E203" t="s">
        <v>332</v>
      </c>
      <c r="F203" t="s">
        <v>144</v>
      </c>
      <c r="G203" t="s">
        <v>144</v>
      </c>
      <c r="H203" t="s">
        <v>138</v>
      </c>
      <c r="I203">
        <v>9.76</v>
      </c>
      <c r="J203">
        <v>7.43</v>
      </c>
      <c r="K203">
        <f>(I203-J203)/2</f>
        <v>1.165</v>
      </c>
      <c r="L203">
        <f>K203/I203</f>
        <v>0.11936475409836066</v>
      </c>
      <c r="M203">
        <v>0.434</v>
      </c>
      <c r="N203">
        <v>2.5999999999999999E-2</v>
      </c>
      <c r="O203">
        <f>M203-N203</f>
        <v>0.40799999999999997</v>
      </c>
      <c r="P203">
        <v>0.219</v>
      </c>
      <c r="Q203">
        <f>P203/O203</f>
        <v>0.53676470588235292</v>
      </c>
      <c r="R203" t="s">
        <v>561</v>
      </c>
    </row>
    <row r="204" spans="1:18" x14ac:dyDescent="0.25">
      <c r="A204">
        <v>203</v>
      </c>
      <c r="B204" t="s">
        <v>421</v>
      </c>
      <c r="E204" t="s">
        <v>421</v>
      </c>
      <c r="F204" t="s">
        <v>144</v>
      </c>
      <c r="G204" t="s">
        <v>144</v>
      </c>
      <c r="H204" t="s">
        <v>138</v>
      </c>
      <c r="I204">
        <v>9.0299999999999994</v>
      </c>
      <c r="J204">
        <v>6.42</v>
      </c>
      <c r="K204">
        <f>(I204-J204)/2</f>
        <v>1.3049999999999997</v>
      </c>
      <c r="L204">
        <f>K204/I204</f>
        <v>0.14451827242524914</v>
      </c>
      <c r="M204">
        <v>0.95499999999999996</v>
      </c>
      <c r="N204">
        <v>2.5999999999999999E-2</v>
      </c>
      <c r="O204">
        <f>M204-N204</f>
        <v>0.92899999999999994</v>
      </c>
      <c r="P204">
        <v>0.442</v>
      </c>
      <c r="Q204">
        <f>P204/O204</f>
        <v>0.47578040904198066</v>
      </c>
      <c r="R204" t="s">
        <v>561</v>
      </c>
    </row>
    <row r="205" spans="1:18" x14ac:dyDescent="0.25">
      <c r="A205">
        <v>204</v>
      </c>
      <c r="B205" t="s">
        <v>444</v>
      </c>
      <c r="C205" t="s">
        <v>405</v>
      </c>
      <c r="E205" t="s">
        <v>333</v>
      </c>
      <c r="F205" t="s">
        <v>144</v>
      </c>
      <c r="G205" t="s">
        <v>144</v>
      </c>
      <c r="H205" t="s">
        <v>138</v>
      </c>
      <c r="I205">
        <v>8.2899999999999991</v>
      </c>
      <c r="J205">
        <v>6.74</v>
      </c>
      <c r="K205">
        <f>(I205-J205)/2</f>
        <v>0.77499999999999947</v>
      </c>
      <c r="L205">
        <f>K205/I205</f>
        <v>9.3486127864897406E-2</v>
      </c>
      <c r="M205">
        <v>0.40400000000000003</v>
      </c>
      <c r="N205">
        <v>2.5999999999999999E-2</v>
      </c>
      <c r="O205">
        <f>M205-N205</f>
        <v>0.378</v>
      </c>
      <c r="P205">
        <v>0.17100000000000001</v>
      </c>
      <c r="Q205">
        <f>P205/O205</f>
        <v>0.45238095238095244</v>
      </c>
      <c r="R205" t="s">
        <v>561</v>
      </c>
    </row>
    <row r="206" spans="1:18" x14ac:dyDescent="0.25">
      <c r="A206">
        <v>205</v>
      </c>
      <c r="B206" t="s">
        <v>423</v>
      </c>
      <c r="C206" t="s">
        <v>358</v>
      </c>
      <c r="E206" t="s">
        <v>363</v>
      </c>
      <c r="F206" t="s">
        <v>144</v>
      </c>
      <c r="G206" t="s">
        <v>144</v>
      </c>
      <c r="H206" t="s">
        <v>138</v>
      </c>
      <c r="I206">
        <v>11.02</v>
      </c>
      <c r="J206">
        <v>5.45</v>
      </c>
      <c r="K206">
        <f>(I206-J206)/2</f>
        <v>2.7849999999999997</v>
      </c>
      <c r="L206">
        <f>K206/I206</f>
        <v>0.25272232304900177</v>
      </c>
      <c r="M206">
        <v>0.64200000000000002</v>
      </c>
      <c r="N206">
        <v>2.5999999999999999E-2</v>
      </c>
      <c r="O206">
        <f>M206-N206</f>
        <v>0.61599999999999999</v>
      </c>
      <c r="P206">
        <v>0.24299999999999999</v>
      </c>
      <c r="Q206">
        <f>P206/O206</f>
        <v>0.39448051948051949</v>
      </c>
      <c r="R206" t="s">
        <v>560</v>
      </c>
    </row>
    <row r="207" spans="1:18" x14ac:dyDescent="0.25">
      <c r="A207">
        <v>206</v>
      </c>
      <c r="B207" t="s">
        <v>449</v>
      </c>
      <c r="C207" t="s">
        <v>360</v>
      </c>
      <c r="E207" t="s">
        <v>374</v>
      </c>
      <c r="F207" t="s">
        <v>144</v>
      </c>
      <c r="G207" t="s">
        <v>144</v>
      </c>
      <c r="H207" t="s">
        <v>138</v>
      </c>
      <c r="I207">
        <v>5.28</v>
      </c>
      <c r="J207">
        <v>3.45</v>
      </c>
      <c r="K207">
        <f>(I207-J207)/2</f>
        <v>0.91500000000000004</v>
      </c>
      <c r="L207">
        <f>K207/I207</f>
        <v>0.17329545454545453</v>
      </c>
      <c r="M207">
        <v>0.218</v>
      </c>
      <c r="N207">
        <v>2.5999999999999999E-2</v>
      </c>
      <c r="O207">
        <f>M207-N207</f>
        <v>0.192</v>
      </c>
      <c r="P207">
        <v>0.124</v>
      </c>
      <c r="Q207">
        <f>P207/O207</f>
        <v>0.64583333333333337</v>
      </c>
      <c r="R207" t="s">
        <v>561</v>
      </c>
    </row>
    <row r="208" spans="1:18" x14ac:dyDescent="0.25">
      <c r="A208">
        <v>207</v>
      </c>
      <c r="B208" t="s">
        <v>443</v>
      </c>
      <c r="C208" t="s">
        <v>405</v>
      </c>
      <c r="E208" t="s">
        <v>333</v>
      </c>
      <c r="F208" t="s">
        <v>144</v>
      </c>
      <c r="G208" t="s">
        <v>144</v>
      </c>
      <c r="H208" t="s">
        <v>138</v>
      </c>
      <c r="I208">
        <v>10</v>
      </c>
      <c r="J208">
        <v>7.99</v>
      </c>
      <c r="K208">
        <f>(I208-J208)/2</f>
        <v>1.0049999999999999</v>
      </c>
      <c r="L208">
        <f>K208/I208</f>
        <v>0.10049999999999999</v>
      </c>
      <c r="M208">
        <v>1.212</v>
      </c>
      <c r="N208">
        <v>2.5999999999999999E-2</v>
      </c>
      <c r="O208">
        <f>M208-N208</f>
        <v>1.1859999999999999</v>
      </c>
      <c r="P208">
        <v>0.496</v>
      </c>
      <c r="Q208">
        <f>P208/O208</f>
        <v>0.41821247892074198</v>
      </c>
      <c r="R208" t="s">
        <v>561</v>
      </c>
    </row>
    <row r="209" spans="1:19" x14ac:dyDescent="0.25">
      <c r="A209">
        <v>208</v>
      </c>
      <c r="B209" t="s">
        <v>478</v>
      </c>
      <c r="C209" t="s">
        <v>355</v>
      </c>
      <c r="E209" t="s">
        <v>227</v>
      </c>
      <c r="F209" t="s">
        <v>144</v>
      </c>
      <c r="G209" t="s">
        <v>144</v>
      </c>
      <c r="H209" t="s">
        <v>138</v>
      </c>
      <c r="I209">
        <v>8.41</v>
      </c>
      <c r="J209">
        <v>4.84</v>
      </c>
      <c r="K209">
        <f>(I209-J209)/2</f>
        <v>1.7850000000000001</v>
      </c>
      <c r="L209">
        <f>K209/I209</f>
        <v>0.2122473246135553</v>
      </c>
      <c r="M209">
        <v>0.32400000000000001</v>
      </c>
      <c r="N209">
        <v>2.5999999999999999E-2</v>
      </c>
      <c r="O209">
        <f>M209-N209</f>
        <v>0.29799999999999999</v>
      </c>
      <c r="P209">
        <v>0.16400000000000001</v>
      </c>
      <c r="Q209">
        <f>P209/O209</f>
        <v>0.55033557046979875</v>
      </c>
      <c r="R209" t="s">
        <v>561</v>
      </c>
    </row>
    <row r="210" spans="1:19" x14ac:dyDescent="0.25">
      <c r="A210">
        <v>209</v>
      </c>
      <c r="B210" t="s">
        <v>566</v>
      </c>
      <c r="C210" t="s">
        <v>485</v>
      </c>
      <c r="E210" t="s">
        <v>487</v>
      </c>
      <c r="F210" t="s">
        <v>144</v>
      </c>
      <c r="G210" t="s">
        <v>144</v>
      </c>
      <c r="H210" t="s">
        <v>138</v>
      </c>
      <c r="I210">
        <v>11.63</v>
      </c>
      <c r="J210">
        <v>10.26</v>
      </c>
      <c r="K210">
        <f>(I210-J210)/2</f>
        <v>0.6850000000000005</v>
      </c>
      <c r="L210">
        <f>K210/I210</f>
        <v>5.8899398108340537E-2</v>
      </c>
      <c r="M210">
        <v>1.2270000000000001</v>
      </c>
      <c r="N210">
        <v>2.5999999999999999E-2</v>
      </c>
      <c r="O210">
        <f>M210-N210</f>
        <v>1.2010000000000001</v>
      </c>
      <c r="P210">
        <v>0.73</v>
      </c>
      <c r="Q210">
        <f>P210/O210</f>
        <v>0.6078268109908409</v>
      </c>
      <c r="R210" t="s">
        <v>561</v>
      </c>
      <c r="S210" t="s">
        <v>805</v>
      </c>
    </row>
    <row r="211" spans="1:19" x14ac:dyDescent="0.25">
      <c r="A211">
        <v>210</v>
      </c>
      <c r="B211" t="s">
        <v>424</v>
      </c>
      <c r="C211" t="s">
        <v>392</v>
      </c>
      <c r="E211" t="s">
        <v>235</v>
      </c>
      <c r="F211" t="s">
        <v>144</v>
      </c>
      <c r="G211" t="s">
        <v>144</v>
      </c>
      <c r="H211" t="s">
        <v>138</v>
      </c>
      <c r="I211">
        <v>9.2100000000000009</v>
      </c>
      <c r="J211">
        <v>5.88</v>
      </c>
      <c r="K211">
        <f>(I211-J211)/2</f>
        <v>1.6650000000000005</v>
      </c>
      <c r="L211">
        <f>K211/I211</f>
        <v>0.18078175895765475</v>
      </c>
      <c r="M211">
        <v>0.38300000000000001</v>
      </c>
      <c r="N211">
        <v>2.5999999999999999E-2</v>
      </c>
      <c r="O211">
        <f>M211-N211</f>
        <v>0.35699999999999998</v>
      </c>
      <c r="P211">
        <v>0.24</v>
      </c>
      <c r="Q211">
        <f>P211/O211</f>
        <v>0.67226890756302526</v>
      </c>
      <c r="R211" t="s">
        <v>561</v>
      </c>
    </row>
    <row r="212" spans="1:19" x14ac:dyDescent="0.25">
      <c r="A212">
        <v>211</v>
      </c>
      <c r="B212" t="s">
        <v>567</v>
      </c>
      <c r="C212" t="s">
        <v>563</v>
      </c>
      <c r="E212" t="s">
        <v>564</v>
      </c>
      <c r="F212" t="s">
        <v>144</v>
      </c>
      <c r="G212" t="s">
        <v>144</v>
      </c>
      <c r="H212" t="s">
        <v>138</v>
      </c>
      <c r="I212">
        <v>9.01</v>
      </c>
      <c r="J212">
        <v>7.41</v>
      </c>
      <c r="K212">
        <f>(I212-J212)/2</f>
        <v>0.79999999999999982</v>
      </c>
      <c r="L212">
        <f>K212/I212</f>
        <v>8.8790233074361805E-2</v>
      </c>
      <c r="M212">
        <v>1.0920000000000001</v>
      </c>
      <c r="N212">
        <v>2.5999999999999999E-2</v>
      </c>
      <c r="O212">
        <f>M212-N212</f>
        <v>1.0660000000000001</v>
      </c>
      <c r="P212">
        <v>0.71299999999999997</v>
      </c>
      <c r="Q212">
        <f>P212/O212</f>
        <v>0.66885553470919323</v>
      </c>
      <c r="R212" t="s">
        <v>561</v>
      </c>
    </row>
    <row r="213" spans="1:19" x14ac:dyDescent="0.25">
      <c r="A213">
        <v>212</v>
      </c>
      <c r="B213" t="s">
        <v>440</v>
      </c>
      <c r="C213" t="s">
        <v>441</v>
      </c>
      <c r="E213" t="s">
        <v>489</v>
      </c>
      <c r="F213" t="s">
        <v>144</v>
      </c>
      <c r="G213" t="s">
        <v>144</v>
      </c>
      <c r="H213" t="s">
        <v>138</v>
      </c>
      <c r="I213">
        <v>11.8</v>
      </c>
      <c r="J213">
        <v>6.14</v>
      </c>
      <c r="K213">
        <f>(I213-J213)/2</f>
        <v>2.8300000000000005</v>
      </c>
      <c r="L213">
        <f>K213/I213</f>
        <v>0.23983050847457629</v>
      </c>
      <c r="M213">
        <v>1.3939999999999999</v>
      </c>
      <c r="N213">
        <v>2.5999999999999999E-2</v>
      </c>
      <c r="O213">
        <f>M213-N213</f>
        <v>1.3679999999999999</v>
      </c>
      <c r="P213">
        <v>0.54</v>
      </c>
      <c r="Q213">
        <f>P213/O213</f>
        <v>0.39473684210526322</v>
      </c>
      <c r="R213" t="s">
        <v>561</v>
      </c>
    </row>
    <row r="214" spans="1:19" x14ac:dyDescent="0.25">
      <c r="A214">
        <v>213</v>
      </c>
      <c r="B214" t="s">
        <v>450</v>
      </c>
      <c r="C214" t="s">
        <v>451</v>
      </c>
      <c r="E214" t="s">
        <v>452</v>
      </c>
      <c r="F214" t="s">
        <v>144</v>
      </c>
      <c r="G214" t="s">
        <v>144</v>
      </c>
      <c r="H214" t="s">
        <v>138</v>
      </c>
      <c r="I214">
        <v>9.51</v>
      </c>
      <c r="J214">
        <v>6.04</v>
      </c>
      <c r="K214">
        <f>(I214-J214)/2</f>
        <v>1.7349999999999999</v>
      </c>
      <c r="L214">
        <f>K214/I214</f>
        <v>0.18243953732912724</v>
      </c>
      <c r="M214">
        <v>0.52200000000000002</v>
      </c>
      <c r="N214">
        <v>2.5999999999999999E-2</v>
      </c>
      <c r="O214">
        <f>M214-N214</f>
        <v>0.496</v>
      </c>
      <c r="P214">
        <v>0.29599999999999999</v>
      </c>
      <c r="Q214">
        <f>P214/O214</f>
        <v>0.59677419354838712</v>
      </c>
      <c r="R214" t="s">
        <v>561</v>
      </c>
    </row>
    <row r="215" spans="1:19" x14ac:dyDescent="0.25">
      <c r="A215">
        <v>214</v>
      </c>
      <c r="B215" t="s">
        <v>455</v>
      </c>
      <c r="C215" t="s">
        <v>347</v>
      </c>
      <c r="E215" t="s">
        <v>378</v>
      </c>
      <c r="F215" t="s">
        <v>144</v>
      </c>
      <c r="G215" t="s">
        <v>144</v>
      </c>
      <c r="H215" t="s">
        <v>138</v>
      </c>
      <c r="I215">
        <v>8.35</v>
      </c>
      <c r="J215">
        <v>6.51</v>
      </c>
      <c r="K215">
        <f>(I215-J215)/2</f>
        <v>0.91999999999999993</v>
      </c>
      <c r="L215">
        <f>K215/I215</f>
        <v>0.11017964071856287</v>
      </c>
      <c r="M215">
        <v>0.56599999999999995</v>
      </c>
      <c r="N215">
        <v>2.5999999999999999E-2</v>
      </c>
      <c r="O215">
        <f>M215-N215</f>
        <v>0.53999999999999992</v>
      </c>
      <c r="P215">
        <v>0.31</v>
      </c>
      <c r="Q215">
        <f>P215/O215</f>
        <v>0.57407407407407418</v>
      </c>
      <c r="R215" t="s">
        <v>561</v>
      </c>
    </row>
    <row r="216" spans="1:19" x14ac:dyDescent="0.25">
      <c r="A216">
        <v>215</v>
      </c>
      <c r="B216" t="s">
        <v>428</v>
      </c>
      <c r="C216" t="s">
        <v>394</v>
      </c>
      <c r="E216" t="s">
        <v>247</v>
      </c>
      <c r="F216" t="s">
        <v>144</v>
      </c>
      <c r="G216" t="s">
        <v>144</v>
      </c>
      <c r="H216" t="s">
        <v>138</v>
      </c>
      <c r="I216">
        <v>9.08</v>
      </c>
      <c r="J216">
        <v>6.5</v>
      </c>
      <c r="K216">
        <f>(I216-J216)/2</f>
        <v>1.29</v>
      </c>
      <c r="L216">
        <f>K216/I216</f>
        <v>0.14207048458149779</v>
      </c>
      <c r="M216">
        <v>0.85399999999999998</v>
      </c>
      <c r="N216">
        <v>2.5999999999999999E-2</v>
      </c>
      <c r="O216">
        <f>M216-N216</f>
        <v>0.82799999999999996</v>
      </c>
      <c r="P216">
        <v>0.51700000000000002</v>
      </c>
      <c r="Q216">
        <f>P216/O216</f>
        <v>0.62439613526570048</v>
      </c>
      <c r="R216" t="s">
        <v>561</v>
      </c>
    </row>
    <row r="217" spans="1:19" x14ac:dyDescent="0.25">
      <c r="A217">
        <v>216</v>
      </c>
      <c r="B217" t="s">
        <v>435</v>
      </c>
      <c r="C217" t="s">
        <v>347</v>
      </c>
      <c r="E217" t="s">
        <v>378</v>
      </c>
      <c r="F217" t="s">
        <v>144</v>
      </c>
      <c r="G217" t="s">
        <v>144</v>
      </c>
      <c r="H217" t="s">
        <v>138</v>
      </c>
      <c r="I217">
        <v>6.85</v>
      </c>
      <c r="J217">
        <v>5.54</v>
      </c>
      <c r="K217">
        <f>(I217-J217)/2</f>
        <v>0.6549999999999998</v>
      </c>
      <c r="L217">
        <f>K217/I217</f>
        <v>9.5620437956204354E-2</v>
      </c>
      <c r="M217">
        <v>0.76500000000000001</v>
      </c>
      <c r="N217">
        <v>2.5999999999999999E-2</v>
      </c>
      <c r="O217">
        <f>M217-N217</f>
        <v>0.73899999999999999</v>
      </c>
      <c r="P217">
        <v>0.38200000000000001</v>
      </c>
      <c r="Q217">
        <f>P217/O217</f>
        <v>0.51691474966170503</v>
      </c>
      <c r="R217" t="s">
        <v>561</v>
      </c>
    </row>
    <row r="218" spans="1:19" x14ac:dyDescent="0.25">
      <c r="A218">
        <v>217</v>
      </c>
      <c r="B218" t="s">
        <v>474</v>
      </c>
      <c r="C218" t="s">
        <v>405</v>
      </c>
      <c r="E218" t="s">
        <v>333</v>
      </c>
      <c r="F218" t="s">
        <v>144</v>
      </c>
      <c r="G218" t="s">
        <v>144</v>
      </c>
      <c r="H218" t="s">
        <v>138</v>
      </c>
      <c r="I218">
        <v>8.73</v>
      </c>
      <c r="J218">
        <v>7.18</v>
      </c>
      <c r="K218">
        <f>(I218-J218)/2</f>
        <v>0.77500000000000036</v>
      </c>
      <c r="L218">
        <f>K218/I218</f>
        <v>8.8774341351660971E-2</v>
      </c>
      <c r="M218">
        <v>0.872</v>
      </c>
      <c r="N218">
        <v>2.5999999999999999E-2</v>
      </c>
      <c r="O218">
        <f>M218-N218</f>
        <v>0.84599999999999997</v>
      </c>
      <c r="P218">
        <v>0.40100000000000002</v>
      </c>
      <c r="Q218">
        <f>P218/O218</f>
        <v>0.47399527186761231</v>
      </c>
      <c r="R218" t="s">
        <v>561</v>
      </c>
    </row>
    <row r="219" spans="1:19" x14ac:dyDescent="0.25">
      <c r="A219">
        <v>218</v>
      </c>
      <c r="B219" t="s">
        <v>430</v>
      </c>
      <c r="C219" t="s">
        <v>360</v>
      </c>
      <c r="E219" t="s">
        <v>374</v>
      </c>
      <c r="F219" t="s">
        <v>144</v>
      </c>
      <c r="G219" t="s">
        <v>144</v>
      </c>
      <c r="H219" t="s">
        <v>138</v>
      </c>
      <c r="I219">
        <v>6.58</v>
      </c>
      <c r="J219">
        <v>4.9400000000000004</v>
      </c>
      <c r="K219">
        <f>(I219-J219)/2</f>
        <v>0.81999999999999984</v>
      </c>
      <c r="L219">
        <f>K219/I219</f>
        <v>0.12462006079027353</v>
      </c>
      <c r="M219">
        <v>0.89600000000000002</v>
      </c>
      <c r="N219">
        <v>2.5999999999999999E-2</v>
      </c>
      <c r="O219">
        <f>M219-N219</f>
        <v>0.87</v>
      </c>
      <c r="P219">
        <v>0.64800000000000002</v>
      </c>
      <c r="Q219">
        <f>P219/O219</f>
        <v>0.7448275862068966</v>
      </c>
      <c r="R219" t="s">
        <v>561</v>
      </c>
    </row>
    <row r="220" spans="1:19" x14ac:dyDescent="0.25">
      <c r="A220">
        <v>219</v>
      </c>
      <c r="B220" t="s">
        <v>454</v>
      </c>
      <c r="C220" t="s">
        <v>388</v>
      </c>
      <c r="E220" t="s">
        <v>332</v>
      </c>
      <c r="F220" t="s">
        <v>144</v>
      </c>
      <c r="G220" t="s">
        <v>144</v>
      </c>
      <c r="H220" t="s">
        <v>138</v>
      </c>
      <c r="I220">
        <v>8.3000000000000007</v>
      </c>
      <c r="J220">
        <v>6.75</v>
      </c>
      <c r="K220">
        <f>(I220-J220)/2</f>
        <v>0.77500000000000036</v>
      </c>
      <c r="L220">
        <f>K220/I220</f>
        <v>9.3373493975903651E-2</v>
      </c>
      <c r="M220">
        <v>0.28199999999999997</v>
      </c>
      <c r="N220">
        <v>2.5999999999999999E-2</v>
      </c>
      <c r="O220">
        <f>M220-N220</f>
        <v>0.25599999999999995</v>
      </c>
      <c r="P220">
        <v>0.16800000000000001</v>
      </c>
      <c r="Q220">
        <f>P220/O220</f>
        <v>0.65625000000000022</v>
      </c>
      <c r="R220" t="s">
        <v>561</v>
      </c>
    </row>
    <row r="221" spans="1:19" x14ac:dyDescent="0.25">
      <c r="A221">
        <v>220</v>
      </c>
      <c r="B221" t="s">
        <v>568</v>
      </c>
      <c r="C221" t="s">
        <v>522</v>
      </c>
      <c r="E221" t="s">
        <v>523</v>
      </c>
      <c r="F221" t="s">
        <v>144</v>
      </c>
      <c r="G221" t="s">
        <v>144</v>
      </c>
      <c r="H221" t="s">
        <v>138</v>
      </c>
      <c r="I221">
        <v>7.45</v>
      </c>
      <c r="J221">
        <v>5.15</v>
      </c>
      <c r="K221">
        <f>(I221-J221)/2</f>
        <v>1.1499999999999999</v>
      </c>
      <c r="L221">
        <f>K221/I221</f>
        <v>0.15436241610738252</v>
      </c>
      <c r="M221">
        <v>0.94499999999999995</v>
      </c>
      <c r="N221">
        <v>2.5999999999999999E-2</v>
      </c>
      <c r="O221">
        <f>M221-N221</f>
        <v>0.91899999999999993</v>
      </c>
      <c r="P221">
        <v>0.66200000000000003</v>
      </c>
      <c r="Q221">
        <f>P221/O221</f>
        <v>0.72034820457018511</v>
      </c>
      <c r="R221" t="s">
        <v>561</v>
      </c>
    </row>
    <row r="222" spans="1:19" x14ac:dyDescent="0.25">
      <c r="A222">
        <v>221</v>
      </c>
      <c r="B222" t="s">
        <v>434</v>
      </c>
      <c r="C222" t="s">
        <v>347</v>
      </c>
      <c r="E222" t="s">
        <v>378</v>
      </c>
      <c r="F222" t="s">
        <v>144</v>
      </c>
      <c r="G222" t="s">
        <v>144</v>
      </c>
      <c r="H222" t="s">
        <v>138</v>
      </c>
      <c r="I222">
        <v>7.58</v>
      </c>
      <c r="J222">
        <v>6.05</v>
      </c>
      <c r="K222">
        <f>(I222-J222)/2</f>
        <v>0.76500000000000012</v>
      </c>
      <c r="L222">
        <f>K222/I222</f>
        <v>0.10092348284960424</v>
      </c>
      <c r="M222">
        <v>0.54200000000000004</v>
      </c>
      <c r="N222">
        <v>2.5999999999999999E-2</v>
      </c>
      <c r="O222">
        <f>M222-N222</f>
        <v>0.51600000000000001</v>
      </c>
      <c r="P222">
        <v>0.29399999999999998</v>
      </c>
      <c r="Q222">
        <f>P222/O222</f>
        <v>0.56976744186046502</v>
      </c>
      <c r="R222" t="s">
        <v>561</v>
      </c>
    </row>
    <row r="223" spans="1:19" x14ac:dyDescent="0.25">
      <c r="A223">
        <v>222</v>
      </c>
      <c r="B223" t="s">
        <v>431</v>
      </c>
      <c r="C223" t="s">
        <v>432</v>
      </c>
      <c r="E223" t="s">
        <v>433</v>
      </c>
      <c r="F223" t="s">
        <v>144</v>
      </c>
      <c r="G223" t="s">
        <v>144</v>
      </c>
      <c r="H223" t="s">
        <v>138</v>
      </c>
      <c r="I223">
        <v>9.89</v>
      </c>
      <c r="J223">
        <v>4.9400000000000004</v>
      </c>
      <c r="K223">
        <f>(I223-J223)/2</f>
        <v>2.4750000000000001</v>
      </c>
      <c r="L223">
        <f>K223/I223</f>
        <v>0.25025278058645095</v>
      </c>
      <c r="M223">
        <v>0.68600000000000005</v>
      </c>
      <c r="N223">
        <v>2.5999999999999999E-2</v>
      </c>
      <c r="O223">
        <f>M223-N223</f>
        <v>0.66</v>
      </c>
      <c r="P223">
        <v>0.40799999999999997</v>
      </c>
      <c r="Q223">
        <f>P223/O223</f>
        <v>0.61818181818181817</v>
      </c>
      <c r="R223" t="s">
        <v>561</v>
      </c>
    </row>
    <row r="224" spans="1:19" x14ac:dyDescent="0.25">
      <c r="A224">
        <v>223</v>
      </c>
      <c r="B224" t="s">
        <v>418</v>
      </c>
      <c r="C224" t="s">
        <v>419</v>
      </c>
      <c r="E224" t="s">
        <v>569</v>
      </c>
      <c r="F224" t="s">
        <v>144</v>
      </c>
      <c r="G224" t="s">
        <v>144</v>
      </c>
      <c r="H224" t="s">
        <v>138</v>
      </c>
      <c r="I224">
        <v>6.28</v>
      </c>
      <c r="J224">
        <v>5.0199999999999996</v>
      </c>
      <c r="K224">
        <f>(I224-J224)/2</f>
        <v>0.63000000000000034</v>
      </c>
      <c r="L224">
        <f>K224/I224</f>
        <v>0.10031847133757966</v>
      </c>
      <c r="M224">
        <v>0.997</v>
      </c>
      <c r="N224">
        <v>2.5999999999999999E-2</v>
      </c>
      <c r="O224">
        <f>M224-N224</f>
        <v>0.97099999999999997</v>
      </c>
      <c r="P224">
        <v>0.52600000000000002</v>
      </c>
      <c r="Q224">
        <f>P224/O224</f>
        <v>0.54170957775489192</v>
      </c>
      <c r="R224" t="s">
        <v>561</v>
      </c>
    </row>
    <row r="225" spans="1:18" x14ac:dyDescent="0.25">
      <c r="A225">
        <v>224</v>
      </c>
      <c r="B225" t="s">
        <v>306</v>
      </c>
      <c r="C225" t="s">
        <v>371</v>
      </c>
      <c r="E225" t="s">
        <v>270</v>
      </c>
      <c r="F225" t="s">
        <v>144</v>
      </c>
      <c r="G225" t="s">
        <v>144</v>
      </c>
      <c r="H225" t="s">
        <v>138</v>
      </c>
      <c r="I225">
        <v>5.97</v>
      </c>
      <c r="J225">
        <v>4.17</v>
      </c>
      <c r="K225">
        <f>(I225-J225)/2</f>
        <v>0.89999999999999991</v>
      </c>
      <c r="L225">
        <f>K225/I225</f>
        <v>0.15075376884422109</v>
      </c>
      <c r="M225">
        <v>0.49099999999999999</v>
      </c>
      <c r="N225">
        <v>2.5999999999999999E-2</v>
      </c>
      <c r="O225">
        <f>M225-N225</f>
        <v>0.46499999999999997</v>
      </c>
      <c r="P225">
        <v>0.27800000000000002</v>
      </c>
      <c r="Q225">
        <f>P225/O225</f>
        <v>0.59784946236559144</v>
      </c>
      <c r="R225" t="s">
        <v>561</v>
      </c>
    </row>
    <row r="226" spans="1:18" x14ac:dyDescent="0.25">
      <c r="A226">
        <v>225</v>
      </c>
      <c r="B226" t="s">
        <v>446</v>
      </c>
      <c r="C226" t="s">
        <v>447</v>
      </c>
      <c r="E226" t="s">
        <v>448</v>
      </c>
      <c r="F226" t="s">
        <v>144</v>
      </c>
      <c r="G226" t="s">
        <v>144</v>
      </c>
      <c r="H226" t="s">
        <v>138</v>
      </c>
      <c r="I226">
        <v>9.4499999999999993</v>
      </c>
      <c r="J226">
        <v>7.65</v>
      </c>
      <c r="K226">
        <f>(I226-J226)/2</f>
        <v>0.89999999999999947</v>
      </c>
      <c r="L226">
        <f>K226/I226</f>
        <v>9.5238095238095191E-2</v>
      </c>
      <c r="M226">
        <v>1.466</v>
      </c>
      <c r="N226">
        <v>2.5999999999999999E-2</v>
      </c>
      <c r="O226">
        <f>M226-N226</f>
        <v>1.44</v>
      </c>
      <c r="P226">
        <v>0.77200000000000002</v>
      </c>
      <c r="Q226">
        <f>P226/O226</f>
        <v>0.53611111111111109</v>
      </c>
      <c r="R226" t="s">
        <v>561</v>
      </c>
    </row>
    <row r="227" spans="1:18" x14ac:dyDescent="0.25">
      <c r="A227">
        <v>226</v>
      </c>
      <c r="B227" t="s">
        <v>445</v>
      </c>
      <c r="C227" t="s">
        <v>372</v>
      </c>
      <c r="E227" t="s">
        <v>384</v>
      </c>
      <c r="F227" t="s">
        <v>144</v>
      </c>
      <c r="G227" t="s">
        <v>144</v>
      </c>
      <c r="H227" t="s">
        <v>138</v>
      </c>
      <c r="I227">
        <v>2.85</v>
      </c>
      <c r="J227">
        <v>2.09</v>
      </c>
      <c r="K227">
        <f>(I227-J227)/2</f>
        <v>0.38000000000000012</v>
      </c>
      <c r="L227">
        <f>K227/I227</f>
        <v>0.13333333333333336</v>
      </c>
      <c r="M227">
        <v>0.129</v>
      </c>
      <c r="N227">
        <v>2.5999999999999999E-2</v>
      </c>
      <c r="O227">
        <f>M227-N227</f>
        <v>0.10300000000000001</v>
      </c>
      <c r="P227">
        <v>7.0000000000000007E-2</v>
      </c>
      <c r="Q227">
        <f>P227/O227</f>
        <v>0.67961165048543692</v>
      </c>
      <c r="R227" t="s">
        <v>561</v>
      </c>
    </row>
    <row r="228" spans="1:18" x14ac:dyDescent="0.25">
      <c r="A228">
        <v>227</v>
      </c>
      <c r="B228" t="s">
        <v>479</v>
      </c>
      <c r="C228" t="s">
        <v>437</v>
      </c>
      <c r="E228" t="s">
        <v>438</v>
      </c>
      <c r="F228" t="s">
        <v>144</v>
      </c>
      <c r="G228" t="s">
        <v>144</v>
      </c>
      <c r="H228" t="s">
        <v>138</v>
      </c>
      <c r="I228">
        <v>5.75</v>
      </c>
      <c r="J228">
        <v>4.58</v>
      </c>
      <c r="K228">
        <f>(I228-J228)/2</f>
        <v>0.58499999999999996</v>
      </c>
      <c r="L228">
        <f>K228/I228</f>
        <v>0.1017391304347826</v>
      </c>
      <c r="M228">
        <v>0.47499999999999998</v>
      </c>
      <c r="N228">
        <v>2.5999999999999999E-2</v>
      </c>
      <c r="O228">
        <f>M228-N228</f>
        <v>0.44899999999999995</v>
      </c>
      <c r="P228">
        <v>0.317</v>
      </c>
      <c r="Q228">
        <f>P228/O228</f>
        <v>0.70601336302895334</v>
      </c>
      <c r="R228" t="s">
        <v>561</v>
      </c>
    </row>
    <row r="229" spans="1:18" x14ac:dyDescent="0.25">
      <c r="A229">
        <v>228</v>
      </c>
      <c r="B229" t="s">
        <v>651</v>
      </c>
      <c r="C229" t="s">
        <v>351</v>
      </c>
      <c r="E229" t="s">
        <v>21</v>
      </c>
      <c r="F229" t="s">
        <v>144</v>
      </c>
      <c r="G229" t="s">
        <v>144</v>
      </c>
      <c r="H229" t="s">
        <v>138</v>
      </c>
      <c r="I229">
        <v>8.2200000000000006</v>
      </c>
      <c r="J229">
        <v>6.22</v>
      </c>
      <c r="K229">
        <f>(I229-J229)/2</f>
        <v>1.0000000000000004</v>
      </c>
      <c r="L229">
        <f>K229/I229</f>
        <v>0.12165450121654506</v>
      </c>
      <c r="M229">
        <v>0.38400000000000001</v>
      </c>
      <c r="N229">
        <v>2.1999999999999999E-2</v>
      </c>
      <c r="O229">
        <f>M229-N229</f>
        <v>0.36199999999999999</v>
      </c>
      <c r="P229">
        <v>0.185</v>
      </c>
      <c r="Q229">
        <f>P229/O229</f>
        <v>0.51104972375690605</v>
      </c>
      <c r="R229" t="s">
        <v>561</v>
      </c>
    </row>
    <row r="230" spans="1:18" x14ac:dyDescent="0.25">
      <c r="A230">
        <v>229</v>
      </c>
      <c r="B230" t="s">
        <v>650</v>
      </c>
      <c r="C230" t="s">
        <v>387</v>
      </c>
      <c r="D230">
        <v>4</v>
      </c>
      <c r="E230" t="s">
        <v>329</v>
      </c>
      <c r="F230" t="s">
        <v>144</v>
      </c>
      <c r="G230" t="s">
        <v>144</v>
      </c>
      <c r="H230" t="s">
        <v>138</v>
      </c>
      <c r="I230">
        <v>5.62</v>
      </c>
      <c r="J230">
        <v>4.41</v>
      </c>
      <c r="K230">
        <f>(I230-J230)/2</f>
        <v>0.60499999999999998</v>
      </c>
      <c r="L230">
        <f>K230/I230</f>
        <v>0.10765124555160142</v>
      </c>
      <c r="M230">
        <v>0.38100000000000001</v>
      </c>
      <c r="N230">
        <v>2.1999999999999999E-2</v>
      </c>
      <c r="O230">
        <f>M230-N230</f>
        <v>0.35899999999999999</v>
      </c>
      <c r="P230">
        <v>0.26200000000000001</v>
      </c>
      <c r="Q230">
        <f>P230/O230</f>
        <v>0.72980501392757668</v>
      </c>
      <c r="R230" t="s">
        <v>561</v>
      </c>
    </row>
    <row r="231" spans="1:18" x14ac:dyDescent="0.25">
      <c r="A231">
        <v>230</v>
      </c>
      <c r="B231" t="s">
        <v>635</v>
      </c>
      <c r="C231" t="s">
        <v>382</v>
      </c>
      <c r="E231" t="s">
        <v>335</v>
      </c>
      <c r="F231" t="s">
        <v>144</v>
      </c>
      <c r="G231" t="s">
        <v>144</v>
      </c>
      <c r="H231" t="s">
        <v>138</v>
      </c>
      <c r="I231">
        <v>6.25</v>
      </c>
      <c r="J231">
        <v>4.76</v>
      </c>
      <c r="K231">
        <f>(I231-J231)/2</f>
        <v>0.74500000000000011</v>
      </c>
      <c r="L231">
        <f>K231/I231</f>
        <v>0.11920000000000001</v>
      </c>
      <c r="M231">
        <v>0.74</v>
      </c>
      <c r="N231">
        <v>2.1999999999999999E-2</v>
      </c>
      <c r="O231">
        <f>M231-N231</f>
        <v>0.71799999999999997</v>
      </c>
      <c r="P231">
        <v>0.35699999999999998</v>
      </c>
      <c r="Q231">
        <f>P231/O231</f>
        <v>0.49721448467966572</v>
      </c>
      <c r="R231" t="s">
        <v>561</v>
      </c>
    </row>
    <row r="232" spans="1:18" x14ac:dyDescent="0.25">
      <c r="A232">
        <v>231</v>
      </c>
      <c r="B232" t="s">
        <v>615</v>
      </c>
      <c r="C232" t="s">
        <v>369</v>
      </c>
      <c r="E232" t="s">
        <v>503</v>
      </c>
      <c r="F232" t="s">
        <v>144</v>
      </c>
      <c r="G232" t="s">
        <v>144</v>
      </c>
      <c r="H232" t="s">
        <v>138</v>
      </c>
      <c r="I232">
        <v>7.48</v>
      </c>
      <c r="J232">
        <v>6.04</v>
      </c>
      <c r="K232">
        <f>(I232-J232)/2</f>
        <v>0.7200000000000002</v>
      </c>
      <c r="L232">
        <f>K232/I232</f>
        <v>9.6256684491978634E-2</v>
      </c>
      <c r="M232">
        <v>0.441</v>
      </c>
      <c r="N232">
        <v>2.1999999999999999E-2</v>
      </c>
      <c r="O232">
        <f>M232-N232</f>
        <v>0.41899999999999998</v>
      </c>
      <c r="P232">
        <v>0.23499999999999999</v>
      </c>
      <c r="Q232">
        <f>P232/O232</f>
        <v>0.56085918854415273</v>
      </c>
      <c r="R232" t="s">
        <v>561</v>
      </c>
    </row>
    <row r="233" spans="1:18" x14ac:dyDescent="0.25">
      <c r="A233">
        <v>232</v>
      </c>
      <c r="B233" t="s">
        <v>614</v>
      </c>
      <c r="C233" t="s">
        <v>609</v>
      </c>
      <c r="E233" t="s">
        <v>610</v>
      </c>
      <c r="F233" t="s">
        <v>144</v>
      </c>
      <c r="G233" t="s">
        <v>144</v>
      </c>
      <c r="H233" t="s">
        <v>138</v>
      </c>
      <c r="I233">
        <v>8.07</v>
      </c>
      <c r="J233">
        <v>6.88</v>
      </c>
      <c r="K233">
        <f>(I233-J233)/2</f>
        <v>0.5950000000000002</v>
      </c>
      <c r="L233">
        <f>K233/I233</f>
        <v>7.3729863692688996E-2</v>
      </c>
      <c r="M233">
        <v>0.91400000000000003</v>
      </c>
      <c r="N233">
        <v>2.1999999999999999E-2</v>
      </c>
      <c r="O233">
        <f>M233-N233</f>
        <v>0.89200000000000002</v>
      </c>
      <c r="P233">
        <v>0.55400000000000005</v>
      </c>
      <c r="Q233">
        <f>P233/O233</f>
        <v>0.62107623318385652</v>
      </c>
      <c r="R233" t="s">
        <v>561</v>
      </c>
    </row>
    <row r="234" spans="1:18" x14ac:dyDescent="0.25">
      <c r="A234">
        <v>233</v>
      </c>
      <c r="B234" t="s">
        <v>612</v>
      </c>
      <c r="C234" t="s">
        <v>404</v>
      </c>
      <c r="E234" t="s">
        <v>330</v>
      </c>
      <c r="F234" t="s">
        <v>144</v>
      </c>
      <c r="G234" t="s">
        <v>144</v>
      </c>
      <c r="H234" t="s">
        <v>138</v>
      </c>
      <c r="I234">
        <v>6.91</v>
      </c>
      <c r="J234">
        <v>6.01</v>
      </c>
      <c r="K234">
        <f>(I234-J234)/2</f>
        <v>0.45000000000000018</v>
      </c>
      <c r="L234">
        <f>K234/I234</f>
        <v>6.5123010130246045E-2</v>
      </c>
      <c r="M234">
        <v>0.52100000000000002</v>
      </c>
      <c r="N234">
        <v>2.1999999999999999E-2</v>
      </c>
      <c r="O234">
        <f>M234-N234</f>
        <v>0.499</v>
      </c>
      <c r="P234">
        <v>0.28100000000000003</v>
      </c>
      <c r="Q234">
        <f>P234/O234</f>
        <v>0.56312625250501003</v>
      </c>
      <c r="R234" t="s">
        <v>561</v>
      </c>
    </row>
    <row r="235" spans="1:18" x14ac:dyDescent="0.25">
      <c r="A235">
        <v>234</v>
      </c>
      <c r="B235" t="s">
        <v>613</v>
      </c>
      <c r="C235" t="s">
        <v>609</v>
      </c>
      <c r="E235" t="s">
        <v>610</v>
      </c>
      <c r="F235" t="s">
        <v>144</v>
      </c>
      <c r="G235" t="s">
        <v>144</v>
      </c>
      <c r="H235" t="s">
        <v>138</v>
      </c>
      <c r="I235">
        <v>7.02</v>
      </c>
      <c r="J235">
        <v>5.69</v>
      </c>
      <c r="K235">
        <f>(I235-J235)/2</f>
        <v>0.66499999999999959</v>
      </c>
      <c r="L235">
        <f>K235/I235</f>
        <v>9.4729344729344675E-2</v>
      </c>
      <c r="M235">
        <v>0.88400000000000001</v>
      </c>
      <c r="N235">
        <v>2.1999999999999999E-2</v>
      </c>
      <c r="O235">
        <f>M235-N235</f>
        <v>0.86199999999999999</v>
      </c>
      <c r="P235">
        <v>0.50800000000000001</v>
      </c>
      <c r="Q235">
        <f>P235/O235</f>
        <v>0.58932714617169379</v>
      </c>
    </row>
    <row r="236" spans="1:18" x14ac:dyDescent="0.25">
      <c r="A236">
        <v>235</v>
      </c>
      <c r="B236" t="s">
        <v>648</v>
      </c>
      <c r="C236" t="s">
        <v>441</v>
      </c>
      <c r="E236" t="s">
        <v>489</v>
      </c>
      <c r="F236" t="s">
        <v>144</v>
      </c>
      <c r="G236" t="s">
        <v>144</v>
      </c>
      <c r="H236" t="s">
        <v>138</v>
      </c>
      <c r="I236">
        <v>8.2100000000000009</v>
      </c>
      <c r="J236">
        <v>3.91</v>
      </c>
      <c r="K236">
        <f>(I236-J236)/2</f>
        <v>2.1500000000000004</v>
      </c>
      <c r="L236">
        <f>K236/I236</f>
        <v>0.26187576126674789</v>
      </c>
      <c r="M236">
        <v>0.68799999999999994</v>
      </c>
      <c r="N236">
        <v>2.1999999999999999E-2</v>
      </c>
      <c r="O236">
        <f>M236-N236</f>
        <v>0.66599999999999993</v>
      </c>
      <c r="P236">
        <v>0.36899999999999999</v>
      </c>
      <c r="Q236">
        <f>P236/O236</f>
        <v>0.55405405405405406</v>
      </c>
    </row>
    <row r="237" spans="1:18" x14ac:dyDescent="0.25">
      <c r="A237">
        <v>236</v>
      </c>
      <c r="B237" t="s">
        <v>611</v>
      </c>
      <c r="C237" t="s">
        <v>512</v>
      </c>
      <c r="E237" t="s">
        <v>513</v>
      </c>
      <c r="F237" t="s">
        <v>144</v>
      </c>
      <c r="G237" t="s">
        <v>144</v>
      </c>
      <c r="H237" t="s">
        <v>138</v>
      </c>
      <c r="I237">
        <v>7.93</v>
      </c>
      <c r="J237">
        <v>6.28</v>
      </c>
      <c r="K237">
        <f>(I237-J237)/2</f>
        <v>0.82499999999999973</v>
      </c>
      <c r="L237">
        <f>K237/I237</f>
        <v>0.1040353089533417</v>
      </c>
      <c r="M237">
        <v>0.72</v>
      </c>
      <c r="N237">
        <v>2.1999999999999999E-2</v>
      </c>
      <c r="O237">
        <f>M237-N237</f>
        <v>0.69799999999999995</v>
      </c>
      <c r="P237">
        <v>0.501</v>
      </c>
      <c r="Q237">
        <f>P237/O237</f>
        <v>0.7177650429799427</v>
      </c>
    </row>
    <row r="238" spans="1:18" x14ac:dyDescent="0.25">
      <c r="A238">
        <v>237</v>
      </c>
      <c r="B238" t="s">
        <v>608</v>
      </c>
      <c r="C238" t="s">
        <v>609</v>
      </c>
      <c r="E238" t="s">
        <v>610</v>
      </c>
      <c r="F238" t="s">
        <v>144</v>
      </c>
      <c r="G238" t="s">
        <v>144</v>
      </c>
      <c r="H238" t="s">
        <v>138</v>
      </c>
      <c r="I238">
        <v>12.73</v>
      </c>
      <c r="J238">
        <v>11.22</v>
      </c>
      <c r="K238">
        <f>(I238-J238)/2</f>
        <v>0.75499999999999989</v>
      </c>
      <c r="L238">
        <f>K238/I238</f>
        <v>5.9308719560094258E-2</v>
      </c>
      <c r="M238">
        <v>1.774</v>
      </c>
      <c r="N238">
        <v>2.1999999999999999E-2</v>
      </c>
      <c r="O238">
        <f>M238-N238</f>
        <v>1.752</v>
      </c>
      <c r="P238">
        <v>1.0580000000000001</v>
      </c>
      <c r="Q238">
        <f>P238/O238</f>
        <v>0.60388127853881279</v>
      </c>
    </row>
    <row r="239" spans="1:18" x14ac:dyDescent="0.25">
      <c r="A239">
        <v>238</v>
      </c>
      <c r="B239" t="s">
        <v>607</v>
      </c>
      <c r="C239" t="s">
        <v>512</v>
      </c>
      <c r="E239" t="s">
        <v>513</v>
      </c>
      <c r="F239" t="s">
        <v>144</v>
      </c>
      <c r="G239" t="s">
        <v>144</v>
      </c>
      <c r="H239" t="s">
        <v>138</v>
      </c>
      <c r="I239">
        <v>5.92</v>
      </c>
      <c r="J239">
        <v>4.67</v>
      </c>
      <c r="K239">
        <f>(I239-J239)/2</f>
        <v>0.625</v>
      </c>
      <c r="L239">
        <f>K239/I239</f>
        <v>0.10557432432432433</v>
      </c>
      <c r="M239">
        <v>0.86499999999999999</v>
      </c>
      <c r="N239">
        <v>2.1999999999999999E-2</v>
      </c>
      <c r="O239">
        <f>M239-N239</f>
        <v>0.84299999999999997</v>
      </c>
      <c r="P239">
        <v>0.57799999999999996</v>
      </c>
      <c r="Q239">
        <f>P239/O239</f>
        <v>0.68564650059311982</v>
      </c>
    </row>
    <row r="240" spans="1:18" x14ac:dyDescent="0.25">
      <c r="A240">
        <v>239</v>
      </c>
      <c r="B240" t="s">
        <v>606</v>
      </c>
      <c r="C240" t="s">
        <v>512</v>
      </c>
      <c r="E240" t="s">
        <v>513</v>
      </c>
      <c r="F240" t="s">
        <v>144</v>
      </c>
      <c r="G240" t="s">
        <v>144</v>
      </c>
      <c r="H240" t="s">
        <v>138</v>
      </c>
      <c r="I240">
        <v>6.45</v>
      </c>
      <c r="J240">
        <v>5.14</v>
      </c>
      <c r="K240">
        <f>(I240-J240)/2</f>
        <v>0.65500000000000025</v>
      </c>
      <c r="L240">
        <f>K240/I240</f>
        <v>0.10155038759689926</v>
      </c>
      <c r="M240">
        <v>0.496</v>
      </c>
      <c r="N240">
        <v>2.1999999999999999E-2</v>
      </c>
      <c r="O240">
        <f>M240-N240</f>
        <v>0.47399999999999998</v>
      </c>
      <c r="P240">
        <v>0.36</v>
      </c>
      <c r="Q240">
        <f>P240/O240</f>
        <v>0.759493670886076</v>
      </c>
    </row>
    <row r="241" spans="1:17" x14ac:dyDescent="0.25">
      <c r="A241">
        <v>240</v>
      </c>
      <c r="B241" t="s">
        <v>605</v>
      </c>
      <c r="C241" t="s">
        <v>603</v>
      </c>
      <c r="E241" t="s">
        <v>604</v>
      </c>
      <c r="F241" t="s">
        <v>144</v>
      </c>
      <c r="G241" t="s">
        <v>144</v>
      </c>
      <c r="H241" t="s">
        <v>138</v>
      </c>
      <c r="I241">
        <v>3.38</v>
      </c>
      <c r="J241">
        <v>3.09</v>
      </c>
      <c r="K241">
        <f>(I241-J241)/2</f>
        <v>0.14500000000000002</v>
      </c>
      <c r="L241">
        <f>K241/I241</f>
        <v>4.2899408284023673E-2</v>
      </c>
      <c r="M241">
        <v>0.33200000000000002</v>
      </c>
      <c r="N241">
        <v>2.1999999999999999E-2</v>
      </c>
      <c r="O241">
        <f>M241-N241</f>
        <v>0.31</v>
      </c>
      <c r="P241">
        <v>0.23899999999999999</v>
      </c>
      <c r="Q241">
        <f>P241/O241</f>
        <v>0.7709677419354839</v>
      </c>
    </row>
    <row r="242" spans="1:17" x14ac:dyDescent="0.25">
      <c r="A242">
        <v>241</v>
      </c>
      <c r="B242" t="s">
        <v>630</v>
      </c>
      <c r="C242" t="s">
        <v>400</v>
      </c>
      <c r="E242" t="s">
        <v>268</v>
      </c>
      <c r="F242" t="s">
        <v>144</v>
      </c>
      <c r="G242" t="s">
        <v>144</v>
      </c>
      <c r="H242" t="s">
        <v>138</v>
      </c>
      <c r="I242">
        <v>8.4499999999999993</v>
      </c>
      <c r="J242">
        <v>4.7300000000000004</v>
      </c>
      <c r="K242">
        <f>(I242-J242)/2</f>
        <v>1.8599999999999994</v>
      </c>
      <c r="L242">
        <f>K242/I242</f>
        <v>0.22011834319526621</v>
      </c>
      <c r="M242">
        <v>1.002</v>
      </c>
      <c r="N242">
        <v>2.1999999999999999E-2</v>
      </c>
      <c r="O242">
        <f>M242-N242</f>
        <v>0.98</v>
      </c>
      <c r="P242">
        <v>0.48199999999999998</v>
      </c>
      <c r="Q242">
        <f>P242/O242</f>
        <v>0.49183673469387756</v>
      </c>
    </row>
    <row r="243" spans="1:17" x14ac:dyDescent="0.25">
      <c r="A243">
        <v>242</v>
      </c>
      <c r="B243" t="s">
        <v>602</v>
      </c>
      <c r="C243" t="s">
        <v>603</v>
      </c>
      <c r="E243" t="s">
        <v>604</v>
      </c>
      <c r="F243" t="s">
        <v>144</v>
      </c>
      <c r="G243" t="s">
        <v>144</v>
      </c>
      <c r="H243" t="s">
        <v>138</v>
      </c>
      <c r="I243">
        <v>8.32</v>
      </c>
      <c r="J243">
        <v>7.13</v>
      </c>
      <c r="K243">
        <f>(I243-J243)/2</f>
        <v>0.5950000000000002</v>
      </c>
      <c r="L243">
        <f>K243/I243</f>
        <v>7.15144230769231E-2</v>
      </c>
      <c r="M243">
        <v>0.82299999999999995</v>
      </c>
      <c r="N243">
        <v>2.1999999999999999E-2</v>
      </c>
      <c r="O243">
        <f>M243-N243</f>
        <v>0.80099999999999993</v>
      </c>
      <c r="P243">
        <v>0.495</v>
      </c>
      <c r="Q243">
        <f>P243/O243</f>
        <v>0.61797752808988771</v>
      </c>
    </row>
    <row r="244" spans="1:17" x14ac:dyDescent="0.25">
      <c r="A244">
        <v>243</v>
      </c>
      <c r="B244" t="s">
        <v>646</v>
      </c>
      <c r="C244" t="s">
        <v>603</v>
      </c>
      <c r="E244" t="s">
        <v>604</v>
      </c>
      <c r="F244" t="s">
        <v>144</v>
      </c>
      <c r="G244" t="s">
        <v>144</v>
      </c>
      <c r="H244" t="s">
        <v>138</v>
      </c>
      <c r="I244">
        <v>5.59</v>
      </c>
      <c r="J244">
        <v>4.5999999999999996</v>
      </c>
      <c r="K244">
        <f>(I244-J244)/2</f>
        <v>0.49500000000000011</v>
      </c>
      <c r="L244">
        <f>K244/I244</f>
        <v>8.8550983899821134E-2</v>
      </c>
      <c r="M244">
        <v>0.47299999999999998</v>
      </c>
      <c r="N244">
        <v>2.1999999999999999E-2</v>
      </c>
      <c r="O244">
        <f>M244-N244</f>
        <v>0.45099999999999996</v>
      </c>
      <c r="P244">
        <v>0.33700000000000002</v>
      </c>
      <c r="Q244">
        <f>P244/O244</f>
        <v>0.74722838137472292</v>
      </c>
    </row>
    <row r="245" spans="1:17" x14ac:dyDescent="0.25">
      <c r="A245">
        <v>244</v>
      </c>
      <c r="B245" t="s">
        <v>647</v>
      </c>
      <c r="C245" t="s">
        <v>396</v>
      </c>
      <c r="E245" t="s">
        <v>245</v>
      </c>
      <c r="F245" t="s">
        <v>144</v>
      </c>
      <c r="G245" t="s">
        <v>144</v>
      </c>
      <c r="H245" t="s">
        <v>138</v>
      </c>
      <c r="I245">
        <v>9.9499999999999993</v>
      </c>
      <c r="J245">
        <v>6.51</v>
      </c>
      <c r="K245">
        <f>(I245-J245)/2</f>
        <v>1.7199999999999998</v>
      </c>
      <c r="L245">
        <f>K245/I245</f>
        <v>0.17286432160804019</v>
      </c>
      <c r="M245">
        <v>1.19</v>
      </c>
      <c r="N245">
        <v>2.1999999999999999E-2</v>
      </c>
      <c r="O245">
        <f>M245-N245</f>
        <v>1.1679999999999999</v>
      </c>
      <c r="P245">
        <v>0.52500000000000002</v>
      </c>
      <c r="Q245">
        <f>P245/O245</f>
        <v>0.44948630136986306</v>
      </c>
    </row>
    <row r="246" spans="1:17" x14ac:dyDescent="0.25">
      <c r="A246">
        <v>245</v>
      </c>
      <c r="B246" t="s">
        <v>643</v>
      </c>
      <c r="C246" t="s">
        <v>400</v>
      </c>
      <c r="E246" t="s">
        <v>268</v>
      </c>
      <c r="F246" t="s">
        <v>144</v>
      </c>
      <c r="G246" t="s">
        <v>144</v>
      </c>
      <c r="H246" t="s">
        <v>138</v>
      </c>
      <c r="I246">
        <v>9.01</v>
      </c>
      <c r="J246">
        <v>4.5599999999999996</v>
      </c>
      <c r="K246">
        <f>(I246-J246)/2</f>
        <v>2.2250000000000001</v>
      </c>
      <c r="L246">
        <f>K246/I246</f>
        <v>0.24694783573806883</v>
      </c>
      <c r="M246">
        <v>0.52800000000000002</v>
      </c>
      <c r="N246">
        <v>2.1999999999999999E-2</v>
      </c>
      <c r="O246">
        <f>M246-N246</f>
        <v>0.50600000000000001</v>
      </c>
      <c r="P246">
        <v>0.27600000000000002</v>
      </c>
      <c r="Q246">
        <f>P246/O246</f>
        <v>0.54545454545454553</v>
      </c>
    </row>
    <row r="247" spans="1:17" x14ac:dyDescent="0.25">
      <c r="A247">
        <v>246</v>
      </c>
      <c r="B247" t="s">
        <v>649</v>
      </c>
      <c r="C247" t="s">
        <v>526</v>
      </c>
      <c r="E247" t="s">
        <v>558</v>
      </c>
      <c r="F247" t="s">
        <v>144</v>
      </c>
      <c r="G247" t="s">
        <v>144</v>
      </c>
      <c r="H247" t="s">
        <v>138</v>
      </c>
      <c r="I247">
        <v>7.22</v>
      </c>
      <c r="J247">
        <v>5.96</v>
      </c>
      <c r="K247">
        <f>(I247-J247)/2</f>
        <v>0.62999999999999989</v>
      </c>
      <c r="L247">
        <f>K247/I247</f>
        <v>8.7257617728531842E-2</v>
      </c>
      <c r="M247">
        <v>1.83</v>
      </c>
      <c r="N247">
        <v>2.1999999999999999E-2</v>
      </c>
      <c r="O247">
        <f>M247-N247</f>
        <v>1.8080000000000001</v>
      </c>
      <c r="P247">
        <v>0.92</v>
      </c>
      <c r="Q247">
        <f>P247/O247</f>
        <v>0.50884955752212391</v>
      </c>
    </row>
    <row r="248" spans="1:17" x14ac:dyDescent="0.25">
      <c r="A248">
        <v>247</v>
      </c>
      <c r="B248" t="s">
        <v>642</v>
      </c>
      <c r="C248" t="s">
        <v>404</v>
      </c>
      <c r="E248" t="s">
        <v>330</v>
      </c>
      <c r="F248" t="s">
        <v>144</v>
      </c>
      <c r="G248" t="s">
        <v>144</v>
      </c>
      <c r="H248" t="s">
        <v>138</v>
      </c>
      <c r="I248">
        <v>5.99</v>
      </c>
      <c r="J248">
        <v>4.78</v>
      </c>
      <c r="K248">
        <f>(I248-J248)/2</f>
        <v>0.60499999999999998</v>
      </c>
      <c r="L248">
        <f>K248/I248</f>
        <v>0.1010016694490818</v>
      </c>
      <c r="M248">
        <v>0.55600000000000005</v>
      </c>
      <c r="N248">
        <v>2.1999999999999999E-2</v>
      </c>
      <c r="O248">
        <f>M248-N248</f>
        <v>0.53400000000000003</v>
      </c>
      <c r="P248">
        <v>0.29199999999999998</v>
      </c>
      <c r="Q248">
        <f>P248/O248</f>
        <v>0.54681647940074896</v>
      </c>
    </row>
    <row r="249" spans="1:17" x14ac:dyDescent="0.25">
      <c r="A249">
        <v>248</v>
      </c>
      <c r="B249" t="s">
        <v>637</v>
      </c>
      <c r="C249" t="s">
        <v>382</v>
      </c>
      <c r="E249" t="s">
        <v>335</v>
      </c>
      <c r="F249" t="s">
        <v>144</v>
      </c>
      <c r="G249" t="s">
        <v>144</v>
      </c>
      <c r="H249" t="s">
        <v>138</v>
      </c>
      <c r="I249">
        <v>8.6999999999999993</v>
      </c>
      <c r="J249">
        <v>6.81</v>
      </c>
      <c r="K249">
        <f>(I249-J249)/2</f>
        <v>0.94499999999999984</v>
      </c>
      <c r="L249">
        <f>K249/I249</f>
        <v>0.10862068965517241</v>
      </c>
      <c r="M249">
        <v>1.0880000000000001</v>
      </c>
      <c r="N249">
        <v>2.1999999999999999E-2</v>
      </c>
      <c r="O249">
        <f>M249-N249</f>
        <v>1.0660000000000001</v>
      </c>
      <c r="P249">
        <v>0.64600000000000002</v>
      </c>
      <c r="Q249">
        <f>P249/O249</f>
        <v>0.60600375234521575</v>
      </c>
    </row>
    <row r="250" spans="1:17" x14ac:dyDescent="0.25">
      <c r="A250">
        <v>249</v>
      </c>
      <c r="B250" t="s">
        <v>636</v>
      </c>
      <c r="C250" t="s">
        <v>451</v>
      </c>
      <c r="E250" t="s">
        <v>452</v>
      </c>
      <c r="F250" t="s">
        <v>144</v>
      </c>
      <c r="G250" t="s">
        <v>144</v>
      </c>
      <c r="H250" t="s">
        <v>138</v>
      </c>
      <c r="I250">
        <v>9.3000000000000007</v>
      </c>
      <c r="J250">
        <v>5.64</v>
      </c>
      <c r="K250">
        <f>(I250-J250)/2</f>
        <v>1.8300000000000005</v>
      </c>
      <c r="L250">
        <f>K250/I250</f>
        <v>0.19677419354838713</v>
      </c>
      <c r="M250">
        <v>0.52</v>
      </c>
      <c r="N250">
        <v>2.1999999999999999E-2</v>
      </c>
      <c r="O250">
        <f>M250-N250</f>
        <v>0.498</v>
      </c>
      <c r="P250">
        <v>0.15</v>
      </c>
      <c r="Q250">
        <f>P250/O250</f>
        <v>0.3012048192771084</v>
      </c>
    </row>
    <row r="251" spans="1:17" x14ac:dyDescent="0.25">
      <c r="A251">
        <v>250</v>
      </c>
      <c r="B251" t="s">
        <v>634</v>
      </c>
      <c r="C251" t="s">
        <v>627</v>
      </c>
      <c r="E251" t="s">
        <v>628</v>
      </c>
      <c r="F251" t="s">
        <v>144</v>
      </c>
      <c r="G251" t="s">
        <v>144</v>
      </c>
      <c r="H251" t="s">
        <v>138</v>
      </c>
      <c r="I251">
        <v>13.47</v>
      </c>
      <c r="J251">
        <v>9.73</v>
      </c>
      <c r="K251">
        <f>(I251-J251)/2</f>
        <v>1.87</v>
      </c>
      <c r="L251">
        <f>K251/I251</f>
        <v>0.13882702301410543</v>
      </c>
      <c r="M251">
        <v>1.496</v>
      </c>
      <c r="N251">
        <v>2.1999999999999999E-2</v>
      </c>
      <c r="O251">
        <f>M251-N251</f>
        <v>1.474</v>
      </c>
      <c r="P251">
        <v>0.93500000000000005</v>
      </c>
      <c r="Q251">
        <f>P251/O251</f>
        <v>0.63432835820895528</v>
      </c>
    </row>
    <row r="252" spans="1:17" x14ac:dyDescent="0.25">
      <c r="A252">
        <v>251</v>
      </c>
      <c r="B252" t="s">
        <v>644</v>
      </c>
      <c r="C252" t="s">
        <v>345</v>
      </c>
      <c r="E252" t="s">
        <v>376</v>
      </c>
      <c r="F252" t="s">
        <v>144</v>
      </c>
      <c r="G252" t="s">
        <v>144</v>
      </c>
      <c r="H252" t="s">
        <v>138</v>
      </c>
      <c r="I252">
        <v>8.23</v>
      </c>
      <c r="J252">
        <v>6.67</v>
      </c>
      <c r="K252">
        <f>(I252-J252)/2</f>
        <v>0.78000000000000025</v>
      </c>
      <c r="L252">
        <f>K252/I252</f>
        <v>9.4775212636695041E-2</v>
      </c>
      <c r="M252">
        <v>0.6</v>
      </c>
      <c r="N252">
        <v>2.1999999999999999E-2</v>
      </c>
      <c r="O252">
        <f>M252-N252</f>
        <v>0.57799999999999996</v>
      </c>
      <c r="P252">
        <v>0.38800000000000001</v>
      </c>
      <c r="Q252">
        <f>P252/O252</f>
        <v>0.67128027681660907</v>
      </c>
    </row>
    <row r="253" spans="1:17" x14ac:dyDescent="0.25">
      <c r="A253">
        <v>252</v>
      </c>
      <c r="B253" t="s">
        <v>638</v>
      </c>
      <c r="C253" t="s">
        <v>349</v>
      </c>
      <c r="E253" t="s">
        <v>62</v>
      </c>
      <c r="F253" t="s">
        <v>144</v>
      </c>
      <c r="G253" t="s">
        <v>144</v>
      </c>
      <c r="H253" t="s">
        <v>138</v>
      </c>
      <c r="I253">
        <v>9.06</v>
      </c>
      <c r="J253">
        <v>5.53</v>
      </c>
      <c r="K253">
        <f>(I253-J253)/2</f>
        <v>1.7650000000000001</v>
      </c>
      <c r="L253">
        <f>K253/I253</f>
        <v>0.19481236203090507</v>
      </c>
      <c r="M253">
        <v>0.86599999999999999</v>
      </c>
      <c r="N253">
        <v>2.1999999999999999E-2</v>
      </c>
      <c r="O253">
        <f>M253-N253</f>
        <v>0.84399999999999997</v>
      </c>
      <c r="P253">
        <v>0.38100000000000001</v>
      </c>
      <c r="Q253">
        <f>P253/O253</f>
        <v>0.45142180094786732</v>
      </c>
    </row>
    <row r="254" spans="1:17" x14ac:dyDescent="0.25">
      <c r="A254">
        <v>253</v>
      </c>
      <c r="B254" t="s">
        <v>645</v>
      </c>
      <c r="C254" t="s">
        <v>345</v>
      </c>
      <c r="E254" t="s">
        <v>376</v>
      </c>
      <c r="F254" t="s">
        <v>144</v>
      </c>
      <c r="G254" t="s">
        <v>144</v>
      </c>
      <c r="H254" t="s">
        <v>138</v>
      </c>
      <c r="I254">
        <v>10.43</v>
      </c>
      <c r="J254">
        <v>8.57</v>
      </c>
      <c r="K254">
        <f>(I254-J254)/2</f>
        <v>0.92999999999999972</v>
      </c>
      <c r="L254">
        <f>K254/I254</f>
        <v>8.9165867689357595E-2</v>
      </c>
      <c r="M254">
        <v>0.88400000000000001</v>
      </c>
      <c r="N254">
        <v>2.1999999999999999E-2</v>
      </c>
      <c r="O254">
        <f>M254-N254</f>
        <v>0.86199999999999999</v>
      </c>
      <c r="P254">
        <v>0.52400000000000002</v>
      </c>
      <c r="Q254">
        <f>P254/O254</f>
        <v>0.6078886310904873</v>
      </c>
    </row>
    <row r="255" spans="1:17" x14ac:dyDescent="0.25">
      <c r="A255">
        <v>254</v>
      </c>
      <c r="B255" t="s">
        <v>639</v>
      </c>
      <c r="C255" t="s">
        <v>387</v>
      </c>
      <c r="D255">
        <v>5</v>
      </c>
      <c r="E255" t="s">
        <v>329</v>
      </c>
      <c r="F255" t="s">
        <v>144</v>
      </c>
      <c r="G255" t="s">
        <v>144</v>
      </c>
      <c r="H255" t="s">
        <v>138</v>
      </c>
      <c r="I255">
        <v>7.68</v>
      </c>
      <c r="J255">
        <v>6.23</v>
      </c>
      <c r="K255">
        <f>(I255-J255)/2</f>
        <v>0.72499999999999964</v>
      </c>
      <c r="L255">
        <f>K255/I255</f>
        <v>9.440104166666663E-2</v>
      </c>
      <c r="M255">
        <v>0.81799999999999995</v>
      </c>
      <c r="N255">
        <v>2.1999999999999999E-2</v>
      </c>
      <c r="O255">
        <f>M255-N255</f>
        <v>0.79599999999999993</v>
      </c>
      <c r="P255">
        <v>0.55400000000000005</v>
      </c>
      <c r="Q255">
        <f>P255/O255</f>
        <v>0.69597989949748751</v>
      </c>
    </row>
    <row r="256" spans="1:17" x14ac:dyDescent="0.25">
      <c r="A256">
        <v>255</v>
      </c>
      <c r="B256" t="s">
        <v>640</v>
      </c>
      <c r="C256" t="s">
        <v>641</v>
      </c>
      <c r="E256" t="s">
        <v>758</v>
      </c>
      <c r="F256" t="s">
        <v>144</v>
      </c>
      <c r="G256" t="s">
        <v>144</v>
      </c>
      <c r="H256" t="s">
        <v>138</v>
      </c>
      <c r="I256">
        <v>5.83</v>
      </c>
      <c r="J256">
        <v>4.58</v>
      </c>
      <c r="K256">
        <f>(I256-J256)/2</f>
        <v>0.625</v>
      </c>
      <c r="L256">
        <f>K256/I256</f>
        <v>0.1072041166380789</v>
      </c>
      <c r="M256">
        <v>0.53800000000000003</v>
      </c>
      <c r="N256">
        <v>2.1999999999999999E-2</v>
      </c>
      <c r="O256">
        <f>M256-N256</f>
        <v>0.51600000000000001</v>
      </c>
      <c r="P256">
        <v>0.26800000000000002</v>
      </c>
      <c r="Q256">
        <f>P256/O256</f>
        <v>0.51937984496124034</v>
      </c>
    </row>
    <row r="257" spans="1:17" x14ac:dyDescent="0.25">
      <c r="A257">
        <v>256</v>
      </c>
      <c r="B257" t="s">
        <v>631</v>
      </c>
      <c r="C257" t="s">
        <v>641</v>
      </c>
      <c r="E257" t="s">
        <v>758</v>
      </c>
      <c r="F257" t="s">
        <v>144</v>
      </c>
      <c r="G257" t="s">
        <v>144</v>
      </c>
      <c r="H257" t="s">
        <v>138</v>
      </c>
      <c r="I257">
        <v>8.48</v>
      </c>
      <c r="J257">
        <v>7.07</v>
      </c>
      <c r="K257">
        <f>(I257-J257)/2</f>
        <v>0.70500000000000007</v>
      </c>
      <c r="L257">
        <f>K257/I257</f>
        <v>8.3136792452830191E-2</v>
      </c>
      <c r="M257">
        <v>1.26</v>
      </c>
      <c r="N257">
        <v>2.1999999999999999E-2</v>
      </c>
      <c r="O257">
        <f>M257-N257</f>
        <v>1.238</v>
      </c>
      <c r="P257">
        <v>0.70599999999999996</v>
      </c>
      <c r="Q257">
        <f>P257/O257</f>
        <v>0.57027463651050081</v>
      </c>
    </row>
    <row r="258" spans="1:17" x14ac:dyDescent="0.25">
      <c r="A258">
        <v>257</v>
      </c>
      <c r="B258" t="s">
        <v>629</v>
      </c>
      <c r="C258" t="s">
        <v>348</v>
      </c>
      <c r="E258" t="s">
        <v>497</v>
      </c>
      <c r="F258" t="s">
        <v>144</v>
      </c>
      <c r="G258" t="s">
        <v>144</v>
      </c>
      <c r="H258" t="s">
        <v>138</v>
      </c>
      <c r="I258">
        <v>7.2</v>
      </c>
      <c r="J258">
        <v>5.82</v>
      </c>
      <c r="K258">
        <f>(I258-J258)/2</f>
        <v>0.69</v>
      </c>
      <c r="L258">
        <f>K258/I258</f>
        <v>9.5833333333333326E-2</v>
      </c>
      <c r="M258">
        <v>1</v>
      </c>
      <c r="N258">
        <v>2.1999999999999999E-2</v>
      </c>
      <c r="O258">
        <f>M258-N258</f>
        <v>0.97799999999999998</v>
      </c>
      <c r="P258">
        <v>0.78100000000000003</v>
      </c>
      <c r="Q258">
        <f>P258/O258</f>
        <v>0.7985685071574643</v>
      </c>
    </row>
    <row r="259" spans="1:17" x14ac:dyDescent="0.25">
      <c r="A259">
        <v>258</v>
      </c>
      <c r="B259" t="s">
        <v>616</v>
      </c>
      <c r="C259" t="s">
        <v>432</v>
      </c>
      <c r="E259" t="s">
        <v>433</v>
      </c>
      <c r="F259" t="s">
        <v>144</v>
      </c>
      <c r="G259" t="s">
        <v>144</v>
      </c>
      <c r="H259" t="s">
        <v>138</v>
      </c>
      <c r="I259">
        <v>6.73</v>
      </c>
      <c r="J259">
        <v>3.02</v>
      </c>
      <c r="K259">
        <f>(I259-J259)/2</f>
        <v>1.8550000000000002</v>
      </c>
      <c r="L259">
        <f>K259/I259</f>
        <v>0.27563150074294207</v>
      </c>
      <c r="M259">
        <v>0.22600000000000001</v>
      </c>
      <c r="N259">
        <v>2.1999999999999999E-2</v>
      </c>
      <c r="O259">
        <f>M259-N259</f>
        <v>0.20400000000000001</v>
      </c>
      <c r="P259">
        <v>0.125</v>
      </c>
      <c r="Q259">
        <f>P259/O259</f>
        <v>0.61274509803921562</v>
      </c>
    </row>
    <row r="260" spans="1:17" x14ac:dyDescent="0.25">
      <c r="A260">
        <v>259</v>
      </c>
      <c r="B260" t="s">
        <v>617</v>
      </c>
      <c r="C260" t="s">
        <v>404</v>
      </c>
      <c r="E260" t="s">
        <v>330</v>
      </c>
      <c r="F260" t="s">
        <v>144</v>
      </c>
      <c r="G260" t="s">
        <v>144</v>
      </c>
      <c r="H260" t="s">
        <v>138</v>
      </c>
      <c r="I260">
        <v>4.1100000000000003</v>
      </c>
      <c r="J260">
        <v>3.4</v>
      </c>
      <c r="K260">
        <f>(I260-J260)/2</f>
        <v>0.3550000000000002</v>
      </c>
      <c r="L260">
        <f>K260/I260</f>
        <v>8.6374695863747006E-2</v>
      </c>
      <c r="M260">
        <v>0.47299999999999998</v>
      </c>
      <c r="N260">
        <v>2.1999999999999999E-2</v>
      </c>
      <c r="O260">
        <f>M260-N260</f>
        <v>0.45099999999999996</v>
      </c>
      <c r="P260">
        <v>0.23</v>
      </c>
      <c r="Q260">
        <f>P260/O260</f>
        <v>0.50997782705099781</v>
      </c>
    </row>
    <row r="261" spans="1:17" x14ac:dyDescent="0.25">
      <c r="A261">
        <v>260</v>
      </c>
      <c r="B261" t="s">
        <v>666</v>
      </c>
      <c r="C261" t="s">
        <v>432</v>
      </c>
      <c r="E261" t="s">
        <v>433</v>
      </c>
      <c r="F261" t="s">
        <v>144</v>
      </c>
      <c r="G261" t="s">
        <v>144</v>
      </c>
      <c r="H261" t="s">
        <v>138</v>
      </c>
      <c r="I261">
        <v>9.31</v>
      </c>
      <c r="J261">
        <v>4.18</v>
      </c>
      <c r="K261">
        <f>(I261-J261)/2</f>
        <v>2.5650000000000004</v>
      </c>
      <c r="L261">
        <f>K261/I261</f>
        <v>0.27551020408163268</v>
      </c>
      <c r="M261">
        <v>0.67500000000000004</v>
      </c>
      <c r="N261">
        <v>2.1999999999999999E-2</v>
      </c>
      <c r="O261">
        <f>M261-N261</f>
        <v>0.65300000000000002</v>
      </c>
      <c r="P261">
        <v>0.33400000000000002</v>
      </c>
      <c r="Q261">
        <f>P261/O261</f>
        <v>0.51148545176110261</v>
      </c>
    </row>
    <row r="262" spans="1:17" x14ac:dyDescent="0.25">
      <c r="A262">
        <v>261</v>
      </c>
      <c r="B262" t="s">
        <v>619</v>
      </c>
      <c r="C262" t="s">
        <v>534</v>
      </c>
      <c r="E262" t="s">
        <v>535</v>
      </c>
      <c r="F262" t="s">
        <v>144</v>
      </c>
      <c r="G262" t="s">
        <v>144</v>
      </c>
      <c r="H262" t="s">
        <v>138</v>
      </c>
      <c r="I262">
        <v>12.07</v>
      </c>
      <c r="J262">
        <v>3.73</v>
      </c>
      <c r="K262">
        <f>(I262-J262)/2</f>
        <v>4.17</v>
      </c>
      <c r="L262">
        <f>K262/I262</f>
        <v>0.34548467274233635</v>
      </c>
      <c r="M262">
        <v>0.42099999999999999</v>
      </c>
      <c r="N262">
        <v>2.1999999999999999E-2</v>
      </c>
      <c r="O262">
        <f>M262-N262</f>
        <v>0.39899999999999997</v>
      </c>
      <c r="P262">
        <v>0.22800000000000001</v>
      </c>
      <c r="Q262">
        <f>P262/O262</f>
        <v>0.57142857142857151</v>
      </c>
    </row>
    <row r="263" spans="1:17" x14ac:dyDescent="0.25">
      <c r="A263">
        <v>262</v>
      </c>
      <c r="B263" t="s">
        <v>618</v>
      </c>
      <c r="C263" t="s">
        <v>432</v>
      </c>
      <c r="E263" t="s">
        <v>433</v>
      </c>
      <c r="F263" t="s">
        <v>144</v>
      </c>
      <c r="G263" t="s">
        <v>144</v>
      </c>
      <c r="H263" t="s">
        <v>138</v>
      </c>
      <c r="I263">
        <v>8.2799999999999994</v>
      </c>
      <c r="J263">
        <v>5.78</v>
      </c>
      <c r="K263">
        <f>(I263-J263)/2</f>
        <v>1.2499999999999996</v>
      </c>
      <c r="L263">
        <f>K263/I263</f>
        <v>0.15096618357487918</v>
      </c>
      <c r="M263">
        <v>0.93200000000000005</v>
      </c>
      <c r="N263">
        <v>2.1999999999999999E-2</v>
      </c>
      <c r="O263">
        <f>M263-N263</f>
        <v>0.91</v>
      </c>
      <c r="P263">
        <v>0.504</v>
      </c>
      <c r="Q263">
        <f>P263/O263</f>
        <v>0.55384615384615388</v>
      </c>
    </row>
    <row r="264" spans="1:17" x14ac:dyDescent="0.25">
      <c r="A264">
        <v>263</v>
      </c>
      <c r="B264" t="s">
        <v>626</v>
      </c>
      <c r="C264" t="s">
        <v>627</v>
      </c>
      <c r="E264" t="s">
        <v>628</v>
      </c>
      <c r="F264" t="s">
        <v>144</v>
      </c>
      <c r="G264" t="s">
        <v>144</v>
      </c>
      <c r="H264" t="s">
        <v>138</v>
      </c>
      <c r="I264">
        <v>7.94</v>
      </c>
      <c r="J264">
        <v>6.58</v>
      </c>
      <c r="K264">
        <f>(I264-J264)/2</f>
        <v>0.68000000000000016</v>
      </c>
      <c r="L264">
        <f>K264/I264</f>
        <v>8.5642317380352662E-2</v>
      </c>
      <c r="M264">
        <v>0.84</v>
      </c>
      <c r="N264">
        <v>2.1999999999999999E-2</v>
      </c>
      <c r="O264">
        <f>M264-N264</f>
        <v>0.81799999999999995</v>
      </c>
      <c r="P264">
        <v>0.49399999999999999</v>
      </c>
      <c r="Q264">
        <f>P264/O264</f>
        <v>0.60391198044009786</v>
      </c>
    </row>
    <row r="265" spans="1:17" x14ac:dyDescent="0.25">
      <c r="A265">
        <v>264</v>
      </c>
      <c r="B265" t="s">
        <v>625</v>
      </c>
      <c r="C265" t="s">
        <v>534</v>
      </c>
      <c r="E265" t="s">
        <v>535</v>
      </c>
      <c r="F265" t="s">
        <v>144</v>
      </c>
      <c r="G265" t="s">
        <v>144</v>
      </c>
      <c r="H265" t="s">
        <v>138</v>
      </c>
      <c r="I265">
        <v>12.47</v>
      </c>
      <c r="J265">
        <v>5.26</v>
      </c>
      <c r="K265">
        <f>(I265-J265)/2</f>
        <v>3.6050000000000004</v>
      </c>
      <c r="L265">
        <f>K265/I265</f>
        <v>0.28909382518043308</v>
      </c>
      <c r="M265">
        <v>0.64400000000000002</v>
      </c>
      <c r="N265">
        <v>2.1999999999999999E-2</v>
      </c>
      <c r="O265">
        <f>M265-N265</f>
        <v>0.622</v>
      </c>
      <c r="P265">
        <v>0.25</v>
      </c>
      <c r="Q265">
        <f>P265/O265</f>
        <v>0.40192926045016075</v>
      </c>
    </row>
    <row r="266" spans="1:17" x14ac:dyDescent="0.25">
      <c r="A266">
        <v>265</v>
      </c>
      <c r="B266" t="s">
        <v>623</v>
      </c>
      <c r="C266" t="s">
        <v>382</v>
      </c>
      <c r="E266" t="s">
        <v>335</v>
      </c>
      <c r="F266" t="s">
        <v>144</v>
      </c>
      <c r="G266" t="s">
        <v>144</v>
      </c>
      <c r="H266" t="s">
        <v>138</v>
      </c>
      <c r="I266">
        <v>7.64</v>
      </c>
      <c r="J266">
        <v>6.37</v>
      </c>
      <c r="K266">
        <f>(I266-J266)/2</f>
        <v>0.63499999999999979</v>
      </c>
      <c r="L266">
        <f>K266/I266</f>
        <v>8.3115183246073268E-2</v>
      </c>
      <c r="M266">
        <v>0.93500000000000005</v>
      </c>
      <c r="N266">
        <v>2.1999999999999999E-2</v>
      </c>
      <c r="O266">
        <f>M266-N266</f>
        <v>0.91300000000000003</v>
      </c>
      <c r="P266">
        <v>0.5</v>
      </c>
      <c r="Q266">
        <f>P266/O266</f>
        <v>0.547645125958379</v>
      </c>
    </row>
    <row r="267" spans="1:17" x14ac:dyDescent="0.25">
      <c r="A267">
        <v>266</v>
      </c>
      <c r="B267" t="s">
        <v>624</v>
      </c>
      <c r="C267" t="s">
        <v>383</v>
      </c>
      <c r="E267" t="s">
        <v>101</v>
      </c>
      <c r="F267" t="s">
        <v>144</v>
      </c>
      <c r="G267" t="s">
        <v>144</v>
      </c>
      <c r="H267" t="s">
        <v>138</v>
      </c>
      <c r="I267">
        <v>6.78</v>
      </c>
      <c r="J267">
        <v>5.97</v>
      </c>
      <c r="K267">
        <f>(I267-J267)/2</f>
        <v>0.40500000000000025</v>
      </c>
      <c r="L267">
        <f>K267/I267</f>
        <v>5.9734513274336321E-2</v>
      </c>
      <c r="M267">
        <v>0.42</v>
      </c>
      <c r="N267">
        <v>2.1999999999999999E-2</v>
      </c>
      <c r="O267">
        <f>M267-N267</f>
        <v>0.39799999999999996</v>
      </c>
      <c r="P267">
        <v>0.246</v>
      </c>
      <c r="Q267">
        <f>P267/O267</f>
        <v>0.61809045226130654</v>
      </c>
    </row>
    <row r="268" spans="1:17" x14ac:dyDescent="0.25">
      <c r="A268">
        <v>267</v>
      </c>
      <c r="B268" t="s">
        <v>620</v>
      </c>
      <c r="C268" t="s">
        <v>621</v>
      </c>
      <c r="D268">
        <v>1</v>
      </c>
      <c r="E268" t="s">
        <v>777</v>
      </c>
      <c r="F268" t="s">
        <v>144</v>
      </c>
      <c r="G268" t="s">
        <v>144</v>
      </c>
      <c r="H268" t="s">
        <v>138</v>
      </c>
      <c r="I268">
        <v>13.41</v>
      </c>
      <c r="J268">
        <v>8.2799999999999994</v>
      </c>
      <c r="K268">
        <f>(I268-J268)/2</f>
        <v>2.5650000000000004</v>
      </c>
      <c r="L268">
        <f>K268/I268</f>
        <v>0.19127516778523493</v>
      </c>
      <c r="M268">
        <v>1.1279999999999999</v>
      </c>
      <c r="N268">
        <v>2.1999999999999999E-2</v>
      </c>
      <c r="O268">
        <f>M268-N268</f>
        <v>1.1059999999999999</v>
      </c>
      <c r="P268">
        <v>0.46899999999999997</v>
      </c>
      <c r="Q268">
        <f>P268/O268</f>
        <v>0.42405063291139244</v>
      </c>
    </row>
    <row r="269" spans="1:17" x14ac:dyDescent="0.25">
      <c r="A269">
        <v>268</v>
      </c>
      <c r="B269" t="s">
        <v>622</v>
      </c>
      <c r="C269" t="s">
        <v>387</v>
      </c>
      <c r="D269">
        <v>3</v>
      </c>
      <c r="E269" t="s">
        <v>329</v>
      </c>
      <c r="F269" t="s">
        <v>144</v>
      </c>
      <c r="G269" t="s">
        <v>144</v>
      </c>
      <c r="H269" t="s">
        <v>138</v>
      </c>
      <c r="I269">
        <v>7.94</v>
      </c>
      <c r="J269">
        <v>6.64</v>
      </c>
      <c r="K269">
        <f>(I269-J269)/2</f>
        <v>0.65000000000000036</v>
      </c>
      <c r="L269">
        <f>K269/I269</f>
        <v>8.1863979848866536E-2</v>
      </c>
      <c r="M269">
        <v>0.50900000000000001</v>
      </c>
      <c r="N269">
        <v>2.1999999999999999E-2</v>
      </c>
      <c r="O269">
        <f>M269-N269</f>
        <v>0.48699999999999999</v>
      </c>
      <c r="P269">
        <v>0.33200000000000002</v>
      </c>
      <c r="Q269">
        <f>P269/O269</f>
        <v>0.68172484599589322</v>
      </c>
    </row>
    <row r="270" spans="1:17" x14ac:dyDescent="0.25">
      <c r="A270">
        <v>269</v>
      </c>
      <c r="B270" t="s">
        <v>774</v>
      </c>
      <c r="C270" t="s">
        <v>360</v>
      </c>
      <c r="D270">
        <v>5</v>
      </c>
      <c r="E270" t="s">
        <v>374</v>
      </c>
      <c r="F270" t="s">
        <v>144</v>
      </c>
      <c r="G270" t="s">
        <v>144</v>
      </c>
      <c r="H270" t="s">
        <v>138</v>
      </c>
      <c r="I270">
        <v>7.36</v>
      </c>
      <c r="J270">
        <v>4.5</v>
      </c>
      <c r="K270">
        <f>(I270-J270)/2</f>
        <v>1.4300000000000002</v>
      </c>
      <c r="L270">
        <f>K270/I270</f>
        <v>0.19429347826086957</v>
      </c>
      <c r="M270">
        <v>0.79300000000000004</v>
      </c>
      <c r="N270">
        <v>2.1999999999999999E-2</v>
      </c>
      <c r="O270">
        <f>M270-N270</f>
        <v>0.77100000000000002</v>
      </c>
      <c r="P270">
        <v>0.48499999999999999</v>
      </c>
      <c r="Q270">
        <f>P270/O270</f>
        <v>0.62905317769130997</v>
      </c>
    </row>
    <row r="271" spans="1:17" x14ac:dyDescent="0.25">
      <c r="A271">
        <v>270</v>
      </c>
      <c r="B271" t="s">
        <v>773</v>
      </c>
      <c r="C271" t="s">
        <v>621</v>
      </c>
      <c r="D271">
        <v>2</v>
      </c>
      <c r="E271" t="s">
        <v>777</v>
      </c>
      <c r="F271" t="s">
        <v>144</v>
      </c>
      <c r="G271" t="s">
        <v>144</v>
      </c>
      <c r="H271" t="s">
        <v>138</v>
      </c>
      <c r="I271">
        <v>10.46</v>
      </c>
      <c r="J271">
        <v>3.33</v>
      </c>
      <c r="K271">
        <f>(I271-J271)/2</f>
        <v>3.5650000000000004</v>
      </c>
      <c r="L271">
        <f>K271/I271</f>
        <v>0.3408221797323136</v>
      </c>
      <c r="M271">
        <v>0.42799999999999999</v>
      </c>
      <c r="N271">
        <v>2.1999999999999999E-2</v>
      </c>
      <c r="O271">
        <f>M271-N271</f>
        <v>0.40599999999999997</v>
      </c>
      <c r="P271">
        <v>0.16600000000000001</v>
      </c>
      <c r="Q271">
        <f>P271/O271</f>
        <v>0.40886699507389168</v>
      </c>
    </row>
    <row r="272" spans="1:17" x14ac:dyDescent="0.25">
      <c r="A272">
        <v>271</v>
      </c>
      <c r="B272" t="s">
        <v>772</v>
      </c>
      <c r="C272" t="s">
        <v>518</v>
      </c>
      <c r="D272">
        <v>5</v>
      </c>
      <c r="E272" t="s">
        <v>519</v>
      </c>
      <c r="F272" t="s">
        <v>144</v>
      </c>
      <c r="G272" t="s">
        <v>144</v>
      </c>
      <c r="H272" t="s">
        <v>138</v>
      </c>
      <c r="I272">
        <v>7.68</v>
      </c>
      <c r="J272">
        <v>4.2</v>
      </c>
      <c r="K272">
        <f>(I272-J272)/2</f>
        <v>1.7399999999999998</v>
      </c>
      <c r="L272">
        <f>K272/I272</f>
        <v>0.22656249999999997</v>
      </c>
      <c r="M272">
        <v>0.49399999999999999</v>
      </c>
      <c r="N272">
        <v>2.1999999999999999E-2</v>
      </c>
      <c r="O272">
        <f>M272-N272</f>
        <v>0.47199999999999998</v>
      </c>
      <c r="P272">
        <v>0.33200000000000002</v>
      </c>
      <c r="Q272">
        <f>P272/O272</f>
        <v>0.7033898305084747</v>
      </c>
    </row>
    <row r="273" spans="1:18" x14ac:dyDescent="0.25">
      <c r="A273">
        <v>272</v>
      </c>
      <c r="B273" t="s">
        <v>771</v>
      </c>
      <c r="C273" t="s">
        <v>554</v>
      </c>
      <c r="D273">
        <v>3</v>
      </c>
      <c r="E273" t="s">
        <v>555</v>
      </c>
      <c r="F273" t="s">
        <v>144</v>
      </c>
      <c r="G273" t="s">
        <v>144</v>
      </c>
      <c r="H273" t="s">
        <v>138</v>
      </c>
      <c r="I273">
        <v>6.55</v>
      </c>
      <c r="J273">
        <v>4.6399999999999997</v>
      </c>
      <c r="K273">
        <f>(I273-J273)/2</f>
        <v>0.95500000000000007</v>
      </c>
      <c r="L273">
        <f>K273/I273</f>
        <v>0.14580152671755728</v>
      </c>
      <c r="M273">
        <v>0.999</v>
      </c>
      <c r="N273">
        <v>2.1999999999999999E-2</v>
      </c>
      <c r="O273">
        <f>M273-N273</f>
        <v>0.97699999999999998</v>
      </c>
      <c r="P273">
        <v>0.311</v>
      </c>
      <c r="Q273">
        <f>P273/O273</f>
        <v>0.31832139201637666</v>
      </c>
    </row>
    <row r="274" spans="1:18" x14ac:dyDescent="0.25">
      <c r="A274">
        <v>273</v>
      </c>
      <c r="B274" t="s">
        <v>770</v>
      </c>
      <c r="C274" t="s">
        <v>354</v>
      </c>
      <c r="D274">
        <v>4</v>
      </c>
      <c r="E274" t="s">
        <v>334</v>
      </c>
      <c r="F274" t="s">
        <v>144</v>
      </c>
      <c r="G274" t="s">
        <v>144</v>
      </c>
      <c r="H274" t="s">
        <v>138</v>
      </c>
      <c r="I274">
        <v>7.98</v>
      </c>
      <c r="J274">
        <v>5.34</v>
      </c>
      <c r="K274">
        <f>(I274-J274)/2</f>
        <v>1.3200000000000003</v>
      </c>
      <c r="L274">
        <f>K274/I274</f>
        <v>0.16541353383458648</v>
      </c>
      <c r="M274">
        <v>0.36</v>
      </c>
      <c r="N274">
        <v>2.1999999999999999E-2</v>
      </c>
      <c r="O274">
        <f>M274-N274</f>
        <v>0.33799999999999997</v>
      </c>
      <c r="P274">
        <v>0.2</v>
      </c>
      <c r="Q274">
        <f>P274/O274</f>
        <v>0.59171597633136108</v>
      </c>
    </row>
    <row r="275" spans="1:18" x14ac:dyDescent="0.25">
      <c r="A275">
        <v>274</v>
      </c>
      <c r="B275" t="s">
        <v>769</v>
      </c>
      <c r="C275" t="s">
        <v>361</v>
      </c>
      <c r="D275">
        <v>4</v>
      </c>
      <c r="E275" t="s">
        <v>341</v>
      </c>
      <c r="F275" t="s">
        <v>144</v>
      </c>
      <c r="G275" t="s">
        <v>144</v>
      </c>
      <c r="H275" t="s">
        <v>138</v>
      </c>
      <c r="I275">
        <v>10.26</v>
      </c>
      <c r="J275">
        <v>8.44</v>
      </c>
      <c r="K275">
        <f>(I275-J275)/2</f>
        <v>0.91000000000000014</v>
      </c>
      <c r="L275">
        <f>K275/I275</f>
        <v>8.8693957115009756E-2</v>
      </c>
      <c r="M275">
        <v>1.284</v>
      </c>
      <c r="N275">
        <v>2.1999999999999999E-2</v>
      </c>
      <c r="O275">
        <f>M275-N275</f>
        <v>1.262</v>
      </c>
      <c r="P275">
        <v>0.67400000000000004</v>
      </c>
      <c r="Q275">
        <f>P275/O275</f>
        <v>0.53407290015847864</v>
      </c>
    </row>
    <row r="276" spans="1:18" x14ac:dyDescent="0.25">
      <c r="A276">
        <v>275</v>
      </c>
      <c r="B276" t="s">
        <v>767</v>
      </c>
      <c r="C276" t="s">
        <v>768</v>
      </c>
      <c r="D276">
        <v>1</v>
      </c>
      <c r="E276" t="s">
        <v>778</v>
      </c>
      <c r="F276" t="s">
        <v>144</v>
      </c>
      <c r="G276" t="s">
        <v>144</v>
      </c>
      <c r="H276" t="s">
        <v>138</v>
      </c>
      <c r="I276">
        <v>8.1</v>
      </c>
      <c r="J276">
        <v>7.03</v>
      </c>
      <c r="K276">
        <f>(I276-J276)/2</f>
        <v>0.5349999999999997</v>
      </c>
      <c r="L276">
        <f>K276/I276</f>
        <v>6.6049382716049349E-2</v>
      </c>
      <c r="M276">
        <v>0.80700000000000005</v>
      </c>
      <c r="N276">
        <v>2.1999999999999999E-2</v>
      </c>
      <c r="O276">
        <f>M276-N276</f>
        <v>0.78500000000000003</v>
      </c>
      <c r="P276">
        <v>0.43099999999999999</v>
      </c>
      <c r="Q276">
        <f>P276/O276</f>
        <v>0.54904458598726114</v>
      </c>
    </row>
    <row r="277" spans="1:18" x14ac:dyDescent="0.25">
      <c r="A277">
        <v>276</v>
      </c>
      <c r="B277" t="s">
        <v>766</v>
      </c>
      <c r="C277" t="s">
        <v>372</v>
      </c>
      <c r="D277">
        <v>4</v>
      </c>
      <c r="E277" t="s">
        <v>384</v>
      </c>
      <c r="F277" t="s">
        <v>144</v>
      </c>
      <c r="G277" t="s">
        <v>144</v>
      </c>
      <c r="H277" t="s">
        <v>138</v>
      </c>
      <c r="I277">
        <v>7.89</v>
      </c>
      <c r="J277">
        <v>6.02</v>
      </c>
      <c r="K277">
        <f>(I277-J277)/2</f>
        <v>0.93500000000000005</v>
      </c>
      <c r="L277">
        <f>K277/I277</f>
        <v>0.11850443599493031</v>
      </c>
      <c r="M277">
        <v>0.35299999999999998</v>
      </c>
      <c r="N277">
        <v>2.1999999999999999E-2</v>
      </c>
      <c r="O277">
        <f>M277-N277</f>
        <v>0.33099999999999996</v>
      </c>
      <c r="P277">
        <v>0.21199999999999999</v>
      </c>
      <c r="Q277">
        <f>P277/O277</f>
        <v>0.64048338368580071</v>
      </c>
    </row>
    <row r="278" spans="1:18" x14ac:dyDescent="0.25">
      <c r="A278">
        <v>277</v>
      </c>
      <c r="B278" t="s">
        <v>765</v>
      </c>
      <c r="C278" t="s">
        <v>397</v>
      </c>
      <c r="D278">
        <v>5</v>
      </c>
      <c r="E278" t="s">
        <v>328</v>
      </c>
      <c r="F278" t="s">
        <v>144</v>
      </c>
      <c r="G278" t="s">
        <v>144</v>
      </c>
      <c r="H278" t="s">
        <v>138</v>
      </c>
      <c r="I278">
        <v>7.02</v>
      </c>
      <c r="J278">
        <v>5.39</v>
      </c>
      <c r="K278">
        <f>(I278-J278)/2</f>
        <v>0.81499999999999995</v>
      </c>
      <c r="L278">
        <f>K278/I278</f>
        <v>0.11609686609686609</v>
      </c>
      <c r="M278">
        <v>0.67200000000000004</v>
      </c>
      <c r="N278">
        <v>2.1999999999999999E-2</v>
      </c>
      <c r="O278">
        <f>M278-N278</f>
        <v>0.65</v>
      </c>
      <c r="P278">
        <v>0.42699999999999999</v>
      </c>
      <c r="Q278">
        <f>P278/O278</f>
        <v>0.65692307692307683</v>
      </c>
    </row>
    <row r="279" spans="1:18" x14ac:dyDescent="0.25">
      <c r="A279">
        <v>278</v>
      </c>
      <c r="B279" t="s">
        <v>762</v>
      </c>
      <c r="C279" t="s">
        <v>470</v>
      </c>
      <c r="D279">
        <v>3</v>
      </c>
      <c r="E279" t="s">
        <v>471</v>
      </c>
      <c r="F279" t="s">
        <v>144</v>
      </c>
      <c r="G279" t="s">
        <v>144</v>
      </c>
      <c r="H279" t="s">
        <v>138</v>
      </c>
      <c r="I279">
        <v>5.95</v>
      </c>
      <c r="J279">
        <v>3.12</v>
      </c>
      <c r="K279">
        <f>(I279-J279)/2</f>
        <v>1.415</v>
      </c>
      <c r="L279">
        <f>K279/I279</f>
        <v>0.23781512605042016</v>
      </c>
      <c r="M279">
        <v>0.27500000000000002</v>
      </c>
      <c r="N279">
        <v>2.1999999999999999E-2</v>
      </c>
      <c r="O279">
        <f>M279-N279</f>
        <v>0.253</v>
      </c>
      <c r="P279">
        <v>0.16600000000000001</v>
      </c>
      <c r="Q279">
        <f>P279/O279</f>
        <v>0.65612648221343872</v>
      </c>
      <c r="R279" t="s">
        <v>560</v>
      </c>
    </row>
    <row r="280" spans="1:18" x14ac:dyDescent="0.25">
      <c r="A280">
        <v>279</v>
      </c>
      <c r="B280" t="s">
        <v>760</v>
      </c>
      <c r="C280" t="s">
        <v>621</v>
      </c>
      <c r="D280">
        <v>3</v>
      </c>
      <c r="E280" t="s">
        <v>777</v>
      </c>
      <c r="F280" t="s">
        <v>144</v>
      </c>
      <c r="G280" t="s">
        <v>144</v>
      </c>
      <c r="H280" t="s">
        <v>138</v>
      </c>
      <c r="I280">
        <v>10.02</v>
      </c>
      <c r="J280">
        <v>4.68</v>
      </c>
      <c r="K280">
        <f>(I280-J280)/2</f>
        <v>2.67</v>
      </c>
      <c r="L280">
        <f>K280/I280</f>
        <v>0.26646706586826346</v>
      </c>
      <c r="M280">
        <f>0.358+0.482</f>
        <v>0.84</v>
      </c>
      <c r="N280">
        <v>2.1999999999999999E-2</v>
      </c>
      <c r="O280">
        <f>M280-N280</f>
        <v>0.81799999999999995</v>
      </c>
      <c r="P280">
        <v>0.28100000000000003</v>
      </c>
      <c r="Q280">
        <f>P280/O280</f>
        <v>0.34352078239608808</v>
      </c>
    </row>
    <row r="281" spans="1:18" x14ac:dyDescent="0.25">
      <c r="A281">
        <v>280</v>
      </c>
      <c r="B281" t="s">
        <v>759</v>
      </c>
      <c r="C281" t="s">
        <v>641</v>
      </c>
      <c r="D281">
        <v>3</v>
      </c>
      <c r="E281" t="s">
        <v>758</v>
      </c>
      <c r="F281" t="s">
        <v>144</v>
      </c>
      <c r="G281" t="s">
        <v>144</v>
      </c>
      <c r="H281" t="s">
        <v>138</v>
      </c>
      <c r="I281">
        <v>5.7</v>
      </c>
      <c r="J281">
        <v>4.45</v>
      </c>
      <c r="K281">
        <f>(I281-J281)/2</f>
        <v>0.625</v>
      </c>
      <c r="L281">
        <f>K281/I281</f>
        <v>0.10964912280701754</v>
      </c>
      <c r="M281">
        <v>0.69099999999999995</v>
      </c>
      <c r="N281">
        <v>2.1999999999999999E-2</v>
      </c>
      <c r="O281">
        <f>M281-N281</f>
        <v>0.66899999999999993</v>
      </c>
      <c r="P281">
        <v>0.31900000000000001</v>
      </c>
      <c r="Q281">
        <f>P281/O281</f>
        <v>0.47683109118086703</v>
      </c>
    </row>
    <row r="282" spans="1:18" x14ac:dyDescent="0.25">
      <c r="A282">
        <v>281</v>
      </c>
      <c r="B282" t="s">
        <v>837</v>
      </c>
      <c r="C282" t="s">
        <v>344</v>
      </c>
      <c r="D282">
        <v>5</v>
      </c>
      <c r="E282" t="s">
        <v>5</v>
      </c>
      <c r="F282" t="s">
        <v>144</v>
      </c>
      <c r="G282" t="s">
        <v>144</v>
      </c>
      <c r="H282" t="s">
        <v>138</v>
      </c>
      <c r="I282">
        <v>6.65</v>
      </c>
      <c r="J282">
        <v>5.27</v>
      </c>
      <c r="K282">
        <f>(I282-J282)/2</f>
        <v>0.69000000000000039</v>
      </c>
      <c r="L282">
        <f>K282/I282</f>
        <v>0.10375939849624065</v>
      </c>
      <c r="M282">
        <v>0.42299999999999999</v>
      </c>
      <c r="N282">
        <v>2.1999999999999999E-2</v>
      </c>
      <c r="O282">
        <f>M282-N282</f>
        <v>0.40099999999999997</v>
      </c>
      <c r="P282">
        <v>0.19900000000000001</v>
      </c>
      <c r="Q282">
        <f>P282/O282</f>
        <v>0.4962593516209477</v>
      </c>
    </row>
    <row r="283" spans="1:18" x14ac:dyDescent="0.25">
      <c r="A283">
        <v>282</v>
      </c>
      <c r="B283" t="s">
        <v>852</v>
      </c>
      <c r="C283" t="s">
        <v>627</v>
      </c>
      <c r="D283">
        <v>4</v>
      </c>
      <c r="E283" t="s">
        <v>628</v>
      </c>
      <c r="F283" t="s">
        <v>144</v>
      </c>
      <c r="G283" t="s">
        <v>144</v>
      </c>
      <c r="H283" t="s">
        <v>138</v>
      </c>
      <c r="I283">
        <v>8.4499999999999993</v>
      </c>
      <c r="J283">
        <v>6.7</v>
      </c>
      <c r="K283">
        <f>(I283-J283)/2</f>
        <v>0.87499999999999956</v>
      </c>
      <c r="L283">
        <f>K283/I283</f>
        <v>0.10355029585798813</v>
      </c>
      <c r="M283">
        <v>1.075</v>
      </c>
      <c r="N283">
        <v>2.1999999999999999E-2</v>
      </c>
      <c r="O283">
        <f>M283-N283</f>
        <v>1.0529999999999999</v>
      </c>
      <c r="P283">
        <v>0.68</v>
      </c>
      <c r="Q283">
        <f>P283/O283</f>
        <v>0.64577397910731249</v>
      </c>
    </row>
    <row r="284" spans="1:18" x14ac:dyDescent="0.25">
      <c r="A284">
        <v>283</v>
      </c>
      <c r="B284" t="s">
        <v>827</v>
      </c>
      <c r="C284" t="s">
        <v>538</v>
      </c>
      <c r="D284">
        <v>5</v>
      </c>
      <c r="E284" t="s">
        <v>784</v>
      </c>
      <c r="F284" t="s">
        <v>144</v>
      </c>
      <c r="G284" t="s">
        <v>144</v>
      </c>
      <c r="H284" t="s">
        <v>138</v>
      </c>
      <c r="I284">
        <v>8.76</v>
      </c>
      <c r="J284">
        <v>5.2</v>
      </c>
      <c r="K284">
        <f>(I284-J284)/2</f>
        <v>1.7799999999999998</v>
      </c>
      <c r="L284">
        <f>K284/I284</f>
        <v>0.20319634703196346</v>
      </c>
      <c r="M284">
        <v>0.38800000000000001</v>
      </c>
      <c r="N284">
        <v>2.1999999999999999E-2</v>
      </c>
      <c r="O284">
        <f>M284-N284</f>
        <v>0.36599999999999999</v>
      </c>
      <c r="P284">
        <v>0.17100000000000001</v>
      </c>
      <c r="Q284">
        <f>P284/O284</f>
        <v>0.46721311475409838</v>
      </c>
    </row>
    <row r="285" spans="1:18" x14ac:dyDescent="0.25">
      <c r="A285">
        <v>284</v>
      </c>
      <c r="B285" t="s">
        <v>828</v>
      </c>
      <c r="C285" t="s">
        <v>538</v>
      </c>
      <c r="D285">
        <v>4</v>
      </c>
      <c r="E285" t="s">
        <v>784</v>
      </c>
      <c r="F285" t="s">
        <v>144</v>
      </c>
      <c r="G285" t="s">
        <v>144</v>
      </c>
      <c r="H285" t="s">
        <v>138</v>
      </c>
      <c r="I285">
        <v>10.46</v>
      </c>
      <c r="J285">
        <v>5.47</v>
      </c>
      <c r="K285">
        <f>(I285-J285)/2</f>
        <v>2.4950000000000006</v>
      </c>
      <c r="L285">
        <f>K285/I285</f>
        <v>0.23852772466539202</v>
      </c>
      <c r="M285">
        <v>0.54900000000000004</v>
      </c>
      <c r="N285">
        <v>2.1999999999999999E-2</v>
      </c>
      <c r="O285">
        <f>M285-N285</f>
        <v>0.52700000000000002</v>
      </c>
      <c r="P285">
        <v>0.26500000000000001</v>
      </c>
      <c r="Q285">
        <f>P285/O285</f>
        <v>0.50284629981024664</v>
      </c>
    </row>
    <row r="286" spans="1:18" x14ac:dyDescent="0.25">
      <c r="A286">
        <v>285</v>
      </c>
      <c r="B286" t="s">
        <v>836</v>
      </c>
      <c r="C286" t="s">
        <v>397</v>
      </c>
      <c r="D286">
        <v>4</v>
      </c>
      <c r="E286" t="s">
        <v>328</v>
      </c>
      <c r="F286" t="s">
        <v>144</v>
      </c>
      <c r="G286" t="s">
        <v>144</v>
      </c>
      <c r="H286" t="s">
        <v>138</v>
      </c>
      <c r="I286">
        <v>7.43</v>
      </c>
      <c r="J286">
        <v>4.5599999999999996</v>
      </c>
      <c r="K286">
        <f>(I286-J286)/2</f>
        <v>1.4350000000000001</v>
      </c>
      <c r="L286">
        <f>K286/I286</f>
        <v>0.19313593539703905</v>
      </c>
      <c r="M286">
        <v>0.46200000000000002</v>
      </c>
      <c r="N286">
        <v>2.1999999999999999E-2</v>
      </c>
      <c r="O286">
        <f>M286-N286</f>
        <v>0.44</v>
      </c>
      <c r="P286">
        <v>0.29599999999999999</v>
      </c>
      <c r="Q286">
        <f>P286/O286</f>
        <v>0.67272727272727273</v>
      </c>
    </row>
    <row r="287" spans="1:18" x14ac:dyDescent="0.25">
      <c r="A287">
        <v>286</v>
      </c>
      <c r="B287" t="s">
        <v>835</v>
      </c>
      <c r="C287" t="s">
        <v>652</v>
      </c>
      <c r="D287">
        <v>5</v>
      </c>
      <c r="E287" t="s">
        <v>653</v>
      </c>
      <c r="F287" t="s">
        <v>144</v>
      </c>
      <c r="G287" t="s">
        <v>144</v>
      </c>
      <c r="H287" t="s">
        <v>138</v>
      </c>
      <c r="I287">
        <v>9.01</v>
      </c>
      <c r="J287">
        <v>7.26</v>
      </c>
      <c r="K287">
        <f>(I287-J287)/2</f>
        <v>0.875</v>
      </c>
      <c r="L287">
        <f>K287/I287</f>
        <v>9.7114317425083238E-2</v>
      </c>
      <c r="M287">
        <v>1.1040000000000001</v>
      </c>
      <c r="N287">
        <v>2.1999999999999999E-2</v>
      </c>
      <c r="O287">
        <f>M287-N287</f>
        <v>1.0820000000000001</v>
      </c>
      <c r="P287">
        <v>0.53900000000000003</v>
      </c>
      <c r="Q287">
        <f>P287/O287</f>
        <v>0.49815157116451014</v>
      </c>
    </row>
    <row r="288" spans="1:18" x14ac:dyDescent="0.25">
      <c r="A288">
        <v>287</v>
      </c>
      <c r="B288" t="s">
        <v>851</v>
      </c>
      <c r="C288" t="s">
        <v>402</v>
      </c>
      <c r="D288">
        <v>5</v>
      </c>
      <c r="E288" t="s">
        <v>294</v>
      </c>
      <c r="F288" t="s">
        <v>144</v>
      </c>
      <c r="G288" t="s">
        <v>144</v>
      </c>
      <c r="H288" t="s">
        <v>138</v>
      </c>
      <c r="I288">
        <v>9.36</v>
      </c>
      <c r="J288">
        <v>7.85</v>
      </c>
      <c r="K288">
        <f>(I288-J288)/2</f>
        <v>0.75499999999999989</v>
      </c>
      <c r="L288">
        <f>K288/I288</f>
        <v>8.0662393162393153E-2</v>
      </c>
      <c r="M288">
        <v>0.89900000000000002</v>
      </c>
      <c r="N288">
        <v>2.1999999999999999E-2</v>
      </c>
      <c r="O288">
        <f>M288-N288</f>
        <v>0.877</v>
      </c>
      <c r="P288">
        <v>0.59899999999999998</v>
      </c>
      <c r="Q288">
        <f>P288/O288</f>
        <v>0.68301026225769668</v>
      </c>
    </row>
    <row r="289" spans="1:18" x14ac:dyDescent="0.25">
      <c r="A289">
        <v>288</v>
      </c>
      <c r="B289" t="s">
        <v>832</v>
      </c>
      <c r="C289" t="s">
        <v>833</v>
      </c>
      <c r="D289">
        <v>1</v>
      </c>
      <c r="E289" t="s">
        <v>834</v>
      </c>
      <c r="F289" t="s">
        <v>144</v>
      </c>
      <c r="G289" t="s">
        <v>144</v>
      </c>
      <c r="H289" t="s">
        <v>138</v>
      </c>
      <c r="I289">
        <v>9.33</v>
      </c>
      <c r="J289">
        <v>6.28</v>
      </c>
      <c r="K289">
        <f>(I289-J289)/2</f>
        <v>1.5249999999999999</v>
      </c>
      <c r="L289">
        <f>K289/I289</f>
        <v>0.16345123258306538</v>
      </c>
      <c r="M289">
        <v>0.88</v>
      </c>
      <c r="N289">
        <v>2.1999999999999999E-2</v>
      </c>
      <c r="O289">
        <f>M289-N289</f>
        <v>0.85799999999999998</v>
      </c>
      <c r="P289">
        <v>0.377</v>
      </c>
      <c r="Q289">
        <f>P289/O289</f>
        <v>0.43939393939393939</v>
      </c>
      <c r="R289" t="s">
        <v>853</v>
      </c>
    </row>
    <row r="290" spans="1:18" x14ac:dyDescent="0.25">
      <c r="A290">
        <v>289</v>
      </c>
      <c r="B290" t="s">
        <v>849</v>
      </c>
      <c r="C290" t="s">
        <v>627</v>
      </c>
      <c r="D290">
        <v>3</v>
      </c>
      <c r="E290" t="s">
        <v>628</v>
      </c>
      <c r="F290" t="s">
        <v>144</v>
      </c>
      <c r="G290" t="s">
        <v>144</v>
      </c>
      <c r="H290" t="s">
        <v>138</v>
      </c>
      <c r="I290">
        <v>8.35</v>
      </c>
      <c r="J290">
        <v>6.49</v>
      </c>
      <c r="K290">
        <f>(I290-J290)/2</f>
        <v>0.92999999999999972</v>
      </c>
      <c r="L290">
        <f>K290/I290</f>
        <v>0.11137724550898201</v>
      </c>
      <c r="M290">
        <v>0.78600000000000003</v>
      </c>
      <c r="N290">
        <v>2.1999999999999999E-2</v>
      </c>
      <c r="O290">
        <f>M290-N290</f>
        <v>0.76400000000000001</v>
      </c>
      <c r="P290">
        <v>0.50600000000000001</v>
      </c>
      <c r="Q290">
        <f>P290/O290</f>
        <v>0.66230366492146597</v>
      </c>
    </row>
    <row r="291" spans="1:18" x14ac:dyDescent="0.25">
      <c r="A291">
        <v>290</v>
      </c>
      <c r="B291" t="s">
        <v>831</v>
      </c>
      <c r="C291" t="s">
        <v>796</v>
      </c>
      <c r="D291">
        <v>4</v>
      </c>
      <c r="E291" t="s">
        <v>797</v>
      </c>
      <c r="F291" t="s">
        <v>144</v>
      </c>
      <c r="G291" t="s">
        <v>144</v>
      </c>
      <c r="H291" t="s">
        <v>138</v>
      </c>
      <c r="I291">
        <v>6.83</v>
      </c>
      <c r="J291">
        <v>5.66</v>
      </c>
      <c r="K291">
        <f>(I291-J291)/2</f>
        <v>0.58499999999999996</v>
      </c>
      <c r="L291">
        <f>K291/I291</f>
        <v>8.5651537335285494E-2</v>
      </c>
      <c r="M291">
        <v>0.72599999999999998</v>
      </c>
      <c r="N291">
        <v>2.1999999999999999E-2</v>
      </c>
      <c r="O291">
        <f>M291-N291</f>
        <v>0.70399999999999996</v>
      </c>
      <c r="P291">
        <v>0.442</v>
      </c>
      <c r="Q291">
        <f>P291/O291</f>
        <v>0.62784090909090917</v>
      </c>
    </row>
    <row r="292" spans="1:18" x14ac:dyDescent="0.25">
      <c r="A292">
        <v>291</v>
      </c>
      <c r="B292" t="s">
        <v>830</v>
      </c>
      <c r="C292" t="s">
        <v>515</v>
      </c>
      <c r="D292">
        <v>3</v>
      </c>
      <c r="E292" t="s">
        <v>516</v>
      </c>
      <c r="F292" t="s">
        <v>144</v>
      </c>
      <c r="G292" t="s">
        <v>144</v>
      </c>
      <c r="H292" t="s">
        <v>138</v>
      </c>
      <c r="I292">
        <v>7.25</v>
      </c>
      <c r="J292">
        <v>6.32</v>
      </c>
      <c r="K292">
        <f>(I292-J292)/2</f>
        <v>0.46499999999999986</v>
      </c>
      <c r="L292">
        <f>K292/I292</f>
        <v>6.4137931034482745E-2</v>
      </c>
      <c r="M292">
        <v>0.60399999999999998</v>
      </c>
      <c r="N292">
        <v>2.1999999999999999E-2</v>
      </c>
      <c r="O292">
        <f>M292-N292</f>
        <v>0.58199999999999996</v>
      </c>
      <c r="P292">
        <v>0.45</v>
      </c>
      <c r="Q292">
        <f>P292/O292</f>
        <v>0.77319587628865982</v>
      </c>
    </row>
    <row r="293" spans="1:18" x14ac:dyDescent="0.25">
      <c r="A293">
        <v>292</v>
      </c>
      <c r="B293" t="s">
        <v>829</v>
      </c>
      <c r="C293" t="s">
        <v>627</v>
      </c>
      <c r="D293">
        <v>5</v>
      </c>
      <c r="E293" t="s">
        <v>628</v>
      </c>
      <c r="F293" t="s">
        <v>144</v>
      </c>
      <c r="G293" t="s">
        <v>144</v>
      </c>
      <c r="H293" t="s">
        <v>138</v>
      </c>
      <c r="I293">
        <v>6.71</v>
      </c>
      <c r="J293">
        <v>5.13</v>
      </c>
      <c r="K293">
        <f>(I293-J293)/2</f>
        <v>0.79</v>
      </c>
      <c r="L293">
        <f>K293/I293</f>
        <v>0.11773472429210134</v>
      </c>
      <c r="M293">
        <v>0.996</v>
      </c>
      <c r="N293">
        <v>2.1999999999999999E-2</v>
      </c>
      <c r="O293">
        <f>M293-N293</f>
        <v>0.97399999999999998</v>
      </c>
      <c r="P293">
        <v>0.56200000000000006</v>
      </c>
      <c r="Q293">
        <f>P293/O293</f>
        <v>0.57700205338809041</v>
      </c>
    </row>
    <row r="294" spans="1:18" x14ac:dyDescent="0.25">
      <c r="A294">
        <v>293</v>
      </c>
      <c r="B294" t="s">
        <v>850</v>
      </c>
      <c r="C294" t="s">
        <v>357</v>
      </c>
      <c r="D294">
        <v>5</v>
      </c>
      <c r="E294" t="s">
        <v>291</v>
      </c>
      <c r="F294" t="s">
        <v>144</v>
      </c>
      <c r="G294" t="s">
        <v>144</v>
      </c>
      <c r="H294" t="s">
        <v>138</v>
      </c>
      <c r="I294">
        <v>8.1</v>
      </c>
      <c r="J294">
        <v>6.36</v>
      </c>
      <c r="K294">
        <f>(I294-J294)/2</f>
        <v>0.86999999999999966</v>
      </c>
      <c r="L294">
        <f>K294/I294</f>
        <v>0.10740740740740737</v>
      </c>
      <c r="M294">
        <v>1.141</v>
      </c>
      <c r="N294">
        <v>2.1999999999999999E-2</v>
      </c>
      <c r="O294">
        <f>M294-N294</f>
        <v>1.119</v>
      </c>
      <c r="P294">
        <v>0.57799999999999996</v>
      </c>
      <c r="Q294">
        <f>P294/O294</f>
        <v>0.51653261840929399</v>
      </c>
    </row>
    <row r="295" spans="1:18" x14ac:dyDescent="0.25">
      <c r="A295">
        <v>294</v>
      </c>
      <c r="B295" t="s">
        <v>848</v>
      </c>
      <c r="C295" t="s">
        <v>398</v>
      </c>
      <c r="D295">
        <v>5</v>
      </c>
      <c r="E295" t="s">
        <v>262</v>
      </c>
      <c r="F295" t="s">
        <v>144</v>
      </c>
      <c r="G295" t="s">
        <v>144</v>
      </c>
      <c r="H295" t="s">
        <v>138</v>
      </c>
      <c r="I295">
        <v>8.4700000000000006</v>
      </c>
      <c r="J295">
        <v>6.28</v>
      </c>
      <c r="K295">
        <f>(I295-J295)/2</f>
        <v>1.0950000000000002</v>
      </c>
      <c r="L295">
        <f>K295/I295</f>
        <v>0.12927981109799294</v>
      </c>
      <c r="M295">
        <v>0.83299999999999996</v>
      </c>
      <c r="N295">
        <v>2.1999999999999999E-2</v>
      </c>
      <c r="O295">
        <f>M295-N295</f>
        <v>0.81099999999999994</v>
      </c>
      <c r="P295">
        <v>0.52300000000000002</v>
      </c>
      <c r="Q295">
        <f>P295/O295</f>
        <v>0.64488286066584466</v>
      </c>
    </row>
    <row r="296" spans="1:18" x14ac:dyDescent="0.25">
      <c r="A296">
        <v>295</v>
      </c>
      <c r="B296" t="s">
        <v>847</v>
      </c>
      <c r="C296" t="s">
        <v>796</v>
      </c>
      <c r="D296">
        <v>3</v>
      </c>
      <c r="E296" t="s">
        <v>797</v>
      </c>
      <c r="F296" t="s">
        <v>144</v>
      </c>
      <c r="G296" t="s">
        <v>144</v>
      </c>
      <c r="H296" t="s">
        <v>138</v>
      </c>
      <c r="I296">
        <v>6.63</v>
      </c>
      <c r="J296">
        <v>4.6399999999999997</v>
      </c>
      <c r="K296">
        <f>(I296-J296)/2</f>
        <v>0.99500000000000011</v>
      </c>
      <c r="L296">
        <f>K296/I296</f>
        <v>0.15007541478129716</v>
      </c>
      <c r="M296">
        <v>0.36799999999999999</v>
      </c>
      <c r="N296">
        <v>2.1999999999999999E-2</v>
      </c>
      <c r="O296">
        <f>M296-N296</f>
        <v>0.34599999999999997</v>
      </c>
      <c r="P296">
        <v>0.27600000000000002</v>
      </c>
      <c r="Q296">
        <f>P296/O296</f>
        <v>0.79768786127167646</v>
      </c>
    </row>
    <row r="297" spans="1:18" x14ac:dyDescent="0.25">
      <c r="A297">
        <v>296</v>
      </c>
      <c r="B297" t="s">
        <v>844</v>
      </c>
      <c r="C297" t="s">
        <v>845</v>
      </c>
      <c r="D297">
        <v>1</v>
      </c>
      <c r="E297" t="s">
        <v>846</v>
      </c>
      <c r="F297" t="s">
        <v>144</v>
      </c>
      <c r="G297" t="s">
        <v>144</v>
      </c>
      <c r="H297" t="s">
        <v>138</v>
      </c>
      <c r="I297">
        <v>10.56</v>
      </c>
      <c r="J297">
        <v>9.14</v>
      </c>
      <c r="K297">
        <f>(I297-J297)/2</f>
        <v>0.71</v>
      </c>
      <c r="L297">
        <f>K297/I297</f>
        <v>6.7234848484848481E-2</v>
      </c>
      <c r="M297">
        <v>0.93500000000000005</v>
      </c>
      <c r="N297">
        <v>2.1999999999999999E-2</v>
      </c>
      <c r="O297">
        <f>M297-N297</f>
        <v>0.91300000000000003</v>
      </c>
      <c r="P297">
        <v>0.57299999999999995</v>
      </c>
      <c r="Q297">
        <f>P297/O297</f>
        <v>0.62760131434830224</v>
      </c>
    </row>
    <row r="298" spans="1:18" x14ac:dyDescent="0.25">
      <c r="A298">
        <v>297</v>
      </c>
      <c r="B298" t="s">
        <v>841</v>
      </c>
      <c r="C298" t="s">
        <v>842</v>
      </c>
      <c r="D298">
        <v>1</v>
      </c>
      <c r="E298" t="s">
        <v>843</v>
      </c>
      <c r="F298" t="s">
        <v>144</v>
      </c>
      <c r="G298" t="s">
        <v>144</v>
      </c>
      <c r="H298" t="s">
        <v>138</v>
      </c>
      <c r="I298">
        <v>7.62</v>
      </c>
      <c r="J298">
        <v>6.18</v>
      </c>
      <c r="K298">
        <f>(I298-J298)/2</f>
        <v>0.7200000000000002</v>
      </c>
      <c r="L298">
        <f>K298/I298</f>
        <v>9.4488188976377979E-2</v>
      </c>
      <c r="M298">
        <v>0.69299999999999995</v>
      </c>
      <c r="N298">
        <v>2.1999999999999999E-2</v>
      </c>
      <c r="O298">
        <f>M298-N298</f>
        <v>0.67099999999999993</v>
      </c>
      <c r="P298">
        <v>0.51300000000000001</v>
      </c>
      <c r="Q298">
        <f>P298/O298</f>
        <v>0.7645305514157974</v>
      </c>
    </row>
    <row r="299" spans="1:18" x14ac:dyDescent="0.25">
      <c r="A299">
        <v>298</v>
      </c>
      <c r="B299" t="s">
        <v>840</v>
      </c>
      <c r="C299" t="s">
        <v>522</v>
      </c>
      <c r="D299">
        <v>5</v>
      </c>
      <c r="E299" t="s">
        <v>523</v>
      </c>
      <c r="F299" t="s">
        <v>144</v>
      </c>
      <c r="G299" t="s">
        <v>144</v>
      </c>
      <c r="H299" t="s">
        <v>138</v>
      </c>
      <c r="I299">
        <v>8.64</v>
      </c>
      <c r="J299">
        <v>6.77</v>
      </c>
      <c r="K299">
        <f>(I299-J299)/2</f>
        <v>0.9350000000000005</v>
      </c>
      <c r="L299">
        <f>K299/I299</f>
        <v>0.10821759259259264</v>
      </c>
      <c r="M299">
        <v>0.65500000000000003</v>
      </c>
      <c r="N299">
        <v>2.1999999999999999E-2</v>
      </c>
      <c r="O299">
        <f>M299-N299</f>
        <v>0.63300000000000001</v>
      </c>
      <c r="P299">
        <v>0.40400000000000003</v>
      </c>
      <c r="Q299">
        <f>P299/O299</f>
        <v>0.6382306477093207</v>
      </c>
    </row>
    <row r="300" spans="1:18" x14ac:dyDescent="0.25">
      <c r="A300">
        <v>299</v>
      </c>
      <c r="B300" t="s">
        <v>839</v>
      </c>
      <c r="C300" t="s">
        <v>526</v>
      </c>
      <c r="D300">
        <v>3</v>
      </c>
      <c r="E300" t="s">
        <v>558</v>
      </c>
      <c r="F300" t="s">
        <v>144</v>
      </c>
      <c r="G300" t="s">
        <v>144</v>
      </c>
      <c r="H300" t="s">
        <v>138</v>
      </c>
      <c r="I300">
        <v>6.76</v>
      </c>
      <c r="J300">
        <v>5.66</v>
      </c>
      <c r="K300">
        <f>(I300-J300)/2</f>
        <v>0.54999999999999982</v>
      </c>
      <c r="L300">
        <f>K300/I300</f>
        <v>8.1360946745562102E-2</v>
      </c>
      <c r="M300">
        <v>0.68100000000000005</v>
      </c>
      <c r="N300">
        <v>2.1999999999999999E-2</v>
      </c>
      <c r="O300">
        <f>M300-N300</f>
        <v>0.65900000000000003</v>
      </c>
      <c r="P300">
        <v>0.42199999999999999</v>
      </c>
      <c r="Q300">
        <f>P300/O300</f>
        <v>0.64036418816388463</v>
      </c>
    </row>
    <row r="301" spans="1:18" x14ac:dyDescent="0.25">
      <c r="A301">
        <v>300</v>
      </c>
      <c r="B301" t="s">
        <v>779</v>
      </c>
      <c r="C301" t="s">
        <v>641</v>
      </c>
      <c r="D301">
        <v>5</v>
      </c>
      <c r="E301" t="s">
        <v>758</v>
      </c>
      <c r="F301" t="s">
        <v>144</v>
      </c>
      <c r="G301" t="s">
        <v>144</v>
      </c>
      <c r="H301" t="s">
        <v>138</v>
      </c>
      <c r="I301">
        <v>6.74</v>
      </c>
      <c r="J301">
        <v>5.55</v>
      </c>
      <c r="K301">
        <f>(I301-J301)/2</f>
        <v>0.5950000000000002</v>
      </c>
      <c r="L301">
        <f>K301/I301</f>
        <v>8.8278931750741862E-2</v>
      </c>
      <c r="M301">
        <v>0.47299999999999998</v>
      </c>
      <c r="N301">
        <v>2.1999999999999999E-2</v>
      </c>
      <c r="O301">
        <f>M301-N301</f>
        <v>0.45099999999999996</v>
      </c>
      <c r="P301">
        <v>0.22</v>
      </c>
      <c r="Q301">
        <f>P301/O301</f>
        <v>0.48780487804878053</v>
      </c>
    </row>
    <row r="302" spans="1:18" x14ac:dyDescent="0.25">
      <c r="A302">
        <v>301</v>
      </c>
      <c r="B302" t="s">
        <v>781</v>
      </c>
      <c r="C302" t="s">
        <v>382</v>
      </c>
      <c r="D302">
        <v>5</v>
      </c>
      <c r="E302" t="s">
        <v>335</v>
      </c>
      <c r="F302" t="s">
        <v>144</v>
      </c>
      <c r="G302" t="s">
        <v>144</v>
      </c>
      <c r="H302" t="s">
        <v>138</v>
      </c>
      <c r="I302">
        <v>7.28</v>
      </c>
      <c r="J302">
        <v>5.38</v>
      </c>
      <c r="K302">
        <f>(I302-J302)/2</f>
        <v>0.95000000000000018</v>
      </c>
      <c r="L302">
        <f>K302/I302</f>
        <v>0.1304945054945055</v>
      </c>
      <c r="M302">
        <v>0.50900000000000001</v>
      </c>
      <c r="N302">
        <v>2.1999999999999999E-2</v>
      </c>
      <c r="O302">
        <f>M302-N302</f>
        <v>0.48699999999999999</v>
      </c>
      <c r="P302">
        <v>0.218</v>
      </c>
      <c r="Q302">
        <f>P302/O302</f>
        <v>0.44763860369609859</v>
      </c>
    </row>
    <row r="303" spans="1:18" x14ac:dyDescent="0.25">
      <c r="A303">
        <v>302</v>
      </c>
      <c r="B303" t="s">
        <v>783</v>
      </c>
      <c r="C303" t="s">
        <v>538</v>
      </c>
      <c r="D303">
        <v>3</v>
      </c>
      <c r="E303" t="s">
        <v>784</v>
      </c>
      <c r="F303" t="s">
        <v>144</v>
      </c>
      <c r="G303" t="s">
        <v>144</v>
      </c>
      <c r="H303" t="s">
        <v>138</v>
      </c>
      <c r="I303">
        <v>6.73</v>
      </c>
      <c r="J303">
        <v>4.24</v>
      </c>
      <c r="K303">
        <f>(I303-J303)/2</f>
        <v>1.2450000000000001</v>
      </c>
      <c r="L303">
        <f>K303/I303</f>
        <v>0.18499257057949481</v>
      </c>
      <c r="M303">
        <v>0.498</v>
      </c>
      <c r="N303">
        <v>2.1999999999999999E-2</v>
      </c>
      <c r="O303">
        <f>M303-N303</f>
        <v>0.47599999999999998</v>
      </c>
      <c r="P303">
        <v>0.17399999999999999</v>
      </c>
      <c r="Q303">
        <f>P303/O303</f>
        <v>0.36554621848739494</v>
      </c>
    </row>
    <row r="304" spans="1:18" x14ac:dyDescent="0.25">
      <c r="A304">
        <v>303</v>
      </c>
      <c r="B304" t="s">
        <v>785</v>
      </c>
      <c r="C304" t="s">
        <v>372</v>
      </c>
      <c r="D304">
        <v>5</v>
      </c>
      <c r="E304" t="s">
        <v>384</v>
      </c>
      <c r="F304" t="s">
        <v>144</v>
      </c>
      <c r="G304" t="s">
        <v>144</v>
      </c>
      <c r="H304" t="s">
        <v>138</v>
      </c>
      <c r="I304">
        <v>7.14</v>
      </c>
      <c r="J304">
        <v>4.91</v>
      </c>
      <c r="K304">
        <f>(I304-J304)/2</f>
        <v>1.1149999999999998</v>
      </c>
      <c r="L304">
        <f>K304/I304</f>
        <v>0.15616246498599437</v>
      </c>
      <c r="M304">
        <v>0.63</v>
      </c>
      <c r="N304">
        <v>2.1999999999999999E-2</v>
      </c>
      <c r="O304">
        <f>M304-N304</f>
        <v>0.60799999999999998</v>
      </c>
      <c r="P304">
        <v>0.41899999999999998</v>
      </c>
      <c r="Q304">
        <f>P304/O304</f>
        <v>0.6891447368421052</v>
      </c>
    </row>
    <row r="305" spans="1:19" x14ac:dyDescent="0.25">
      <c r="A305">
        <v>304</v>
      </c>
      <c r="B305" t="s">
        <v>787</v>
      </c>
      <c r="C305" t="s">
        <v>451</v>
      </c>
      <c r="D305">
        <v>5</v>
      </c>
      <c r="E305" t="s">
        <v>452</v>
      </c>
      <c r="F305" t="s">
        <v>144</v>
      </c>
      <c r="G305" t="s">
        <v>144</v>
      </c>
      <c r="H305" t="s">
        <v>138</v>
      </c>
      <c r="I305">
        <v>7.27</v>
      </c>
      <c r="J305">
        <v>4.6900000000000004</v>
      </c>
      <c r="K305">
        <f>(I305-J305)/2</f>
        <v>1.2899999999999996</v>
      </c>
      <c r="L305">
        <f>K305/I305</f>
        <v>0.17744154057771661</v>
      </c>
      <c r="M305">
        <v>0.375</v>
      </c>
      <c r="N305">
        <v>2.1999999999999999E-2</v>
      </c>
      <c r="O305">
        <f>M305-N305</f>
        <v>0.35299999999999998</v>
      </c>
      <c r="P305">
        <v>0.20399999999999999</v>
      </c>
      <c r="Q305">
        <f>P305/O305</f>
        <v>0.57790368271954673</v>
      </c>
    </row>
    <row r="306" spans="1:19" x14ac:dyDescent="0.25">
      <c r="A306">
        <v>305</v>
      </c>
      <c r="B306" t="s">
        <v>788</v>
      </c>
      <c r="C306" t="s">
        <v>398</v>
      </c>
      <c r="D306">
        <v>4</v>
      </c>
      <c r="E306" t="s">
        <v>262</v>
      </c>
      <c r="F306" t="s">
        <v>144</v>
      </c>
      <c r="G306" t="s">
        <v>144</v>
      </c>
      <c r="H306" t="s">
        <v>138</v>
      </c>
      <c r="I306">
        <v>7.22</v>
      </c>
      <c r="J306">
        <v>4.97</v>
      </c>
      <c r="K306">
        <f>(I306-J306)/2</f>
        <v>1.125</v>
      </c>
      <c r="L306">
        <f>K306/I306</f>
        <v>0.15581717451523547</v>
      </c>
      <c r="M306">
        <v>0.45</v>
      </c>
      <c r="N306">
        <v>2.1999999999999999E-2</v>
      </c>
      <c r="O306">
        <f>M306-N306</f>
        <v>0.42799999999999999</v>
      </c>
      <c r="P306">
        <v>0.28399999999999997</v>
      </c>
      <c r="Q306">
        <f>P306/O306</f>
        <v>0.66355140186915884</v>
      </c>
      <c r="S306" t="s">
        <v>1053</v>
      </c>
    </row>
    <row r="307" spans="1:19" x14ac:dyDescent="0.25">
      <c r="A307">
        <v>306</v>
      </c>
      <c r="B307" t="s">
        <v>798</v>
      </c>
      <c r="C307" t="s">
        <v>391</v>
      </c>
      <c r="D307">
        <v>5</v>
      </c>
      <c r="E307" t="s">
        <v>325</v>
      </c>
      <c r="F307" t="s">
        <v>144</v>
      </c>
      <c r="G307" t="s">
        <v>144</v>
      </c>
      <c r="H307" t="s">
        <v>138</v>
      </c>
      <c r="I307">
        <v>7.36</v>
      </c>
      <c r="J307">
        <v>6.2</v>
      </c>
      <c r="K307">
        <f>(I307-J307)/2</f>
        <v>0.58000000000000007</v>
      </c>
      <c r="L307">
        <f>K307/I307</f>
        <v>7.880434782608696E-2</v>
      </c>
      <c r="M307">
        <v>0.70399999999999996</v>
      </c>
      <c r="N307">
        <v>2.1999999999999999E-2</v>
      </c>
      <c r="O307">
        <f>M307-N307</f>
        <v>0.68199999999999994</v>
      </c>
      <c r="P307">
        <v>0.38800000000000001</v>
      </c>
      <c r="Q307">
        <f>P307/O307</f>
        <v>0.56891495601173026</v>
      </c>
    </row>
    <row r="308" spans="1:19" x14ac:dyDescent="0.25">
      <c r="A308">
        <v>307</v>
      </c>
      <c r="B308" t="s">
        <v>782</v>
      </c>
      <c r="C308" t="s">
        <v>621</v>
      </c>
      <c r="D308">
        <v>5</v>
      </c>
      <c r="E308" t="s">
        <v>777</v>
      </c>
      <c r="F308" t="s">
        <v>144</v>
      </c>
      <c r="G308" t="s">
        <v>144</v>
      </c>
      <c r="H308" t="s">
        <v>138</v>
      </c>
      <c r="I308">
        <v>7.48</v>
      </c>
      <c r="J308">
        <v>5.0599999999999996</v>
      </c>
      <c r="K308">
        <f>(I308-J308)/2</f>
        <v>1.2100000000000004</v>
      </c>
      <c r="L308">
        <f>K308/I308</f>
        <v>0.16176470588235298</v>
      </c>
      <c r="M308">
        <v>0.39500000000000002</v>
      </c>
      <c r="N308">
        <v>2.1999999999999999E-2</v>
      </c>
      <c r="O308">
        <f>M308-N308</f>
        <v>0.373</v>
      </c>
      <c r="P308">
        <v>0.115</v>
      </c>
      <c r="Q308">
        <f>P308/O308</f>
        <v>0.3083109919571046</v>
      </c>
    </row>
    <row r="309" spans="1:19" x14ac:dyDescent="0.25">
      <c r="A309">
        <v>308</v>
      </c>
      <c r="B309" t="s">
        <v>786</v>
      </c>
      <c r="C309" t="s">
        <v>641</v>
      </c>
      <c r="D309">
        <v>4</v>
      </c>
      <c r="E309" t="s">
        <v>758</v>
      </c>
      <c r="F309" t="s">
        <v>144</v>
      </c>
      <c r="G309" t="s">
        <v>144</v>
      </c>
      <c r="H309" t="s">
        <v>138</v>
      </c>
      <c r="I309">
        <v>6.96</v>
      </c>
      <c r="J309">
        <v>4.55</v>
      </c>
      <c r="K309">
        <f>(I309-J309)/2</f>
        <v>1.2050000000000001</v>
      </c>
      <c r="L309">
        <f>K309/I309</f>
        <v>0.17313218390804599</v>
      </c>
      <c r="M309">
        <v>0.64900000000000002</v>
      </c>
      <c r="N309">
        <v>2.1999999999999999E-2</v>
      </c>
      <c r="O309">
        <f>M309-N309</f>
        <v>0.627</v>
      </c>
      <c r="P309">
        <v>0.32700000000000001</v>
      </c>
      <c r="Q309">
        <f>P309/O309</f>
        <v>0.52153110047846896</v>
      </c>
    </row>
    <row r="310" spans="1:19" x14ac:dyDescent="0.25">
      <c r="A310">
        <v>309</v>
      </c>
      <c r="B310" t="s">
        <v>838</v>
      </c>
      <c r="C310" t="s">
        <v>526</v>
      </c>
      <c r="D310">
        <v>4</v>
      </c>
      <c r="E310" t="s">
        <v>854</v>
      </c>
      <c r="F310" t="s">
        <v>144</v>
      </c>
      <c r="G310" t="s">
        <v>144</v>
      </c>
      <c r="H310" t="s">
        <v>138</v>
      </c>
      <c r="I310">
        <v>6.43</v>
      </c>
      <c r="J310">
        <v>5.39</v>
      </c>
      <c r="K310">
        <f>(I310-J310)/2</f>
        <v>0.52</v>
      </c>
      <c r="L310">
        <f>K310/I310</f>
        <v>8.0870917573872478E-2</v>
      </c>
      <c r="M310">
        <v>0.53600000000000003</v>
      </c>
      <c r="N310">
        <v>2.1999999999999999E-2</v>
      </c>
      <c r="O310">
        <f>M310-N310</f>
        <v>0.51400000000000001</v>
      </c>
      <c r="P310">
        <v>0.21199999999999999</v>
      </c>
      <c r="Q310">
        <f>P310/O310</f>
        <v>0.41245136186770426</v>
      </c>
    </row>
    <row r="311" spans="1:19" x14ac:dyDescent="0.25">
      <c r="A311">
        <v>310</v>
      </c>
      <c r="B311" t="s">
        <v>789</v>
      </c>
      <c r="C311" t="s">
        <v>344</v>
      </c>
      <c r="D311">
        <v>4</v>
      </c>
      <c r="E311" t="s">
        <v>5</v>
      </c>
      <c r="F311" t="s">
        <v>144</v>
      </c>
      <c r="G311" t="s">
        <v>144</v>
      </c>
      <c r="H311" t="s">
        <v>138</v>
      </c>
      <c r="I311">
        <v>6.95</v>
      </c>
      <c r="J311">
        <v>5.95</v>
      </c>
      <c r="K311">
        <f>(I311-J311)/2</f>
        <v>0.5</v>
      </c>
      <c r="L311">
        <f>K311/I311</f>
        <v>7.1942446043165464E-2</v>
      </c>
      <c r="M311">
        <v>0.58099999999999996</v>
      </c>
      <c r="N311">
        <v>2.1999999999999999E-2</v>
      </c>
      <c r="O311">
        <f>M311-N311</f>
        <v>0.55899999999999994</v>
      </c>
      <c r="P311">
        <v>0.309</v>
      </c>
      <c r="Q311">
        <f>P311/O311</f>
        <v>0.55277280858676214</v>
      </c>
    </row>
    <row r="312" spans="1:19" x14ac:dyDescent="0.25">
      <c r="A312">
        <v>311</v>
      </c>
      <c r="B312" t="s">
        <v>790</v>
      </c>
      <c r="C312" t="s">
        <v>621</v>
      </c>
      <c r="D312">
        <v>4</v>
      </c>
      <c r="E312" t="s">
        <v>777</v>
      </c>
      <c r="F312" t="s">
        <v>144</v>
      </c>
      <c r="G312" t="s">
        <v>144</v>
      </c>
      <c r="H312" t="s">
        <v>138</v>
      </c>
      <c r="I312">
        <v>11.54</v>
      </c>
      <c r="J312">
        <v>4.92</v>
      </c>
      <c r="K312">
        <f>(I312-J312)/2</f>
        <v>3.3099999999999996</v>
      </c>
      <c r="L312">
        <f>K312/I312</f>
        <v>0.28682842287694971</v>
      </c>
      <c r="M312">
        <f>0.301+0.47</f>
        <v>0.77099999999999991</v>
      </c>
      <c r="N312">
        <v>2.1999999999999999E-2</v>
      </c>
      <c r="O312">
        <f>M312-N312</f>
        <v>0.74899999999999989</v>
      </c>
      <c r="P312">
        <v>0.34</v>
      </c>
      <c r="Q312">
        <f>P312/O312</f>
        <v>0.45393858477970639</v>
      </c>
    </row>
    <row r="313" spans="1:19" x14ac:dyDescent="0.25">
      <c r="A313">
        <v>312</v>
      </c>
      <c r="B313" t="s">
        <v>791</v>
      </c>
      <c r="C313" t="s">
        <v>402</v>
      </c>
      <c r="D313">
        <v>4</v>
      </c>
      <c r="E313" t="s">
        <v>294</v>
      </c>
      <c r="F313" t="s">
        <v>144</v>
      </c>
      <c r="G313" t="s">
        <v>144</v>
      </c>
      <c r="H313" t="s">
        <v>138</v>
      </c>
      <c r="I313">
        <v>5.01</v>
      </c>
      <c r="J313">
        <v>4.05</v>
      </c>
      <c r="K313">
        <f>(I313-J313)/2</f>
        <v>0.48</v>
      </c>
      <c r="L313">
        <f>K313/I313</f>
        <v>9.580838323353294E-2</v>
      </c>
      <c r="M313">
        <v>0.85499999999999998</v>
      </c>
      <c r="N313">
        <v>2.1999999999999999E-2</v>
      </c>
      <c r="O313">
        <f>M313-N313</f>
        <v>0.83299999999999996</v>
      </c>
      <c r="P313">
        <v>0.6</v>
      </c>
      <c r="Q313">
        <f>P313/O313</f>
        <v>0.72028811524609848</v>
      </c>
    </row>
    <row r="314" spans="1:19" x14ac:dyDescent="0.25">
      <c r="A314">
        <v>313</v>
      </c>
      <c r="B314" t="s">
        <v>780</v>
      </c>
      <c r="C314" t="s">
        <v>354</v>
      </c>
      <c r="D314">
        <v>5</v>
      </c>
      <c r="E314" t="s">
        <v>334</v>
      </c>
      <c r="F314" t="s">
        <v>144</v>
      </c>
      <c r="G314" t="s">
        <v>144</v>
      </c>
      <c r="H314" t="s">
        <v>138</v>
      </c>
      <c r="I314">
        <v>6.23</v>
      </c>
      <c r="J314">
        <v>4.25</v>
      </c>
      <c r="K314">
        <f>(I314-J314)/2</f>
        <v>0.99000000000000021</v>
      </c>
      <c r="L314">
        <f>K314/I314</f>
        <v>0.15890850722311398</v>
      </c>
      <c r="M314">
        <v>0.55800000000000005</v>
      </c>
      <c r="N314">
        <v>2.1999999999999999E-2</v>
      </c>
      <c r="O314">
        <f>M314-N314</f>
        <v>0.53600000000000003</v>
      </c>
      <c r="P314">
        <v>0.34699999999999998</v>
      </c>
      <c r="Q314">
        <f>P314/O314</f>
        <v>0.64738805970149249</v>
      </c>
    </row>
    <row r="315" spans="1:19" x14ac:dyDescent="0.25">
      <c r="A315">
        <v>314</v>
      </c>
      <c r="B315" t="s">
        <v>792</v>
      </c>
      <c r="C315" t="s">
        <v>361</v>
      </c>
      <c r="D315">
        <v>5</v>
      </c>
      <c r="E315" t="s">
        <v>341</v>
      </c>
      <c r="F315" t="s">
        <v>144</v>
      </c>
      <c r="G315" t="s">
        <v>144</v>
      </c>
      <c r="H315" t="s">
        <v>138</v>
      </c>
      <c r="I315">
        <v>8.07</v>
      </c>
      <c r="J315">
        <v>5.96</v>
      </c>
      <c r="K315">
        <f>(I315-J315)/2</f>
        <v>1.0550000000000002</v>
      </c>
      <c r="L315">
        <f>K315/I315</f>
        <v>0.13073110285006198</v>
      </c>
      <c r="M315">
        <v>0.89600000000000002</v>
      </c>
      <c r="N315">
        <v>2.1999999999999999E-2</v>
      </c>
      <c r="O315">
        <f>M315-N315</f>
        <v>0.874</v>
      </c>
      <c r="P315">
        <v>0.45700000000000002</v>
      </c>
      <c r="Q315">
        <f>P315/O315</f>
        <v>0.52288329519450805</v>
      </c>
    </row>
    <row r="316" spans="1:19" x14ac:dyDescent="0.25">
      <c r="A316">
        <v>315</v>
      </c>
      <c r="B316" t="s">
        <v>793</v>
      </c>
      <c r="C316" t="s">
        <v>346</v>
      </c>
      <c r="D316">
        <v>4</v>
      </c>
      <c r="E316" t="s">
        <v>377</v>
      </c>
      <c r="F316" t="s">
        <v>144</v>
      </c>
      <c r="G316" t="s">
        <v>144</v>
      </c>
      <c r="H316" t="s">
        <v>138</v>
      </c>
      <c r="I316">
        <v>7.71</v>
      </c>
      <c r="J316">
        <v>3.97</v>
      </c>
      <c r="K316">
        <f>(I316-J316)/2</f>
        <v>1.8699999999999999</v>
      </c>
      <c r="L316">
        <f>K316/I316</f>
        <v>0.24254215304798962</v>
      </c>
      <c r="M316">
        <v>0.52200000000000002</v>
      </c>
      <c r="N316">
        <v>2.1999999999999999E-2</v>
      </c>
      <c r="O316">
        <f>M316-N316</f>
        <v>0.5</v>
      </c>
      <c r="P316">
        <v>0.3</v>
      </c>
      <c r="Q316">
        <f>P316/O316</f>
        <v>0.6</v>
      </c>
    </row>
    <row r="317" spans="1:19" x14ac:dyDescent="0.25">
      <c r="A317">
        <v>316</v>
      </c>
      <c r="B317" t="s">
        <v>794</v>
      </c>
      <c r="C317" t="s">
        <v>348</v>
      </c>
      <c r="D317">
        <v>5</v>
      </c>
      <c r="E317" t="s">
        <v>497</v>
      </c>
      <c r="F317" t="s">
        <v>144</v>
      </c>
      <c r="G317" t="s">
        <v>144</v>
      </c>
      <c r="H317" t="s">
        <v>138</v>
      </c>
      <c r="I317">
        <v>7.27</v>
      </c>
      <c r="J317">
        <v>5.86</v>
      </c>
      <c r="K317">
        <f>(I317-J317)/2</f>
        <v>0.70499999999999963</v>
      </c>
      <c r="L317">
        <f>K317/I317</f>
        <v>9.6973865199449755E-2</v>
      </c>
      <c r="M317">
        <v>0.72399999999999998</v>
      </c>
      <c r="N317">
        <v>2.1999999999999999E-2</v>
      </c>
      <c r="O317">
        <f>M317-N317</f>
        <v>0.70199999999999996</v>
      </c>
      <c r="P317">
        <v>0.51900000000000002</v>
      </c>
      <c r="Q317">
        <f>P317/O317</f>
        <v>0.73931623931623935</v>
      </c>
    </row>
    <row r="318" spans="1:19" x14ac:dyDescent="0.25">
      <c r="A318">
        <v>317</v>
      </c>
      <c r="B318" t="s">
        <v>795</v>
      </c>
      <c r="C318" t="s">
        <v>796</v>
      </c>
      <c r="D318">
        <v>2</v>
      </c>
      <c r="E318" t="s">
        <v>797</v>
      </c>
      <c r="F318" t="s">
        <v>144</v>
      </c>
      <c r="G318" t="s">
        <v>144</v>
      </c>
      <c r="H318" t="s">
        <v>138</v>
      </c>
      <c r="I318">
        <v>7.97</v>
      </c>
      <c r="J318">
        <v>4.3600000000000003</v>
      </c>
      <c r="K318">
        <f>(I318-J318)/2</f>
        <v>1.8049999999999997</v>
      </c>
      <c r="L318">
        <f>K318/I318</f>
        <v>0.226474278544542</v>
      </c>
      <c r="M318">
        <v>0.72699999999999998</v>
      </c>
      <c r="N318">
        <v>2.1999999999999999E-2</v>
      </c>
      <c r="O318">
        <f>M318-N318</f>
        <v>0.70499999999999996</v>
      </c>
      <c r="P318">
        <v>0.35899999999999999</v>
      </c>
      <c r="Q318">
        <f>P318/O318</f>
        <v>0.50921985815602833</v>
      </c>
      <c r="S318" t="s">
        <v>936</v>
      </c>
    </row>
    <row r="319" spans="1:19" x14ac:dyDescent="0.25">
      <c r="A319">
        <v>318</v>
      </c>
      <c r="B319" t="s">
        <v>799</v>
      </c>
      <c r="C319" t="s">
        <v>652</v>
      </c>
      <c r="D319">
        <v>4</v>
      </c>
      <c r="E319" t="s">
        <v>653</v>
      </c>
      <c r="F319" t="s">
        <v>144</v>
      </c>
      <c r="G319" t="s">
        <v>144</v>
      </c>
      <c r="H319" t="s">
        <v>138</v>
      </c>
      <c r="I319">
        <v>8.99</v>
      </c>
      <c r="J319">
        <v>7.35</v>
      </c>
      <c r="K319">
        <f>(I319-J319)/2</f>
        <v>0.82000000000000028</v>
      </c>
      <c r="L319">
        <f>K319/I319</f>
        <v>9.121245828698557E-2</v>
      </c>
      <c r="M319">
        <v>0.85799999999999998</v>
      </c>
      <c r="N319">
        <v>2.1999999999999999E-2</v>
      </c>
      <c r="O319">
        <f>M319-N319</f>
        <v>0.83599999999999997</v>
      </c>
      <c r="P319">
        <v>0.39900000000000002</v>
      </c>
      <c r="Q319">
        <f>P319/O319</f>
        <v>0.47727272727272729</v>
      </c>
    </row>
    <row r="320" spans="1:19" x14ac:dyDescent="0.25">
      <c r="A320">
        <v>319</v>
      </c>
      <c r="B320" t="s">
        <v>800</v>
      </c>
      <c r="C320" t="s">
        <v>652</v>
      </c>
      <c r="D320">
        <v>3</v>
      </c>
      <c r="E320" t="s">
        <v>653</v>
      </c>
      <c r="F320" t="s">
        <v>144</v>
      </c>
      <c r="G320" t="s">
        <v>144</v>
      </c>
      <c r="H320" t="s">
        <v>138</v>
      </c>
      <c r="I320">
        <v>10.09</v>
      </c>
      <c r="J320">
        <v>9.02</v>
      </c>
      <c r="K320">
        <f>(I320-J320)/2</f>
        <v>0.53500000000000014</v>
      </c>
      <c r="L320">
        <f>K320/I320</f>
        <v>5.3022794846382573E-2</v>
      </c>
      <c r="M320">
        <v>1.1559999999999999</v>
      </c>
      <c r="N320">
        <v>2.1999999999999999E-2</v>
      </c>
      <c r="O320">
        <f>M320-N320</f>
        <v>1.1339999999999999</v>
      </c>
      <c r="P320">
        <v>0.44400000000000001</v>
      </c>
      <c r="Q320">
        <f>P320/O320</f>
        <v>0.39153439153439157</v>
      </c>
    </row>
    <row r="321" spans="1:17" x14ac:dyDescent="0.25">
      <c r="A321">
        <v>320</v>
      </c>
      <c r="B321" t="s">
        <v>889</v>
      </c>
      <c r="C321" t="s">
        <v>881</v>
      </c>
      <c r="D321">
        <v>4</v>
      </c>
      <c r="E321" t="s">
        <v>882</v>
      </c>
      <c r="F321" t="s">
        <v>144</v>
      </c>
      <c r="G321" t="s">
        <v>144</v>
      </c>
      <c r="H321" t="s">
        <v>138</v>
      </c>
      <c r="I321">
        <v>7.87</v>
      </c>
      <c r="J321">
        <v>6.92</v>
      </c>
      <c r="K321">
        <f>(I321-J321)/2</f>
        <v>0.47500000000000009</v>
      </c>
      <c r="L321">
        <f>K321/I321</f>
        <v>6.0355781448538766E-2</v>
      </c>
      <c r="M321">
        <v>0.63600000000000001</v>
      </c>
      <c r="N321">
        <v>2.1999999999999999E-2</v>
      </c>
      <c r="O321">
        <f>M321-N321</f>
        <v>0.61399999999999999</v>
      </c>
      <c r="P321">
        <v>0.46200000000000002</v>
      </c>
      <c r="Q321">
        <f>P321/O321</f>
        <v>0.75244299674267101</v>
      </c>
    </row>
    <row r="322" spans="1:17" x14ac:dyDescent="0.25">
      <c r="A322">
        <v>321</v>
      </c>
      <c r="B322" t="s">
        <v>909</v>
      </c>
      <c r="C322" t="s">
        <v>447</v>
      </c>
      <c r="D322">
        <v>2</v>
      </c>
      <c r="E322" t="s">
        <v>448</v>
      </c>
      <c r="F322" t="s">
        <v>144</v>
      </c>
      <c r="G322" t="s">
        <v>144</v>
      </c>
      <c r="H322" t="s">
        <v>138</v>
      </c>
      <c r="I322">
        <v>8.61</v>
      </c>
      <c r="J322">
        <v>6.62</v>
      </c>
      <c r="K322">
        <f>(I322-J322)/2</f>
        <v>0.99499999999999966</v>
      </c>
      <c r="L322">
        <f>K322/I322</f>
        <v>0.11556329849012772</v>
      </c>
      <c r="M322">
        <v>1.3009999999999999</v>
      </c>
      <c r="N322">
        <v>2.1999999999999999E-2</v>
      </c>
      <c r="O322">
        <f>M322-N322</f>
        <v>1.2789999999999999</v>
      </c>
      <c r="P322">
        <v>0.59799999999999998</v>
      </c>
      <c r="Q322">
        <f>P322/O322</f>
        <v>0.46755277560594216</v>
      </c>
    </row>
    <row r="323" spans="1:17" x14ac:dyDescent="0.25">
      <c r="A323">
        <v>322</v>
      </c>
      <c r="B323" t="s">
        <v>906</v>
      </c>
      <c r="C323" t="s">
        <v>907</v>
      </c>
      <c r="D323">
        <v>1</v>
      </c>
      <c r="E323" t="s">
        <v>931</v>
      </c>
      <c r="F323" t="s">
        <v>144</v>
      </c>
      <c r="G323" t="s">
        <v>144</v>
      </c>
      <c r="H323" t="s">
        <v>138</v>
      </c>
      <c r="I323">
        <v>7.19</v>
      </c>
      <c r="J323">
        <v>5.75</v>
      </c>
      <c r="K323">
        <f>(I323-J323)/2</f>
        <v>0.7200000000000002</v>
      </c>
      <c r="L323">
        <f>K323/I323</f>
        <v>0.10013908205841449</v>
      </c>
      <c r="M323">
        <v>0.85</v>
      </c>
      <c r="N323">
        <v>2.1999999999999999E-2</v>
      </c>
      <c r="O323">
        <f>M323-N323</f>
        <v>0.82799999999999996</v>
      </c>
      <c r="P323">
        <v>0.61499999999999999</v>
      </c>
      <c r="Q323">
        <f>P323/O323</f>
        <v>0.74275362318840588</v>
      </c>
    </row>
    <row r="324" spans="1:17" x14ac:dyDescent="0.25">
      <c r="A324">
        <v>323</v>
      </c>
      <c r="B324" t="s">
        <v>904</v>
      </c>
      <c r="C324" t="s">
        <v>609</v>
      </c>
      <c r="D324">
        <v>4</v>
      </c>
      <c r="E324" t="s">
        <v>610</v>
      </c>
      <c r="F324" t="s">
        <v>144</v>
      </c>
      <c r="G324" t="s">
        <v>144</v>
      </c>
      <c r="H324" t="s">
        <v>138</v>
      </c>
      <c r="I324">
        <v>6.13</v>
      </c>
      <c r="J324">
        <v>4.17</v>
      </c>
      <c r="K324">
        <f>(I324-J324)/2</f>
        <v>0.98</v>
      </c>
      <c r="L324">
        <f>K324/I324</f>
        <v>0.1598694942903752</v>
      </c>
      <c r="M324">
        <v>0.53800000000000003</v>
      </c>
      <c r="N324">
        <v>2.1999999999999999E-2</v>
      </c>
      <c r="O324">
        <f>M324-N324</f>
        <v>0.51600000000000001</v>
      </c>
      <c r="P324">
        <v>0.214</v>
      </c>
      <c r="Q324">
        <f>P324/O324</f>
        <v>0.4147286821705426</v>
      </c>
    </row>
    <row r="325" spans="1:17" x14ac:dyDescent="0.25">
      <c r="A325">
        <v>324</v>
      </c>
      <c r="B325" t="s">
        <v>903</v>
      </c>
      <c r="C325" t="s">
        <v>419</v>
      </c>
      <c r="D325">
        <v>2</v>
      </c>
      <c r="E325" t="s">
        <v>569</v>
      </c>
      <c r="F325" t="s">
        <v>144</v>
      </c>
      <c r="G325" t="s">
        <v>144</v>
      </c>
      <c r="H325" t="s">
        <v>138</v>
      </c>
      <c r="I325">
        <v>6.43</v>
      </c>
      <c r="J325">
        <v>5.75</v>
      </c>
      <c r="K325">
        <f>(I325-J325)/2</f>
        <v>0.33999999999999986</v>
      </c>
      <c r="L325">
        <f>K325/I325</f>
        <v>5.2877138413685826E-2</v>
      </c>
      <c r="M325">
        <v>0.88400000000000001</v>
      </c>
      <c r="N325">
        <v>2.1999999999999999E-2</v>
      </c>
      <c r="O325">
        <f>M325-N325</f>
        <v>0.86199999999999999</v>
      </c>
      <c r="P325">
        <v>0.51300000000000001</v>
      </c>
      <c r="Q325">
        <f>P325/O325</f>
        <v>0.59512761020881677</v>
      </c>
    </row>
    <row r="326" spans="1:17" x14ac:dyDescent="0.25">
      <c r="A326">
        <v>325</v>
      </c>
      <c r="B326" t="s">
        <v>905</v>
      </c>
      <c r="C326" t="s">
        <v>419</v>
      </c>
      <c r="D326">
        <v>5</v>
      </c>
      <c r="E326" t="s">
        <v>569</v>
      </c>
      <c r="F326" t="s">
        <v>144</v>
      </c>
      <c r="G326" t="s">
        <v>144</v>
      </c>
      <c r="H326" t="s">
        <v>138</v>
      </c>
      <c r="I326">
        <v>5.69</v>
      </c>
      <c r="J326">
        <v>5.1100000000000003</v>
      </c>
      <c r="K326">
        <f>(I326-J326)/2</f>
        <v>0.29000000000000004</v>
      </c>
      <c r="L326">
        <f>K326/I326</f>
        <v>5.0966608084358524E-2</v>
      </c>
      <c r="M326">
        <v>0.29599999999999999</v>
      </c>
      <c r="N326">
        <v>2.1999999999999999E-2</v>
      </c>
      <c r="O326">
        <f>M326-N326</f>
        <v>0.27399999999999997</v>
      </c>
      <c r="P326">
        <v>0.114</v>
      </c>
      <c r="Q326">
        <f>P326/O326</f>
        <v>0.41605839416058399</v>
      </c>
    </row>
    <row r="327" spans="1:17" x14ac:dyDescent="0.25">
      <c r="A327">
        <v>326</v>
      </c>
      <c r="B327" t="s">
        <v>902</v>
      </c>
      <c r="C327" t="s">
        <v>881</v>
      </c>
      <c r="D327">
        <v>2</v>
      </c>
      <c r="E327" t="s">
        <v>882</v>
      </c>
      <c r="F327" t="s">
        <v>144</v>
      </c>
      <c r="G327" t="s">
        <v>144</v>
      </c>
      <c r="H327" t="s">
        <v>138</v>
      </c>
      <c r="I327">
        <v>6.12</v>
      </c>
      <c r="J327">
        <v>4.78</v>
      </c>
      <c r="K327">
        <f>(I327-J327)/2</f>
        <v>0.66999999999999993</v>
      </c>
      <c r="L327">
        <f>K327/I327</f>
        <v>0.10947712418300652</v>
      </c>
      <c r="M327">
        <v>0.65</v>
      </c>
      <c r="N327">
        <v>2.1999999999999999E-2</v>
      </c>
      <c r="O327">
        <f>M327-N327</f>
        <v>0.628</v>
      </c>
      <c r="P327">
        <v>0.5</v>
      </c>
      <c r="Q327">
        <f>P327/O327</f>
        <v>0.79617834394904463</v>
      </c>
    </row>
    <row r="328" spans="1:17" x14ac:dyDescent="0.25">
      <c r="A328">
        <v>327</v>
      </c>
      <c r="B328" t="s">
        <v>901</v>
      </c>
      <c r="C328" t="s">
        <v>866</v>
      </c>
      <c r="D328">
        <v>5</v>
      </c>
      <c r="E328" t="s">
        <v>867</v>
      </c>
      <c r="F328" t="s">
        <v>144</v>
      </c>
      <c r="G328" t="s">
        <v>144</v>
      </c>
      <c r="H328" t="s">
        <v>138</v>
      </c>
      <c r="I328">
        <v>5.93</v>
      </c>
      <c r="J328">
        <v>4.3</v>
      </c>
      <c r="K328">
        <f>(I328-J328)/2</f>
        <v>0.81499999999999995</v>
      </c>
      <c r="L328">
        <f>K328/I328</f>
        <v>0.13743676222596965</v>
      </c>
      <c r="M328">
        <v>0.38600000000000001</v>
      </c>
      <c r="N328">
        <v>2.1999999999999999E-2</v>
      </c>
      <c r="O328">
        <f>M328-N328</f>
        <v>0.36399999999999999</v>
      </c>
      <c r="P328">
        <v>0.192</v>
      </c>
      <c r="Q328">
        <f>P328/O328</f>
        <v>0.52747252747252749</v>
      </c>
    </row>
    <row r="329" spans="1:17" x14ac:dyDescent="0.25">
      <c r="A329">
        <v>328</v>
      </c>
      <c r="B329" t="s">
        <v>900</v>
      </c>
      <c r="C329" t="s">
        <v>515</v>
      </c>
      <c r="D329">
        <v>4</v>
      </c>
      <c r="E329" t="s">
        <v>516</v>
      </c>
      <c r="F329" t="s">
        <v>144</v>
      </c>
      <c r="G329" t="s">
        <v>144</v>
      </c>
      <c r="H329" t="s">
        <v>138</v>
      </c>
      <c r="I329">
        <v>5.01</v>
      </c>
      <c r="J329">
        <v>4.4000000000000004</v>
      </c>
      <c r="K329">
        <f>(I329-J329)/2</f>
        <v>0.30499999999999972</v>
      </c>
      <c r="L329">
        <f>K329/I329</f>
        <v>6.0878243512973995E-2</v>
      </c>
      <c r="M329">
        <v>0.44</v>
      </c>
      <c r="N329">
        <v>2.1999999999999999E-2</v>
      </c>
      <c r="O329">
        <f>M329-N329</f>
        <v>0.41799999999999998</v>
      </c>
      <c r="P329">
        <v>0.36099999999999999</v>
      </c>
      <c r="Q329">
        <f>P329/O329</f>
        <v>0.86363636363636365</v>
      </c>
    </row>
    <row r="330" spans="1:17" x14ac:dyDescent="0.25">
      <c r="A330">
        <v>329</v>
      </c>
      <c r="B330" t="s">
        <v>897</v>
      </c>
      <c r="C330" t="s">
        <v>898</v>
      </c>
      <c r="D330">
        <v>1</v>
      </c>
      <c r="E330" t="s">
        <v>899</v>
      </c>
      <c r="F330" t="s">
        <v>144</v>
      </c>
      <c r="G330" t="s">
        <v>144</v>
      </c>
      <c r="H330" t="s">
        <v>138</v>
      </c>
      <c r="I330">
        <v>7.3</v>
      </c>
      <c r="J330">
        <v>5.57</v>
      </c>
      <c r="K330">
        <f>(I330-J330)/2</f>
        <v>0.86499999999999977</v>
      </c>
      <c r="L330">
        <f>K330/I330</f>
        <v>0.11849315068493148</v>
      </c>
      <c r="M330">
        <v>1.4410000000000001</v>
      </c>
      <c r="N330">
        <v>2.1999999999999999E-2</v>
      </c>
      <c r="O330">
        <f>M330-N330</f>
        <v>1.419</v>
      </c>
      <c r="P330">
        <v>0.91500000000000004</v>
      </c>
      <c r="Q330">
        <f>P330/O330</f>
        <v>0.64482029598308666</v>
      </c>
    </row>
    <row r="331" spans="1:17" x14ac:dyDescent="0.25">
      <c r="A331">
        <v>330</v>
      </c>
      <c r="B331" t="s">
        <v>896</v>
      </c>
      <c r="C331" t="s">
        <v>845</v>
      </c>
      <c r="D331">
        <v>2</v>
      </c>
      <c r="E331" t="s">
        <v>846</v>
      </c>
      <c r="F331" t="s">
        <v>144</v>
      </c>
      <c r="G331" t="s">
        <v>144</v>
      </c>
      <c r="H331" t="s">
        <v>138</v>
      </c>
      <c r="I331">
        <v>8.66</v>
      </c>
      <c r="J331">
        <v>8.17</v>
      </c>
      <c r="K331">
        <f>(I331-J331)/2</f>
        <v>0.24500000000000011</v>
      </c>
      <c r="L331">
        <f>K331/I331</f>
        <v>2.8290993071593544E-2</v>
      </c>
      <c r="M331">
        <v>0.27300000000000002</v>
      </c>
      <c r="N331">
        <v>2.1999999999999999E-2</v>
      </c>
      <c r="O331">
        <f>M331-N331</f>
        <v>0.251</v>
      </c>
      <c r="P331">
        <v>0.20200000000000001</v>
      </c>
      <c r="Q331">
        <f>P331/O331</f>
        <v>0.80478087649402397</v>
      </c>
    </row>
    <row r="332" spans="1:17" x14ac:dyDescent="0.25">
      <c r="A332">
        <v>331</v>
      </c>
      <c r="B332" t="s">
        <v>895</v>
      </c>
      <c r="C332" t="s">
        <v>346</v>
      </c>
      <c r="D332">
        <v>5</v>
      </c>
      <c r="E332" t="s">
        <v>377</v>
      </c>
      <c r="F332" t="s">
        <v>144</v>
      </c>
      <c r="G332" t="s">
        <v>144</v>
      </c>
      <c r="H332" t="s">
        <v>138</v>
      </c>
      <c r="I332">
        <v>5.28</v>
      </c>
      <c r="J332">
        <v>3.78</v>
      </c>
      <c r="K332">
        <f>(I332-J332)/2</f>
        <v>0.75000000000000022</v>
      </c>
      <c r="L332">
        <f>K332/I332</f>
        <v>0.14204545454545459</v>
      </c>
      <c r="M332">
        <v>0.33600000000000002</v>
      </c>
      <c r="N332">
        <v>2.1999999999999999E-2</v>
      </c>
      <c r="O332">
        <f>M332-N332</f>
        <v>0.314</v>
      </c>
      <c r="P332">
        <v>0.222</v>
      </c>
      <c r="Q332">
        <f>P332/O332</f>
        <v>0.70700636942675155</v>
      </c>
    </row>
    <row r="333" spans="1:17" x14ac:dyDescent="0.25">
      <c r="A333">
        <v>332</v>
      </c>
      <c r="B333" t="s">
        <v>857</v>
      </c>
      <c r="C333" t="s">
        <v>858</v>
      </c>
      <c r="D333">
        <v>2</v>
      </c>
      <c r="E333" t="s">
        <v>859</v>
      </c>
      <c r="F333" t="s">
        <v>144</v>
      </c>
      <c r="G333" t="s">
        <v>144</v>
      </c>
      <c r="H333" t="s">
        <v>138</v>
      </c>
      <c r="I333">
        <v>6.38</v>
      </c>
      <c r="J333">
        <v>4.8600000000000003</v>
      </c>
      <c r="K333">
        <f>(I333-J333)/2</f>
        <v>0.75999999999999979</v>
      </c>
      <c r="L333">
        <f>K333/I333</f>
        <v>0.11912225705329151</v>
      </c>
      <c r="M333">
        <v>0.56499999999999995</v>
      </c>
      <c r="N333">
        <v>2.1999999999999999E-2</v>
      </c>
      <c r="O333">
        <f>M333-N333</f>
        <v>0.54299999999999993</v>
      </c>
      <c r="P333">
        <v>0.377</v>
      </c>
      <c r="Q333">
        <f>P333/O333</f>
        <v>0.69429097605893197</v>
      </c>
    </row>
    <row r="334" spans="1:17" x14ac:dyDescent="0.25">
      <c r="A334">
        <v>333</v>
      </c>
      <c r="B334" t="s">
        <v>932</v>
      </c>
      <c r="C334" t="s">
        <v>933</v>
      </c>
      <c r="D334">
        <v>1</v>
      </c>
      <c r="E334" t="s">
        <v>912</v>
      </c>
      <c r="F334" t="s">
        <v>144</v>
      </c>
      <c r="G334" t="s">
        <v>144</v>
      </c>
      <c r="H334" t="s">
        <v>138</v>
      </c>
      <c r="I334">
        <v>6.28</v>
      </c>
      <c r="J334">
        <v>5.14</v>
      </c>
      <c r="K334">
        <f>(I334-J334)/2</f>
        <v>0.57000000000000028</v>
      </c>
      <c r="L334">
        <f>K334/I334</f>
        <v>9.0764331210191118E-2</v>
      </c>
      <c r="M334">
        <v>0.35599999999999998</v>
      </c>
      <c r="N334">
        <v>2.1999999999999999E-2</v>
      </c>
      <c r="O334">
        <f>M334-N334</f>
        <v>0.33399999999999996</v>
      </c>
      <c r="P334">
        <v>0.22900000000000001</v>
      </c>
      <c r="Q334">
        <f>P334/O334</f>
        <v>0.68562874251497019</v>
      </c>
    </row>
    <row r="335" spans="1:17" x14ac:dyDescent="0.25">
      <c r="A335">
        <v>334</v>
      </c>
      <c r="B335" t="s">
        <v>878</v>
      </c>
      <c r="C335" t="s">
        <v>858</v>
      </c>
      <c r="D335">
        <v>3</v>
      </c>
      <c r="E335" t="s">
        <v>859</v>
      </c>
      <c r="F335" t="s">
        <v>144</v>
      </c>
      <c r="G335" t="s">
        <v>144</v>
      </c>
      <c r="H335" t="s">
        <v>138</v>
      </c>
      <c r="I335">
        <v>5.3</v>
      </c>
      <c r="J335">
        <v>4.3499999999999996</v>
      </c>
      <c r="K335">
        <f>(I335-J335)/2</f>
        <v>0.47500000000000009</v>
      </c>
      <c r="L335">
        <f>K335/I335</f>
        <v>8.9622641509433984E-2</v>
      </c>
      <c r="M335">
        <v>0.52600000000000002</v>
      </c>
      <c r="N335">
        <v>2.1999999999999999E-2</v>
      </c>
      <c r="O335">
        <f>M335-N335</f>
        <v>0.504</v>
      </c>
      <c r="P335">
        <v>0.30099999999999999</v>
      </c>
      <c r="Q335">
        <f>P335/O335</f>
        <v>0.59722222222222221</v>
      </c>
    </row>
    <row r="336" spans="1:17" x14ac:dyDescent="0.25">
      <c r="A336">
        <v>335</v>
      </c>
      <c r="B336" t="s">
        <v>883</v>
      </c>
      <c r="C336" t="s">
        <v>869</v>
      </c>
      <c r="D336">
        <v>2</v>
      </c>
      <c r="E336" t="s">
        <v>870</v>
      </c>
      <c r="F336" t="s">
        <v>144</v>
      </c>
      <c r="G336" t="s">
        <v>144</v>
      </c>
      <c r="H336" t="s">
        <v>138</v>
      </c>
      <c r="I336">
        <v>5</v>
      </c>
      <c r="J336">
        <v>3.65</v>
      </c>
      <c r="K336">
        <f>(I336-J336)/2</f>
        <v>0.67500000000000004</v>
      </c>
      <c r="L336">
        <f>K336/I336</f>
        <v>0.13500000000000001</v>
      </c>
      <c r="M336">
        <v>0.34699999999999998</v>
      </c>
      <c r="N336">
        <v>2.1999999999999999E-2</v>
      </c>
      <c r="O336">
        <f>M336-N336</f>
        <v>0.32499999999999996</v>
      </c>
      <c r="P336">
        <v>0.222</v>
      </c>
      <c r="Q336">
        <f>P336/O336</f>
        <v>0.68307692307692314</v>
      </c>
    </row>
    <row r="337" spans="1:19" x14ac:dyDescent="0.25">
      <c r="A337">
        <v>336</v>
      </c>
      <c r="B337" t="s">
        <v>890</v>
      </c>
      <c r="C337" t="s">
        <v>891</v>
      </c>
      <c r="D337">
        <v>1</v>
      </c>
      <c r="E337" t="s">
        <v>892</v>
      </c>
      <c r="F337" t="s">
        <v>144</v>
      </c>
      <c r="G337" t="s">
        <v>144</v>
      </c>
      <c r="H337" t="s">
        <v>138</v>
      </c>
      <c r="I337">
        <v>6.1</v>
      </c>
      <c r="J337">
        <v>4.13</v>
      </c>
      <c r="K337">
        <f>(I337-J337)/2</f>
        <v>0.98499999999999988</v>
      </c>
      <c r="L337">
        <f>K337/I337</f>
        <v>0.16147540983606556</v>
      </c>
      <c r="M337">
        <v>0.56299999999999994</v>
      </c>
      <c r="N337">
        <v>2.1999999999999999E-2</v>
      </c>
      <c r="O337">
        <f>M337-N337</f>
        <v>0.54099999999999993</v>
      </c>
      <c r="P337">
        <v>0.41599999999999998</v>
      </c>
      <c r="Q337">
        <f>P337/O337</f>
        <v>0.76894639556377087</v>
      </c>
    </row>
    <row r="338" spans="1:19" x14ac:dyDescent="0.25">
      <c r="A338">
        <v>337</v>
      </c>
      <c r="B338" t="s">
        <v>894</v>
      </c>
      <c r="C338" t="s">
        <v>526</v>
      </c>
      <c r="D338">
        <v>5</v>
      </c>
      <c r="E338" t="s">
        <v>854</v>
      </c>
      <c r="F338" t="s">
        <v>144</v>
      </c>
      <c r="G338" t="s">
        <v>144</v>
      </c>
      <c r="H338" t="s">
        <v>138</v>
      </c>
      <c r="I338">
        <v>7.89</v>
      </c>
      <c r="J338">
        <v>6.76</v>
      </c>
      <c r="K338">
        <f>(I338-J338)/2</f>
        <v>0.56499999999999995</v>
      </c>
      <c r="L338">
        <f>K338/I338</f>
        <v>7.1609632446134344E-2</v>
      </c>
      <c r="M338">
        <v>0.73599999999999999</v>
      </c>
      <c r="N338">
        <v>2.1999999999999999E-2</v>
      </c>
      <c r="O338">
        <f>M338-N338</f>
        <v>0.71399999999999997</v>
      </c>
      <c r="P338">
        <v>0.40699999999999997</v>
      </c>
      <c r="Q338">
        <f>P338/O338</f>
        <v>0.57002801120448177</v>
      </c>
    </row>
    <row r="339" spans="1:19" x14ac:dyDescent="0.25">
      <c r="A339">
        <v>338</v>
      </c>
      <c r="B339" t="s">
        <v>893</v>
      </c>
      <c r="C339" t="s">
        <v>609</v>
      </c>
      <c r="D339">
        <v>5</v>
      </c>
      <c r="E339" t="s">
        <v>610</v>
      </c>
      <c r="F339" t="s">
        <v>144</v>
      </c>
      <c r="G339" t="s">
        <v>144</v>
      </c>
      <c r="H339" t="s">
        <v>138</v>
      </c>
      <c r="I339">
        <v>6.21</v>
      </c>
      <c r="J339">
        <v>5.18</v>
      </c>
      <c r="K339">
        <f>(I339-J339)/2</f>
        <v>0.51500000000000012</v>
      </c>
      <c r="L339">
        <f>K339/I339</f>
        <v>8.2930756843800343E-2</v>
      </c>
      <c r="M339">
        <v>0.33400000000000002</v>
      </c>
      <c r="N339">
        <v>2.1999999999999999E-2</v>
      </c>
      <c r="O339">
        <f>M339-N339</f>
        <v>0.312</v>
      </c>
      <c r="P339">
        <v>0.191</v>
      </c>
      <c r="Q339">
        <f>P339/O339</f>
        <v>0.61217948717948723</v>
      </c>
    </row>
    <row r="340" spans="1:19" x14ac:dyDescent="0.25">
      <c r="A340">
        <v>339</v>
      </c>
      <c r="B340" t="s">
        <v>886</v>
      </c>
      <c r="C340" t="s">
        <v>858</v>
      </c>
      <c r="D340">
        <v>1</v>
      </c>
      <c r="E340" t="s">
        <v>859</v>
      </c>
      <c r="F340" t="s">
        <v>144</v>
      </c>
      <c r="G340" t="s">
        <v>144</v>
      </c>
      <c r="H340" t="s">
        <v>138</v>
      </c>
      <c r="I340">
        <v>7.59</v>
      </c>
      <c r="J340">
        <v>5.7</v>
      </c>
      <c r="K340">
        <f>(I340-J340)/2</f>
        <v>0.94499999999999984</v>
      </c>
      <c r="L340">
        <f>K340/I340</f>
        <v>0.12450592885375492</v>
      </c>
      <c r="M340">
        <v>0.98199999999999998</v>
      </c>
      <c r="N340">
        <v>2.1999999999999999E-2</v>
      </c>
      <c r="O340">
        <f>M340-N340</f>
        <v>0.96</v>
      </c>
      <c r="P340">
        <v>0.60099999999999998</v>
      </c>
      <c r="Q340">
        <f>P340/O340</f>
        <v>0.62604166666666672</v>
      </c>
    </row>
    <row r="341" spans="1:19" x14ac:dyDescent="0.25">
      <c r="A341">
        <v>340</v>
      </c>
      <c r="B341" t="s">
        <v>860</v>
      </c>
      <c r="C341" t="s">
        <v>419</v>
      </c>
      <c r="D341">
        <v>4</v>
      </c>
      <c r="E341" t="s">
        <v>569</v>
      </c>
      <c r="F341" t="s">
        <v>144</v>
      </c>
      <c r="G341" t="s">
        <v>144</v>
      </c>
      <c r="H341" t="s">
        <v>138</v>
      </c>
      <c r="I341">
        <v>6.34</v>
      </c>
      <c r="J341">
        <v>5.18</v>
      </c>
      <c r="K341">
        <f>(I341-J341)/2</f>
        <v>0.58000000000000007</v>
      </c>
      <c r="L341">
        <f>K341/I341</f>
        <v>9.1482649842271307E-2</v>
      </c>
      <c r="M341">
        <v>0.442</v>
      </c>
      <c r="N341">
        <v>2.1999999999999999E-2</v>
      </c>
      <c r="O341">
        <f>M341-N341</f>
        <v>0.42</v>
      </c>
      <c r="P341">
        <v>0.30299999999999999</v>
      </c>
      <c r="Q341">
        <f>P341/O341</f>
        <v>0.72142857142857142</v>
      </c>
    </row>
    <row r="342" spans="1:19" x14ac:dyDescent="0.25">
      <c r="A342">
        <v>341</v>
      </c>
      <c r="B342" t="s">
        <v>938</v>
      </c>
      <c r="C342" t="s">
        <v>866</v>
      </c>
      <c r="D342">
        <v>6</v>
      </c>
      <c r="E342" t="s">
        <v>867</v>
      </c>
      <c r="F342" t="s">
        <v>144</v>
      </c>
      <c r="G342" t="s">
        <v>144</v>
      </c>
      <c r="H342" t="s">
        <v>138</v>
      </c>
      <c r="I342">
        <v>5.9</v>
      </c>
      <c r="J342">
        <v>4.0999999999999996</v>
      </c>
      <c r="K342">
        <f>(I342-J342)/2</f>
        <v>0.90000000000000036</v>
      </c>
      <c r="L342">
        <f>K342/I342</f>
        <v>0.15254237288135597</v>
      </c>
      <c r="M342">
        <v>0.41499999999999998</v>
      </c>
      <c r="N342">
        <v>2.1999999999999999E-2</v>
      </c>
      <c r="O342">
        <f>M342-N342</f>
        <v>0.39299999999999996</v>
      </c>
      <c r="P342">
        <v>0.219</v>
      </c>
      <c r="Q342">
        <f>P342/O342</f>
        <v>0.5572519083969466</v>
      </c>
      <c r="S342" t="s">
        <v>934</v>
      </c>
    </row>
    <row r="343" spans="1:19" x14ac:dyDescent="0.25">
      <c r="A343">
        <v>342</v>
      </c>
      <c r="B343" t="s">
        <v>862</v>
      </c>
      <c r="C343" t="s">
        <v>372</v>
      </c>
      <c r="D343">
        <v>6</v>
      </c>
      <c r="E343" t="s">
        <v>384</v>
      </c>
      <c r="F343" t="s">
        <v>144</v>
      </c>
      <c r="G343" t="s">
        <v>144</v>
      </c>
      <c r="H343" t="s">
        <v>138</v>
      </c>
      <c r="I343">
        <v>6.57</v>
      </c>
      <c r="J343">
        <v>5.0999999999999996</v>
      </c>
      <c r="K343">
        <f>(I343-J343)/2</f>
        <v>0.73500000000000032</v>
      </c>
      <c r="L343">
        <f>K343/I343</f>
        <v>0.11187214611872151</v>
      </c>
      <c r="M343">
        <v>0.78700000000000003</v>
      </c>
      <c r="N343">
        <v>2.1999999999999999E-2</v>
      </c>
      <c r="O343">
        <f>M343-N343</f>
        <v>0.76500000000000001</v>
      </c>
      <c r="P343">
        <v>0.46300000000000002</v>
      </c>
      <c r="Q343">
        <f>P343/O343</f>
        <v>0.60522875816993471</v>
      </c>
    </row>
    <row r="344" spans="1:19" x14ac:dyDescent="0.25">
      <c r="A344">
        <v>343</v>
      </c>
      <c r="B344" t="s">
        <v>888</v>
      </c>
      <c r="C344" t="s">
        <v>866</v>
      </c>
      <c r="D344">
        <v>2</v>
      </c>
      <c r="E344" t="s">
        <v>867</v>
      </c>
      <c r="F344" t="s">
        <v>144</v>
      </c>
      <c r="G344" t="s">
        <v>144</v>
      </c>
      <c r="H344" t="s">
        <v>138</v>
      </c>
      <c r="I344">
        <v>6.7</v>
      </c>
      <c r="J344">
        <v>4.62</v>
      </c>
      <c r="K344">
        <f>(I344-J344)/2</f>
        <v>1.04</v>
      </c>
      <c r="L344">
        <f>K344/I344</f>
        <v>0.15522388059701492</v>
      </c>
      <c r="M344">
        <v>0.39800000000000002</v>
      </c>
      <c r="N344">
        <v>2.1999999999999999E-2</v>
      </c>
      <c r="O344">
        <f>M344-N344</f>
        <v>0.376</v>
      </c>
      <c r="P344">
        <v>0.19500000000000001</v>
      </c>
      <c r="Q344">
        <f>P344/O344</f>
        <v>0.51861702127659581</v>
      </c>
    </row>
    <row r="345" spans="1:19" x14ac:dyDescent="0.25">
      <c r="A345">
        <v>344</v>
      </c>
      <c r="B345" t="s">
        <v>880</v>
      </c>
      <c r="C345" t="s">
        <v>881</v>
      </c>
      <c r="D345">
        <v>1</v>
      </c>
      <c r="E345" t="s">
        <v>882</v>
      </c>
      <c r="F345" t="s">
        <v>144</v>
      </c>
      <c r="G345" t="s">
        <v>144</v>
      </c>
      <c r="H345" t="s">
        <v>138</v>
      </c>
      <c r="I345">
        <v>5.93</v>
      </c>
      <c r="J345">
        <v>5.03</v>
      </c>
      <c r="K345">
        <f>(I345-J345)/2</f>
        <v>0.44999999999999973</v>
      </c>
      <c r="L345">
        <f>K345/I345</f>
        <v>7.5885328836424917E-2</v>
      </c>
      <c r="M345">
        <v>0.499</v>
      </c>
      <c r="N345">
        <v>2.1999999999999999E-2</v>
      </c>
      <c r="O345">
        <f>M345-N345</f>
        <v>0.47699999999999998</v>
      </c>
      <c r="P345">
        <v>0.32700000000000001</v>
      </c>
      <c r="Q345">
        <f>P345/O345</f>
        <v>0.68553459119496862</v>
      </c>
    </row>
    <row r="346" spans="1:19" x14ac:dyDescent="0.25">
      <c r="A346">
        <v>345</v>
      </c>
      <c r="B346" t="s">
        <v>937</v>
      </c>
      <c r="C346" t="s">
        <v>869</v>
      </c>
      <c r="D346">
        <v>6</v>
      </c>
      <c r="E346" t="s">
        <v>870</v>
      </c>
      <c r="F346" t="s">
        <v>144</v>
      </c>
      <c r="G346" t="s">
        <v>144</v>
      </c>
      <c r="H346" t="s">
        <v>138</v>
      </c>
      <c r="I346">
        <v>7.24</v>
      </c>
      <c r="J346">
        <v>5.42</v>
      </c>
      <c r="K346">
        <f>(I346-J346)/2</f>
        <v>0.91000000000000014</v>
      </c>
      <c r="L346">
        <f>K346/I346</f>
        <v>0.12569060773480664</v>
      </c>
      <c r="M346">
        <v>0.42299999999999999</v>
      </c>
      <c r="N346">
        <v>2.1999999999999999E-2</v>
      </c>
      <c r="O346">
        <f>M346-N346</f>
        <v>0.40099999999999997</v>
      </c>
      <c r="P346">
        <v>0.22600000000000001</v>
      </c>
      <c r="Q346">
        <f>P346/O346</f>
        <v>0.56359102244389037</v>
      </c>
      <c r="S346" t="s">
        <v>935</v>
      </c>
    </row>
    <row r="347" spans="1:19" x14ac:dyDescent="0.25">
      <c r="A347">
        <v>346</v>
      </c>
      <c r="B347" t="s">
        <v>876</v>
      </c>
      <c r="C347" t="s">
        <v>858</v>
      </c>
      <c r="D347">
        <v>4</v>
      </c>
      <c r="E347" t="s">
        <v>859</v>
      </c>
      <c r="F347" t="s">
        <v>144</v>
      </c>
      <c r="G347" t="s">
        <v>144</v>
      </c>
      <c r="H347" t="s">
        <v>138</v>
      </c>
      <c r="I347">
        <v>6.71</v>
      </c>
      <c r="J347">
        <v>5.51</v>
      </c>
      <c r="K347">
        <f>(I347-J347)/2</f>
        <v>0.60000000000000009</v>
      </c>
      <c r="L347">
        <f>K347/I347</f>
        <v>8.9418777943368125E-2</v>
      </c>
      <c r="M347">
        <v>0.32</v>
      </c>
      <c r="N347">
        <v>2.1999999999999999E-2</v>
      </c>
      <c r="O347">
        <f>M347-N347</f>
        <v>0.29799999999999999</v>
      </c>
      <c r="P347">
        <v>0.249</v>
      </c>
      <c r="Q347">
        <f>P347/O347</f>
        <v>0.83557046979865779</v>
      </c>
    </row>
    <row r="348" spans="1:19" x14ac:dyDescent="0.25">
      <c r="A348">
        <v>347</v>
      </c>
      <c r="B348" t="s">
        <v>868</v>
      </c>
      <c r="C348" t="s">
        <v>869</v>
      </c>
      <c r="D348">
        <v>3</v>
      </c>
      <c r="E348" t="s">
        <v>870</v>
      </c>
      <c r="F348" t="s">
        <v>144</v>
      </c>
      <c r="G348" t="s">
        <v>144</v>
      </c>
      <c r="H348" t="s">
        <v>138</v>
      </c>
      <c r="I348">
        <v>7.82</v>
      </c>
      <c r="J348">
        <v>5.32</v>
      </c>
      <c r="K348">
        <f>(I348-J348)/2</f>
        <v>1.25</v>
      </c>
      <c r="L348">
        <f>K348/I348</f>
        <v>0.15984654731457801</v>
      </c>
      <c r="M348">
        <v>0.57899999999999996</v>
      </c>
      <c r="N348">
        <v>2.1999999999999999E-2</v>
      </c>
      <c r="O348">
        <f>M348-N348</f>
        <v>0.55699999999999994</v>
      </c>
      <c r="P348">
        <v>0.26500000000000001</v>
      </c>
      <c r="Q348">
        <f>P348/O348</f>
        <v>0.47576301615798933</v>
      </c>
    </row>
    <row r="349" spans="1:19" x14ac:dyDescent="0.25">
      <c r="A349">
        <v>348</v>
      </c>
      <c r="B349" t="s">
        <v>871</v>
      </c>
      <c r="C349" t="s">
        <v>872</v>
      </c>
      <c r="D349">
        <v>1</v>
      </c>
      <c r="E349" t="s">
        <v>873</v>
      </c>
      <c r="F349" t="s">
        <v>144</v>
      </c>
      <c r="G349" t="s">
        <v>144</v>
      </c>
      <c r="H349" t="s">
        <v>138</v>
      </c>
      <c r="I349">
        <v>8.52</v>
      </c>
      <c r="J349">
        <v>6.04</v>
      </c>
      <c r="K349">
        <f>(I349-J349)/2</f>
        <v>1.2399999999999998</v>
      </c>
      <c r="L349">
        <f>K349/I349</f>
        <v>0.14553990610328638</v>
      </c>
      <c r="M349">
        <v>0.78400000000000003</v>
      </c>
      <c r="N349">
        <v>2.1999999999999999E-2</v>
      </c>
      <c r="O349">
        <f>M349-N349</f>
        <v>0.76200000000000001</v>
      </c>
      <c r="P349">
        <v>0.20200000000000001</v>
      </c>
      <c r="Q349">
        <f>P349/O349</f>
        <v>0.26509186351706038</v>
      </c>
    </row>
    <row r="350" spans="1:19" x14ac:dyDescent="0.25">
      <c r="A350">
        <v>349</v>
      </c>
      <c r="B350" t="s">
        <v>863</v>
      </c>
      <c r="C350" t="s">
        <v>404</v>
      </c>
      <c r="D350">
        <v>6</v>
      </c>
      <c r="E350" t="s">
        <v>330</v>
      </c>
      <c r="F350" t="s">
        <v>144</v>
      </c>
      <c r="G350" t="s">
        <v>144</v>
      </c>
      <c r="H350" t="s">
        <v>138</v>
      </c>
      <c r="I350">
        <v>6.51</v>
      </c>
      <c r="J350">
        <v>5.38</v>
      </c>
      <c r="K350">
        <f>(I350-J350)/2</f>
        <v>0.56499999999999995</v>
      </c>
      <c r="L350">
        <f>K350/I350</f>
        <v>8.678955453149001E-2</v>
      </c>
      <c r="M350">
        <v>0.65</v>
      </c>
      <c r="N350">
        <v>2.1999999999999999E-2</v>
      </c>
      <c r="O350">
        <f>M350-N350</f>
        <v>0.628</v>
      </c>
      <c r="P350">
        <v>0.32100000000000001</v>
      </c>
      <c r="Q350">
        <f>P350/O350</f>
        <v>0.51114649681528668</v>
      </c>
    </row>
    <row r="351" spans="1:19" x14ac:dyDescent="0.25">
      <c r="A351">
        <v>350</v>
      </c>
      <c r="B351" t="s">
        <v>861</v>
      </c>
      <c r="C351" t="s">
        <v>858</v>
      </c>
      <c r="D351">
        <v>5</v>
      </c>
      <c r="E351" t="s">
        <v>859</v>
      </c>
      <c r="F351" t="s">
        <v>144</v>
      </c>
      <c r="G351" t="s">
        <v>144</v>
      </c>
      <c r="H351" t="s">
        <v>138</v>
      </c>
      <c r="I351">
        <v>7.92</v>
      </c>
      <c r="J351">
        <v>6.42</v>
      </c>
      <c r="K351">
        <f>(I351-J351)/2</f>
        <v>0.75</v>
      </c>
      <c r="L351">
        <f>K351/I351</f>
        <v>9.4696969696969696E-2</v>
      </c>
      <c r="M351">
        <v>0.752</v>
      </c>
      <c r="N351">
        <v>2.1999999999999999E-2</v>
      </c>
      <c r="O351">
        <f>M351-N351</f>
        <v>0.73</v>
      </c>
      <c r="P351">
        <v>0.51200000000000001</v>
      </c>
      <c r="Q351">
        <f>P351/O351</f>
        <v>0.70136986301369864</v>
      </c>
    </row>
    <row r="352" spans="1:19" x14ac:dyDescent="0.25">
      <c r="A352">
        <v>351</v>
      </c>
      <c r="B352" t="s">
        <v>865</v>
      </c>
      <c r="C352" t="s">
        <v>866</v>
      </c>
      <c r="D352">
        <v>4</v>
      </c>
      <c r="E352" t="s">
        <v>867</v>
      </c>
      <c r="F352" t="s">
        <v>144</v>
      </c>
      <c r="G352" t="s">
        <v>144</v>
      </c>
      <c r="H352" t="s">
        <v>138</v>
      </c>
      <c r="I352">
        <v>6.08</v>
      </c>
      <c r="J352">
        <v>4.9000000000000004</v>
      </c>
      <c r="K352">
        <f>(I352-J352)/2</f>
        <v>0.58999999999999986</v>
      </c>
      <c r="L352">
        <f>K352/I352</f>
        <v>9.7039473684210495E-2</v>
      </c>
      <c r="M352">
        <v>0.313</v>
      </c>
      <c r="N352">
        <v>2.1999999999999999E-2</v>
      </c>
      <c r="O352">
        <f>M352-N352</f>
        <v>0.29099999999999998</v>
      </c>
      <c r="P352">
        <v>0.20100000000000001</v>
      </c>
      <c r="Q352">
        <f>P352/O352</f>
        <v>0.69072164948453618</v>
      </c>
    </row>
    <row r="353" spans="1:19" x14ac:dyDescent="0.25">
      <c r="A353">
        <v>352</v>
      </c>
      <c r="B353" t="s">
        <v>864</v>
      </c>
      <c r="C353" t="s">
        <v>419</v>
      </c>
      <c r="D353">
        <v>3</v>
      </c>
      <c r="E353" t="s">
        <v>569</v>
      </c>
      <c r="F353" t="s">
        <v>144</v>
      </c>
      <c r="G353" t="s">
        <v>144</v>
      </c>
      <c r="H353" t="s">
        <v>138</v>
      </c>
      <c r="I353">
        <v>6.29</v>
      </c>
      <c r="J353">
        <v>5.43</v>
      </c>
      <c r="K353">
        <f>(I353-J353)/2</f>
        <v>0.43000000000000016</v>
      </c>
      <c r="L353">
        <f>K353/I353</f>
        <v>6.8362480127186029E-2</v>
      </c>
      <c r="M353">
        <v>0.59399999999999997</v>
      </c>
      <c r="N353">
        <v>2.1999999999999999E-2</v>
      </c>
      <c r="O353">
        <f>M353-N353</f>
        <v>0.57199999999999995</v>
      </c>
      <c r="P353">
        <v>0.33900000000000002</v>
      </c>
      <c r="Q353">
        <f>P353/O353</f>
        <v>0.59265734265734271</v>
      </c>
    </row>
    <row r="354" spans="1:19" x14ac:dyDescent="0.25">
      <c r="A354">
        <v>353</v>
      </c>
      <c r="B354" t="s">
        <v>877</v>
      </c>
      <c r="C354" t="s">
        <v>869</v>
      </c>
      <c r="D354">
        <v>4</v>
      </c>
      <c r="E354" t="s">
        <v>870</v>
      </c>
      <c r="F354" t="s">
        <v>144</v>
      </c>
      <c r="G354" t="s">
        <v>144</v>
      </c>
      <c r="H354" t="s">
        <v>138</v>
      </c>
      <c r="I354">
        <v>9.26</v>
      </c>
      <c r="J354">
        <v>7.61</v>
      </c>
      <c r="K354">
        <f>(I354-J354)/2</f>
        <v>0.82499999999999973</v>
      </c>
      <c r="L354">
        <f>K354/I354</f>
        <v>8.9092872570194354E-2</v>
      </c>
      <c r="M354">
        <v>0.85599999999999998</v>
      </c>
      <c r="N354">
        <v>2.1999999999999999E-2</v>
      </c>
      <c r="O354">
        <f>M354-N354</f>
        <v>0.83399999999999996</v>
      </c>
      <c r="P354">
        <v>0.36399999999999999</v>
      </c>
      <c r="Q354">
        <f>P354/O354</f>
        <v>0.43645083932853718</v>
      </c>
    </row>
    <row r="355" spans="1:19" x14ac:dyDescent="0.25">
      <c r="A355">
        <v>354</v>
      </c>
      <c r="B355" t="s">
        <v>874</v>
      </c>
      <c r="C355" t="s">
        <v>869</v>
      </c>
      <c r="D355">
        <v>5</v>
      </c>
      <c r="E355" t="s">
        <v>870</v>
      </c>
      <c r="F355" t="s">
        <v>144</v>
      </c>
      <c r="G355" t="s">
        <v>144</v>
      </c>
      <c r="H355" t="s">
        <v>138</v>
      </c>
      <c r="I355">
        <v>8.2899999999999991</v>
      </c>
      <c r="J355">
        <v>6.77</v>
      </c>
      <c r="K355">
        <f>(I355-J355)/2</f>
        <v>0.75999999999999979</v>
      </c>
      <c r="L355">
        <f>K355/I355</f>
        <v>9.1676718938480076E-2</v>
      </c>
      <c r="M355">
        <v>0.66600000000000004</v>
      </c>
      <c r="N355">
        <v>2.1999999999999999E-2</v>
      </c>
      <c r="O355">
        <f>M355-N355</f>
        <v>0.64400000000000002</v>
      </c>
      <c r="P355">
        <v>0.25600000000000001</v>
      </c>
      <c r="Q355">
        <f>P355/O355</f>
        <v>0.39751552795031053</v>
      </c>
    </row>
    <row r="356" spans="1:19" x14ac:dyDescent="0.25">
      <c r="A356">
        <v>355</v>
      </c>
      <c r="B356" t="s">
        <v>920</v>
      </c>
      <c r="C356" t="s">
        <v>400</v>
      </c>
      <c r="D356">
        <v>4</v>
      </c>
      <c r="E356" t="s">
        <v>268</v>
      </c>
      <c r="F356" t="s">
        <v>144</v>
      </c>
      <c r="G356" t="s">
        <v>144</v>
      </c>
      <c r="H356" t="s">
        <v>138</v>
      </c>
      <c r="I356">
        <v>7.9</v>
      </c>
      <c r="J356">
        <v>5.69</v>
      </c>
      <c r="K356">
        <f>(I356-J356)/2</f>
        <v>1.105</v>
      </c>
      <c r="L356">
        <f>K356/I356</f>
        <v>0.13987341772151898</v>
      </c>
      <c r="M356">
        <v>0.88200000000000001</v>
      </c>
      <c r="N356">
        <v>2.1999999999999999E-2</v>
      </c>
      <c r="O356">
        <f>M356-N356</f>
        <v>0.86</v>
      </c>
      <c r="P356">
        <v>0.35299999999999998</v>
      </c>
      <c r="Q356">
        <f>P356/O356</f>
        <v>0.41046511627906973</v>
      </c>
    </row>
    <row r="357" spans="1:19" x14ac:dyDescent="0.25">
      <c r="A357">
        <v>356</v>
      </c>
      <c r="B357" t="s">
        <v>884</v>
      </c>
      <c r="C357" t="s">
        <v>869</v>
      </c>
      <c r="D357">
        <v>1</v>
      </c>
      <c r="E357" t="s">
        <v>870</v>
      </c>
      <c r="F357" t="s">
        <v>144</v>
      </c>
      <c r="G357" t="s">
        <v>144</v>
      </c>
      <c r="H357" t="s">
        <v>138</v>
      </c>
      <c r="I357">
        <v>7.89</v>
      </c>
      <c r="J357">
        <v>5.81</v>
      </c>
      <c r="K357">
        <f>(I357-J357)/2</f>
        <v>1.04</v>
      </c>
      <c r="L357">
        <f>K357/I357</f>
        <v>0.13181242078580482</v>
      </c>
      <c r="M357">
        <v>0.65800000000000003</v>
      </c>
      <c r="N357">
        <v>2.1999999999999999E-2</v>
      </c>
      <c r="O357">
        <f>M357-N357</f>
        <v>0.63600000000000001</v>
      </c>
      <c r="P357">
        <v>0.23899999999999999</v>
      </c>
      <c r="Q357">
        <f>P357/O357</f>
        <v>0.37578616352201255</v>
      </c>
    </row>
    <row r="358" spans="1:19" x14ac:dyDescent="0.25">
      <c r="A358">
        <v>357</v>
      </c>
      <c r="B358" t="s">
        <v>923</v>
      </c>
      <c r="C358" t="s">
        <v>381</v>
      </c>
      <c r="D358">
        <v>3</v>
      </c>
      <c r="E358" t="s">
        <v>385</v>
      </c>
      <c r="F358" t="s">
        <v>144</v>
      </c>
      <c r="G358" t="s">
        <v>144</v>
      </c>
      <c r="H358" t="s">
        <v>138</v>
      </c>
      <c r="I358">
        <v>6.43</v>
      </c>
      <c r="J358">
        <v>5.36</v>
      </c>
      <c r="K358">
        <f>(I358-J358)/2</f>
        <v>0.5349999999999997</v>
      </c>
      <c r="L358">
        <f>K358/I358</f>
        <v>8.3203732503887975E-2</v>
      </c>
      <c r="M358">
        <v>1.1759999999999999</v>
      </c>
      <c r="N358">
        <v>2.1999999999999999E-2</v>
      </c>
      <c r="O358">
        <f>M358-N358</f>
        <v>1.1539999999999999</v>
      </c>
      <c r="P358">
        <v>0.54100000000000004</v>
      </c>
      <c r="Q358">
        <f>P358/O358</f>
        <v>0.46880415944540732</v>
      </c>
    </row>
    <row r="359" spans="1:19" x14ac:dyDescent="0.25">
      <c r="A359">
        <v>358</v>
      </c>
      <c r="B359" t="s">
        <v>879</v>
      </c>
      <c r="C359" t="s">
        <v>866</v>
      </c>
      <c r="D359">
        <v>1</v>
      </c>
      <c r="E359" t="s">
        <v>867</v>
      </c>
      <c r="F359" t="s">
        <v>144</v>
      </c>
      <c r="G359" t="s">
        <v>144</v>
      </c>
      <c r="H359" t="s">
        <v>138</v>
      </c>
      <c r="I359">
        <v>6.03</v>
      </c>
      <c r="J359">
        <v>4.8499999999999996</v>
      </c>
      <c r="K359">
        <f>(I359-J359)/2</f>
        <v>0.5900000000000003</v>
      </c>
      <c r="L359">
        <f>K359/I359</f>
        <v>9.7844112769485944E-2</v>
      </c>
      <c r="M359">
        <v>0.40300000000000002</v>
      </c>
      <c r="N359">
        <v>2.1999999999999999E-2</v>
      </c>
      <c r="O359">
        <f>M359-N359</f>
        <v>0.38100000000000001</v>
      </c>
      <c r="P359">
        <v>0.23899999999999999</v>
      </c>
      <c r="Q359">
        <f>P359/O359</f>
        <v>0.62729658792650911</v>
      </c>
      <c r="S359" t="s">
        <v>1051</v>
      </c>
    </row>
    <row r="360" spans="1:19" x14ac:dyDescent="0.25">
      <c r="A360">
        <v>359</v>
      </c>
      <c r="B360" t="s">
        <v>928</v>
      </c>
      <c r="C360" t="s">
        <v>353</v>
      </c>
      <c r="D360">
        <v>5</v>
      </c>
      <c r="E360" t="s">
        <v>63</v>
      </c>
      <c r="F360" t="s">
        <v>144</v>
      </c>
      <c r="G360" t="s">
        <v>144</v>
      </c>
      <c r="H360" t="s">
        <v>138</v>
      </c>
      <c r="I360">
        <v>13.3</v>
      </c>
      <c r="J360">
        <v>9.7200000000000006</v>
      </c>
      <c r="K360">
        <f>(I360-J360)/2</f>
        <v>1.79</v>
      </c>
      <c r="L360">
        <f>K360/I360</f>
        <v>0.13458646616541353</v>
      </c>
      <c r="M360">
        <v>0.20599999999999999</v>
      </c>
      <c r="N360">
        <v>2.1999999999999999E-2</v>
      </c>
      <c r="O360">
        <f>M360-N360</f>
        <v>0.184</v>
      </c>
      <c r="P360">
        <v>9.9000000000000005E-2</v>
      </c>
      <c r="Q360">
        <f>P360/O360</f>
        <v>0.53804347826086962</v>
      </c>
      <c r="S360" t="s">
        <v>1052</v>
      </c>
    </row>
    <row r="361" spans="1:19" x14ac:dyDescent="0.25">
      <c r="A361">
        <v>360</v>
      </c>
      <c r="B361" t="s">
        <v>875</v>
      </c>
      <c r="C361" t="s">
        <v>866</v>
      </c>
      <c r="D361">
        <v>3</v>
      </c>
      <c r="E361" t="s">
        <v>867</v>
      </c>
      <c r="F361" t="s">
        <v>144</v>
      </c>
      <c r="G361" t="s">
        <v>144</v>
      </c>
      <c r="H361" t="s">
        <v>138</v>
      </c>
      <c r="I361">
        <v>7.69</v>
      </c>
      <c r="J361">
        <v>6.24</v>
      </c>
      <c r="K361">
        <f>(I361-J361)/2</f>
        <v>0.72500000000000009</v>
      </c>
      <c r="L361">
        <f>K361/I361</f>
        <v>9.4278283485045522E-2</v>
      </c>
      <c r="M361">
        <v>0.50800000000000001</v>
      </c>
      <c r="N361">
        <v>2.1999999999999999E-2</v>
      </c>
      <c r="O361">
        <f>M361-N361</f>
        <v>0.48599999999999999</v>
      </c>
      <c r="P361">
        <v>0.33100000000000002</v>
      </c>
      <c r="Q361">
        <f>P361/O361</f>
        <v>0.68106995884773669</v>
      </c>
    </row>
    <row r="362" spans="1:19" x14ac:dyDescent="0.25">
      <c r="A362">
        <v>361</v>
      </c>
      <c r="B362" t="s">
        <v>926</v>
      </c>
      <c r="C362" t="s">
        <v>381</v>
      </c>
      <c r="D362">
        <v>2</v>
      </c>
      <c r="E362" t="s">
        <v>385</v>
      </c>
      <c r="F362" t="s">
        <v>144</v>
      </c>
      <c r="G362" t="s">
        <v>144</v>
      </c>
      <c r="H362" t="s">
        <v>138</v>
      </c>
      <c r="I362">
        <v>8.02</v>
      </c>
      <c r="J362">
        <v>7.05</v>
      </c>
      <c r="K362">
        <f>(I362-J362)/2</f>
        <v>0.48499999999999988</v>
      </c>
      <c r="L362">
        <f>K362/I362</f>
        <v>6.0473815461346621E-2</v>
      </c>
      <c r="M362">
        <v>1.026</v>
      </c>
      <c r="N362">
        <v>2.1999999999999999E-2</v>
      </c>
      <c r="O362">
        <f>M362-N362</f>
        <v>1.004</v>
      </c>
      <c r="P362">
        <v>0.48299999999999998</v>
      </c>
      <c r="Q362">
        <f>P362/O362</f>
        <v>0.48107569721115534</v>
      </c>
    </row>
    <row r="363" spans="1:19" x14ac:dyDescent="0.25">
      <c r="A363">
        <v>362</v>
      </c>
      <c r="B363" t="s">
        <v>924</v>
      </c>
      <c r="C363" t="s">
        <v>833</v>
      </c>
      <c r="D363">
        <v>3</v>
      </c>
      <c r="E363" t="s">
        <v>834</v>
      </c>
      <c r="F363" t="s">
        <v>144</v>
      </c>
      <c r="G363" t="s">
        <v>144</v>
      </c>
      <c r="H363" t="s">
        <v>138</v>
      </c>
      <c r="I363">
        <v>6.07</v>
      </c>
      <c r="J363">
        <v>4.3499999999999996</v>
      </c>
      <c r="K363">
        <f>(I363-J363)/2</f>
        <v>0.86000000000000032</v>
      </c>
      <c r="L363">
        <f>K363/I363</f>
        <v>0.14168039538714997</v>
      </c>
      <c r="M363">
        <v>0.79200000000000004</v>
      </c>
      <c r="N363">
        <v>2.1999999999999999E-2</v>
      </c>
      <c r="O363">
        <f>M363-N363</f>
        <v>0.77</v>
      </c>
      <c r="P363">
        <v>0.40200000000000002</v>
      </c>
      <c r="Q363">
        <f>P363/O363</f>
        <v>0.52207792207792214</v>
      </c>
    </row>
    <row r="364" spans="1:19" x14ac:dyDescent="0.25">
      <c r="A364">
        <v>363</v>
      </c>
      <c r="B364" t="s">
        <v>927</v>
      </c>
      <c r="C364" t="s">
        <v>381</v>
      </c>
      <c r="D364">
        <v>5</v>
      </c>
      <c r="E364" t="s">
        <v>385</v>
      </c>
      <c r="F364" t="s">
        <v>144</v>
      </c>
      <c r="G364" t="s">
        <v>144</v>
      </c>
      <c r="H364" t="s">
        <v>138</v>
      </c>
      <c r="I364">
        <v>5.81</v>
      </c>
      <c r="J364">
        <v>4.96</v>
      </c>
      <c r="K364">
        <f>(I364-J364)/2</f>
        <v>0.42499999999999982</v>
      </c>
      <c r="L364">
        <f>K364/I364</f>
        <v>7.3149741824440589E-2</v>
      </c>
      <c r="M364">
        <v>0.53900000000000003</v>
      </c>
      <c r="N364">
        <v>2.1999999999999999E-2</v>
      </c>
      <c r="O364">
        <f>M364-N364</f>
        <v>0.51700000000000002</v>
      </c>
      <c r="P364">
        <v>0.26800000000000002</v>
      </c>
      <c r="Q364">
        <f>P364/O364</f>
        <v>0.51837524177949712</v>
      </c>
    </row>
    <row r="365" spans="1:19" x14ac:dyDescent="0.25">
      <c r="A365">
        <v>364</v>
      </c>
      <c r="B365" t="s">
        <v>929</v>
      </c>
      <c r="C365" t="s">
        <v>353</v>
      </c>
      <c r="D365">
        <v>4</v>
      </c>
      <c r="E365" t="s">
        <v>63</v>
      </c>
      <c r="F365" t="s">
        <v>144</v>
      </c>
      <c r="G365" t="s">
        <v>144</v>
      </c>
      <c r="H365" t="s">
        <v>138</v>
      </c>
      <c r="I365">
        <v>9.9499999999999993</v>
      </c>
      <c r="J365">
        <v>6.57</v>
      </c>
      <c r="K365">
        <f>(I365-J365)/2</f>
        <v>1.6899999999999995</v>
      </c>
      <c r="L365">
        <f>K365/I365</f>
        <v>0.16984924623115574</v>
      </c>
      <c r="M365">
        <v>0.59199999999999997</v>
      </c>
      <c r="N365">
        <v>2.1999999999999999E-2</v>
      </c>
      <c r="O365">
        <f>M365-N365</f>
        <v>0.56999999999999995</v>
      </c>
      <c r="P365">
        <v>0.223</v>
      </c>
      <c r="Q365">
        <f>P365/O365</f>
        <v>0.39122807017543865</v>
      </c>
    </row>
    <row r="366" spans="1:19" x14ac:dyDescent="0.25">
      <c r="A366">
        <v>365</v>
      </c>
      <c r="B366" t="s">
        <v>922</v>
      </c>
      <c r="C366" t="s">
        <v>833</v>
      </c>
      <c r="D366">
        <v>2</v>
      </c>
      <c r="E366" t="s">
        <v>834</v>
      </c>
      <c r="F366" t="s">
        <v>144</v>
      </c>
      <c r="G366" t="s">
        <v>144</v>
      </c>
      <c r="H366" t="s">
        <v>138</v>
      </c>
      <c r="I366">
        <v>7.38</v>
      </c>
      <c r="J366">
        <v>4.8899999999999997</v>
      </c>
      <c r="K366">
        <f>(I366-J366)/2</f>
        <v>1.2450000000000001</v>
      </c>
      <c r="L366">
        <f>K366/I366</f>
        <v>0.16869918699186995</v>
      </c>
      <c r="M366">
        <v>1.268</v>
      </c>
      <c r="N366">
        <v>2.1999999999999999E-2</v>
      </c>
      <c r="O366">
        <f>M366-N366</f>
        <v>1.246</v>
      </c>
      <c r="P366">
        <v>0.44700000000000001</v>
      </c>
      <c r="Q366">
        <f>P366/O366</f>
        <v>0.35874799357945425</v>
      </c>
    </row>
    <row r="367" spans="1:19" x14ac:dyDescent="0.25">
      <c r="A367">
        <v>366</v>
      </c>
      <c r="B367" t="s">
        <v>925</v>
      </c>
      <c r="C367" t="s">
        <v>534</v>
      </c>
      <c r="D367">
        <v>4</v>
      </c>
      <c r="E367" t="s">
        <v>535</v>
      </c>
      <c r="F367" t="s">
        <v>144</v>
      </c>
      <c r="G367" t="s">
        <v>144</v>
      </c>
      <c r="H367" t="s">
        <v>138</v>
      </c>
      <c r="I367">
        <v>10.02</v>
      </c>
      <c r="J367">
        <v>7.34</v>
      </c>
      <c r="K367">
        <f>(I367-J367)/2</f>
        <v>1.3399999999999999</v>
      </c>
      <c r="L367">
        <f>K367/I367</f>
        <v>0.1337325349301397</v>
      </c>
      <c r="M367">
        <v>0.65100000000000002</v>
      </c>
      <c r="N367">
        <v>2.1999999999999999E-2</v>
      </c>
      <c r="O367">
        <f>M367-N367</f>
        <v>0.629</v>
      </c>
      <c r="P367">
        <v>0.22700000000000001</v>
      </c>
      <c r="Q367">
        <f>P367/O367</f>
        <v>0.36089030206677264</v>
      </c>
    </row>
    <row r="368" spans="1:19" x14ac:dyDescent="0.25">
      <c r="A368">
        <v>367</v>
      </c>
      <c r="B368" t="s">
        <v>917</v>
      </c>
      <c r="C368" t="s">
        <v>845</v>
      </c>
      <c r="D368">
        <v>3</v>
      </c>
      <c r="E368" t="s">
        <v>846</v>
      </c>
      <c r="F368" t="s">
        <v>144</v>
      </c>
      <c r="G368" t="s">
        <v>144</v>
      </c>
      <c r="H368" t="s">
        <v>138</v>
      </c>
      <c r="I368">
        <v>8.98</v>
      </c>
      <c r="J368">
        <v>7.75</v>
      </c>
      <c r="K368">
        <f>(I368-J368)/2</f>
        <v>0.61500000000000021</v>
      </c>
      <c r="L368">
        <f>K368/I368</f>
        <v>6.8485523385300687E-2</v>
      </c>
      <c r="M368">
        <v>0.58299999999999996</v>
      </c>
      <c r="N368">
        <v>2.1999999999999999E-2</v>
      </c>
      <c r="O368">
        <f>M368-N368</f>
        <v>0.56099999999999994</v>
      </c>
      <c r="P368">
        <v>0.379</v>
      </c>
      <c r="Q368">
        <f>P368/O368</f>
        <v>0.67557932263814624</v>
      </c>
    </row>
    <row r="369" spans="1:17" x14ac:dyDescent="0.25">
      <c r="A369">
        <v>368</v>
      </c>
      <c r="B369" t="s">
        <v>916</v>
      </c>
      <c r="C369" t="s">
        <v>356</v>
      </c>
      <c r="D369">
        <v>2</v>
      </c>
      <c r="E369" t="s">
        <v>336</v>
      </c>
      <c r="F369" t="s">
        <v>144</v>
      </c>
      <c r="G369" t="s">
        <v>144</v>
      </c>
      <c r="H369" t="s">
        <v>138</v>
      </c>
      <c r="I369">
        <v>7.79</v>
      </c>
      <c r="J369">
        <v>5.98</v>
      </c>
      <c r="K369">
        <f>(I369-J369)/2</f>
        <v>0.9049999999999998</v>
      </c>
      <c r="L369">
        <f>K369/I369</f>
        <v>0.11617458279845953</v>
      </c>
      <c r="M369">
        <v>0.48799999999999999</v>
      </c>
      <c r="N369">
        <v>2.1999999999999999E-2</v>
      </c>
      <c r="O369">
        <f>M369-N369</f>
        <v>0.46599999999999997</v>
      </c>
      <c r="P369">
        <v>0.33700000000000002</v>
      </c>
      <c r="Q369">
        <f>P369/O369</f>
        <v>0.72317596566523612</v>
      </c>
    </row>
    <row r="370" spans="1:17" x14ac:dyDescent="0.25">
      <c r="A370">
        <v>369</v>
      </c>
      <c r="B370" t="s">
        <v>918</v>
      </c>
      <c r="C370" t="s">
        <v>845</v>
      </c>
      <c r="D370">
        <v>4</v>
      </c>
      <c r="E370" t="s">
        <v>846</v>
      </c>
      <c r="F370" t="s">
        <v>144</v>
      </c>
      <c r="G370" t="s">
        <v>144</v>
      </c>
      <c r="H370" t="s">
        <v>138</v>
      </c>
      <c r="I370">
        <v>7.9</v>
      </c>
      <c r="J370">
        <v>6.47</v>
      </c>
      <c r="K370">
        <f>(I370-J370)/2</f>
        <v>0.7150000000000003</v>
      </c>
      <c r="L370">
        <f>K370/I370</f>
        <v>9.0506329113924089E-2</v>
      </c>
      <c r="M370">
        <v>0.29399999999999998</v>
      </c>
      <c r="N370">
        <v>2.1999999999999999E-2</v>
      </c>
      <c r="O370">
        <f>M370-N370</f>
        <v>0.27199999999999996</v>
      </c>
      <c r="P370">
        <v>0.154</v>
      </c>
      <c r="Q370">
        <f>P370/O370</f>
        <v>0.56617647058823539</v>
      </c>
    </row>
    <row r="371" spans="1:17" x14ac:dyDescent="0.25">
      <c r="A371">
        <v>370</v>
      </c>
      <c r="B371" t="s">
        <v>921</v>
      </c>
      <c r="C371" t="s">
        <v>381</v>
      </c>
      <c r="D371">
        <v>4</v>
      </c>
      <c r="E371" t="s">
        <v>385</v>
      </c>
      <c r="F371" t="s">
        <v>144</v>
      </c>
      <c r="G371" t="s">
        <v>144</v>
      </c>
      <c r="H371" t="s">
        <v>138</v>
      </c>
      <c r="I371">
        <v>4.4400000000000004</v>
      </c>
      <c r="J371">
        <v>3.6</v>
      </c>
      <c r="K371">
        <f>(I371-J371)/2</f>
        <v>0.42000000000000015</v>
      </c>
      <c r="L371">
        <f>K371/I371</f>
        <v>9.4594594594594614E-2</v>
      </c>
      <c r="M371">
        <v>0.56599999999999995</v>
      </c>
      <c r="N371">
        <v>2.1999999999999999E-2</v>
      </c>
      <c r="O371">
        <f>M371-N371</f>
        <v>0.54399999999999993</v>
      </c>
      <c r="P371">
        <v>0.33600000000000002</v>
      </c>
      <c r="Q371">
        <f>P371/O371</f>
        <v>0.61764705882352955</v>
      </c>
    </row>
    <row r="372" spans="1:17" x14ac:dyDescent="0.25">
      <c r="A372">
        <v>371</v>
      </c>
      <c r="B372" t="s">
        <v>1008</v>
      </c>
      <c r="C372" t="s">
        <v>907</v>
      </c>
      <c r="D372">
        <v>3</v>
      </c>
      <c r="E372" t="s">
        <v>908</v>
      </c>
      <c r="F372" t="s">
        <v>144</v>
      </c>
      <c r="G372" t="s">
        <v>144</v>
      </c>
      <c r="H372" t="s">
        <v>138</v>
      </c>
      <c r="I372">
        <v>5.14</v>
      </c>
      <c r="J372">
        <v>4.21</v>
      </c>
      <c r="K372">
        <f>(I372-J372)/2</f>
        <v>0.46499999999999986</v>
      </c>
      <c r="L372">
        <f>K372/I372</f>
        <v>9.0466926070038894E-2</v>
      </c>
      <c r="M372">
        <v>0.308</v>
      </c>
      <c r="N372">
        <v>2.1999999999999999E-2</v>
      </c>
      <c r="O372">
        <f>M372-N372</f>
        <v>0.28599999999999998</v>
      </c>
      <c r="P372">
        <v>0.214</v>
      </c>
      <c r="Q372">
        <f>P372/O372</f>
        <v>0.74825174825174834</v>
      </c>
    </row>
    <row r="373" spans="1:17" x14ac:dyDescent="0.25">
      <c r="A373">
        <v>372</v>
      </c>
      <c r="B373" t="s">
        <v>994</v>
      </c>
      <c r="C373" t="s">
        <v>933</v>
      </c>
      <c r="D373">
        <v>3</v>
      </c>
      <c r="E373" t="s">
        <v>971</v>
      </c>
      <c r="F373" t="s">
        <v>144</v>
      </c>
      <c r="G373" t="s">
        <v>144</v>
      </c>
      <c r="H373" t="s">
        <v>138</v>
      </c>
      <c r="I373">
        <v>5.52</v>
      </c>
      <c r="J373">
        <v>4.5199999999999996</v>
      </c>
      <c r="K373">
        <f>(I373-J373)/2</f>
        <v>0.5</v>
      </c>
      <c r="L373">
        <f>K373/I373</f>
        <v>9.057971014492755E-2</v>
      </c>
      <c r="M373">
        <v>0.49</v>
      </c>
      <c r="N373">
        <v>2.1999999999999999E-2</v>
      </c>
      <c r="O373">
        <f>M373-N373</f>
        <v>0.46799999999999997</v>
      </c>
      <c r="P373">
        <v>0.24399999999999999</v>
      </c>
      <c r="Q373">
        <f>P373/O373</f>
        <v>0.5213675213675214</v>
      </c>
    </row>
    <row r="374" spans="1:17" x14ac:dyDescent="0.25">
      <c r="A374">
        <v>373</v>
      </c>
      <c r="B374" t="s">
        <v>991</v>
      </c>
      <c r="C374" t="s">
        <v>351</v>
      </c>
      <c r="D374">
        <v>6</v>
      </c>
      <c r="E374" t="s">
        <v>21</v>
      </c>
      <c r="F374" t="s">
        <v>144</v>
      </c>
      <c r="G374" t="s">
        <v>144</v>
      </c>
      <c r="H374" t="s">
        <v>138</v>
      </c>
      <c r="I374">
        <v>6.94</v>
      </c>
      <c r="J374">
        <v>5.46</v>
      </c>
      <c r="K374">
        <f>(I374-J374)/2</f>
        <v>0.74000000000000021</v>
      </c>
      <c r="L374">
        <f>K374/I374</f>
        <v>0.10662824207492798</v>
      </c>
      <c r="M374">
        <v>0.51500000000000001</v>
      </c>
      <c r="N374">
        <v>2.1999999999999999E-2</v>
      </c>
      <c r="O374">
        <f>M374-N374</f>
        <v>0.49299999999999999</v>
      </c>
      <c r="P374">
        <v>0.23</v>
      </c>
      <c r="Q374">
        <f>P374/O374</f>
        <v>0.46653144016227183</v>
      </c>
    </row>
    <row r="375" spans="1:17" x14ac:dyDescent="0.25">
      <c r="A375">
        <v>374</v>
      </c>
      <c r="B375" t="s">
        <v>992</v>
      </c>
      <c r="C375" t="s">
        <v>954</v>
      </c>
      <c r="D375">
        <v>4</v>
      </c>
      <c r="E375" t="s">
        <v>955</v>
      </c>
      <c r="F375" t="s">
        <v>144</v>
      </c>
      <c r="G375" t="s">
        <v>144</v>
      </c>
      <c r="H375" t="s">
        <v>138</v>
      </c>
      <c r="I375">
        <v>8.57</v>
      </c>
      <c r="J375">
        <v>7.05</v>
      </c>
      <c r="K375">
        <f>(I375-J375)/2</f>
        <v>0.76000000000000023</v>
      </c>
      <c r="L375">
        <f>K375/I375</f>
        <v>8.8681446907817998E-2</v>
      </c>
      <c r="M375">
        <v>1.2150000000000001</v>
      </c>
      <c r="N375">
        <v>2.1999999999999999E-2</v>
      </c>
      <c r="O375">
        <f>M375-N375</f>
        <v>1.1930000000000001</v>
      </c>
      <c r="P375">
        <v>0.42799999999999999</v>
      </c>
      <c r="Q375">
        <f>P375/O375</f>
        <v>0.35875943000838223</v>
      </c>
    </row>
    <row r="376" spans="1:17" x14ac:dyDescent="0.25">
      <c r="A376">
        <v>375</v>
      </c>
      <c r="B376" t="s">
        <v>986</v>
      </c>
      <c r="C376" t="s">
        <v>954</v>
      </c>
      <c r="D376">
        <v>5</v>
      </c>
      <c r="E376" t="s">
        <v>955</v>
      </c>
      <c r="F376" t="s">
        <v>144</v>
      </c>
      <c r="G376" t="s">
        <v>144</v>
      </c>
      <c r="H376" t="s">
        <v>138</v>
      </c>
      <c r="I376">
        <v>10.07</v>
      </c>
      <c r="J376">
        <v>7.1</v>
      </c>
      <c r="K376">
        <f>(I376-J376)/2</f>
        <v>1.4850000000000003</v>
      </c>
      <c r="L376">
        <f>K376/I376</f>
        <v>0.14746772591857005</v>
      </c>
      <c r="M376">
        <v>0.59799999999999998</v>
      </c>
      <c r="N376">
        <v>2.1999999999999999E-2</v>
      </c>
      <c r="O376">
        <f>M376-N376</f>
        <v>0.57599999999999996</v>
      </c>
      <c r="P376">
        <v>0.27300000000000002</v>
      </c>
      <c r="Q376">
        <f>P376/O376</f>
        <v>0.47395833333333343</v>
      </c>
    </row>
    <row r="377" spans="1:17" x14ac:dyDescent="0.25">
      <c r="A377">
        <v>376</v>
      </c>
      <c r="B377" t="s">
        <v>993</v>
      </c>
      <c r="C377" t="s">
        <v>470</v>
      </c>
      <c r="D377">
        <v>6</v>
      </c>
      <c r="E377" t="s">
        <v>471</v>
      </c>
      <c r="F377" t="s">
        <v>144</v>
      </c>
      <c r="G377" t="s">
        <v>144</v>
      </c>
      <c r="H377" t="s">
        <v>138</v>
      </c>
      <c r="I377">
        <v>10.67</v>
      </c>
      <c r="J377">
        <v>6.87</v>
      </c>
      <c r="K377">
        <f>(I377-J377)/2</f>
        <v>1.9</v>
      </c>
      <c r="L377">
        <f>K377/I377</f>
        <v>0.17806935332708529</v>
      </c>
      <c r="M377">
        <v>0.73399999999999999</v>
      </c>
      <c r="N377">
        <v>2.1999999999999999E-2</v>
      </c>
      <c r="O377">
        <f>M377-N377</f>
        <v>0.71199999999999997</v>
      </c>
      <c r="P377">
        <v>0.31</v>
      </c>
      <c r="Q377">
        <f>P377/O377</f>
        <v>0.4353932584269663</v>
      </c>
    </row>
    <row r="378" spans="1:17" x14ac:dyDescent="0.25">
      <c r="A378">
        <v>377</v>
      </c>
      <c r="B378" t="s">
        <v>987</v>
      </c>
      <c r="C378" t="s">
        <v>933</v>
      </c>
      <c r="D378">
        <v>5</v>
      </c>
      <c r="E378" t="s">
        <v>971</v>
      </c>
      <c r="F378" t="s">
        <v>144</v>
      </c>
      <c r="G378" t="s">
        <v>144</v>
      </c>
      <c r="H378" t="s">
        <v>138</v>
      </c>
      <c r="I378">
        <v>8.5</v>
      </c>
      <c r="J378">
        <v>7.26</v>
      </c>
      <c r="K378">
        <f>(I378-J378)/2</f>
        <v>0.62000000000000011</v>
      </c>
      <c r="L378">
        <f>K378/I378</f>
        <v>7.2941176470588245E-2</v>
      </c>
      <c r="M378">
        <v>0.63</v>
      </c>
      <c r="N378">
        <v>2.1999999999999999E-2</v>
      </c>
      <c r="O378">
        <f>M378-N378</f>
        <v>0.60799999999999998</v>
      </c>
      <c r="P378">
        <v>0.34200000000000003</v>
      </c>
      <c r="Q378">
        <f>P378/O378</f>
        <v>0.56250000000000011</v>
      </c>
    </row>
    <row r="379" spans="1:17" x14ac:dyDescent="0.25">
      <c r="A379">
        <v>378</v>
      </c>
      <c r="B379" t="s">
        <v>990</v>
      </c>
      <c r="C379" t="s">
        <v>974</v>
      </c>
      <c r="D379">
        <v>5</v>
      </c>
      <c r="E379" t="s">
        <v>975</v>
      </c>
      <c r="F379" t="s">
        <v>144</v>
      </c>
      <c r="G379" t="s">
        <v>144</v>
      </c>
      <c r="H379" t="s">
        <v>138</v>
      </c>
      <c r="I379">
        <v>5.51</v>
      </c>
      <c r="J379">
        <v>4.3</v>
      </c>
      <c r="K379">
        <f>(I379-J379)/2</f>
        <v>0.60499999999999998</v>
      </c>
      <c r="L379">
        <f>K379/I379</f>
        <v>0.10980036297640654</v>
      </c>
      <c r="M379">
        <v>0.45300000000000001</v>
      </c>
      <c r="N379">
        <v>2.1999999999999999E-2</v>
      </c>
      <c r="O379">
        <f>M379-N379</f>
        <v>0.43099999999999999</v>
      </c>
      <c r="P379">
        <v>0.34</v>
      </c>
      <c r="Q379">
        <f>P379/O379</f>
        <v>0.78886310904872392</v>
      </c>
    </row>
    <row r="380" spans="1:17" x14ac:dyDescent="0.25">
      <c r="A380">
        <v>379</v>
      </c>
      <c r="B380" t="s">
        <v>988</v>
      </c>
      <c r="C380" t="s">
        <v>974</v>
      </c>
      <c r="D380">
        <v>2</v>
      </c>
      <c r="E380" t="s">
        <v>975</v>
      </c>
      <c r="F380" t="s">
        <v>144</v>
      </c>
      <c r="G380" t="s">
        <v>144</v>
      </c>
      <c r="H380" t="s">
        <v>138</v>
      </c>
      <c r="I380">
        <v>5.92</v>
      </c>
      <c r="J380">
        <v>4.67</v>
      </c>
      <c r="K380">
        <f>(I380-J380)/2</f>
        <v>0.625</v>
      </c>
      <c r="L380">
        <f>K380/I380</f>
        <v>0.10557432432432433</v>
      </c>
      <c r="M380">
        <v>0.47699999999999998</v>
      </c>
      <c r="N380">
        <v>2.1999999999999999E-2</v>
      </c>
      <c r="O380">
        <f>M380-N380</f>
        <v>0.45499999999999996</v>
      </c>
      <c r="P380">
        <v>0.39900000000000002</v>
      </c>
      <c r="Q380">
        <f>P380/O380</f>
        <v>0.87692307692307703</v>
      </c>
    </row>
    <row r="381" spans="1:17" x14ac:dyDescent="0.25">
      <c r="A381">
        <v>380</v>
      </c>
      <c r="B381" t="s">
        <v>1000</v>
      </c>
      <c r="C381" t="s">
        <v>1001</v>
      </c>
      <c r="D381">
        <v>1</v>
      </c>
      <c r="E381" t="s">
        <v>1002</v>
      </c>
      <c r="F381" t="s">
        <v>144</v>
      </c>
      <c r="G381" t="s">
        <v>144</v>
      </c>
      <c r="H381" t="s">
        <v>138</v>
      </c>
      <c r="I381">
        <v>3.96</v>
      </c>
      <c r="J381">
        <v>3.33</v>
      </c>
      <c r="K381">
        <f>(I381-J381)/2</f>
        <v>0.31499999999999995</v>
      </c>
      <c r="L381">
        <f>K381/I381</f>
        <v>7.954545454545453E-2</v>
      </c>
      <c r="M381">
        <v>0.254</v>
      </c>
      <c r="N381">
        <v>2.1999999999999999E-2</v>
      </c>
      <c r="O381">
        <f>M381-N381</f>
        <v>0.23200000000000001</v>
      </c>
      <c r="P381">
        <v>0.157</v>
      </c>
      <c r="Q381">
        <f>P381/O381</f>
        <v>0.67672413793103448</v>
      </c>
    </row>
    <row r="382" spans="1:17" x14ac:dyDescent="0.25">
      <c r="A382">
        <v>381</v>
      </c>
      <c r="B382" t="s">
        <v>1006</v>
      </c>
      <c r="C382" t="s">
        <v>1001</v>
      </c>
      <c r="D382">
        <v>2</v>
      </c>
      <c r="E382" t="s">
        <v>1002</v>
      </c>
      <c r="F382" t="s">
        <v>144</v>
      </c>
      <c r="G382" t="s">
        <v>144</v>
      </c>
      <c r="H382" t="s">
        <v>138</v>
      </c>
      <c r="I382">
        <v>6.32</v>
      </c>
      <c r="J382">
        <v>5.14</v>
      </c>
      <c r="K382">
        <f>(I382-J382)/2</f>
        <v>0.5900000000000003</v>
      </c>
      <c r="L382">
        <f>K382/I382</f>
        <v>9.3354430379746875E-2</v>
      </c>
      <c r="M382">
        <v>0.48599999999999999</v>
      </c>
      <c r="N382">
        <v>2.1999999999999999E-2</v>
      </c>
      <c r="O382">
        <f>M382-N382</f>
        <v>0.46399999999999997</v>
      </c>
      <c r="P382">
        <v>0.32800000000000001</v>
      </c>
      <c r="Q382">
        <f>P382/O382</f>
        <v>0.70689655172413801</v>
      </c>
    </row>
    <row r="383" spans="1:17" x14ac:dyDescent="0.25">
      <c r="A383">
        <v>382</v>
      </c>
      <c r="B383" t="s">
        <v>997</v>
      </c>
      <c r="C383" t="s">
        <v>954</v>
      </c>
      <c r="D383">
        <v>3</v>
      </c>
      <c r="E383" t="s">
        <v>955</v>
      </c>
      <c r="F383" t="s">
        <v>144</v>
      </c>
      <c r="G383" t="s">
        <v>144</v>
      </c>
      <c r="H383" t="s">
        <v>138</v>
      </c>
      <c r="I383">
        <v>6.06</v>
      </c>
      <c r="J383">
        <v>4.78</v>
      </c>
      <c r="K383">
        <f>(I383-J383)/2</f>
        <v>0.63999999999999968</v>
      </c>
      <c r="L383">
        <f>K383/I383</f>
        <v>0.10561056105610557</v>
      </c>
      <c r="M383">
        <v>0.38200000000000001</v>
      </c>
      <c r="N383">
        <v>2.1999999999999999E-2</v>
      </c>
      <c r="O383">
        <f>M383-N383</f>
        <v>0.36</v>
      </c>
      <c r="P383">
        <v>0.19600000000000001</v>
      </c>
      <c r="Q383">
        <f>P383/O383</f>
        <v>0.54444444444444451</v>
      </c>
    </row>
    <row r="384" spans="1:17" x14ac:dyDescent="0.25">
      <c r="A384">
        <v>383</v>
      </c>
      <c r="B384" t="s">
        <v>996</v>
      </c>
      <c r="C384" t="s">
        <v>974</v>
      </c>
      <c r="D384">
        <v>3</v>
      </c>
      <c r="E384" t="s">
        <v>975</v>
      </c>
      <c r="F384" t="s">
        <v>144</v>
      </c>
      <c r="G384" t="s">
        <v>144</v>
      </c>
      <c r="H384" t="s">
        <v>138</v>
      </c>
      <c r="I384">
        <v>7.61</v>
      </c>
      <c r="J384">
        <v>6.01</v>
      </c>
      <c r="K384">
        <f>(I384-J384)/2</f>
        <v>0.80000000000000027</v>
      </c>
      <c r="L384">
        <f>K384/I384</f>
        <v>0.10512483574244419</v>
      </c>
      <c r="M384">
        <v>0.41699999999999998</v>
      </c>
      <c r="N384">
        <v>2.1999999999999999E-2</v>
      </c>
      <c r="O384">
        <f>M384-N384</f>
        <v>0.39499999999999996</v>
      </c>
      <c r="P384">
        <v>0.32500000000000001</v>
      </c>
      <c r="Q384">
        <f>P384/O384</f>
        <v>0.82278481012658233</v>
      </c>
    </row>
    <row r="385" spans="1:19" x14ac:dyDescent="0.25">
      <c r="A385">
        <v>384</v>
      </c>
      <c r="B385" t="s">
        <v>995</v>
      </c>
      <c r="C385" t="s">
        <v>447</v>
      </c>
      <c r="D385">
        <v>3</v>
      </c>
      <c r="E385" t="s">
        <v>448</v>
      </c>
      <c r="F385" t="s">
        <v>144</v>
      </c>
      <c r="G385" t="s">
        <v>144</v>
      </c>
      <c r="H385" t="s">
        <v>138</v>
      </c>
      <c r="I385">
        <v>7.32</v>
      </c>
      <c r="J385">
        <v>5.71</v>
      </c>
      <c r="K385">
        <f>(I385-J385)/2</f>
        <v>0.80500000000000016</v>
      </c>
      <c r="L385">
        <f>K385/I385</f>
        <v>0.10997267759562843</v>
      </c>
      <c r="M385">
        <v>0.56100000000000005</v>
      </c>
      <c r="N385">
        <v>2.1999999999999999E-2</v>
      </c>
      <c r="O385">
        <f>M385-N385</f>
        <v>0.53900000000000003</v>
      </c>
      <c r="P385">
        <v>0.252</v>
      </c>
      <c r="Q385">
        <f>P385/O385</f>
        <v>0.46753246753246752</v>
      </c>
    </row>
    <row r="386" spans="1:19" x14ac:dyDescent="0.25">
      <c r="A386">
        <v>385</v>
      </c>
      <c r="B386" t="s">
        <v>998</v>
      </c>
      <c r="C386" t="s">
        <v>933</v>
      </c>
      <c r="D386">
        <v>2</v>
      </c>
      <c r="E386" t="s">
        <v>971</v>
      </c>
      <c r="F386" t="s">
        <v>144</v>
      </c>
      <c r="G386" t="s">
        <v>144</v>
      </c>
      <c r="H386" t="s">
        <v>138</v>
      </c>
      <c r="I386">
        <v>6.67</v>
      </c>
      <c r="J386">
        <v>5.38</v>
      </c>
      <c r="K386">
        <f>(I386-J386)/2</f>
        <v>0.64500000000000002</v>
      </c>
      <c r="L386">
        <f>K386/I386</f>
        <v>9.6701649175412296E-2</v>
      </c>
      <c r="M386">
        <v>0.56699999999999995</v>
      </c>
      <c r="N386">
        <v>2.1999999999999999E-2</v>
      </c>
      <c r="O386">
        <f>M386-N386</f>
        <v>0.54499999999999993</v>
      </c>
      <c r="P386">
        <v>0.33400000000000002</v>
      </c>
      <c r="Q386">
        <f>P386/O386</f>
        <v>0.61284403669724785</v>
      </c>
    </row>
    <row r="387" spans="1:19" x14ac:dyDescent="0.25">
      <c r="A387">
        <v>386</v>
      </c>
      <c r="B387" t="s">
        <v>1007</v>
      </c>
      <c r="C387" t="s">
        <v>907</v>
      </c>
      <c r="D387">
        <v>2</v>
      </c>
      <c r="E387" t="s">
        <v>908</v>
      </c>
      <c r="F387" t="s">
        <v>144</v>
      </c>
      <c r="G387" t="s">
        <v>144</v>
      </c>
      <c r="H387" t="s">
        <v>138</v>
      </c>
      <c r="I387">
        <v>6.88</v>
      </c>
      <c r="J387">
        <v>6.05</v>
      </c>
      <c r="K387">
        <f>(I387-J387)/2</f>
        <v>0.41500000000000004</v>
      </c>
      <c r="L387">
        <f>K387/I387</f>
        <v>6.0319767441860468E-2</v>
      </c>
      <c r="M387">
        <v>0.72299999999999998</v>
      </c>
      <c r="N387">
        <v>2.1999999999999999E-2</v>
      </c>
      <c r="O387">
        <f>M387-N387</f>
        <v>0.70099999999999996</v>
      </c>
      <c r="P387">
        <v>0.5</v>
      </c>
      <c r="Q387">
        <f>P387/O387</f>
        <v>0.71326676176890158</v>
      </c>
    </row>
    <row r="388" spans="1:19" x14ac:dyDescent="0.25">
      <c r="A388">
        <v>387</v>
      </c>
      <c r="B388" t="s">
        <v>953</v>
      </c>
      <c r="C388" t="s">
        <v>954</v>
      </c>
      <c r="D388">
        <v>1</v>
      </c>
      <c r="E388" t="s">
        <v>955</v>
      </c>
      <c r="F388" t="s">
        <v>144</v>
      </c>
      <c r="G388" t="s">
        <v>144</v>
      </c>
      <c r="H388" t="s">
        <v>138</v>
      </c>
      <c r="I388">
        <v>8.61</v>
      </c>
      <c r="J388">
        <v>6.46</v>
      </c>
      <c r="K388">
        <f>(I388-J388)/2</f>
        <v>1.0749999999999997</v>
      </c>
      <c r="L388">
        <f>K388/I388</f>
        <v>0.12485481997677117</v>
      </c>
      <c r="M388">
        <v>0.71299999999999997</v>
      </c>
      <c r="N388">
        <v>2.1999999999999999E-2</v>
      </c>
      <c r="O388">
        <f>M388-N388</f>
        <v>0.69099999999999995</v>
      </c>
      <c r="P388">
        <v>0.46400000000000002</v>
      </c>
      <c r="Q388">
        <f>P388/O388</f>
        <v>0.67149059334298122</v>
      </c>
    </row>
    <row r="389" spans="1:19" x14ac:dyDescent="0.25">
      <c r="A389">
        <v>388</v>
      </c>
      <c r="B389" t="s">
        <v>980</v>
      </c>
      <c r="C389" t="s">
        <v>470</v>
      </c>
      <c r="D389">
        <v>5</v>
      </c>
      <c r="E389" t="s">
        <v>471</v>
      </c>
      <c r="F389" t="s">
        <v>144</v>
      </c>
      <c r="G389" t="s">
        <v>144</v>
      </c>
      <c r="H389" t="s">
        <v>138</v>
      </c>
      <c r="I389">
        <v>10.28</v>
      </c>
      <c r="J389">
        <v>6.17</v>
      </c>
      <c r="K389">
        <f>(I389-J389)/2</f>
        <v>2.0549999999999997</v>
      </c>
      <c r="L389">
        <f>K389/I389</f>
        <v>0.19990272373540854</v>
      </c>
      <c r="M389">
        <v>0.377</v>
      </c>
      <c r="N389">
        <v>2.1999999999999999E-2</v>
      </c>
      <c r="O389">
        <f>M389-N389</f>
        <v>0.35499999999999998</v>
      </c>
      <c r="P389">
        <v>0.16</v>
      </c>
      <c r="Q389">
        <f>P389/O389</f>
        <v>0.45070422535211269</v>
      </c>
    </row>
    <row r="390" spans="1:19" x14ac:dyDescent="0.25">
      <c r="A390">
        <v>389</v>
      </c>
      <c r="B390" t="s">
        <v>957</v>
      </c>
      <c r="C390" t="s">
        <v>958</v>
      </c>
      <c r="D390">
        <v>1</v>
      </c>
      <c r="E390" t="s">
        <v>959</v>
      </c>
      <c r="F390" t="s">
        <v>144</v>
      </c>
      <c r="G390" t="s">
        <v>144</v>
      </c>
      <c r="H390" t="s">
        <v>138</v>
      </c>
      <c r="I390">
        <v>6.55</v>
      </c>
      <c r="J390">
        <v>4.38</v>
      </c>
      <c r="K390">
        <f>(I390-J390)/2</f>
        <v>1.085</v>
      </c>
      <c r="L390">
        <f>K390/I390</f>
        <v>0.16564885496183207</v>
      </c>
      <c r="M390">
        <v>0.56000000000000005</v>
      </c>
      <c r="N390">
        <v>2.1999999999999999E-2</v>
      </c>
      <c r="O390">
        <f>M390-N390</f>
        <v>0.53800000000000003</v>
      </c>
      <c r="P390">
        <v>0.20699999999999999</v>
      </c>
      <c r="Q390">
        <f>P390/O390</f>
        <v>0.38475836431226762</v>
      </c>
    </row>
    <row r="391" spans="1:19" x14ac:dyDescent="0.25">
      <c r="A391">
        <v>390</v>
      </c>
      <c r="B391" t="s">
        <v>989</v>
      </c>
      <c r="C391" t="s">
        <v>933</v>
      </c>
      <c r="D391">
        <v>4</v>
      </c>
      <c r="E391" t="s">
        <v>971</v>
      </c>
      <c r="F391" t="s">
        <v>144</v>
      </c>
      <c r="G391" t="s">
        <v>144</v>
      </c>
      <c r="H391" t="s">
        <v>138</v>
      </c>
      <c r="I391">
        <v>7.42</v>
      </c>
      <c r="J391">
        <v>5.93</v>
      </c>
      <c r="K391">
        <f>(I391-J391)/2</f>
        <v>0.74500000000000011</v>
      </c>
      <c r="L391">
        <f>K391/I391</f>
        <v>0.10040431266846363</v>
      </c>
      <c r="M391">
        <v>0.86099999999999999</v>
      </c>
      <c r="N391">
        <v>2.1999999999999999E-2</v>
      </c>
      <c r="O391">
        <f>M391-N391</f>
        <v>0.83899999999999997</v>
      </c>
      <c r="P391">
        <v>0.436</v>
      </c>
      <c r="Q391">
        <f>P391/O391</f>
        <v>0.51966626936829563</v>
      </c>
    </row>
    <row r="392" spans="1:19" x14ac:dyDescent="0.25">
      <c r="A392">
        <v>391</v>
      </c>
      <c r="B392" t="s">
        <v>960</v>
      </c>
      <c r="C392" t="s">
        <v>467</v>
      </c>
      <c r="D392">
        <v>3</v>
      </c>
      <c r="E392" t="s">
        <v>468</v>
      </c>
      <c r="F392" t="s">
        <v>144</v>
      </c>
      <c r="G392" t="s">
        <v>144</v>
      </c>
      <c r="H392" t="s">
        <v>138</v>
      </c>
      <c r="I392">
        <v>6.05</v>
      </c>
      <c r="J392">
        <v>5.21</v>
      </c>
      <c r="K392">
        <f>(I392-J392)/2</f>
        <v>0.41999999999999993</v>
      </c>
      <c r="L392">
        <f>K392/I392</f>
        <v>6.942148760330577E-2</v>
      </c>
      <c r="M392">
        <v>0.38700000000000001</v>
      </c>
      <c r="N392">
        <v>2.1999999999999999E-2</v>
      </c>
      <c r="O392">
        <f>M392-N392</f>
        <v>0.36499999999999999</v>
      </c>
      <c r="P392">
        <v>0.22600000000000001</v>
      </c>
      <c r="Q392">
        <f>P392/O392</f>
        <v>0.61917808219178083</v>
      </c>
    </row>
    <row r="393" spans="1:19" x14ac:dyDescent="0.25">
      <c r="A393">
        <v>392</v>
      </c>
      <c r="B393" t="s">
        <v>962</v>
      </c>
      <c r="C393" t="s">
        <v>545</v>
      </c>
      <c r="D393">
        <v>3</v>
      </c>
      <c r="E393" t="s">
        <v>802</v>
      </c>
      <c r="F393" t="s">
        <v>144</v>
      </c>
      <c r="G393" t="s">
        <v>144</v>
      </c>
      <c r="H393" t="s">
        <v>138</v>
      </c>
      <c r="I393">
        <v>7.28</v>
      </c>
      <c r="J393">
        <v>4.9800000000000004</v>
      </c>
      <c r="K393">
        <f>(I393-J393)/2</f>
        <v>1.1499999999999999</v>
      </c>
      <c r="L393">
        <f>K393/I393</f>
        <v>0.15796703296703296</v>
      </c>
      <c r="M393">
        <v>0.60899999999999999</v>
      </c>
      <c r="N393">
        <v>2.1999999999999999E-2</v>
      </c>
      <c r="O393">
        <f>M393-N393</f>
        <v>0.58699999999999997</v>
      </c>
      <c r="P393">
        <v>0.26</v>
      </c>
      <c r="Q393">
        <f>P393/O393</f>
        <v>0.44293015332197622</v>
      </c>
    </row>
    <row r="394" spans="1:19" x14ac:dyDescent="0.25">
      <c r="A394">
        <v>393</v>
      </c>
      <c r="B394" t="s">
        <v>1003</v>
      </c>
      <c r="C394" t="s">
        <v>974</v>
      </c>
      <c r="D394">
        <v>4</v>
      </c>
      <c r="E394" t="s">
        <v>975</v>
      </c>
      <c r="F394" t="s">
        <v>144</v>
      </c>
      <c r="G394" t="s">
        <v>144</v>
      </c>
      <c r="H394" t="s">
        <v>138</v>
      </c>
      <c r="I394">
        <v>7.33</v>
      </c>
      <c r="J394">
        <v>5.48</v>
      </c>
      <c r="K394">
        <f>(I394-J394)/2</f>
        <v>0.92499999999999982</v>
      </c>
      <c r="L394">
        <f>K394/I394</f>
        <v>0.12619372442019097</v>
      </c>
      <c r="M394">
        <v>0.64</v>
      </c>
      <c r="N394">
        <v>2.1999999999999999E-2</v>
      </c>
      <c r="O394">
        <f>M394-N394</f>
        <v>0.61799999999999999</v>
      </c>
      <c r="P394">
        <v>0.46100000000000002</v>
      </c>
      <c r="Q394">
        <f>P394/O394</f>
        <v>0.74595469255663438</v>
      </c>
    </row>
    <row r="395" spans="1:19" x14ac:dyDescent="0.25">
      <c r="A395">
        <v>394</v>
      </c>
      <c r="B395" t="s">
        <v>947</v>
      </c>
      <c r="C395" t="s">
        <v>942</v>
      </c>
      <c r="D395">
        <v>3</v>
      </c>
      <c r="E395" t="s">
        <v>943</v>
      </c>
      <c r="F395" t="s">
        <v>144</v>
      </c>
      <c r="G395" t="s">
        <v>144</v>
      </c>
      <c r="H395" t="s">
        <v>138</v>
      </c>
      <c r="I395">
        <v>8.0299999999999994</v>
      </c>
      <c r="J395">
        <v>6.16</v>
      </c>
      <c r="K395">
        <f>(I395-J395)/2</f>
        <v>0.93499999999999961</v>
      </c>
      <c r="L395">
        <f>K395/I395</f>
        <v>0.11643835616438353</v>
      </c>
      <c r="M395">
        <v>0.438</v>
      </c>
      <c r="N395">
        <v>2.1999999999999999E-2</v>
      </c>
      <c r="O395">
        <f>M395-N395</f>
        <v>0.41599999999999998</v>
      </c>
      <c r="P395">
        <v>0.25</v>
      </c>
      <c r="Q395">
        <f>P395/O395</f>
        <v>0.60096153846153844</v>
      </c>
    </row>
    <row r="396" spans="1:19" x14ac:dyDescent="0.25">
      <c r="A396">
        <v>395</v>
      </c>
      <c r="B396" t="s">
        <v>949</v>
      </c>
      <c r="C396" t="s">
        <v>942</v>
      </c>
      <c r="D396">
        <v>4</v>
      </c>
      <c r="E396" t="s">
        <v>943</v>
      </c>
      <c r="F396" t="s">
        <v>144</v>
      </c>
      <c r="G396" t="s">
        <v>144</v>
      </c>
      <c r="H396" t="s">
        <v>138</v>
      </c>
      <c r="I396">
        <v>6.67</v>
      </c>
      <c r="J396">
        <v>4.18</v>
      </c>
      <c r="K396">
        <f>(I396-J396)/2</f>
        <v>1.2450000000000001</v>
      </c>
      <c r="L396">
        <f>K396/I396</f>
        <v>0.18665667166416794</v>
      </c>
      <c r="M396">
        <v>0.47</v>
      </c>
      <c r="N396">
        <v>2.1999999999999999E-2</v>
      </c>
      <c r="O396">
        <f>M396-N396</f>
        <v>0.44799999999999995</v>
      </c>
      <c r="P396">
        <v>0.28499999999999998</v>
      </c>
      <c r="Q396">
        <f>P396/O396</f>
        <v>0.6361607142857143</v>
      </c>
    </row>
    <row r="397" spans="1:19" x14ac:dyDescent="0.25">
      <c r="A397">
        <v>396</v>
      </c>
      <c r="B397" t="s">
        <v>951</v>
      </c>
      <c r="C397" t="s">
        <v>942</v>
      </c>
      <c r="D397">
        <v>5</v>
      </c>
      <c r="E397" t="s">
        <v>943</v>
      </c>
      <c r="F397" t="s">
        <v>144</v>
      </c>
      <c r="G397" t="s">
        <v>144</v>
      </c>
      <c r="H397" t="s">
        <v>138</v>
      </c>
      <c r="I397">
        <v>10.78</v>
      </c>
      <c r="J397">
        <v>7.5</v>
      </c>
      <c r="K397">
        <f>(I397-J397)/2</f>
        <v>1.6399999999999997</v>
      </c>
      <c r="L397">
        <f>K397/I397</f>
        <v>0.15213358070500926</v>
      </c>
      <c r="M397">
        <v>1.4379999999999999</v>
      </c>
      <c r="N397">
        <v>2.1999999999999999E-2</v>
      </c>
      <c r="O397">
        <f>M397-N397</f>
        <v>1.4159999999999999</v>
      </c>
      <c r="P397">
        <v>0.89</v>
      </c>
      <c r="Q397">
        <f>P397/O397</f>
        <v>0.62853107344632775</v>
      </c>
    </row>
    <row r="398" spans="1:19" x14ac:dyDescent="0.25">
      <c r="A398">
        <v>397</v>
      </c>
      <c r="B398" t="s">
        <v>969</v>
      </c>
      <c r="C398" t="s">
        <v>437</v>
      </c>
      <c r="D398">
        <v>6</v>
      </c>
      <c r="E398" t="s">
        <v>438</v>
      </c>
      <c r="F398" t="s">
        <v>144</v>
      </c>
      <c r="G398" t="s">
        <v>144</v>
      </c>
      <c r="H398" t="s">
        <v>138</v>
      </c>
      <c r="I398">
        <v>4.7300000000000004</v>
      </c>
      <c r="J398">
        <v>3.52</v>
      </c>
      <c r="K398">
        <f>(I398-J398)/2</f>
        <v>0.6050000000000002</v>
      </c>
      <c r="L398">
        <f>K398/I398</f>
        <v>0.12790697674418608</v>
      </c>
      <c r="M398">
        <v>0.27400000000000002</v>
      </c>
      <c r="N398">
        <v>2.1999999999999999E-2</v>
      </c>
      <c r="O398">
        <f>M398-N398</f>
        <v>0.252</v>
      </c>
      <c r="P398">
        <v>0.187</v>
      </c>
      <c r="Q398">
        <f>P398/O398</f>
        <v>0.74206349206349209</v>
      </c>
    </row>
    <row r="399" spans="1:19" x14ac:dyDescent="0.25">
      <c r="A399">
        <v>398</v>
      </c>
      <c r="B399" t="s">
        <v>1023</v>
      </c>
      <c r="C399" t="s">
        <v>419</v>
      </c>
      <c r="D399">
        <v>6</v>
      </c>
      <c r="E399" t="s">
        <v>569</v>
      </c>
      <c r="F399" t="s">
        <v>144</v>
      </c>
      <c r="G399" t="s">
        <v>144</v>
      </c>
      <c r="H399" t="s">
        <v>138</v>
      </c>
      <c r="I399">
        <v>7.21</v>
      </c>
      <c r="J399">
        <v>5.76</v>
      </c>
      <c r="K399">
        <f>(I399-J399)/2</f>
        <v>0.72500000000000009</v>
      </c>
      <c r="L399">
        <f>K399/I399</f>
        <v>0.10055478502080445</v>
      </c>
      <c r="M399">
        <v>0.39300000000000002</v>
      </c>
      <c r="N399">
        <v>2.1999999999999999E-2</v>
      </c>
      <c r="O399">
        <f>M399-N399</f>
        <v>0.371</v>
      </c>
      <c r="P399">
        <v>0.249</v>
      </c>
      <c r="Q399">
        <f>P399/O399</f>
        <v>0.67115902964959573</v>
      </c>
      <c r="S399" t="s">
        <v>1022</v>
      </c>
    </row>
    <row r="400" spans="1:19" x14ac:dyDescent="0.25">
      <c r="A400">
        <v>399</v>
      </c>
      <c r="B400" t="s">
        <v>932</v>
      </c>
      <c r="C400" t="s">
        <v>933</v>
      </c>
      <c r="D400">
        <v>1</v>
      </c>
      <c r="E400" t="s">
        <v>971</v>
      </c>
      <c r="F400" t="s">
        <v>144</v>
      </c>
      <c r="G400" t="s">
        <v>144</v>
      </c>
      <c r="H400" t="s">
        <v>138</v>
      </c>
      <c r="I400">
        <v>6.93</v>
      </c>
      <c r="J400">
        <v>5.53</v>
      </c>
      <c r="K400">
        <f>(I400-J400)/2</f>
        <v>0.69999999999999973</v>
      </c>
      <c r="L400">
        <f>K400/I400</f>
        <v>0.10101010101010098</v>
      </c>
      <c r="M400">
        <v>0.52600000000000002</v>
      </c>
      <c r="N400">
        <v>2.1999999999999999E-2</v>
      </c>
      <c r="O400">
        <f>M400-N400</f>
        <v>0.504</v>
      </c>
      <c r="P400">
        <v>0.28299999999999997</v>
      </c>
      <c r="Q400">
        <f>P400/O400</f>
        <v>0.5615079365079364</v>
      </c>
    </row>
    <row r="401" spans="1:17" x14ac:dyDescent="0.25">
      <c r="A401">
        <v>400</v>
      </c>
      <c r="B401" t="s">
        <v>972</v>
      </c>
      <c r="C401" t="s">
        <v>958</v>
      </c>
      <c r="D401">
        <v>4</v>
      </c>
      <c r="E401" t="s">
        <v>959</v>
      </c>
      <c r="F401" t="s">
        <v>144</v>
      </c>
      <c r="G401" t="s">
        <v>144</v>
      </c>
      <c r="H401" t="s">
        <v>138</v>
      </c>
      <c r="I401">
        <v>7</v>
      </c>
      <c r="J401">
        <v>4.91</v>
      </c>
      <c r="K401">
        <f>(I401-J401)/2</f>
        <v>1.0449999999999999</v>
      </c>
      <c r="L401">
        <f>K401/I401</f>
        <v>0.14928571428571427</v>
      </c>
      <c r="M401">
        <v>0.35299999999999998</v>
      </c>
      <c r="N401">
        <v>2.1999999999999999E-2</v>
      </c>
      <c r="O401">
        <f>M401-N401</f>
        <v>0.33099999999999996</v>
      </c>
      <c r="P401">
        <v>0.113</v>
      </c>
      <c r="Q401">
        <f>P401/O401</f>
        <v>0.34138972809667678</v>
      </c>
    </row>
    <row r="402" spans="1:17" x14ac:dyDescent="0.25">
      <c r="A402">
        <v>401</v>
      </c>
      <c r="B402" t="s">
        <v>976</v>
      </c>
      <c r="C402" t="s">
        <v>437</v>
      </c>
      <c r="D402">
        <v>5</v>
      </c>
      <c r="E402" t="s">
        <v>438</v>
      </c>
      <c r="F402" t="s">
        <v>144</v>
      </c>
      <c r="G402" t="s">
        <v>144</v>
      </c>
      <c r="H402" t="s">
        <v>138</v>
      </c>
      <c r="I402">
        <v>4.6100000000000003</v>
      </c>
      <c r="J402">
        <v>3.62</v>
      </c>
      <c r="K402">
        <f>(I402-J402)/2</f>
        <v>0.49500000000000011</v>
      </c>
      <c r="L402">
        <f>K402/I402</f>
        <v>0.10737527114967464</v>
      </c>
      <c r="M402">
        <v>0.21</v>
      </c>
      <c r="N402">
        <v>2.1999999999999999E-2</v>
      </c>
      <c r="O402">
        <f>M402-N402</f>
        <v>0.188</v>
      </c>
      <c r="P402">
        <v>0.14099999999999999</v>
      </c>
      <c r="Q402">
        <f>P402/O402</f>
        <v>0.74999999999999989</v>
      </c>
    </row>
    <row r="403" spans="1:17" x14ac:dyDescent="0.25">
      <c r="A403">
        <v>402</v>
      </c>
      <c r="B403" t="s">
        <v>973</v>
      </c>
      <c r="C403" t="s">
        <v>974</v>
      </c>
      <c r="D403">
        <v>1</v>
      </c>
      <c r="E403" t="s">
        <v>975</v>
      </c>
      <c r="F403" t="s">
        <v>144</v>
      </c>
      <c r="G403" t="s">
        <v>144</v>
      </c>
      <c r="H403" t="s">
        <v>138</v>
      </c>
      <c r="I403">
        <v>4.93</v>
      </c>
      <c r="J403">
        <v>3.95</v>
      </c>
      <c r="K403">
        <f>(I403-J403)/2</f>
        <v>0.48999999999999977</v>
      </c>
      <c r="L403">
        <f>K403/I403</f>
        <v>9.9391480730223081E-2</v>
      </c>
      <c r="M403">
        <v>0.443</v>
      </c>
      <c r="N403">
        <v>2.1999999999999999E-2</v>
      </c>
      <c r="O403">
        <f>M403-N403</f>
        <v>0.42099999999999999</v>
      </c>
      <c r="P403">
        <v>0.30099999999999999</v>
      </c>
      <c r="Q403">
        <f>P403/O403</f>
        <v>0.71496437054631834</v>
      </c>
    </row>
    <row r="404" spans="1:17" x14ac:dyDescent="0.25">
      <c r="A404">
        <v>403</v>
      </c>
      <c r="B404" t="s">
        <v>978</v>
      </c>
      <c r="C404" t="s">
        <v>954</v>
      </c>
      <c r="D404">
        <v>2</v>
      </c>
      <c r="E404" t="s">
        <v>955</v>
      </c>
      <c r="F404" t="s">
        <v>144</v>
      </c>
      <c r="G404" t="s">
        <v>144</v>
      </c>
      <c r="H404" t="s">
        <v>138</v>
      </c>
      <c r="I404">
        <v>5.79</v>
      </c>
      <c r="J404">
        <v>4.8099999999999996</v>
      </c>
      <c r="K404">
        <f>(I404-J404)/2</f>
        <v>0.49000000000000021</v>
      </c>
      <c r="L404">
        <f>K404/I404</f>
        <v>8.4628670120898142E-2</v>
      </c>
      <c r="M404">
        <v>0.59799999999999998</v>
      </c>
      <c r="N404">
        <v>2.1999999999999999E-2</v>
      </c>
      <c r="O404">
        <f>M404-N404</f>
        <v>0.57599999999999996</v>
      </c>
      <c r="P404">
        <v>0.31900000000000001</v>
      </c>
      <c r="Q404">
        <f>P404/O404</f>
        <v>0.55381944444444453</v>
      </c>
    </row>
    <row r="405" spans="1:17" x14ac:dyDescent="0.25">
      <c r="A405">
        <v>404</v>
      </c>
      <c r="B405" t="s">
        <v>979</v>
      </c>
      <c r="C405" t="s">
        <v>467</v>
      </c>
      <c r="D405">
        <v>5</v>
      </c>
      <c r="E405" t="s">
        <v>468</v>
      </c>
      <c r="F405" t="s">
        <v>144</v>
      </c>
      <c r="G405" t="s">
        <v>144</v>
      </c>
      <c r="H405" t="s">
        <v>138</v>
      </c>
      <c r="I405">
        <v>6.78</v>
      </c>
      <c r="J405">
        <v>5.4</v>
      </c>
      <c r="K405">
        <f>(I405-J405)/2</f>
        <v>0.69</v>
      </c>
      <c r="L405">
        <f>K405/I405</f>
        <v>0.10176991150442477</v>
      </c>
      <c r="M405">
        <v>0.745</v>
      </c>
      <c r="N405">
        <v>2.1999999999999999E-2</v>
      </c>
      <c r="O405">
        <f>M405-N405</f>
        <v>0.72299999999999998</v>
      </c>
      <c r="P405">
        <v>0.36699999999999999</v>
      </c>
      <c r="Q405">
        <f>P405/O405</f>
        <v>0.50760719225449513</v>
      </c>
    </row>
    <row r="406" spans="1:17" x14ac:dyDescent="0.25">
      <c r="A406">
        <v>405</v>
      </c>
      <c r="B406" t="s">
        <v>966</v>
      </c>
      <c r="C406" t="s">
        <v>470</v>
      </c>
      <c r="D406">
        <v>4</v>
      </c>
      <c r="E406" t="s">
        <v>471</v>
      </c>
      <c r="F406" t="s">
        <v>144</v>
      </c>
      <c r="G406" t="s">
        <v>144</v>
      </c>
      <c r="H406" t="s">
        <v>138</v>
      </c>
      <c r="I406">
        <v>8.74</v>
      </c>
      <c r="J406">
        <v>4.96</v>
      </c>
      <c r="K406">
        <f>(I406-J406)/2</f>
        <v>1.8900000000000001</v>
      </c>
      <c r="L406">
        <f>K406/I406</f>
        <v>0.21624713958810068</v>
      </c>
      <c r="M406">
        <v>0.51800000000000002</v>
      </c>
      <c r="N406">
        <v>2.1999999999999999E-2</v>
      </c>
      <c r="O406">
        <f>M406-N406</f>
        <v>0.496</v>
      </c>
      <c r="P406">
        <v>0.27200000000000002</v>
      </c>
      <c r="Q406">
        <f>P406/O406</f>
        <v>0.54838709677419362</v>
      </c>
    </row>
    <row r="407" spans="1:17" x14ac:dyDescent="0.25">
      <c r="A407">
        <v>406</v>
      </c>
      <c r="B407" t="s">
        <v>965</v>
      </c>
      <c r="C407" t="s">
        <v>958</v>
      </c>
      <c r="D407">
        <v>3</v>
      </c>
      <c r="E407" t="s">
        <v>959</v>
      </c>
      <c r="F407" t="s">
        <v>144</v>
      </c>
      <c r="G407" t="s">
        <v>144</v>
      </c>
      <c r="H407" t="s">
        <v>138</v>
      </c>
      <c r="I407">
        <v>5.43</v>
      </c>
      <c r="J407">
        <v>3.7</v>
      </c>
      <c r="K407">
        <f>(I407-J407)/2</f>
        <v>0.86499999999999977</v>
      </c>
      <c r="L407">
        <f>K407/I407</f>
        <v>0.15930018416206257</v>
      </c>
      <c r="M407">
        <v>0.64300000000000002</v>
      </c>
      <c r="N407">
        <v>2.1999999999999999E-2</v>
      </c>
      <c r="O407">
        <f>M407-N407</f>
        <v>0.621</v>
      </c>
      <c r="P407">
        <v>0.30299999999999999</v>
      </c>
      <c r="Q407">
        <f>P407/O407</f>
        <v>0.48792270531400966</v>
      </c>
    </row>
    <row r="408" spans="1:17" x14ac:dyDescent="0.25">
      <c r="A408">
        <v>407</v>
      </c>
      <c r="B408" t="s">
        <v>977</v>
      </c>
      <c r="C408" t="s">
        <v>545</v>
      </c>
      <c r="D408">
        <v>5</v>
      </c>
      <c r="E408" t="s">
        <v>802</v>
      </c>
      <c r="F408" t="s">
        <v>144</v>
      </c>
      <c r="G408" t="s">
        <v>144</v>
      </c>
      <c r="H408" t="s">
        <v>138</v>
      </c>
      <c r="I408">
        <v>7.67</v>
      </c>
      <c r="J408">
        <v>5.55</v>
      </c>
      <c r="K408">
        <f>(I408-J408)/2</f>
        <v>1.06</v>
      </c>
      <c r="L408">
        <f>K408/I408</f>
        <v>0.13820078226857888</v>
      </c>
      <c r="M408">
        <v>0.56799999999999995</v>
      </c>
      <c r="N408">
        <v>2.1999999999999999E-2</v>
      </c>
      <c r="O408">
        <f>M408-N408</f>
        <v>0.54599999999999993</v>
      </c>
      <c r="P408">
        <v>0.29699999999999999</v>
      </c>
      <c r="Q408">
        <f>P408/O408</f>
        <v>0.54395604395604402</v>
      </c>
    </row>
    <row r="409" spans="1:17" x14ac:dyDescent="0.25">
      <c r="A409">
        <v>408</v>
      </c>
      <c r="B409" t="s">
        <v>970</v>
      </c>
      <c r="C409" t="s">
        <v>545</v>
      </c>
      <c r="D409">
        <v>4</v>
      </c>
      <c r="E409" t="s">
        <v>802</v>
      </c>
      <c r="F409" t="s">
        <v>144</v>
      </c>
      <c r="G409" t="s">
        <v>144</v>
      </c>
      <c r="H409" t="s">
        <v>138</v>
      </c>
      <c r="I409">
        <v>7.33</v>
      </c>
      <c r="J409">
        <v>5.17</v>
      </c>
      <c r="K409">
        <f>(I409-J409)/2</f>
        <v>1.08</v>
      </c>
      <c r="L409">
        <f>K409/I409</f>
        <v>0.14733969986357437</v>
      </c>
      <c r="M409">
        <v>0.74199999999999999</v>
      </c>
      <c r="N409">
        <v>2.1999999999999999E-2</v>
      </c>
      <c r="O409">
        <f>M409-N409</f>
        <v>0.72</v>
      </c>
      <c r="P409">
        <v>0.30599999999999999</v>
      </c>
      <c r="Q409">
        <f>P409/O409</f>
        <v>0.42499999999999999</v>
      </c>
    </row>
    <row r="410" spans="1:17" x14ac:dyDescent="0.25">
      <c r="A410">
        <v>409</v>
      </c>
      <c r="B410" t="s">
        <v>941</v>
      </c>
      <c r="C410" t="s">
        <v>942</v>
      </c>
      <c r="D410">
        <v>1</v>
      </c>
      <c r="E410" t="s">
        <v>943</v>
      </c>
      <c r="F410" t="s">
        <v>144</v>
      </c>
      <c r="G410" t="s">
        <v>144</v>
      </c>
      <c r="H410" t="s">
        <v>138</v>
      </c>
      <c r="I410">
        <v>8.26</v>
      </c>
      <c r="J410">
        <v>5.57</v>
      </c>
      <c r="K410">
        <f>(I410-J410)/2</f>
        <v>1.3449999999999998</v>
      </c>
      <c r="L410">
        <f>K410/I410</f>
        <v>0.1628329297820823</v>
      </c>
      <c r="M410">
        <v>0.40600000000000003</v>
      </c>
      <c r="N410">
        <v>2.1999999999999999E-2</v>
      </c>
      <c r="O410">
        <f>M410-N410</f>
        <v>0.38400000000000001</v>
      </c>
      <c r="P410">
        <v>0.28899999999999998</v>
      </c>
      <c r="Q410">
        <f>P410/O410</f>
        <v>0.75260416666666663</v>
      </c>
    </row>
    <row r="411" spans="1:17" x14ac:dyDescent="0.25">
      <c r="A411">
        <v>410</v>
      </c>
      <c r="B411" t="s">
        <v>1004</v>
      </c>
      <c r="C411" t="s">
        <v>907</v>
      </c>
      <c r="D411">
        <v>4</v>
      </c>
      <c r="E411" t="s">
        <v>908</v>
      </c>
      <c r="F411" t="s">
        <v>144</v>
      </c>
      <c r="G411" t="s">
        <v>144</v>
      </c>
      <c r="H411" t="s">
        <v>138</v>
      </c>
      <c r="I411">
        <v>5.75</v>
      </c>
      <c r="J411">
        <v>5.1100000000000003</v>
      </c>
      <c r="K411">
        <f>(I411-J411)/2</f>
        <v>0.31999999999999984</v>
      </c>
      <c r="L411">
        <f>K411/I411</f>
        <v>5.5652173913043453E-2</v>
      </c>
      <c r="M411">
        <v>0.59799999999999998</v>
      </c>
      <c r="N411">
        <v>2.1999999999999999E-2</v>
      </c>
      <c r="O411">
        <f>M411-N411</f>
        <v>0.57599999999999996</v>
      </c>
      <c r="P411">
        <v>0.42199999999999999</v>
      </c>
      <c r="Q411">
        <f>P411/O411</f>
        <v>0.73263888888888895</v>
      </c>
    </row>
    <row r="412" spans="1:17" x14ac:dyDescent="0.25">
      <c r="A412">
        <v>411</v>
      </c>
      <c r="B412" t="s">
        <v>945</v>
      </c>
      <c r="C412" t="s">
        <v>942</v>
      </c>
      <c r="D412">
        <v>2</v>
      </c>
      <c r="E412" t="s">
        <v>943</v>
      </c>
      <c r="F412" t="s">
        <v>144</v>
      </c>
      <c r="G412" t="s">
        <v>144</v>
      </c>
      <c r="H412" t="s">
        <v>138</v>
      </c>
      <c r="I412">
        <v>7.73</v>
      </c>
      <c r="J412">
        <v>5.51</v>
      </c>
      <c r="K412">
        <f>(I412-J412)/2</f>
        <v>1.1100000000000003</v>
      </c>
      <c r="L412">
        <f>K412/I412</f>
        <v>0.14359637774902978</v>
      </c>
      <c r="M412">
        <v>0.58299999999999996</v>
      </c>
      <c r="N412">
        <v>2.1999999999999999E-2</v>
      </c>
      <c r="O412">
        <f>M412-N412</f>
        <v>0.56099999999999994</v>
      </c>
      <c r="P412">
        <v>0.32300000000000001</v>
      </c>
      <c r="Q412">
        <f>P412/O412</f>
        <v>0.5757575757575758</v>
      </c>
    </row>
    <row r="413" spans="1:17" x14ac:dyDescent="0.25">
      <c r="A413">
        <v>412</v>
      </c>
      <c r="B413" t="s">
        <v>964</v>
      </c>
      <c r="C413" t="s">
        <v>467</v>
      </c>
      <c r="D413">
        <v>4</v>
      </c>
      <c r="E413" t="s">
        <v>468</v>
      </c>
      <c r="F413" t="s">
        <v>144</v>
      </c>
      <c r="G413" t="s">
        <v>144</v>
      </c>
      <c r="H413" t="s">
        <v>138</v>
      </c>
      <c r="I413">
        <v>7.77</v>
      </c>
      <c r="J413">
        <v>5.78</v>
      </c>
      <c r="K413">
        <f>(I413-J413)/2</f>
        <v>0.99499999999999966</v>
      </c>
      <c r="L413">
        <f>K413/I413</f>
        <v>0.12805662805662801</v>
      </c>
      <c r="M413">
        <v>0.89400000000000002</v>
      </c>
      <c r="N413">
        <v>2.1999999999999999E-2</v>
      </c>
      <c r="O413">
        <f>M413-N413</f>
        <v>0.872</v>
      </c>
      <c r="P413">
        <v>0.52400000000000002</v>
      </c>
      <c r="Q413">
        <f>P413/O413</f>
        <v>0.60091743119266061</v>
      </c>
    </row>
    <row r="414" spans="1:17" x14ac:dyDescent="0.25">
      <c r="A414">
        <v>413</v>
      </c>
      <c r="B414" t="s">
        <v>999</v>
      </c>
      <c r="C414" t="s">
        <v>958</v>
      </c>
      <c r="D414">
        <v>5</v>
      </c>
      <c r="E414" t="s">
        <v>959</v>
      </c>
      <c r="F414" t="s">
        <v>144</v>
      </c>
      <c r="G414" t="s">
        <v>144</v>
      </c>
      <c r="H414" t="s">
        <v>138</v>
      </c>
      <c r="I414">
        <v>6.03</v>
      </c>
      <c r="J414">
        <v>4.25</v>
      </c>
      <c r="K414">
        <f>(I414-J414)/2</f>
        <v>0.89000000000000012</v>
      </c>
      <c r="L414">
        <f>K414/I414</f>
        <v>0.14759535655058045</v>
      </c>
      <c r="M414">
        <v>0.48399999999999999</v>
      </c>
      <c r="N414">
        <v>2.1999999999999999E-2</v>
      </c>
      <c r="O414">
        <f>M414-N414</f>
        <v>0.46199999999999997</v>
      </c>
      <c r="P414">
        <v>0.22600000000000001</v>
      </c>
      <c r="Q414">
        <f>P414/O414</f>
        <v>0.48917748917748921</v>
      </c>
    </row>
    <row r="415" spans="1:17" x14ac:dyDescent="0.25">
      <c r="A415">
        <v>414</v>
      </c>
      <c r="B415" t="s">
        <v>961</v>
      </c>
      <c r="C415" t="s">
        <v>545</v>
      </c>
      <c r="D415">
        <v>2</v>
      </c>
      <c r="E415" t="s">
        <v>802</v>
      </c>
      <c r="F415" t="s">
        <v>144</v>
      </c>
      <c r="G415" t="s">
        <v>144</v>
      </c>
      <c r="H415" t="s">
        <v>138</v>
      </c>
      <c r="I415">
        <v>7.46</v>
      </c>
      <c r="J415">
        <v>5.43</v>
      </c>
      <c r="K415">
        <f>(I415-J415)/2</f>
        <v>1.0150000000000001</v>
      </c>
      <c r="L415">
        <f>K415/I415</f>
        <v>0.13605898123324398</v>
      </c>
      <c r="M415">
        <v>0.45500000000000002</v>
      </c>
      <c r="N415">
        <v>2.1999999999999999E-2</v>
      </c>
      <c r="O415">
        <f>M415-N415</f>
        <v>0.433</v>
      </c>
      <c r="P415">
        <v>0.14299999999999999</v>
      </c>
      <c r="Q415">
        <f>P415/O415</f>
        <v>0.33025404157043875</v>
      </c>
    </row>
    <row r="416" spans="1:17" x14ac:dyDescent="0.25">
      <c r="A416">
        <v>415</v>
      </c>
      <c r="B416" t="s">
        <v>967</v>
      </c>
      <c r="C416" t="s">
        <v>796</v>
      </c>
      <c r="D416">
        <v>5</v>
      </c>
      <c r="E416" t="s">
        <v>797</v>
      </c>
      <c r="F416" t="s">
        <v>144</v>
      </c>
      <c r="G416" t="s">
        <v>144</v>
      </c>
      <c r="H416" t="s">
        <v>138</v>
      </c>
      <c r="I416">
        <v>5.34</v>
      </c>
      <c r="J416">
        <v>3.39</v>
      </c>
      <c r="K416">
        <f>(I416-J416)/2</f>
        <v>0.97499999999999987</v>
      </c>
      <c r="L416">
        <f>K416/I416</f>
        <v>0.18258426966292132</v>
      </c>
      <c r="M416">
        <v>0.33900000000000002</v>
      </c>
      <c r="N416">
        <v>2.1999999999999999E-2</v>
      </c>
      <c r="O416">
        <f>M416-N416</f>
        <v>0.317</v>
      </c>
      <c r="P416">
        <v>0.192</v>
      </c>
      <c r="Q416">
        <f>P416/O416</f>
        <v>0.60567823343848581</v>
      </c>
    </row>
    <row r="417" spans="1:17" x14ac:dyDescent="0.25">
      <c r="A417">
        <v>416</v>
      </c>
      <c r="B417" t="s">
        <v>1005</v>
      </c>
      <c r="C417" t="s">
        <v>356</v>
      </c>
      <c r="D417">
        <v>4</v>
      </c>
      <c r="E417" t="s">
        <v>336</v>
      </c>
      <c r="F417" t="s">
        <v>144</v>
      </c>
      <c r="G417" t="s">
        <v>144</v>
      </c>
      <c r="H417" t="s">
        <v>138</v>
      </c>
      <c r="I417">
        <v>7.13</v>
      </c>
      <c r="J417">
        <v>5.52</v>
      </c>
      <c r="K417">
        <f>(I417-J417)/2</f>
        <v>0.80500000000000016</v>
      </c>
      <c r="L417">
        <f>K417/I417</f>
        <v>0.11290322580645164</v>
      </c>
      <c r="M417">
        <v>0.495</v>
      </c>
      <c r="N417">
        <v>2.1999999999999999E-2</v>
      </c>
      <c r="O417">
        <f>M417-N417</f>
        <v>0.47299999999999998</v>
      </c>
      <c r="P417">
        <v>0.30499999999999999</v>
      </c>
      <c r="Q417">
        <f>P417/O417</f>
        <v>0.64482029598308666</v>
      </c>
    </row>
    <row r="418" spans="1:17" x14ac:dyDescent="0.25">
      <c r="A418">
        <v>417</v>
      </c>
      <c r="B418" t="s">
        <v>963</v>
      </c>
      <c r="C418" t="s">
        <v>958</v>
      </c>
      <c r="D418">
        <v>2</v>
      </c>
      <c r="E418" t="s">
        <v>959</v>
      </c>
      <c r="F418" t="s">
        <v>144</v>
      </c>
      <c r="G418" t="s">
        <v>144</v>
      </c>
      <c r="H418" t="s">
        <v>138</v>
      </c>
      <c r="I418">
        <v>9.9499999999999993</v>
      </c>
      <c r="J418">
        <v>7.54</v>
      </c>
      <c r="K418">
        <f>(I418-J418)/2</f>
        <v>1.2049999999999996</v>
      </c>
      <c r="L418">
        <f>K418/I418</f>
        <v>0.12110552763819092</v>
      </c>
      <c r="M418">
        <v>1.323</v>
      </c>
      <c r="N418">
        <v>2.1999999999999999E-2</v>
      </c>
      <c r="O418">
        <f>M418-N418</f>
        <v>1.3009999999999999</v>
      </c>
      <c r="P418">
        <v>0.38700000000000001</v>
      </c>
      <c r="Q418">
        <f>P418/O418</f>
        <v>0.29746348962336666</v>
      </c>
    </row>
    <row r="419" spans="1:17" x14ac:dyDescent="0.25">
      <c r="A419">
        <v>418</v>
      </c>
      <c r="B419" t="s">
        <v>1042</v>
      </c>
      <c r="C419" t="s">
        <v>845</v>
      </c>
      <c r="D419">
        <v>5</v>
      </c>
      <c r="E419" t="s">
        <v>846</v>
      </c>
      <c r="F419" t="s">
        <v>144</v>
      </c>
      <c r="G419" t="s">
        <v>144</v>
      </c>
      <c r="H419" t="s">
        <v>138</v>
      </c>
      <c r="I419">
        <v>9.0399999999999991</v>
      </c>
      <c r="J419">
        <v>8.2899999999999991</v>
      </c>
      <c r="K419">
        <f>(I419-J419)/2</f>
        <v>0.375</v>
      </c>
      <c r="L419">
        <f>K419/I419</f>
        <v>4.1482300884955754E-2</v>
      </c>
      <c r="M419">
        <v>1.2809999999999999</v>
      </c>
      <c r="N419">
        <v>2.7E-2</v>
      </c>
      <c r="O419">
        <f>M419-N419</f>
        <v>1.254</v>
      </c>
      <c r="P419">
        <v>0.81699999999999995</v>
      </c>
      <c r="Q419">
        <f>P419/O419</f>
        <v>0.65151515151515149</v>
      </c>
    </row>
    <row r="420" spans="1:17" x14ac:dyDescent="0.25">
      <c r="A420">
        <v>419</v>
      </c>
      <c r="B420" t="s">
        <v>1037</v>
      </c>
      <c r="C420" t="s">
        <v>1038</v>
      </c>
      <c r="D420">
        <v>2</v>
      </c>
      <c r="E420" t="s">
        <v>1039</v>
      </c>
      <c r="F420" t="s">
        <v>144</v>
      </c>
      <c r="G420" t="s">
        <v>144</v>
      </c>
      <c r="H420" t="s">
        <v>138</v>
      </c>
      <c r="I420">
        <v>3.62</v>
      </c>
      <c r="J420">
        <v>3.21</v>
      </c>
      <c r="K420">
        <f>(I420-J420)/2</f>
        <v>0.20500000000000007</v>
      </c>
      <c r="L420">
        <f>K420/I420</f>
        <v>5.6629834254143661E-2</v>
      </c>
      <c r="M420">
        <v>0.42399999999999999</v>
      </c>
      <c r="N420">
        <v>2.7E-2</v>
      </c>
      <c r="O420">
        <f>M420-N420</f>
        <v>0.39699999999999996</v>
      </c>
      <c r="P420">
        <v>0.309</v>
      </c>
      <c r="Q420">
        <f>P420/O420</f>
        <v>0.77833753148614615</v>
      </c>
    </row>
    <row r="421" spans="1:17" x14ac:dyDescent="0.25">
      <c r="A421">
        <v>420</v>
      </c>
      <c r="B421" t="s">
        <v>1046</v>
      </c>
      <c r="C421" t="s">
        <v>1038</v>
      </c>
      <c r="D421">
        <v>1</v>
      </c>
      <c r="E421" t="s">
        <v>1039</v>
      </c>
      <c r="F421" t="s">
        <v>144</v>
      </c>
      <c r="G421" t="s">
        <v>144</v>
      </c>
      <c r="H421" t="s">
        <v>138</v>
      </c>
      <c r="I421">
        <v>4.5199999999999996</v>
      </c>
      <c r="J421">
        <v>3.85</v>
      </c>
      <c r="K421">
        <f>(I421-J421)/2</f>
        <v>0.33499999999999974</v>
      </c>
      <c r="L421">
        <f>K421/I421</f>
        <v>7.4115044247787559E-2</v>
      </c>
      <c r="M421">
        <v>0.67900000000000005</v>
      </c>
      <c r="N421">
        <v>2.7E-2</v>
      </c>
      <c r="O421">
        <f>M421-N421</f>
        <v>0.65200000000000002</v>
      </c>
      <c r="P421">
        <v>0.44900000000000001</v>
      </c>
      <c r="Q421">
        <f>P421/O421</f>
        <v>0.68865030674846628</v>
      </c>
    </row>
    <row r="422" spans="1:17" x14ac:dyDescent="0.25">
      <c r="A422">
        <v>421</v>
      </c>
      <c r="B422" t="s">
        <v>1040</v>
      </c>
      <c r="C422" t="s">
        <v>881</v>
      </c>
      <c r="D422">
        <v>5</v>
      </c>
      <c r="E422" t="s">
        <v>882</v>
      </c>
      <c r="F422" t="s">
        <v>144</v>
      </c>
      <c r="G422" t="s">
        <v>144</v>
      </c>
      <c r="H422" t="s">
        <v>138</v>
      </c>
      <c r="I422">
        <v>5.23</v>
      </c>
      <c r="J422">
        <v>4.47</v>
      </c>
      <c r="K422">
        <f>(I422-J422)/2</f>
        <v>0.38000000000000034</v>
      </c>
      <c r="L422">
        <f>K422/I422</f>
        <v>7.2657743785850923E-2</v>
      </c>
      <c r="M422">
        <v>0.84199999999999997</v>
      </c>
      <c r="N422">
        <v>2.7E-2</v>
      </c>
      <c r="O422">
        <f>M422-N422</f>
        <v>0.81499999999999995</v>
      </c>
      <c r="P422">
        <v>0.52900000000000003</v>
      </c>
      <c r="Q422">
        <f>P422/O422</f>
        <v>0.64907975460122702</v>
      </c>
    </row>
    <row r="423" spans="1:17" x14ac:dyDescent="0.25">
      <c r="A423">
        <v>422</v>
      </c>
      <c r="B423" t="s">
        <v>1027</v>
      </c>
      <c r="C423" t="s">
        <v>898</v>
      </c>
      <c r="D423">
        <v>4</v>
      </c>
      <c r="E423" t="s">
        <v>899</v>
      </c>
      <c r="F423" t="s">
        <v>144</v>
      </c>
      <c r="G423" t="s">
        <v>144</v>
      </c>
      <c r="H423" t="s">
        <v>138</v>
      </c>
      <c r="I423">
        <v>7.56</v>
      </c>
      <c r="J423">
        <v>5.67</v>
      </c>
      <c r="K423">
        <f>(I423-J423)/2</f>
        <v>0.94499999999999984</v>
      </c>
      <c r="L423">
        <f>K423/I423</f>
        <v>0.12499999999999999</v>
      </c>
      <c r="M423">
        <v>0.76</v>
      </c>
      <c r="N423">
        <v>2.7E-2</v>
      </c>
      <c r="O423">
        <f>M423-N423</f>
        <v>0.73299999999999998</v>
      </c>
      <c r="P423">
        <v>0.48499999999999999</v>
      </c>
      <c r="Q423">
        <f>P423/O423</f>
        <v>0.66166439290586632</v>
      </c>
    </row>
    <row r="424" spans="1:17" x14ac:dyDescent="0.25">
      <c r="A424">
        <v>423</v>
      </c>
      <c r="B424" t="s">
        <v>1028</v>
      </c>
      <c r="C424" t="s">
        <v>352</v>
      </c>
      <c r="D424">
        <v>5</v>
      </c>
      <c r="E424" t="s">
        <v>375</v>
      </c>
      <c r="F424" t="s">
        <v>144</v>
      </c>
      <c r="G424" t="s">
        <v>144</v>
      </c>
      <c r="H424" t="s">
        <v>138</v>
      </c>
      <c r="I424">
        <v>10.47</v>
      </c>
      <c r="J424">
        <v>8.39</v>
      </c>
      <c r="K424">
        <f>(I424-J424)/2</f>
        <v>1.04</v>
      </c>
      <c r="L424">
        <f>K424/I424</f>
        <v>9.9331423113658071E-2</v>
      </c>
      <c r="M424">
        <v>0.91200000000000003</v>
      </c>
      <c r="N424">
        <v>2.7E-2</v>
      </c>
      <c r="O424">
        <f>M424-N424</f>
        <v>0.88500000000000001</v>
      </c>
      <c r="P424">
        <v>0.76100000000000001</v>
      </c>
      <c r="Q424">
        <f>P424/O424</f>
        <v>0.85988700564971754</v>
      </c>
    </row>
    <row r="425" spans="1:17" x14ac:dyDescent="0.25">
      <c r="A425">
        <v>424</v>
      </c>
      <c r="B425" t="s">
        <v>1029</v>
      </c>
      <c r="C425" t="s">
        <v>842</v>
      </c>
      <c r="D425">
        <v>2</v>
      </c>
      <c r="E425" t="s">
        <v>843</v>
      </c>
      <c r="F425" t="s">
        <v>144</v>
      </c>
      <c r="G425" t="s">
        <v>144</v>
      </c>
      <c r="H425" t="s">
        <v>138</v>
      </c>
      <c r="I425">
        <v>4.3899999999999997</v>
      </c>
      <c r="J425">
        <v>3.8</v>
      </c>
      <c r="K425">
        <f>(I425-J425)/2</f>
        <v>0.29499999999999993</v>
      </c>
      <c r="L425">
        <f>K425/I425</f>
        <v>6.7198177676537574E-2</v>
      </c>
      <c r="M425">
        <v>0.66</v>
      </c>
      <c r="N425">
        <v>2.7E-2</v>
      </c>
      <c r="O425">
        <f>M425-N425</f>
        <v>0.63300000000000001</v>
      </c>
      <c r="P425">
        <v>0.315</v>
      </c>
      <c r="Q425">
        <f>P425/O425</f>
        <v>0.49763033175355448</v>
      </c>
    </row>
    <row r="426" spans="1:17" x14ac:dyDescent="0.25">
      <c r="A426">
        <v>425</v>
      </c>
      <c r="B426" t="s">
        <v>1031</v>
      </c>
      <c r="C426" t="s">
        <v>842</v>
      </c>
      <c r="D426">
        <v>3</v>
      </c>
      <c r="E426" t="s">
        <v>843</v>
      </c>
      <c r="F426" t="s">
        <v>144</v>
      </c>
      <c r="G426" t="s">
        <v>144</v>
      </c>
      <c r="H426" t="s">
        <v>138</v>
      </c>
      <c r="I426">
        <v>6.85</v>
      </c>
      <c r="J426">
        <v>5.22</v>
      </c>
      <c r="K426">
        <f>(I426-J426)/2</f>
        <v>0.81499999999999995</v>
      </c>
      <c r="L426">
        <f>K426/I426</f>
        <v>0.11897810218978103</v>
      </c>
      <c r="M426">
        <v>0.502</v>
      </c>
      <c r="N426">
        <v>2.7E-2</v>
      </c>
      <c r="O426">
        <f>M426-N426</f>
        <v>0.47499999999999998</v>
      </c>
      <c r="P426">
        <v>0.35399999999999998</v>
      </c>
      <c r="Q426">
        <f>P426/O426</f>
        <v>0.74526315789473685</v>
      </c>
    </row>
    <row r="427" spans="1:17" x14ac:dyDescent="0.25">
      <c r="A427">
        <v>426</v>
      </c>
      <c r="B427" t="s">
        <v>1043</v>
      </c>
      <c r="C427" t="s">
        <v>898</v>
      </c>
      <c r="D427">
        <v>3</v>
      </c>
      <c r="E427" t="s">
        <v>899</v>
      </c>
      <c r="F427" t="s">
        <v>144</v>
      </c>
      <c r="G427" t="s">
        <v>144</v>
      </c>
      <c r="H427" t="s">
        <v>138</v>
      </c>
      <c r="I427">
        <v>6.79</v>
      </c>
      <c r="J427">
        <v>4.7300000000000004</v>
      </c>
      <c r="K427">
        <f>(I427-J427)/2</f>
        <v>1.0299999999999998</v>
      </c>
      <c r="L427">
        <f>K427/I427</f>
        <v>0.15169366715758464</v>
      </c>
      <c r="M427">
        <v>0.34899999999999998</v>
      </c>
      <c r="N427">
        <v>2.7E-2</v>
      </c>
      <c r="O427">
        <f>M427-N427</f>
        <v>0.32199999999999995</v>
      </c>
      <c r="P427">
        <v>0.16900000000000001</v>
      </c>
      <c r="Q427">
        <f>P427/O427</f>
        <v>0.52484472049689457</v>
      </c>
    </row>
    <row r="428" spans="1:17" x14ac:dyDescent="0.25">
      <c r="A428">
        <v>427</v>
      </c>
      <c r="B428" t="s">
        <v>1041</v>
      </c>
      <c r="C428" t="s">
        <v>881</v>
      </c>
      <c r="D428">
        <v>3</v>
      </c>
      <c r="E428" t="s">
        <v>882</v>
      </c>
      <c r="F428" t="s">
        <v>144</v>
      </c>
      <c r="G428" t="s">
        <v>144</v>
      </c>
      <c r="H428" t="s">
        <v>138</v>
      </c>
      <c r="I428">
        <v>4.41</v>
      </c>
      <c r="J428">
        <v>4.03</v>
      </c>
      <c r="K428">
        <f>(I428-J428)/2</f>
        <v>0.18999999999999995</v>
      </c>
      <c r="L428">
        <f>K428/I428</f>
        <v>4.3083900226757357E-2</v>
      </c>
      <c r="M428">
        <v>0.60199999999999998</v>
      </c>
      <c r="N428">
        <v>2.7E-2</v>
      </c>
      <c r="O428">
        <f>M428-N428</f>
        <v>0.57499999999999996</v>
      </c>
      <c r="P428">
        <v>0.39300000000000002</v>
      </c>
      <c r="Q428">
        <f>P428/O428</f>
        <v>0.68347826086956531</v>
      </c>
    </row>
    <row r="429" spans="1:17" x14ac:dyDescent="0.25">
      <c r="A429">
        <v>428</v>
      </c>
      <c r="B429" t="s">
        <v>1044</v>
      </c>
      <c r="C429" t="s">
        <v>898</v>
      </c>
      <c r="D429">
        <v>2</v>
      </c>
      <c r="E429" t="s">
        <v>899</v>
      </c>
      <c r="F429" t="s">
        <v>144</v>
      </c>
      <c r="G429" t="s">
        <v>144</v>
      </c>
      <c r="H429" t="s">
        <v>138</v>
      </c>
      <c r="I429">
        <v>6.24</v>
      </c>
      <c r="J429">
        <v>5.08</v>
      </c>
      <c r="K429">
        <f>(I429-J429)/2</f>
        <v>0.58000000000000007</v>
      </c>
      <c r="L429">
        <f>K429/I429</f>
        <v>9.2948717948717952E-2</v>
      </c>
      <c r="M429">
        <v>0.76500000000000001</v>
      </c>
      <c r="N429">
        <v>2.7E-2</v>
      </c>
      <c r="O429">
        <f>M429-N429</f>
        <v>0.73799999999999999</v>
      </c>
      <c r="P429">
        <v>0.312</v>
      </c>
      <c r="Q429">
        <f>P429/O429</f>
        <v>0.42276422764227645</v>
      </c>
    </row>
    <row r="430" spans="1:17" x14ac:dyDescent="0.25">
      <c r="A430">
        <v>429</v>
      </c>
      <c r="B430" t="s">
        <v>1045</v>
      </c>
      <c r="C430" t="s">
        <v>515</v>
      </c>
      <c r="D430">
        <v>5</v>
      </c>
      <c r="E430" t="s">
        <v>516</v>
      </c>
      <c r="F430" t="s">
        <v>144</v>
      </c>
      <c r="G430" t="s">
        <v>144</v>
      </c>
      <c r="H430" t="s">
        <v>138</v>
      </c>
      <c r="I430">
        <v>5.86</v>
      </c>
      <c r="J430">
        <v>5.3</v>
      </c>
      <c r="K430">
        <f>(I430-J430)/2</f>
        <v>0.28000000000000025</v>
      </c>
      <c r="L430">
        <f>K430/I430</f>
        <v>4.7781569965870345E-2</v>
      </c>
      <c r="M430">
        <v>0.98299999999999998</v>
      </c>
      <c r="N430">
        <v>2.7E-2</v>
      </c>
      <c r="O430">
        <f>M430-N430</f>
        <v>0.95599999999999996</v>
      </c>
      <c r="P430">
        <v>0.51300000000000001</v>
      </c>
      <c r="Q430">
        <f>P430/O430</f>
        <v>0.53661087866108792</v>
      </c>
    </row>
    <row r="431" spans="1:17" x14ac:dyDescent="0.25">
      <c r="A431">
        <v>430</v>
      </c>
      <c r="B431" t="s">
        <v>1025</v>
      </c>
      <c r="C431" t="s">
        <v>352</v>
      </c>
      <c r="D431">
        <v>4</v>
      </c>
      <c r="E431" t="s">
        <v>375</v>
      </c>
      <c r="F431" t="s">
        <v>144</v>
      </c>
      <c r="G431" t="s">
        <v>144</v>
      </c>
      <c r="H431" t="s">
        <v>138</v>
      </c>
      <c r="I431">
        <v>6.43</v>
      </c>
      <c r="J431">
        <v>5.27</v>
      </c>
      <c r="K431">
        <f>(I431-J431)/2</f>
        <v>0.58000000000000007</v>
      </c>
      <c r="L431">
        <f>K431/I431</f>
        <v>9.0202177293934691E-2</v>
      </c>
      <c r="M431">
        <v>0.7</v>
      </c>
      <c r="N431">
        <v>2.7E-2</v>
      </c>
      <c r="O431">
        <f>M431-N431</f>
        <v>0.67299999999999993</v>
      </c>
      <c r="P431">
        <v>0.45500000000000002</v>
      </c>
      <c r="Q431">
        <f>P431/O431</f>
        <v>0.67607726597325413</v>
      </c>
    </row>
    <row r="432" spans="1:17" x14ac:dyDescent="0.25">
      <c r="A432">
        <v>431</v>
      </c>
      <c r="B432" t="s">
        <v>1047</v>
      </c>
      <c r="C432" t="s">
        <v>872</v>
      </c>
      <c r="D432">
        <v>2</v>
      </c>
      <c r="E432" t="s">
        <v>873</v>
      </c>
      <c r="F432" t="s">
        <v>144</v>
      </c>
      <c r="G432" t="s">
        <v>144</v>
      </c>
      <c r="H432" t="s">
        <v>138</v>
      </c>
      <c r="I432">
        <v>5.96</v>
      </c>
      <c r="J432">
        <v>4.2</v>
      </c>
      <c r="K432">
        <f>(I432-J432)/2</f>
        <v>0.87999999999999989</v>
      </c>
      <c r="L432">
        <f>K432/I432</f>
        <v>0.14765100671140938</v>
      </c>
      <c r="M432">
        <v>0.67300000000000004</v>
      </c>
      <c r="N432">
        <v>2.7E-2</v>
      </c>
      <c r="O432">
        <f>M432-N432</f>
        <v>0.64600000000000002</v>
      </c>
      <c r="P432">
        <v>0.17299999999999999</v>
      </c>
      <c r="Q432">
        <f>P432/O432</f>
        <v>0.2678018575851393</v>
      </c>
    </row>
    <row r="433" spans="1:19" x14ac:dyDescent="0.25">
      <c r="A433">
        <v>432</v>
      </c>
      <c r="B433" t="s">
        <v>1034</v>
      </c>
      <c r="C433" t="s">
        <v>358</v>
      </c>
      <c r="D433">
        <v>5</v>
      </c>
      <c r="E433" t="s">
        <v>363</v>
      </c>
      <c r="F433" t="s">
        <v>144</v>
      </c>
      <c r="G433" t="s">
        <v>144</v>
      </c>
      <c r="H433" t="s">
        <v>138</v>
      </c>
      <c r="I433">
        <v>11.82</v>
      </c>
      <c r="J433">
        <v>5.89</v>
      </c>
      <c r="K433">
        <f>(I433-J433)/2</f>
        <v>2.9650000000000003</v>
      </c>
      <c r="L433">
        <f>K433/I433</f>
        <v>0.25084602368866332</v>
      </c>
      <c r="M433">
        <v>0.45500000000000002</v>
      </c>
      <c r="N433">
        <v>2.7E-2</v>
      </c>
      <c r="O433">
        <f>M433-N433</f>
        <v>0.42799999999999999</v>
      </c>
      <c r="P433">
        <v>0.19600000000000001</v>
      </c>
      <c r="Q433">
        <f>P433/O433</f>
        <v>0.45794392523364491</v>
      </c>
    </row>
    <row r="434" spans="1:19" x14ac:dyDescent="0.25">
      <c r="A434">
        <v>433</v>
      </c>
      <c r="B434" t="s">
        <v>1030</v>
      </c>
      <c r="C434" t="s">
        <v>554</v>
      </c>
      <c r="D434">
        <v>4</v>
      </c>
      <c r="E434" t="s">
        <v>555</v>
      </c>
      <c r="F434" t="s">
        <v>144</v>
      </c>
      <c r="G434" t="s">
        <v>144</v>
      </c>
      <c r="H434" t="s">
        <v>138</v>
      </c>
      <c r="I434">
        <v>8.06</v>
      </c>
      <c r="J434">
        <v>5.64</v>
      </c>
      <c r="K434">
        <f>(I434-J434)/2</f>
        <v>1.2100000000000004</v>
      </c>
      <c r="L434">
        <f>K434/I434</f>
        <v>0.15012406947890822</v>
      </c>
      <c r="M434">
        <v>1.39</v>
      </c>
      <c r="N434">
        <v>2.7E-2</v>
      </c>
      <c r="O434">
        <f>M434-N434</f>
        <v>1.363</v>
      </c>
      <c r="P434">
        <v>0.41199999999999998</v>
      </c>
      <c r="Q434">
        <f>P434/O434</f>
        <v>0.30227439471753481</v>
      </c>
    </row>
    <row r="435" spans="1:19" x14ac:dyDescent="0.25">
      <c r="A435">
        <v>434</v>
      </c>
      <c r="B435" t="s">
        <v>1032</v>
      </c>
      <c r="C435" t="s">
        <v>512</v>
      </c>
      <c r="D435">
        <v>5</v>
      </c>
      <c r="E435" t="s">
        <v>513</v>
      </c>
      <c r="F435" t="s">
        <v>144</v>
      </c>
      <c r="G435" t="s">
        <v>144</v>
      </c>
      <c r="H435" t="s">
        <v>138</v>
      </c>
      <c r="I435">
        <v>8.86</v>
      </c>
      <c r="J435">
        <v>6.29</v>
      </c>
      <c r="K435">
        <f>(I435-J435)/2</f>
        <v>1.2849999999999997</v>
      </c>
      <c r="L435">
        <f>K435/I435</f>
        <v>0.14503386004514671</v>
      </c>
      <c r="M435">
        <v>0.70399999999999996</v>
      </c>
      <c r="N435">
        <v>2.7E-2</v>
      </c>
      <c r="O435">
        <f>M435-N435</f>
        <v>0.67699999999999994</v>
      </c>
      <c r="P435">
        <v>0.498</v>
      </c>
      <c r="Q435">
        <f>P435/O435</f>
        <v>0.73559822747415071</v>
      </c>
      <c r="S435" t="s">
        <v>1135</v>
      </c>
    </row>
    <row r="436" spans="1:19" x14ac:dyDescent="0.25">
      <c r="A436">
        <v>435</v>
      </c>
      <c r="B436" t="s">
        <v>1033</v>
      </c>
      <c r="C436" t="s">
        <v>352</v>
      </c>
      <c r="D436">
        <v>3</v>
      </c>
      <c r="E436" t="s">
        <v>375</v>
      </c>
      <c r="F436" t="s">
        <v>144</v>
      </c>
      <c r="G436" t="s">
        <v>144</v>
      </c>
      <c r="H436" t="s">
        <v>138</v>
      </c>
      <c r="I436">
        <v>7.84</v>
      </c>
      <c r="J436">
        <v>6.67</v>
      </c>
      <c r="K436">
        <f>(I436-J436)/2</f>
        <v>0.58499999999999996</v>
      </c>
      <c r="L436">
        <f>K436/I436</f>
        <v>7.4617346938775503E-2</v>
      </c>
      <c r="M436">
        <v>1.9390000000000001</v>
      </c>
      <c r="N436">
        <v>2.7E-2</v>
      </c>
      <c r="O436">
        <f>M436-N436</f>
        <v>1.9120000000000001</v>
      </c>
      <c r="P436">
        <v>1.2889999999999999</v>
      </c>
      <c r="Q436">
        <f>P436/O436</f>
        <v>0.67416317991631791</v>
      </c>
    </row>
    <row r="437" spans="1:19" x14ac:dyDescent="0.25">
      <c r="A437">
        <v>436</v>
      </c>
      <c r="B437" t="s">
        <v>1026</v>
      </c>
      <c r="C437" t="s">
        <v>381</v>
      </c>
      <c r="D437">
        <v>6</v>
      </c>
      <c r="E437" t="s">
        <v>385</v>
      </c>
      <c r="F437" t="s">
        <v>144</v>
      </c>
      <c r="G437" t="s">
        <v>144</v>
      </c>
      <c r="H437" t="s">
        <v>138</v>
      </c>
      <c r="I437">
        <v>7.11</v>
      </c>
      <c r="J437">
        <v>5.89</v>
      </c>
      <c r="K437">
        <f>(I437-J437)/2</f>
        <v>0.61000000000000032</v>
      </c>
      <c r="L437">
        <f>K437/I437</f>
        <v>8.5794655414908619E-2</v>
      </c>
      <c r="M437">
        <v>1.573</v>
      </c>
      <c r="N437">
        <v>2.7E-2</v>
      </c>
      <c r="O437">
        <f>M437-N437</f>
        <v>1.546</v>
      </c>
      <c r="P437">
        <v>0.85699999999999998</v>
      </c>
      <c r="Q437">
        <f>P437/O437</f>
        <v>0.55433376455368688</v>
      </c>
    </row>
    <row r="438" spans="1:19" x14ac:dyDescent="0.25">
      <c r="A438">
        <v>437</v>
      </c>
      <c r="B438" t="s">
        <v>1035</v>
      </c>
      <c r="C438" t="s">
        <v>346</v>
      </c>
      <c r="D438">
        <v>6</v>
      </c>
      <c r="E438" t="s">
        <v>377</v>
      </c>
      <c r="F438" t="s">
        <v>144</v>
      </c>
      <c r="G438" t="s">
        <v>144</v>
      </c>
      <c r="H438" t="s">
        <v>138</v>
      </c>
      <c r="I438">
        <v>6.95</v>
      </c>
      <c r="J438">
        <v>4.5</v>
      </c>
      <c r="K438">
        <f>(I438-J438)/2</f>
        <v>1.2250000000000001</v>
      </c>
      <c r="L438">
        <f>K438/I438</f>
        <v>0.17625899280575541</v>
      </c>
      <c r="M438">
        <v>0.55200000000000005</v>
      </c>
      <c r="N438">
        <v>2.7E-2</v>
      </c>
      <c r="O438">
        <f>M438-N438</f>
        <v>0.52500000000000002</v>
      </c>
      <c r="P438">
        <v>0.27</v>
      </c>
      <c r="Q438">
        <f>P438/O438</f>
        <v>0.51428571428571435</v>
      </c>
    </row>
    <row r="439" spans="1:19" x14ac:dyDescent="0.25">
      <c r="A439">
        <v>438</v>
      </c>
      <c r="B439" t="s">
        <v>1101</v>
      </c>
      <c r="C439" t="s">
        <v>400</v>
      </c>
      <c r="D439">
        <v>5</v>
      </c>
      <c r="E439" t="s">
        <v>268</v>
      </c>
      <c r="F439" t="s">
        <v>144</v>
      </c>
      <c r="G439" t="s">
        <v>144</v>
      </c>
      <c r="H439" t="s">
        <v>138</v>
      </c>
      <c r="I439">
        <v>9.11</v>
      </c>
      <c r="J439">
        <v>5.69</v>
      </c>
      <c r="K439">
        <f>(I439-J439)/2</f>
        <v>1.7099999999999995</v>
      </c>
      <c r="L439">
        <f>K439/I439</f>
        <v>0.18770581778265638</v>
      </c>
      <c r="M439">
        <v>1.008</v>
      </c>
      <c r="N439">
        <v>2.7E-2</v>
      </c>
      <c r="O439">
        <f>M439-N439</f>
        <v>0.98099999999999998</v>
      </c>
      <c r="P439">
        <v>0.56899999999999995</v>
      </c>
      <c r="Q439">
        <f>P439/O439</f>
        <v>0.58002038735983685</v>
      </c>
    </row>
    <row r="440" spans="1:19" x14ac:dyDescent="0.25">
      <c r="A440">
        <v>439</v>
      </c>
      <c r="B440" t="s">
        <v>1017</v>
      </c>
      <c r="C440" t="s">
        <v>796</v>
      </c>
      <c r="D440">
        <v>1</v>
      </c>
      <c r="E440" t="s">
        <v>797</v>
      </c>
      <c r="H440" t="s">
        <v>138</v>
      </c>
      <c r="I440">
        <v>4.7</v>
      </c>
      <c r="J440">
        <v>3.3</v>
      </c>
      <c r="K440">
        <f>(I440-J440)/2</f>
        <v>0.70000000000000018</v>
      </c>
      <c r="L440">
        <f>K440/I440</f>
        <v>0.14893617021276598</v>
      </c>
      <c r="M440">
        <v>0.38400000000000001</v>
      </c>
      <c r="N440">
        <v>2.7E-2</v>
      </c>
      <c r="O440">
        <f>M440-N440</f>
        <v>0.35699999999999998</v>
      </c>
      <c r="P440">
        <v>0.32400000000000001</v>
      </c>
      <c r="Q440">
        <f>P440/O440</f>
        <v>0.90756302521008414</v>
      </c>
    </row>
    <row r="441" spans="1:19" x14ac:dyDescent="0.25">
      <c r="A441">
        <v>440</v>
      </c>
      <c r="B441" t="s">
        <v>1100</v>
      </c>
      <c r="C441" t="s">
        <v>891</v>
      </c>
      <c r="D441">
        <v>2</v>
      </c>
      <c r="E441" t="s">
        <v>892</v>
      </c>
      <c r="H441" t="s">
        <v>138</v>
      </c>
      <c r="I441">
        <v>7.54</v>
      </c>
      <c r="J441">
        <v>5.64</v>
      </c>
      <c r="K441">
        <f>(I441-J441)/2</f>
        <v>0.95000000000000018</v>
      </c>
      <c r="L441">
        <f>K441/I441</f>
        <v>0.12599469496021223</v>
      </c>
      <c r="M441">
        <v>0.58499999999999996</v>
      </c>
      <c r="N441">
        <v>2.7E-2</v>
      </c>
      <c r="O441">
        <f>M441-N441</f>
        <v>0.55799999999999994</v>
      </c>
      <c r="P441">
        <v>0.44</v>
      </c>
      <c r="Q441">
        <f>P441/O441</f>
        <v>0.7885304659498209</v>
      </c>
    </row>
    <row r="442" spans="1:19" x14ac:dyDescent="0.25">
      <c r="A442">
        <v>441</v>
      </c>
      <c r="B442" t="s">
        <v>1094</v>
      </c>
      <c r="C442" t="s">
        <v>907</v>
      </c>
      <c r="D442">
        <v>5</v>
      </c>
      <c r="E442" t="s">
        <v>908</v>
      </c>
      <c r="H442" t="s">
        <v>138</v>
      </c>
      <c r="I442">
        <v>7.36</v>
      </c>
      <c r="J442">
        <v>6.2</v>
      </c>
      <c r="K442">
        <f>(I442-J442)/2</f>
        <v>0.58000000000000007</v>
      </c>
      <c r="L442">
        <f>K442/I442</f>
        <v>7.880434782608696E-2</v>
      </c>
      <c r="M442">
        <v>0.77100000000000002</v>
      </c>
      <c r="N442">
        <v>2.7E-2</v>
      </c>
      <c r="O442">
        <f>M442-N442</f>
        <v>0.74399999999999999</v>
      </c>
      <c r="P442">
        <v>0.55800000000000005</v>
      </c>
      <c r="Q442">
        <f>P442/O442</f>
        <v>0.75000000000000011</v>
      </c>
    </row>
    <row r="443" spans="1:19" x14ac:dyDescent="0.25">
      <c r="A443">
        <v>442</v>
      </c>
      <c r="B443" t="s">
        <v>1090</v>
      </c>
      <c r="C443" t="s">
        <v>370</v>
      </c>
      <c r="D443">
        <v>6</v>
      </c>
      <c r="E443" t="s">
        <v>285</v>
      </c>
      <c r="H443" t="s">
        <v>138</v>
      </c>
      <c r="I443">
        <v>7</v>
      </c>
      <c r="J443">
        <v>4.75</v>
      </c>
      <c r="K443">
        <f>(I443-J443)/2</f>
        <v>1.125</v>
      </c>
      <c r="L443">
        <f>K443/I443</f>
        <v>0.16071428571428573</v>
      </c>
      <c r="M443">
        <v>0.308</v>
      </c>
      <c r="N443">
        <v>2.7E-2</v>
      </c>
      <c r="O443">
        <f>M443-N443</f>
        <v>0.28099999999999997</v>
      </c>
      <c r="P443">
        <v>0.127</v>
      </c>
      <c r="Q443">
        <f>P443/O443</f>
        <v>0.45195729537366552</v>
      </c>
    </row>
    <row r="444" spans="1:19" x14ac:dyDescent="0.25">
      <c r="A444">
        <v>443</v>
      </c>
      <c r="B444" t="s">
        <v>1097</v>
      </c>
      <c r="C444" t="s">
        <v>768</v>
      </c>
      <c r="D444">
        <v>3</v>
      </c>
      <c r="E444" t="s">
        <v>778</v>
      </c>
      <c r="H444" t="s">
        <v>138</v>
      </c>
      <c r="I444">
        <v>4.9800000000000004</v>
      </c>
      <c r="J444">
        <v>3.55</v>
      </c>
      <c r="K444">
        <f>(I444-J444)/2</f>
        <v>0.7150000000000003</v>
      </c>
      <c r="L444">
        <f>K444/I444</f>
        <v>0.14357429718875506</v>
      </c>
      <c r="M444">
        <v>0.41299999999999998</v>
      </c>
      <c r="N444">
        <v>2.7E-2</v>
      </c>
      <c r="O444">
        <f>M444-N444</f>
        <v>0.38599999999999995</v>
      </c>
      <c r="P444">
        <v>0.23400000000000001</v>
      </c>
      <c r="Q444">
        <f>P444/O444</f>
        <v>0.60621761658031104</v>
      </c>
    </row>
    <row r="445" spans="1:19" x14ac:dyDescent="0.25">
      <c r="A445">
        <v>444</v>
      </c>
      <c r="B445" t="s">
        <v>1096</v>
      </c>
      <c r="C445" t="s">
        <v>842</v>
      </c>
      <c r="D445">
        <v>5</v>
      </c>
      <c r="E445" t="s">
        <v>843</v>
      </c>
      <c r="H445" t="s">
        <v>138</v>
      </c>
      <c r="I445">
        <v>9.4600000000000009</v>
      </c>
      <c r="J445">
        <v>7.16</v>
      </c>
      <c r="K445">
        <f>(I445-J445)/2</f>
        <v>1.1500000000000004</v>
      </c>
      <c r="L445">
        <f>K445/I445</f>
        <v>0.12156448202959834</v>
      </c>
      <c r="M445">
        <v>0.82899999999999996</v>
      </c>
      <c r="N445">
        <v>2.7E-2</v>
      </c>
      <c r="O445">
        <f>M445-N445</f>
        <v>0.80199999999999994</v>
      </c>
      <c r="P445">
        <v>0.65400000000000003</v>
      </c>
      <c r="Q445">
        <f>P445/O445</f>
        <v>0.81546134663341652</v>
      </c>
    </row>
    <row r="446" spans="1:19" x14ac:dyDescent="0.25">
      <c r="A446">
        <v>445</v>
      </c>
      <c r="B446" t="s">
        <v>1093</v>
      </c>
      <c r="C446" t="s">
        <v>842</v>
      </c>
      <c r="D446">
        <v>4</v>
      </c>
      <c r="E446" t="s">
        <v>843</v>
      </c>
      <c r="H446" t="s">
        <v>138</v>
      </c>
      <c r="I446">
        <v>7.79</v>
      </c>
      <c r="J446">
        <v>5.7</v>
      </c>
      <c r="K446">
        <f>(I446-J446)/2</f>
        <v>1.0449999999999999</v>
      </c>
      <c r="L446">
        <f>K446/I446</f>
        <v>0.13414634146341461</v>
      </c>
      <c r="M446">
        <v>0.64900000000000002</v>
      </c>
      <c r="N446">
        <v>2.7E-2</v>
      </c>
      <c r="O446">
        <f>M446-N446</f>
        <v>0.622</v>
      </c>
      <c r="P446">
        <v>0.41199999999999998</v>
      </c>
      <c r="Q446">
        <f>P446/O446</f>
        <v>0.66237942122186488</v>
      </c>
    </row>
    <row r="447" spans="1:19" x14ac:dyDescent="0.25">
      <c r="A447">
        <v>446</v>
      </c>
      <c r="B447" t="s">
        <v>1103</v>
      </c>
      <c r="C447" t="s">
        <v>833</v>
      </c>
      <c r="D447">
        <v>5</v>
      </c>
      <c r="E447" t="s">
        <v>834</v>
      </c>
      <c r="H447" t="s">
        <v>138</v>
      </c>
      <c r="I447">
        <v>9.23</v>
      </c>
      <c r="J447">
        <v>6.51</v>
      </c>
      <c r="K447">
        <f>(I447-J447)/2</f>
        <v>1.3600000000000003</v>
      </c>
      <c r="L447">
        <f>K447/I447</f>
        <v>0.14734561213434455</v>
      </c>
      <c r="M447">
        <v>0.69099999999999995</v>
      </c>
      <c r="N447">
        <v>2.7E-2</v>
      </c>
      <c r="O447">
        <f>M447-N447</f>
        <v>0.66399999999999992</v>
      </c>
      <c r="P447">
        <v>0.16300000000000001</v>
      </c>
      <c r="Q447">
        <f>P447/O447</f>
        <v>0.2454819277108434</v>
      </c>
    </row>
    <row r="448" spans="1:19" x14ac:dyDescent="0.25">
      <c r="A448">
        <v>447</v>
      </c>
      <c r="B448" t="s">
        <v>1092</v>
      </c>
      <c r="C448" t="s">
        <v>369</v>
      </c>
      <c r="D448">
        <v>4</v>
      </c>
      <c r="E448" t="s">
        <v>503</v>
      </c>
      <c r="H448" t="s">
        <v>138</v>
      </c>
      <c r="I448">
        <v>7.96</v>
      </c>
      <c r="J448">
        <v>6.14</v>
      </c>
      <c r="K448">
        <f>(I448-J448)/2</f>
        <v>0.91000000000000014</v>
      </c>
      <c r="L448">
        <f>K448/I448</f>
        <v>0.11432160804020103</v>
      </c>
      <c r="M448">
        <v>0.93100000000000005</v>
      </c>
      <c r="N448">
        <v>2.7E-2</v>
      </c>
      <c r="O448">
        <f>M448-N448</f>
        <v>0.90400000000000003</v>
      </c>
      <c r="P448">
        <v>0.52600000000000002</v>
      </c>
      <c r="Q448">
        <f>P448/O448</f>
        <v>0.58185840707964598</v>
      </c>
    </row>
    <row r="449" spans="1:17" x14ac:dyDescent="0.25">
      <c r="A449">
        <v>448</v>
      </c>
      <c r="B449" t="s">
        <v>1095</v>
      </c>
      <c r="C449" t="s">
        <v>534</v>
      </c>
      <c r="D449">
        <v>5</v>
      </c>
      <c r="E449" t="s">
        <v>535</v>
      </c>
      <c r="H449" t="s">
        <v>138</v>
      </c>
      <c r="I449">
        <v>8.25</v>
      </c>
      <c r="J449">
        <v>5.14</v>
      </c>
      <c r="K449">
        <f>(I449-J449)/2</f>
        <v>1.5550000000000002</v>
      </c>
      <c r="L449">
        <f>K449/I449</f>
        <v>0.18848484848484851</v>
      </c>
      <c r="M449">
        <v>0.214</v>
      </c>
      <c r="N449">
        <v>2.7E-2</v>
      </c>
      <c r="O449">
        <f>M449-N449</f>
        <v>0.187</v>
      </c>
      <c r="P449">
        <v>9.1999999999999998E-2</v>
      </c>
      <c r="Q449">
        <f>P449/O449</f>
        <v>0.49197860962566842</v>
      </c>
    </row>
    <row r="450" spans="1:17" x14ac:dyDescent="0.25">
      <c r="A450">
        <v>449</v>
      </c>
      <c r="B450" t="s">
        <v>1091</v>
      </c>
      <c r="C450" t="s">
        <v>833</v>
      </c>
      <c r="D450">
        <v>4</v>
      </c>
      <c r="E450" t="s">
        <v>834</v>
      </c>
      <c r="H450" t="s">
        <v>138</v>
      </c>
      <c r="I450">
        <v>7.52</v>
      </c>
      <c r="J450">
        <v>5.37</v>
      </c>
      <c r="K450">
        <f>(I450-J450)/2</f>
        <v>1.0749999999999997</v>
      </c>
      <c r="L450">
        <f>K450/I450</f>
        <v>0.14295212765957444</v>
      </c>
      <c r="M450">
        <v>0.69499999999999995</v>
      </c>
      <c r="N450">
        <v>2.7E-2</v>
      </c>
      <c r="O450">
        <f>M450-N450</f>
        <v>0.66799999999999993</v>
      </c>
      <c r="P450">
        <v>0.20300000000000001</v>
      </c>
      <c r="Q450">
        <f>P450/O450</f>
        <v>0.30389221556886231</v>
      </c>
    </row>
    <row r="451" spans="1:17" x14ac:dyDescent="0.25">
      <c r="A451">
        <v>450</v>
      </c>
      <c r="B451" t="s">
        <v>1099</v>
      </c>
      <c r="C451" t="s">
        <v>369</v>
      </c>
      <c r="D451">
        <v>5</v>
      </c>
      <c r="E451" t="s">
        <v>503</v>
      </c>
      <c r="H451" t="s">
        <v>138</v>
      </c>
      <c r="I451">
        <v>7.68</v>
      </c>
      <c r="J451">
        <v>6.24</v>
      </c>
      <c r="K451">
        <f>(I451-J451)/2</f>
        <v>0.71999999999999975</v>
      </c>
      <c r="L451">
        <f>K451/I451</f>
        <v>9.3749999999999972E-2</v>
      </c>
      <c r="M451">
        <v>0.88</v>
      </c>
      <c r="N451">
        <v>2.7E-2</v>
      </c>
      <c r="O451">
        <f>M451-N451</f>
        <v>0.85299999999999998</v>
      </c>
      <c r="P451">
        <v>0.443</v>
      </c>
      <c r="Q451">
        <f>P451/O451</f>
        <v>0.5193434935521688</v>
      </c>
    </row>
    <row r="452" spans="1:17" x14ac:dyDescent="0.25">
      <c r="A452">
        <v>451</v>
      </c>
      <c r="B452" t="s">
        <v>1102</v>
      </c>
      <c r="C452" t="s">
        <v>768</v>
      </c>
      <c r="D452">
        <v>2</v>
      </c>
      <c r="E452" t="s">
        <v>778</v>
      </c>
      <c r="H452" t="s">
        <v>138</v>
      </c>
      <c r="I452">
        <v>5.6</v>
      </c>
      <c r="J452">
        <v>4.1500000000000004</v>
      </c>
      <c r="K452">
        <f>(I452-J452)/2</f>
        <v>0.72499999999999964</v>
      </c>
      <c r="L452">
        <f>K452/I452</f>
        <v>0.12946428571428567</v>
      </c>
      <c r="M452">
        <v>0.44800000000000001</v>
      </c>
      <c r="N452">
        <v>2.7E-2</v>
      </c>
      <c r="O452">
        <f>M452-N452</f>
        <v>0.42099999999999999</v>
      </c>
      <c r="P452">
        <v>0.26200000000000001</v>
      </c>
      <c r="Q452">
        <f>P452/O452</f>
        <v>0.62232779097387181</v>
      </c>
    </row>
    <row r="453" spans="1:17" x14ac:dyDescent="0.25">
      <c r="A453">
        <v>452</v>
      </c>
      <c r="B453" t="s">
        <v>1116</v>
      </c>
      <c r="C453" t="s">
        <v>1117</v>
      </c>
      <c r="D453">
        <v>1</v>
      </c>
      <c r="E453" t="s">
        <v>1118</v>
      </c>
      <c r="H453" t="s">
        <v>138</v>
      </c>
      <c r="I453">
        <v>6.03</v>
      </c>
      <c r="J453">
        <v>4.54</v>
      </c>
      <c r="K453">
        <f>(I453-J453)/2</f>
        <v>0.74500000000000011</v>
      </c>
      <c r="L453">
        <f>K453/I453</f>
        <v>0.12354892205638475</v>
      </c>
      <c r="M453">
        <v>0.46100000000000002</v>
      </c>
      <c r="N453">
        <v>2.7E-2</v>
      </c>
      <c r="O453">
        <f>M453-N453</f>
        <v>0.434</v>
      </c>
      <c r="P453">
        <v>0.24</v>
      </c>
      <c r="Q453">
        <f>P453/O453</f>
        <v>0.55299539170506906</v>
      </c>
    </row>
    <row r="454" spans="1:17" x14ac:dyDescent="0.25">
      <c r="A454">
        <v>453</v>
      </c>
      <c r="B454" t="s">
        <v>111</v>
      </c>
      <c r="C454" t="s">
        <v>370</v>
      </c>
      <c r="D454">
        <v>2</v>
      </c>
      <c r="E454" t="s">
        <v>285</v>
      </c>
      <c r="H454" t="s">
        <v>138</v>
      </c>
      <c r="I454">
        <v>6.81</v>
      </c>
      <c r="J454">
        <v>4.9400000000000004</v>
      </c>
      <c r="K454">
        <f>(I454-J454)/2</f>
        <v>0.93499999999999961</v>
      </c>
      <c r="L454">
        <f>K454/I454</f>
        <v>0.13729809104258439</v>
      </c>
      <c r="M454">
        <v>0.66</v>
      </c>
      <c r="N454">
        <v>2.7E-2</v>
      </c>
      <c r="O454">
        <f>M454-N454</f>
        <v>0.63300000000000001</v>
      </c>
      <c r="P454">
        <v>0.23799999999999999</v>
      </c>
      <c r="Q454">
        <f>P454/O454</f>
        <v>0.37598736176935227</v>
      </c>
    </row>
    <row r="455" spans="1:17" x14ac:dyDescent="0.25">
      <c r="A455">
        <v>454</v>
      </c>
      <c r="B455" t="s">
        <v>1119</v>
      </c>
      <c r="C455" t="s">
        <v>1117</v>
      </c>
      <c r="D455">
        <v>1</v>
      </c>
      <c r="E455" t="s">
        <v>1118</v>
      </c>
      <c r="H455" t="s">
        <v>138</v>
      </c>
      <c r="I455">
        <v>6.27</v>
      </c>
      <c r="J455">
        <v>4.57</v>
      </c>
      <c r="K455">
        <f>(I455-J455)/2</f>
        <v>0.84999999999999964</v>
      </c>
      <c r="L455">
        <f>K455/I455</f>
        <v>0.13556618819776708</v>
      </c>
      <c r="M455">
        <v>0.51800000000000002</v>
      </c>
      <c r="N455">
        <v>2.7E-2</v>
      </c>
      <c r="O455">
        <f>M455-N455</f>
        <v>0.49099999999999999</v>
      </c>
      <c r="P455">
        <v>0.28899999999999998</v>
      </c>
      <c r="Q455">
        <f>P455/O455</f>
        <v>0.58859470468431774</v>
      </c>
    </row>
    <row r="456" spans="1:17" x14ac:dyDescent="0.25">
      <c r="A456">
        <v>455</v>
      </c>
      <c r="B456" t="s">
        <v>1120</v>
      </c>
      <c r="C456" t="s">
        <v>1117</v>
      </c>
      <c r="D456">
        <v>3</v>
      </c>
      <c r="E456" t="s">
        <v>1118</v>
      </c>
      <c r="H456" t="s">
        <v>138</v>
      </c>
      <c r="I456">
        <v>6.83</v>
      </c>
      <c r="J456">
        <v>5.39</v>
      </c>
      <c r="K456">
        <f>(I456-J456)/2</f>
        <v>0.7200000000000002</v>
      </c>
      <c r="L456">
        <f>K456/I456</f>
        <v>0.10541727672035142</v>
      </c>
      <c r="M456">
        <v>0.72</v>
      </c>
      <c r="N456">
        <v>2.7E-2</v>
      </c>
      <c r="O456">
        <f>M456-N456</f>
        <v>0.69299999999999995</v>
      </c>
      <c r="P456">
        <v>0.39400000000000002</v>
      </c>
      <c r="Q456">
        <f>P456/O456</f>
        <v>0.56854256854256857</v>
      </c>
    </row>
    <row r="457" spans="1:17" x14ac:dyDescent="0.25">
      <c r="A457">
        <v>456</v>
      </c>
      <c r="B457" t="s">
        <v>123</v>
      </c>
      <c r="C457" t="s">
        <v>366</v>
      </c>
      <c r="D457">
        <v>2</v>
      </c>
      <c r="E457" t="s">
        <v>367</v>
      </c>
      <c r="H457" t="s">
        <v>138</v>
      </c>
      <c r="I457">
        <v>5.97</v>
      </c>
      <c r="J457">
        <v>4.24</v>
      </c>
      <c r="K457">
        <f>(I457-J457)/2</f>
        <v>0.86499999999999977</v>
      </c>
      <c r="L457">
        <f>K457/I457</f>
        <v>0.14489112227805692</v>
      </c>
      <c r="M457">
        <v>0.55100000000000005</v>
      </c>
      <c r="N457">
        <v>2.7E-2</v>
      </c>
      <c r="O457">
        <f>M457-N457</f>
        <v>0.52400000000000002</v>
      </c>
      <c r="P457">
        <v>0.308</v>
      </c>
      <c r="Q457">
        <f>P457/O457</f>
        <v>0.58778625954198471</v>
      </c>
    </row>
    <row r="458" spans="1:17" x14ac:dyDescent="0.25">
      <c r="A458">
        <v>457</v>
      </c>
      <c r="B458" t="s">
        <v>1121</v>
      </c>
      <c r="C458" t="s">
        <v>1117</v>
      </c>
      <c r="D458">
        <v>4</v>
      </c>
      <c r="E458" t="s">
        <v>1118</v>
      </c>
      <c r="H458" t="s">
        <v>138</v>
      </c>
      <c r="I458">
        <v>6.59</v>
      </c>
      <c r="J458">
        <v>4.99</v>
      </c>
      <c r="K458">
        <f>(I458-J458)/2</f>
        <v>0.79999999999999982</v>
      </c>
      <c r="L458">
        <f>K458/I458</f>
        <v>0.12139605462822456</v>
      </c>
      <c r="M458">
        <v>0.61199999999999999</v>
      </c>
      <c r="N458">
        <v>2.7E-2</v>
      </c>
      <c r="O458">
        <f>M458-N458</f>
        <v>0.58499999999999996</v>
      </c>
      <c r="P458">
        <v>0.29899999999999999</v>
      </c>
      <c r="Q458">
        <f>P458/O458</f>
        <v>0.51111111111111107</v>
      </c>
    </row>
    <row r="459" spans="1:17" x14ac:dyDescent="0.25">
      <c r="A459">
        <v>458</v>
      </c>
      <c r="B459" t="s">
        <v>1122</v>
      </c>
      <c r="C459" t="s">
        <v>1117</v>
      </c>
      <c r="D459">
        <v>5</v>
      </c>
      <c r="E459" t="s">
        <v>1118</v>
      </c>
      <c r="H459" t="s">
        <v>138</v>
      </c>
      <c r="I459">
        <v>10.58</v>
      </c>
      <c r="J459">
        <v>8.24</v>
      </c>
      <c r="K459">
        <f>(I459-J459)/2</f>
        <v>1.17</v>
      </c>
      <c r="L459">
        <f>K459/I459</f>
        <v>0.110586011342155</v>
      </c>
      <c r="M459">
        <v>0.93300000000000005</v>
      </c>
      <c r="N459">
        <v>2.7E-2</v>
      </c>
      <c r="O459">
        <f>M459-N459</f>
        <v>0.90600000000000003</v>
      </c>
      <c r="P459">
        <v>0.57799999999999996</v>
      </c>
      <c r="Q459">
        <f>P459/O459</f>
        <v>0.63796909492273723</v>
      </c>
    </row>
    <row r="460" spans="1:17" x14ac:dyDescent="0.25">
      <c r="A460">
        <v>459</v>
      </c>
      <c r="B460" t="s">
        <v>1123</v>
      </c>
      <c r="C460" t="s">
        <v>603</v>
      </c>
      <c r="D460">
        <v>5</v>
      </c>
      <c r="E460" t="s">
        <v>604</v>
      </c>
      <c r="H460" t="s">
        <v>138</v>
      </c>
      <c r="I460">
        <v>5.05</v>
      </c>
      <c r="J460">
        <v>4.34</v>
      </c>
      <c r="K460">
        <f>(I460-J460)/2</f>
        <v>0.35499999999999998</v>
      </c>
      <c r="L460">
        <f>K460/I460</f>
        <v>7.029702970297029E-2</v>
      </c>
      <c r="M460">
        <v>0.41799999999999998</v>
      </c>
      <c r="N460">
        <v>2.7E-2</v>
      </c>
      <c r="O460">
        <f>M460-N460</f>
        <v>0.39099999999999996</v>
      </c>
      <c r="P460">
        <v>0.26900000000000002</v>
      </c>
      <c r="Q460">
        <f>P460/O460</f>
        <v>0.6879795396419438</v>
      </c>
    </row>
    <row r="461" spans="1:17" x14ac:dyDescent="0.25">
      <c r="A461">
        <v>460</v>
      </c>
      <c r="B461" t="s">
        <v>1124</v>
      </c>
      <c r="C461" t="s">
        <v>603</v>
      </c>
      <c r="D461">
        <v>4</v>
      </c>
      <c r="E461" t="s">
        <v>604</v>
      </c>
      <c r="H461" t="s">
        <v>138</v>
      </c>
      <c r="I461">
        <v>4.29</v>
      </c>
      <c r="J461">
        <v>3.49</v>
      </c>
      <c r="K461">
        <f>(I461-J461)/2</f>
        <v>0.39999999999999991</v>
      </c>
      <c r="L461">
        <f>K461/I461</f>
        <v>9.3240093240093219E-2</v>
      </c>
      <c r="M461">
        <v>0.31900000000000001</v>
      </c>
      <c r="N461">
        <v>2.7E-2</v>
      </c>
      <c r="O461">
        <f>M461-N461</f>
        <v>0.29199999999999998</v>
      </c>
      <c r="P461">
        <v>0.20799999999999999</v>
      </c>
      <c r="Q461">
        <f>P461/O461</f>
        <v>0.71232876712328763</v>
      </c>
    </row>
    <row r="462" spans="1:17" x14ac:dyDescent="0.25">
      <c r="A462">
        <v>461</v>
      </c>
      <c r="B462" t="s">
        <v>1114</v>
      </c>
      <c r="C462" t="s">
        <v>1038</v>
      </c>
      <c r="D462">
        <v>4</v>
      </c>
      <c r="E462" t="s">
        <v>1039</v>
      </c>
      <c r="H462" t="s">
        <v>138</v>
      </c>
      <c r="I462">
        <v>6.87</v>
      </c>
      <c r="J462">
        <v>6.16</v>
      </c>
      <c r="K462">
        <f>(I462-J462)/2</f>
        <v>0.35499999999999998</v>
      </c>
      <c r="L462">
        <f>K462/I462</f>
        <v>5.1673944687045122E-2</v>
      </c>
      <c r="M462">
        <v>0.69399999999999995</v>
      </c>
      <c r="N462">
        <v>2.7E-2</v>
      </c>
      <c r="O462">
        <f>M462-N462</f>
        <v>0.66699999999999993</v>
      </c>
      <c r="P462">
        <v>0.35499999999999998</v>
      </c>
      <c r="Q462">
        <f>P462/O462</f>
        <v>0.53223388305847075</v>
      </c>
    </row>
    <row r="463" spans="1:17" x14ac:dyDescent="0.25">
      <c r="A463">
        <v>462</v>
      </c>
      <c r="B463" t="s">
        <v>1113</v>
      </c>
      <c r="C463" t="s">
        <v>891</v>
      </c>
      <c r="D463">
        <v>5</v>
      </c>
      <c r="E463" t="s">
        <v>892</v>
      </c>
      <c r="H463" t="s">
        <v>138</v>
      </c>
      <c r="I463">
        <v>8.01</v>
      </c>
      <c r="J463">
        <v>6.06</v>
      </c>
      <c r="K463">
        <f>(I463-J463)/2</f>
        <v>0.97500000000000009</v>
      </c>
      <c r="L463">
        <f>K463/I463</f>
        <v>0.12172284644194759</v>
      </c>
      <c r="M463">
        <v>1.2150000000000001</v>
      </c>
      <c r="N463">
        <v>2.7E-2</v>
      </c>
      <c r="O463">
        <f>M463-N463</f>
        <v>1.1880000000000002</v>
      </c>
      <c r="P463">
        <v>0.90400000000000003</v>
      </c>
      <c r="Q463">
        <f>P463/O463</f>
        <v>0.76094276094276081</v>
      </c>
    </row>
    <row r="464" spans="1:17" x14ac:dyDescent="0.25">
      <c r="A464">
        <v>463</v>
      </c>
      <c r="B464" t="s">
        <v>1111</v>
      </c>
      <c r="C464" t="s">
        <v>554</v>
      </c>
      <c r="D464">
        <v>5</v>
      </c>
      <c r="E464" t="s">
        <v>555</v>
      </c>
      <c r="H464" t="s">
        <v>138</v>
      </c>
      <c r="I464">
        <v>6.22</v>
      </c>
      <c r="J464">
        <v>4.18</v>
      </c>
      <c r="K464">
        <f>(I464-J464)/2</f>
        <v>1.02</v>
      </c>
      <c r="L464">
        <f>K464/I464</f>
        <v>0.16398713826366559</v>
      </c>
      <c r="M464">
        <v>0.59</v>
      </c>
      <c r="N464">
        <v>2.7E-2</v>
      </c>
      <c r="O464">
        <f>M464-N464</f>
        <v>0.56299999999999994</v>
      </c>
      <c r="P464">
        <v>0.19700000000000001</v>
      </c>
      <c r="Q464">
        <f>P464/O464</f>
        <v>0.34991119005328603</v>
      </c>
    </row>
    <row r="465" spans="1:17" x14ac:dyDescent="0.25">
      <c r="A465">
        <v>464</v>
      </c>
      <c r="B465" t="s">
        <v>1115</v>
      </c>
      <c r="C465" t="s">
        <v>1038</v>
      </c>
      <c r="D465">
        <v>5</v>
      </c>
      <c r="E465" t="s">
        <v>1039</v>
      </c>
      <c r="H465" t="s">
        <v>138</v>
      </c>
      <c r="I465">
        <v>6.73</v>
      </c>
      <c r="J465">
        <v>5.66</v>
      </c>
      <c r="K465">
        <f>(I465-J465)/2</f>
        <v>0.53500000000000014</v>
      </c>
      <c r="L465">
        <f>K465/I465</f>
        <v>7.9494799405646382E-2</v>
      </c>
      <c r="M465">
        <v>0.71099999999999997</v>
      </c>
      <c r="N465">
        <v>2.7E-2</v>
      </c>
      <c r="O465">
        <f>M465-N465</f>
        <v>0.68399999999999994</v>
      </c>
      <c r="P465">
        <v>0.503</v>
      </c>
      <c r="Q465">
        <f>P465/O465</f>
        <v>0.73538011695906436</v>
      </c>
    </row>
    <row r="466" spans="1:17" x14ac:dyDescent="0.25">
      <c r="A466">
        <v>465</v>
      </c>
      <c r="B466" t="s">
        <v>1110</v>
      </c>
      <c r="C466" t="s">
        <v>768</v>
      </c>
      <c r="D466">
        <v>5</v>
      </c>
      <c r="E466" t="s">
        <v>1098</v>
      </c>
      <c r="H466" t="s">
        <v>138</v>
      </c>
      <c r="I466">
        <v>7.63</v>
      </c>
      <c r="J466">
        <v>6.35</v>
      </c>
      <c r="K466">
        <f>(I466-J466)/2</f>
        <v>0.64000000000000012</v>
      </c>
      <c r="L466">
        <f>K466/I466</f>
        <v>8.3879423328964628E-2</v>
      </c>
      <c r="M466">
        <v>0.745</v>
      </c>
      <c r="N466">
        <v>2.7E-2</v>
      </c>
      <c r="O466">
        <f>M466-N466</f>
        <v>0.71799999999999997</v>
      </c>
      <c r="P466">
        <v>0.52800000000000002</v>
      </c>
      <c r="Q466">
        <f>P466/O466</f>
        <v>0.73537604456824524</v>
      </c>
    </row>
    <row r="467" spans="1:17" x14ac:dyDescent="0.25">
      <c r="A467">
        <v>466</v>
      </c>
      <c r="B467" t="s">
        <v>1109</v>
      </c>
      <c r="C467" t="s">
        <v>768</v>
      </c>
      <c r="D467">
        <v>4</v>
      </c>
      <c r="E467" t="s">
        <v>1098</v>
      </c>
      <c r="H467" t="s">
        <v>138</v>
      </c>
      <c r="I467">
        <v>7.52</v>
      </c>
      <c r="J467">
        <v>5.68</v>
      </c>
      <c r="K467">
        <f>(I467-J467)/2</f>
        <v>0.91999999999999993</v>
      </c>
      <c r="L467">
        <f>K467/I467</f>
        <v>0.12234042553191489</v>
      </c>
      <c r="M467">
        <v>0.61099999999999999</v>
      </c>
      <c r="N467">
        <v>2.7E-2</v>
      </c>
      <c r="O467">
        <f>M467-N467</f>
        <v>0.58399999999999996</v>
      </c>
      <c r="P467">
        <v>0.38900000000000001</v>
      </c>
      <c r="Q467">
        <f>P467/O467</f>
        <v>0.66609589041095896</v>
      </c>
    </row>
    <row r="468" spans="1:17" x14ac:dyDescent="0.25">
      <c r="A468">
        <v>467</v>
      </c>
      <c r="B468" t="s">
        <v>1108</v>
      </c>
      <c r="C468" t="s">
        <v>891</v>
      </c>
      <c r="D468">
        <v>4</v>
      </c>
      <c r="E468" t="s">
        <v>892</v>
      </c>
      <c r="H468" t="s">
        <v>138</v>
      </c>
      <c r="I468">
        <v>7.87</v>
      </c>
      <c r="J468">
        <v>6.04</v>
      </c>
      <c r="K468">
        <f>(I468-J468)/2</f>
        <v>0.91500000000000004</v>
      </c>
      <c r="L468">
        <f>K468/I468</f>
        <v>0.11626429479034307</v>
      </c>
      <c r="M468">
        <v>0.68</v>
      </c>
      <c r="N468">
        <v>2.7E-2</v>
      </c>
      <c r="O468">
        <f>M468-N468</f>
        <v>0.65300000000000002</v>
      </c>
      <c r="P468">
        <v>0.495</v>
      </c>
      <c r="Q468">
        <f>P468/O468</f>
        <v>0.75803981623277183</v>
      </c>
    </row>
    <row r="469" spans="1:17" x14ac:dyDescent="0.25">
      <c r="A469">
        <v>468</v>
      </c>
      <c r="B469" t="s">
        <v>1106</v>
      </c>
      <c r="C469" t="s">
        <v>1038</v>
      </c>
      <c r="D469">
        <v>3</v>
      </c>
      <c r="E469" t="s">
        <v>1039</v>
      </c>
      <c r="H469" t="s">
        <v>138</v>
      </c>
      <c r="I469">
        <v>6.82</v>
      </c>
      <c r="J469">
        <v>6.29</v>
      </c>
      <c r="K469">
        <f>(I469-J469)/2</f>
        <v>0.26500000000000012</v>
      </c>
      <c r="L469">
        <f>K469/I469</f>
        <v>3.8856304985337257E-2</v>
      </c>
      <c r="M469">
        <v>0.98599999999999999</v>
      </c>
      <c r="N469">
        <v>2.7E-2</v>
      </c>
      <c r="O469">
        <f>M469-N469</f>
        <v>0.95899999999999996</v>
      </c>
      <c r="P469">
        <v>0.66400000000000003</v>
      </c>
      <c r="Q469">
        <f>P469/O469</f>
        <v>0.69238790406673623</v>
      </c>
    </row>
    <row r="470" spans="1:17" x14ac:dyDescent="0.25">
      <c r="A470">
        <v>469</v>
      </c>
      <c r="B470" t="s">
        <v>1105</v>
      </c>
      <c r="C470" t="s">
        <v>891</v>
      </c>
      <c r="D470">
        <v>3</v>
      </c>
      <c r="E470" t="s">
        <v>892</v>
      </c>
      <c r="H470" t="s">
        <v>138</v>
      </c>
      <c r="I470">
        <v>8.4499999999999993</v>
      </c>
      <c r="J470">
        <v>6.49</v>
      </c>
      <c r="K470">
        <f>(I470-J470)/2</f>
        <v>0.97999999999999954</v>
      </c>
      <c r="L470">
        <f>K470/I470</f>
        <v>0.11597633136094671</v>
      </c>
      <c r="M470">
        <v>0.85899999999999999</v>
      </c>
      <c r="N470">
        <v>2.7E-2</v>
      </c>
      <c r="O470">
        <f>M470-N470</f>
        <v>0.83199999999999996</v>
      </c>
      <c r="P470">
        <v>0.60499999999999998</v>
      </c>
      <c r="Q470">
        <f>P470/O470</f>
        <v>0.72716346153846156</v>
      </c>
    </row>
    <row r="471" spans="1:17" x14ac:dyDescent="0.25">
      <c r="A471">
        <v>470</v>
      </c>
      <c r="B471" t="s">
        <v>1104</v>
      </c>
      <c r="C471" t="s">
        <v>356</v>
      </c>
      <c r="D471">
        <v>5</v>
      </c>
      <c r="E471" t="s">
        <v>336</v>
      </c>
      <c r="H471" t="s">
        <v>138</v>
      </c>
      <c r="I471">
        <v>6.62</v>
      </c>
      <c r="J471">
        <v>4.8600000000000003</v>
      </c>
      <c r="K471">
        <f>(I471-J471)/2</f>
        <v>0.87999999999999989</v>
      </c>
      <c r="L471">
        <f>K471/I471</f>
        <v>0.13293051359516614</v>
      </c>
      <c r="M471">
        <v>0.75800000000000001</v>
      </c>
      <c r="N471">
        <v>2.7E-2</v>
      </c>
      <c r="O471">
        <f>M471-N471</f>
        <v>0.73099999999999998</v>
      </c>
      <c r="P471">
        <v>0.57999999999999996</v>
      </c>
      <c r="Q471">
        <f>P471/O471</f>
        <v>0.79343365253077969</v>
      </c>
    </row>
    <row r="472" spans="1:17" x14ac:dyDescent="0.25">
      <c r="A472">
        <v>471</v>
      </c>
      <c r="B472" t="s">
        <v>1112</v>
      </c>
      <c r="C472" t="s">
        <v>898</v>
      </c>
      <c r="D472">
        <v>5</v>
      </c>
      <c r="E472" t="s">
        <v>899</v>
      </c>
      <c r="H472" t="s">
        <v>138</v>
      </c>
      <c r="I472">
        <v>8.07</v>
      </c>
      <c r="J472">
        <v>6.25</v>
      </c>
      <c r="K472">
        <f>(I472-J472)/2</f>
        <v>0.91000000000000014</v>
      </c>
      <c r="L472">
        <f>K472/I472</f>
        <v>0.11276332094175961</v>
      </c>
      <c r="M472">
        <v>0.75900000000000001</v>
      </c>
      <c r="N472">
        <v>2.7E-2</v>
      </c>
      <c r="O472">
        <f>M472-N472</f>
        <v>0.73199999999999998</v>
      </c>
      <c r="P472">
        <v>0.32900000000000001</v>
      </c>
      <c r="Q472">
        <f>P472/O472</f>
        <v>0.44945355191256836</v>
      </c>
    </row>
    <row r="473" spans="1:17" x14ac:dyDescent="0.25">
      <c r="A473">
        <v>472</v>
      </c>
      <c r="B473" t="s">
        <v>1144</v>
      </c>
      <c r="C473" t="s">
        <v>447</v>
      </c>
      <c r="D473">
        <v>4</v>
      </c>
      <c r="E473" t="s">
        <v>448</v>
      </c>
      <c r="H473" t="s">
        <v>138</v>
      </c>
      <c r="I473">
        <v>5.76</v>
      </c>
      <c r="J473">
        <v>3.89</v>
      </c>
      <c r="K473">
        <f>(I473-J473)/2</f>
        <v>0.93499999999999983</v>
      </c>
      <c r="L473">
        <f>K473/I473</f>
        <v>0.16232638888888887</v>
      </c>
      <c r="M473">
        <v>0.54200000000000004</v>
      </c>
      <c r="N473">
        <v>2.7E-2</v>
      </c>
      <c r="O473">
        <f>M473-N473</f>
        <v>0.51500000000000001</v>
      </c>
      <c r="P473">
        <v>0.314</v>
      </c>
      <c r="Q473">
        <f>P473/O473</f>
        <v>0.60970873786407764</v>
      </c>
    </row>
    <row r="474" spans="1:17" x14ac:dyDescent="0.25">
      <c r="A474">
        <v>473</v>
      </c>
      <c r="B474" t="s">
        <v>1145</v>
      </c>
      <c r="C474" t="s">
        <v>447</v>
      </c>
      <c r="D474">
        <v>5</v>
      </c>
      <c r="E474" t="s">
        <v>448</v>
      </c>
      <c r="H474" t="s">
        <v>138</v>
      </c>
      <c r="I474">
        <v>7.6</v>
      </c>
      <c r="J474">
        <v>5.66</v>
      </c>
      <c r="K474">
        <f>(I474-J474)/2</f>
        <v>0.96999999999999975</v>
      </c>
      <c r="L474">
        <f>K474/I474</f>
        <v>0.1276315789473684</v>
      </c>
      <c r="M474">
        <v>1.135</v>
      </c>
      <c r="N474">
        <v>2.7E-2</v>
      </c>
      <c r="O474">
        <f>M474-N474</f>
        <v>1.1080000000000001</v>
      </c>
      <c r="P474">
        <v>0.60899999999999999</v>
      </c>
      <c r="Q474">
        <f>P474/O474</f>
        <v>0.54963898916967502</v>
      </c>
    </row>
  </sheetData>
  <autoFilter ref="A1:S474">
    <sortState ref="A2:S474">
      <sortCondition ref="A1:A474"/>
    </sortState>
  </autoFilter>
  <sortState ref="A2:T472">
    <sortCondition ref="P2:P472"/>
    <sortCondition ref="E2:E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R405"/>
  <sheetViews>
    <sheetView topLeftCell="C1" workbookViewId="0">
      <selection activeCell="I9" sqref="I9"/>
    </sheetView>
  </sheetViews>
  <sheetFormatPr defaultRowHeight="15" x14ac:dyDescent="0.25"/>
  <cols>
    <col min="3" max="3" width="14.85546875" customWidth="1"/>
    <col min="4" max="4" width="24.85546875" bestFit="1" customWidth="1"/>
    <col min="5" max="7" width="24.85546875" customWidth="1"/>
    <col min="8" max="8" width="10.85546875" bestFit="1" customWidth="1"/>
    <col min="10" max="10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33</v>
      </c>
      <c r="E1" t="s">
        <v>149</v>
      </c>
      <c r="F1" t="s">
        <v>150</v>
      </c>
      <c r="G1" t="s">
        <v>151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414</v>
      </c>
      <c r="N1" t="s">
        <v>415</v>
      </c>
      <c r="O1" t="s">
        <v>416</v>
      </c>
      <c r="P1" t="s">
        <v>417</v>
      </c>
    </row>
    <row r="2" spans="1:16" x14ac:dyDescent="0.25">
      <c r="A2" t="s">
        <v>32</v>
      </c>
      <c r="C2">
        <v>25.667000000000002</v>
      </c>
      <c r="D2">
        <v>1.835</v>
      </c>
      <c r="E2">
        <v>1.048</v>
      </c>
      <c r="F2">
        <v>13.47</v>
      </c>
      <c r="G2">
        <f>E2+F2</f>
        <v>14.518000000000001</v>
      </c>
      <c r="H2">
        <v>6.64</v>
      </c>
      <c r="I2">
        <v>6.08</v>
      </c>
      <c r="J2">
        <v>5.18</v>
      </c>
      <c r="K2">
        <v>4.93</v>
      </c>
      <c r="L2">
        <v>1.57</v>
      </c>
    </row>
    <row r="3" spans="1:16" x14ac:dyDescent="0.25">
      <c r="A3" t="s">
        <v>31</v>
      </c>
      <c r="C3">
        <v>33.512</v>
      </c>
      <c r="D3">
        <v>14.85</v>
      </c>
      <c r="E3">
        <v>6.6660000000000004</v>
      </c>
      <c r="F3">
        <v>8.4659999999999993</v>
      </c>
      <c r="G3">
        <f t="shared" ref="G3:G13" si="0">E3+F3</f>
        <v>15.132</v>
      </c>
      <c r="H3">
        <v>9.31</v>
      </c>
      <c r="I3">
        <v>8.57</v>
      </c>
      <c r="J3">
        <v>8</v>
      </c>
      <c r="K3">
        <v>7.31</v>
      </c>
      <c r="L3">
        <v>3.09</v>
      </c>
    </row>
    <row r="4" spans="1:16" x14ac:dyDescent="0.25">
      <c r="A4" t="s">
        <v>15</v>
      </c>
      <c r="C4">
        <v>57.564</v>
      </c>
      <c r="D4">
        <v>17.48</v>
      </c>
      <c r="E4">
        <v>8.6</v>
      </c>
      <c r="F4">
        <v>18.856000000000002</v>
      </c>
      <c r="G4">
        <f t="shared" si="0"/>
        <v>27.456000000000003</v>
      </c>
      <c r="H4">
        <v>11.45</v>
      </c>
      <c r="I4">
        <v>10.96</v>
      </c>
      <c r="J4">
        <v>11.51</v>
      </c>
      <c r="K4">
        <v>10.67</v>
      </c>
      <c r="L4">
        <v>4.4800000000000004</v>
      </c>
    </row>
    <row r="5" spans="1:16" x14ac:dyDescent="0.25">
      <c r="A5" t="s">
        <v>9</v>
      </c>
      <c r="C5">
        <v>8.3770000000000007</v>
      </c>
      <c r="D5">
        <v>8.3770000000000007</v>
      </c>
      <c r="E5">
        <v>4.0880000000000001</v>
      </c>
      <c r="F5">
        <v>0</v>
      </c>
      <c r="G5">
        <f t="shared" si="0"/>
        <v>4.0880000000000001</v>
      </c>
      <c r="H5">
        <v>4.41</v>
      </c>
      <c r="I5">
        <v>3.82</v>
      </c>
      <c r="J5">
        <v>3.37</v>
      </c>
      <c r="K5">
        <v>3.17</v>
      </c>
      <c r="L5">
        <v>1</v>
      </c>
    </row>
    <row r="6" spans="1:16" x14ac:dyDescent="0.25">
      <c r="A6" t="s">
        <v>10</v>
      </c>
      <c r="C6">
        <v>11.975</v>
      </c>
      <c r="D6">
        <v>6.9820000000000002</v>
      </c>
      <c r="E6">
        <v>4.2770000000000001</v>
      </c>
      <c r="F6">
        <v>2.6549999999999998</v>
      </c>
      <c r="G6">
        <f t="shared" si="0"/>
        <v>6.9320000000000004</v>
      </c>
      <c r="H6">
        <v>5.86</v>
      </c>
      <c r="I6">
        <v>5.57</v>
      </c>
      <c r="J6">
        <v>4.71</v>
      </c>
      <c r="K6">
        <v>4.53</v>
      </c>
      <c r="L6">
        <v>1.69</v>
      </c>
    </row>
    <row r="7" spans="1:16" x14ac:dyDescent="0.25">
      <c r="A7" t="s">
        <v>90</v>
      </c>
      <c r="C7">
        <v>8.1150000000000002</v>
      </c>
      <c r="D7">
        <v>2.33</v>
      </c>
      <c r="E7">
        <v>1.06</v>
      </c>
      <c r="F7">
        <v>2.6240000000000001</v>
      </c>
      <c r="G7">
        <f t="shared" si="0"/>
        <v>3.6840000000000002</v>
      </c>
      <c r="H7">
        <v>5.29</v>
      </c>
      <c r="I7">
        <v>5.05</v>
      </c>
      <c r="J7">
        <v>4.97</v>
      </c>
      <c r="K7">
        <v>4.74</v>
      </c>
      <c r="L7">
        <v>1.49</v>
      </c>
    </row>
    <row r="8" spans="1:16" x14ac:dyDescent="0.25">
      <c r="A8" t="s">
        <v>86</v>
      </c>
      <c r="C8">
        <v>24.35</v>
      </c>
      <c r="D8">
        <v>10.1</v>
      </c>
      <c r="E8">
        <v>3.5680000000000001</v>
      </c>
      <c r="F8">
        <f>14.55-9.51</f>
        <v>5.0400000000000009</v>
      </c>
      <c r="G8">
        <f t="shared" si="0"/>
        <v>8.6080000000000005</v>
      </c>
      <c r="H8">
        <v>5.51</v>
      </c>
      <c r="I8">
        <v>5.55</v>
      </c>
      <c r="J8">
        <v>5.05</v>
      </c>
      <c r="K8">
        <v>5</v>
      </c>
      <c r="L8">
        <v>1.76</v>
      </c>
    </row>
    <row r="9" spans="1:16" x14ac:dyDescent="0.25">
      <c r="A9" t="s">
        <v>91</v>
      </c>
      <c r="C9">
        <v>16.079999999999998</v>
      </c>
      <c r="D9">
        <v>3.7469999999999999</v>
      </c>
      <c r="E9">
        <v>1.919</v>
      </c>
      <c r="F9">
        <f>14.632 - 8.333</f>
        <v>6.2989999999999995</v>
      </c>
      <c r="G9">
        <f t="shared" si="0"/>
        <v>8.218</v>
      </c>
      <c r="H9">
        <v>5.52</v>
      </c>
      <c r="I9">
        <v>5.51</v>
      </c>
      <c r="J9">
        <v>4.12</v>
      </c>
      <c r="K9">
        <v>3.77</v>
      </c>
      <c r="L9">
        <v>1.02</v>
      </c>
    </row>
    <row r="10" spans="1:16" x14ac:dyDescent="0.25">
      <c r="A10" t="s">
        <v>9</v>
      </c>
      <c r="C10">
        <v>20.143000000000001</v>
      </c>
      <c r="D10">
        <v>11.45</v>
      </c>
      <c r="E10">
        <v>5.7830000000000004</v>
      </c>
      <c r="F10">
        <v>4.4000000000000004</v>
      </c>
      <c r="G10">
        <f t="shared" si="0"/>
        <v>10.183</v>
      </c>
      <c r="H10">
        <v>6.54</v>
      </c>
      <c r="I10">
        <v>5.77</v>
      </c>
      <c r="J10">
        <v>4.8</v>
      </c>
      <c r="K10">
        <v>4.55</v>
      </c>
      <c r="L10">
        <v>1.76</v>
      </c>
    </row>
    <row r="11" spans="1:16" x14ac:dyDescent="0.25">
      <c r="A11" t="s">
        <v>111</v>
      </c>
      <c r="C11">
        <v>31.042999999999999</v>
      </c>
      <c r="D11">
        <v>7.351</v>
      </c>
      <c r="E11">
        <v>2.1619999999999999</v>
      </c>
      <c r="F11">
        <v>7.3849999999999998</v>
      </c>
      <c r="G11">
        <f t="shared" si="0"/>
        <v>9.5470000000000006</v>
      </c>
      <c r="H11">
        <v>4.76</v>
      </c>
      <c r="I11">
        <v>4.8899999999999997</v>
      </c>
      <c r="J11">
        <v>4.57</v>
      </c>
      <c r="K11">
        <v>4.3099999999999996</v>
      </c>
      <c r="L11">
        <v>0.88</v>
      </c>
    </row>
    <row r="12" spans="1:16" x14ac:dyDescent="0.25">
      <c r="A12" t="s">
        <v>120</v>
      </c>
      <c r="C12">
        <v>21.492999999999999</v>
      </c>
      <c r="D12">
        <v>11.63</v>
      </c>
      <c r="E12">
        <v>4.0229999999999997</v>
      </c>
      <c r="F12">
        <v>3.73</v>
      </c>
      <c r="G12">
        <f t="shared" si="0"/>
        <v>7.7530000000000001</v>
      </c>
      <c r="H12">
        <v>6.76</v>
      </c>
      <c r="I12">
        <v>5.44</v>
      </c>
      <c r="J12">
        <v>6.36</v>
      </c>
      <c r="K12">
        <v>5.2</v>
      </c>
      <c r="L12">
        <v>1.47</v>
      </c>
    </row>
    <row r="13" spans="1:16" x14ac:dyDescent="0.25">
      <c r="A13" t="s">
        <v>134</v>
      </c>
      <c r="C13">
        <v>59.953000000000003</v>
      </c>
      <c r="D13">
        <v>20.841000000000001</v>
      </c>
      <c r="E13">
        <v>8.7219999999999995</v>
      </c>
      <c r="F13">
        <f>26.7 - 8.15</f>
        <v>18.549999999999997</v>
      </c>
      <c r="G13">
        <f t="shared" si="0"/>
        <v>27.271999999999998</v>
      </c>
      <c r="H13">
        <v>13.4</v>
      </c>
      <c r="I13">
        <v>14.3</v>
      </c>
      <c r="J13">
        <v>12</v>
      </c>
      <c r="K13">
        <v>11.74</v>
      </c>
      <c r="L13">
        <v>3.8</v>
      </c>
    </row>
    <row r="14" spans="1:16" x14ac:dyDescent="0.25">
      <c r="A14" t="s">
        <v>95</v>
      </c>
      <c r="C14" t="s">
        <v>144</v>
      </c>
      <c r="D14" t="s">
        <v>144</v>
      </c>
      <c r="E14">
        <v>5.25</v>
      </c>
      <c r="F14">
        <v>0</v>
      </c>
      <c r="G14">
        <v>5.25</v>
      </c>
      <c r="H14">
        <v>4</v>
      </c>
      <c r="I14">
        <v>3.93</v>
      </c>
      <c r="J14">
        <v>2.72</v>
      </c>
      <c r="K14">
        <v>2.71</v>
      </c>
      <c r="L14">
        <v>1.1000000000000001</v>
      </c>
    </row>
    <row r="379" spans="1:12" x14ac:dyDescent="0.25">
      <c r="A379" t="s">
        <v>990</v>
      </c>
      <c r="B379" t="s">
        <v>974</v>
      </c>
      <c r="C379">
        <v>5</v>
      </c>
      <c r="D379" t="s">
        <v>975</v>
      </c>
      <c r="H379">
        <v>5.51</v>
      </c>
      <c r="I379">
        <v>4.3</v>
      </c>
      <c r="L379">
        <v>0.45300000000000001</v>
      </c>
    </row>
    <row r="380" spans="1:12" x14ac:dyDescent="0.25">
      <c r="A380" t="s">
        <v>988</v>
      </c>
      <c r="B380" t="s">
        <v>974</v>
      </c>
      <c r="C380">
        <v>2</v>
      </c>
      <c r="D380" t="s">
        <v>975</v>
      </c>
      <c r="H380">
        <v>5.92</v>
      </c>
      <c r="I380">
        <v>4.67</v>
      </c>
      <c r="L380">
        <v>0.47699999999999998</v>
      </c>
    </row>
    <row r="381" spans="1:12" x14ac:dyDescent="0.25">
      <c r="A381" t="s">
        <v>1000</v>
      </c>
      <c r="B381" t="s">
        <v>1001</v>
      </c>
      <c r="C381">
        <v>1</v>
      </c>
      <c r="D381" t="s">
        <v>1002</v>
      </c>
      <c r="H381">
        <v>3.96</v>
      </c>
      <c r="I381">
        <v>3.33</v>
      </c>
      <c r="L381">
        <v>0.254</v>
      </c>
    </row>
    <row r="382" spans="1:12" x14ac:dyDescent="0.25">
      <c r="A382" t="s">
        <v>1006</v>
      </c>
      <c r="B382" t="s">
        <v>1001</v>
      </c>
      <c r="C382">
        <v>2</v>
      </c>
      <c r="D382" t="s">
        <v>1002</v>
      </c>
      <c r="H382">
        <v>6.32</v>
      </c>
      <c r="I382">
        <v>5.14</v>
      </c>
      <c r="L382">
        <v>0.48599999999999999</v>
      </c>
    </row>
    <row r="383" spans="1:12" x14ac:dyDescent="0.25">
      <c r="A383" t="s">
        <v>997</v>
      </c>
      <c r="B383" t="s">
        <v>954</v>
      </c>
      <c r="C383">
        <v>3</v>
      </c>
      <c r="D383" t="s">
        <v>955</v>
      </c>
      <c r="H383">
        <v>6.06</v>
      </c>
      <c r="I383">
        <v>4.78</v>
      </c>
      <c r="L383">
        <v>0.38200000000000001</v>
      </c>
    </row>
    <row r="384" spans="1:12" x14ac:dyDescent="0.25">
      <c r="A384" t="s">
        <v>996</v>
      </c>
      <c r="B384" t="s">
        <v>974</v>
      </c>
      <c r="C384">
        <v>3</v>
      </c>
      <c r="D384" t="s">
        <v>975</v>
      </c>
      <c r="H384">
        <v>7.61</v>
      </c>
      <c r="I384">
        <v>6.01</v>
      </c>
      <c r="L384">
        <v>0.41699999999999998</v>
      </c>
    </row>
    <row r="385" spans="1:18" x14ac:dyDescent="0.25">
      <c r="A385" t="s">
        <v>995</v>
      </c>
      <c r="B385" t="s">
        <v>447</v>
      </c>
      <c r="C385">
        <v>3</v>
      </c>
      <c r="D385" t="s">
        <v>448</v>
      </c>
      <c r="H385">
        <v>7.32</v>
      </c>
      <c r="I385">
        <v>5.71</v>
      </c>
      <c r="L385">
        <v>0.56100000000000005</v>
      </c>
    </row>
    <row r="386" spans="1:18" x14ac:dyDescent="0.25">
      <c r="A386" t="s">
        <v>998</v>
      </c>
      <c r="B386" t="s">
        <v>933</v>
      </c>
      <c r="C386">
        <v>2</v>
      </c>
      <c r="D386" t="s">
        <v>971</v>
      </c>
      <c r="H386">
        <v>6.67</v>
      </c>
      <c r="I386">
        <v>5.38</v>
      </c>
      <c r="L386">
        <v>0.56699999999999995</v>
      </c>
    </row>
    <row r="387" spans="1:18" x14ac:dyDescent="0.25">
      <c r="A387" t="s">
        <v>1007</v>
      </c>
      <c r="B387" t="s">
        <v>907</v>
      </c>
      <c r="C387">
        <v>2</v>
      </c>
      <c r="D387" t="s">
        <v>908</v>
      </c>
      <c r="H387">
        <v>6.88</v>
      </c>
      <c r="I387">
        <v>6.05</v>
      </c>
      <c r="L387">
        <v>0.72299999999999998</v>
      </c>
    </row>
    <row r="388" spans="1:18" x14ac:dyDescent="0.25">
      <c r="A388" t="s">
        <v>953</v>
      </c>
      <c r="B388" t="s">
        <v>954</v>
      </c>
      <c r="C388">
        <v>1</v>
      </c>
      <c r="D388" t="s">
        <v>955</v>
      </c>
      <c r="H388">
        <v>8.61</v>
      </c>
      <c r="I388">
        <v>6.46</v>
      </c>
      <c r="L388">
        <v>0.71299999999999997</v>
      </c>
    </row>
    <row r="389" spans="1:18" x14ac:dyDescent="0.25">
      <c r="A389" t="s">
        <v>980</v>
      </c>
      <c r="B389" t="s">
        <v>470</v>
      </c>
      <c r="C389">
        <v>5</v>
      </c>
      <c r="D389" t="s">
        <v>471</v>
      </c>
      <c r="H389">
        <v>10.28</v>
      </c>
      <c r="I389">
        <v>6.17</v>
      </c>
      <c r="L389">
        <v>0.377</v>
      </c>
    </row>
    <row r="390" spans="1:18" x14ac:dyDescent="0.25">
      <c r="A390" t="s">
        <v>957</v>
      </c>
      <c r="B390" t="s">
        <v>958</v>
      </c>
      <c r="C390">
        <v>1</v>
      </c>
      <c r="D390" t="s">
        <v>959</v>
      </c>
      <c r="H390">
        <v>6.55</v>
      </c>
      <c r="I390">
        <v>4.38</v>
      </c>
      <c r="L390">
        <v>0.56000000000000005</v>
      </c>
    </row>
    <row r="391" spans="1:18" x14ac:dyDescent="0.25">
      <c r="A391" t="s">
        <v>989</v>
      </c>
      <c r="B391" t="s">
        <v>933</v>
      </c>
      <c r="C391">
        <v>4</v>
      </c>
      <c r="D391" t="s">
        <v>971</v>
      </c>
      <c r="H391">
        <v>7.42</v>
      </c>
      <c r="I391">
        <v>5.93</v>
      </c>
      <c r="L391">
        <v>0.86099999999999999</v>
      </c>
    </row>
    <row r="392" spans="1:18" x14ac:dyDescent="0.25">
      <c r="A392" t="s">
        <v>960</v>
      </c>
      <c r="B392" t="s">
        <v>467</v>
      </c>
      <c r="C392">
        <v>3</v>
      </c>
      <c r="D392" t="s">
        <v>468</v>
      </c>
      <c r="H392">
        <v>6.05</v>
      </c>
      <c r="I392">
        <v>5.21</v>
      </c>
      <c r="L392">
        <v>0.38700000000000001</v>
      </c>
    </row>
    <row r="393" spans="1:18" x14ac:dyDescent="0.25">
      <c r="A393" t="s">
        <v>962</v>
      </c>
      <c r="B393" t="s">
        <v>545</v>
      </c>
      <c r="C393">
        <v>3</v>
      </c>
      <c r="D393" t="s">
        <v>802</v>
      </c>
      <c r="H393">
        <v>7.28</v>
      </c>
      <c r="I393">
        <v>4.9800000000000004</v>
      </c>
      <c r="L393">
        <v>0.60899999999999999</v>
      </c>
    </row>
    <row r="394" spans="1:18" x14ac:dyDescent="0.25">
      <c r="A394" t="s">
        <v>1003</v>
      </c>
      <c r="B394" t="s">
        <v>974</v>
      </c>
      <c r="C394">
        <v>4</v>
      </c>
      <c r="D394" t="s">
        <v>975</v>
      </c>
      <c r="H394">
        <v>7.33</v>
      </c>
      <c r="I394">
        <v>5.48</v>
      </c>
      <c r="L394">
        <v>0.64</v>
      </c>
    </row>
    <row r="395" spans="1:18" x14ac:dyDescent="0.25">
      <c r="A395" t="s">
        <v>947</v>
      </c>
      <c r="B395" t="s">
        <v>942</v>
      </c>
      <c r="C395">
        <v>3</v>
      </c>
      <c r="D395" t="s">
        <v>943</v>
      </c>
      <c r="H395">
        <v>8.0299999999999994</v>
      </c>
      <c r="I395">
        <v>6.16</v>
      </c>
      <c r="L395">
        <v>0.438</v>
      </c>
    </row>
    <row r="396" spans="1:18" x14ac:dyDescent="0.25">
      <c r="A396" t="s">
        <v>949</v>
      </c>
      <c r="B396" t="s">
        <v>942</v>
      </c>
      <c r="C396">
        <v>4</v>
      </c>
      <c r="D396" t="s">
        <v>943</v>
      </c>
      <c r="H396">
        <v>6.67</v>
      </c>
      <c r="I396">
        <v>4.18</v>
      </c>
      <c r="L396">
        <v>0.47</v>
      </c>
    </row>
    <row r="397" spans="1:18" x14ac:dyDescent="0.25">
      <c r="A397" t="s">
        <v>951</v>
      </c>
      <c r="B397" t="s">
        <v>942</v>
      </c>
      <c r="C397">
        <v>5</v>
      </c>
      <c r="D397" t="s">
        <v>943</v>
      </c>
      <c r="H397">
        <v>10.78</v>
      </c>
      <c r="I397">
        <v>7.5</v>
      </c>
      <c r="L397">
        <v>1.4379999999999999</v>
      </c>
    </row>
    <row r="398" spans="1:18" x14ac:dyDescent="0.25">
      <c r="A398" t="s">
        <v>969</v>
      </c>
      <c r="B398" t="s">
        <v>437</v>
      </c>
      <c r="C398">
        <v>6</v>
      </c>
      <c r="D398" t="s">
        <v>438</v>
      </c>
      <c r="H398">
        <v>4.7300000000000004</v>
      </c>
      <c r="I398">
        <v>3.52</v>
      </c>
      <c r="L398">
        <v>0.27400000000000002</v>
      </c>
    </row>
    <row r="399" spans="1:18" x14ac:dyDescent="0.25">
      <c r="A399" t="s">
        <v>1023</v>
      </c>
      <c r="B399" t="s">
        <v>419</v>
      </c>
      <c r="C399">
        <v>6</v>
      </c>
      <c r="D399" t="s">
        <v>569</v>
      </c>
      <c r="H399">
        <v>7.21</v>
      </c>
      <c r="I399">
        <v>5.76</v>
      </c>
      <c r="L399">
        <v>0.39300000000000002</v>
      </c>
      <c r="R399" t="s">
        <v>1022</v>
      </c>
    </row>
    <row r="400" spans="1:18" x14ac:dyDescent="0.25">
      <c r="A400" t="s">
        <v>932</v>
      </c>
      <c r="B400" t="s">
        <v>933</v>
      </c>
      <c r="C400">
        <v>1</v>
      </c>
      <c r="D400" t="s">
        <v>971</v>
      </c>
      <c r="H400">
        <v>6.93</v>
      </c>
      <c r="I400">
        <v>5.53</v>
      </c>
      <c r="L400">
        <v>0.52600000000000002</v>
      </c>
    </row>
    <row r="401" spans="1:12" x14ac:dyDescent="0.25">
      <c r="A401" t="s">
        <v>972</v>
      </c>
      <c r="B401" t="s">
        <v>958</v>
      </c>
      <c r="C401">
        <v>4</v>
      </c>
      <c r="D401" t="s">
        <v>959</v>
      </c>
      <c r="H401">
        <v>7</v>
      </c>
      <c r="I401">
        <v>4.91</v>
      </c>
      <c r="L401">
        <v>0.35299999999999998</v>
      </c>
    </row>
    <row r="402" spans="1:12" x14ac:dyDescent="0.25">
      <c r="A402" t="s">
        <v>976</v>
      </c>
      <c r="B402" t="s">
        <v>437</v>
      </c>
      <c r="C402">
        <v>5</v>
      </c>
      <c r="D402" t="s">
        <v>438</v>
      </c>
      <c r="H402">
        <v>4.6100000000000003</v>
      </c>
      <c r="I402">
        <v>3.62</v>
      </c>
      <c r="L402">
        <v>0.21</v>
      </c>
    </row>
    <row r="403" spans="1:12" x14ac:dyDescent="0.25">
      <c r="A403" t="s">
        <v>973</v>
      </c>
      <c r="B403" t="s">
        <v>974</v>
      </c>
      <c r="C403">
        <v>1</v>
      </c>
      <c r="D403" t="s">
        <v>975</v>
      </c>
      <c r="H403">
        <v>4.93</v>
      </c>
      <c r="I403">
        <v>3.95</v>
      </c>
      <c r="L403">
        <v>0.443</v>
      </c>
    </row>
    <row r="404" spans="1:12" x14ac:dyDescent="0.25">
      <c r="A404" t="s">
        <v>978</v>
      </c>
      <c r="B404" t="s">
        <v>954</v>
      </c>
      <c r="C404">
        <v>2</v>
      </c>
      <c r="D404" t="s">
        <v>955</v>
      </c>
      <c r="H404">
        <v>5.79</v>
      </c>
      <c r="I404">
        <v>4.8099999999999996</v>
      </c>
      <c r="L404">
        <v>0.59799999999999998</v>
      </c>
    </row>
    <row r="405" spans="1:12" x14ac:dyDescent="0.25">
      <c r="A405" t="s">
        <v>979</v>
      </c>
      <c r="B405" t="s">
        <v>467</v>
      </c>
      <c r="C405">
        <v>5</v>
      </c>
      <c r="D405" t="s">
        <v>468</v>
      </c>
      <c r="H405">
        <v>6.78</v>
      </c>
      <c r="I405">
        <v>5.4</v>
      </c>
      <c r="L405">
        <v>0.745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545"/>
  <sheetViews>
    <sheetView workbookViewId="0">
      <pane ySplit="1" topLeftCell="A470" activePane="bottomLeft" state="frozen"/>
      <selection activeCell="A406" sqref="A406"/>
      <selection pane="bottomLeft" activeCell="I482" sqref="I482"/>
    </sheetView>
  </sheetViews>
  <sheetFormatPr defaultRowHeight="15" x14ac:dyDescent="0.25"/>
  <cols>
    <col min="2" max="2" width="10.5703125" bestFit="1" customWidth="1"/>
    <col min="3" max="4" width="10.5703125" customWidth="1"/>
    <col min="5" max="5" width="9.7109375" style="3" bestFit="1" customWidth="1"/>
    <col min="7" max="7" width="14.42578125" bestFit="1" customWidth="1"/>
    <col min="9" max="9" width="10.28515625" bestFit="1" customWidth="1"/>
    <col min="10" max="12" width="16.85546875" customWidth="1"/>
    <col min="13" max="15" width="9.140625" customWidth="1"/>
    <col min="16" max="16" width="12" bestFit="1" customWidth="1"/>
  </cols>
  <sheetData>
    <row r="1" spans="1:16" x14ac:dyDescent="0.25">
      <c r="A1" t="s">
        <v>984</v>
      </c>
      <c r="B1" t="s">
        <v>342</v>
      </c>
      <c r="D1" t="s">
        <v>0</v>
      </c>
      <c r="E1" s="3" t="s">
        <v>656</v>
      </c>
      <c r="F1" t="s">
        <v>574</v>
      </c>
      <c r="G1" t="s">
        <v>575</v>
      </c>
      <c r="H1" t="s">
        <v>576</v>
      </c>
      <c r="I1" t="s">
        <v>577</v>
      </c>
      <c r="J1" t="s">
        <v>585</v>
      </c>
      <c r="K1" t="s">
        <v>586</v>
      </c>
      <c r="L1" t="s">
        <v>587</v>
      </c>
      <c r="M1" t="s">
        <v>578</v>
      </c>
      <c r="N1" t="s">
        <v>579</v>
      </c>
      <c r="O1" t="s">
        <v>580</v>
      </c>
      <c r="P1" t="s">
        <v>160</v>
      </c>
    </row>
    <row r="2" spans="1:16" x14ac:dyDescent="0.25">
      <c r="A2">
        <v>1</v>
      </c>
      <c r="B2" t="s">
        <v>552</v>
      </c>
      <c r="D2" t="s">
        <v>518</v>
      </c>
      <c r="E2" s="3" t="d">
        <v>2017-06-23</v>
      </c>
      <c r="F2">
        <v>13.6</v>
      </c>
      <c r="G2" t="s">
        <v>582</v>
      </c>
      <c r="H2">
        <v>510</v>
      </c>
      <c r="I2">
        <v>140</v>
      </c>
      <c r="J2">
        <v>15.96</v>
      </c>
      <c r="K2">
        <v>12.44</v>
      </c>
      <c r="L2">
        <v>10.25</v>
      </c>
      <c r="O2">
        <v>5</v>
      </c>
    </row>
    <row r="3" spans="1:16" x14ac:dyDescent="0.25">
      <c r="A3">
        <v>2</v>
      </c>
      <c r="B3" t="s">
        <v>103</v>
      </c>
      <c r="D3" t="s">
        <v>383</v>
      </c>
      <c r="E3" s="3" t="d">
        <v>2017-06-23</v>
      </c>
      <c r="F3" t="s">
        <v>581</v>
      </c>
      <c r="G3" t="s">
        <v>583</v>
      </c>
      <c r="H3">
        <v>340</v>
      </c>
      <c r="I3">
        <v>100</v>
      </c>
      <c r="J3">
        <v>6.63</v>
      </c>
      <c r="K3">
        <v>5.13</v>
      </c>
      <c r="L3">
        <v>5.18</v>
      </c>
      <c r="O3">
        <v>4</v>
      </c>
    </row>
    <row r="4" spans="1:16" x14ac:dyDescent="0.25">
      <c r="A4">
        <v>3</v>
      </c>
      <c r="B4" t="s">
        <v>536</v>
      </c>
      <c r="D4" t="s">
        <v>349</v>
      </c>
      <c r="E4" s="3" t="d">
        <v>2017-06-23</v>
      </c>
      <c r="F4">
        <v>6.3</v>
      </c>
      <c r="G4">
        <v>5.3</v>
      </c>
      <c r="H4">
        <v>290</v>
      </c>
      <c r="I4">
        <v>180</v>
      </c>
      <c r="J4">
        <v>13.72</v>
      </c>
      <c r="K4">
        <v>12.82</v>
      </c>
      <c r="L4">
        <v>10.93</v>
      </c>
      <c r="O4">
        <v>4</v>
      </c>
    </row>
    <row r="5" spans="1:16" x14ac:dyDescent="0.25">
      <c r="A5">
        <v>4</v>
      </c>
      <c r="B5" t="s">
        <v>548</v>
      </c>
      <c r="D5" t="s">
        <v>518</v>
      </c>
      <c r="E5" s="3" t="d">
        <v>2017-06-23</v>
      </c>
      <c r="F5">
        <v>8.5</v>
      </c>
      <c r="G5">
        <v>7.6</v>
      </c>
      <c r="H5">
        <v>310</v>
      </c>
      <c r="I5">
        <v>190</v>
      </c>
      <c r="J5">
        <v>9.69</v>
      </c>
      <c r="K5">
        <v>11.99</v>
      </c>
      <c r="L5">
        <v>11.78</v>
      </c>
      <c r="O5">
        <v>3</v>
      </c>
    </row>
    <row r="6" spans="1:16" x14ac:dyDescent="0.25">
      <c r="A6">
        <v>5</v>
      </c>
      <c r="B6" t="s">
        <v>517</v>
      </c>
      <c r="D6" t="s">
        <v>518</v>
      </c>
      <c r="E6" s="3" t="d">
        <v>2017-06-23</v>
      </c>
      <c r="F6">
        <v>7.2</v>
      </c>
      <c r="G6">
        <v>7.3</v>
      </c>
      <c r="H6">
        <v>430</v>
      </c>
      <c r="I6">
        <v>130</v>
      </c>
      <c r="J6">
        <v>6.42</v>
      </c>
      <c r="K6">
        <v>6.89</v>
      </c>
      <c r="L6">
        <v>5.49</v>
      </c>
      <c r="O6">
        <v>5</v>
      </c>
    </row>
    <row r="7" spans="1:16" x14ac:dyDescent="0.25">
      <c r="A7">
        <v>6</v>
      </c>
      <c r="B7" t="s">
        <v>520</v>
      </c>
      <c r="D7" t="s">
        <v>518</v>
      </c>
      <c r="E7" s="3" t="d">
        <v>2017-06-23</v>
      </c>
      <c r="F7">
        <v>8</v>
      </c>
      <c r="G7" t="s">
        <v>584</v>
      </c>
      <c r="H7">
        <v>270</v>
      </c>
      <c r="I7">
        <v>140</v>
      </c>
      <c r="J7">
        <v>9.07</v>
      </c>
      <c r="K7">
        <v>7.27</v>
      </c>
      <c r="L7">
        <v>8.69</v>
      </c>
      <c r="O7">
        <v>4</v>
      </c>
    </row>
    <row r="8" spans="1:16" x14ac:dyDescent="0.25">
      <c r="A8">
        <v>7</v>
      </c>
      <c r="B8" t="s">
        <v>546</v>
      </c>
      <c r="D8" t="str">
        <f>LEFT(B8,4)</f>
        <v>ALED</v>
      </c>
      <c r="E8" s="3" t="d">
        <v>2017-06-23</v>
      </c>
      <c r="F8" t="s">
        <v>588</v>
      </c>
      <c r="G8" t="s">
        <v>592</v>
      </c>
      <c r="H8">
        <v>150</v>
      </c>
      <c r="I8">
        <v>10</v>
      </c>
      <c r="J8">
        <v>2.8</v>
      </c>
      <c r="K8">
        <v>1.66</v>
      </c>
      <c r="L8">
        <v>2.04</v>
      </c>
      <c r="O8">
        <v>4</v>
      </c>
    </row>
    <row r="9" spans="1:16" x14ac:dyDescent="0.25">
      <c r="A9">
        <v>8</v>
      </c>
      <c r="B9" t="s">
        <v>547</v>
      </c>
      <c r="D9" t="str">
        <f t="shared" ref="D9:D72" si="0">LEFT(B9,4)</f>
        <v>COLA</v>
      </c>
      <c r="E9" s="3" t="d">
        <v>2017-06-23</v>
      </c>
      <c r="F9">
        <v>2.1</v>
      </c>
      <c r="G9" t="s">
        <v>593</v>
      </c>
      <c r="H9">
        <v>210</v>
      </c>
      <c r="I9">
        <v>20</v>
      </c>
      <c r="J9">
        <v>1.49</v>
      </c>
      <c r="K9">
        <v>1.54</v>
      </c>
      <c r="L9">
        <v>1.97</v>
      </c>
      <c r="O9">
        <v>3</v>
      </c>
    </row>
    <row r="10" spans="1:16" x14ac:dyDescent="0.25">
      <c r="A10">
        <v>9</v>
      </c>
      <c r="B10" t="s">
        <v>514</v>
      </c>
      <c r="D10" t="str">
        <f t="shared" si="0"/>
        <v>ALED</v>
      </c>
      <c r="E10" s="3" t="d">
        <v>2017-06-23</v>
      </c>
      <c r="F10">
        <v>8.6</v>
      </c>
      <c r="G10">
        <v>6.8</v>
      </c>
      <c r="H10">
        <v>430</v>
      </c>
      <c r="I10">
        <v>130</v>
      </c>
      <c r="J10">
        <v>3.7</v>
      </c>
      <c r="K10">
        <v>3.85</v>
      </c>
      <c r="L10">
        <v>4.38</v>
      </c>
      <c r="O10">
        <v>4</v>
      </c>
    </row>
    <row r="11" spans="1:16" x14ac:dyDescent="0.25">
      <c r="A11">
        <v>10</v>
      </c>
      <c r="B11" t="s">
        <v>531</v>
      </c>
      <c r="D11" t="str">
        <f t="shared" si="0"/>
        <v>PIRO</v>
      </c>
      <c r="E11" s="3" t="d">
        <v>2017-06-23</v>
      </c>
      <c r="F11">
        <v>9.6</v>
      </c>
      <c r="G11" t="s">
        <v>594</v>
      </c>
      <c r="H11">
        <v>370</v>
      </c>
      <c r="I11">
        <v>120</v>
      </c>
      <c r="J11">
        <v>13.97</v>
      </c>
      <c r="K11">
        <v>15.9</v>
      </c>
      <c r="L11">
        <v>16.2</v>
      </c>
      <c r="O11">
        <v>5</v>
      </c>
    </row>
    <row r="12" spans="1:16" x14ac:dyDescent="0.25">
      <c r="A12">
        <v>11</v>
      </c>
      <c r="B12" t="s">
        <v>553</v>
      </c>
      <c r="D12" t="str">
        <f t="shared" si="0"/>
        <v>PLPO</v>
      </c>
      <c r="E12" s="3" t="d">
        <v>2017-06-23</v>
      </c>
      <c r="F12">
        <v>4.9000000000000004</v>
      </c>
      <c r="G12">
        <v>3.7</v>
      </c>
      <c r="H12">
        <v>230</v>
      </c>
      <c r="I12">
        <v>60</v>
      </c>
      <c r="J12">
        <v>11.22</v>
      </c>
      <c r="K12">
        <v>11.41</v>
      </c>
      <c r="L12">
        <v>12.59</v>
      </c>
      <c r="O12">
        <v>4</v>
      </c>
    </row>
    <row r="13" spans="1:16" x14ac:dyDescent="0.25">
      <c r="A13">
        <v>12</v>
      </c>
      <c r="B13" t="s">
        <v>1017</v>
      </c>
      <c r="D13" t="str">
        <f t="shared" si="0"/>
        <v>BYCO</v>
      </c>
      <c r="E13" s="3" t="d">
        <v>2017-06-23</v>
      </c>
      <c r="F13">
        <v>4.5999999999999996</v>
      </c>
      <c r="G13">
        <v>2.2000000000000002</v>
      </c>
      <c r="H13">
        <v>200</v>
      </c>
      <c r="I13">
        <v>80</v>
      </c>
      <c r="J13">
        <v>7.91</v>
      </c>
      <c r="K13">
        <v>8.06</v>
      </c>
      <c r="L13">
        <v>9.3699999999999992</v>
      </c>
      <c r="O13">
        <v>4</v>
      </c>
      <c r="P13" t="s">
        <v>1018</v>
      </c>
    </row>
    <row r="14" spans="1:16" x14ac:dyDescent="0.25">
      <c r="A14">
        <v>13</v>
      </c>
      <c r="B14" t="s">
        <v>544</v>
      </c>
      <c r="D14" t="str">
        <f t="shared" si="0"/>
        <v>DARA</v>
      </c>
      <c r="E14" s="3" t="d">
        <v>2017-06-23</v>
      </c>
      <c r="F14">
        <v>5.4</v>
      </c>
      <c r="G14">
        <v>0.9</v>
      </c>
      <c r="H14">
        <v>160</v>
      </c>
      <c r="I14">
        <v>10</v>
      </c>
      <c r="J14">
        <v>1.8</v>
      </c>
      <c r="K14">
        <v>1.42</v>
      </c>
      <c r="L14">
        <v>1.41</v>
      </c>
      <c r="O14">
        <v>2</v>
      </c>
    </row>
    <row r="15" spans="1:16" x14ac:dyDescent="0.25">
      <c r="A15">
        <v>14</v>
      </c>
      <c r="B15" t="s">
        <v>521</v>
      </c>
      <c r="D15" t="str">
        <f t="shared" si="0"/>
        <v>BARU</v>
      </c>
      <c r="E15" s="3" t="d">
        <v>2017-06-23</v>
      </c>
      <c r="F15">
        <v>0.9</v>
      </c>
      <c r="G15">
        <v>0.6</v>
      </c>
      <c r="H15">
        <v>140</v>
      </c>
      <c r="I15">
        <v>80</v>
      </c>
      <c r="J15">
        <v>0.46</v>
      </c>
      <c r="K15" t="s">
        <v>144</v>
      </c>
      <c r="L15" t="s">
        <v>144</v>
      </c>
      <c r="O15">
        <v>4</v>
      </c>
    </row>
    <row r="16" spans="1:16" x14ac:dyDescent="0.25">
      <c r="A16">
        <v>15</v>
      </c>
      <c r="B16" t="s">
        <v>540</v>
      </c>
      <c r="D16" t="str">
        <f>LEFT(B16,4)</f>
        <v>MYLI</v>
      </c>
      <c r="E16" s="3" t="d">
        <v>2017-06-23</v>
      </c>
      <c r="F16">
        <v>7</v>
      </c>
      <c r="G16" t="s">
        <v>595</v>
      </c>
      <c r="H16">
        <v>240</v>
      </c>
      <c r="I16">
        <v>60</v>
      </c>
      <c r="J16">
        <v>16.52</v>
      </c>
      <c r="K16">
        <v>16.75</v>
      </c>
      <c r="L16">
        <v>16.37</v>
      </c>
      <c r="O16">
        <v>4</v>
      </c>
      <c r="P16" t="s">
        <v>1088</v>
      </c>
    </row>
    <row r="17" spans="1:15" x14ac:dyDescent="0.25">
      <c r="A17">
        <v>16</v>
      </c>
      <c r="B17" t="s">
        <v>511</v>
      </c>
      <c r="D17" t="str">
        <f t="shared" si="0"/>
        <v>TEGL</v>
      </c>
      <c r="E17" s="3" t="d">
        <v>2017-06-23</v>
      </c>
      <c r="F17" t="s">
        <v>589</v>
      </c>
      <c r="G17" t="s">
        <v>596</v>
      </c>
      <c r="H17">
        <v>930</v>
      </c>
      <c r="I17">
        <v>140</v>
      </c>
      <c r="J17">
        <v>11.11</v>
      </c>
      <c r="K17">
        <v>11.1</v>
      </c>
      <c r="L17">
        <v>9.6</v>
      </c>
      <c r="O17">
        <v>5</v>
      </c>
    </row>
    <row r="18" spans="1:15" x14ac:dyDescent="0.25">
      <c r="A18">
        <v>17</v>
      </c>
      <c r="B18" t="s">
        <v>525</v>
      </c>
      <c r="D18" t="str">
        <f t="shared" si="0"/>
        <v>LAHA</v>
      </c>
      <c r="E18" s="3" t="d">
        <v>2017-06-23</v>
      </c>
      <c r="F18">
        <v>1.5</v>
      </c>
      <c r="G18" t="s">
        <v>144</v>
      </c>
      <c r="H18">
        <v>125</v>
      </c>
      <c r="I18">
        <v>10</v>
      </c>
      <c r="J18">
        <v>0.8</v>
      </c>
      <c r="K18" t="s">
        <v>144</v>
      </c>
      <c r="L18" t="s">
        <v>144</v>
      </c>
      <c r="O18">
        <v>3</v>
      </c>
    </row>
    <row r="19" spans="1:15" x14ac:dyDescent="0.25">
      <c r="A19">
        <v>18</v>
      </c>
      <c r="B19" t="s">
        <v>537</v>
      </c>
      <c r="D19" t="str">
        <f t="shared" si="0"/>
        <v>COSU</v>
      </c>
      <c r="E19" s="3" t="d">
        <v>2017-06-23</v>
      </c>
      <c r="F19">
        <v>6.7</v>
      </c>
      <c r="G19">
        <v>4.4000000000000004</v>
      </c>
      <c r="H19">
        <v>230</v>
      </c>
      <c r="I19">
        <v>60</v>
      </c>
      <c r="J19">
        <v>14.77</v>
      </c>
      <c r="K19">
        <v>13.5</v>
      </c>
      <c r="L19">
        <v>11</v>
      </c>
      <c r="O19">
        <v>4</v>
      </c>
    </row>
    <row r="20" spans="1:15" x14ac:dyDescent="0.25">
      <c r="A20">
        <v>19</v>
      </c>
      <c r="B20" t="s">
        <v>533</v>
      </c>
      <c r="D20" t="str">
        <f t="shared" si="0"/>
        <v>STAD</v>
      </c>
      <c r="E20" s="3" t="d">
        <v>2017-06-23</v>
      </c>
      <c r="F20">
        <v>3.1</v>
      </c>
      <c r="G20" t="s">
        <v>144</v>
      </c>
      <c r="H20">
        <v>110</v>
      </c>
      <c r="I20">
        <v>50</v>
      </c>
      <c r="J20">
        <v>5.81</v>
      </c>
      <c r="K20">
        <v>5.91</v>
      </c>
      <c r="L20">
        <v>5</v>
      </c>
      <c r="O20">
        <v>4</v>
      </c>
    </row>
    <row r="21" spans="1:15" x14ac:dyDescent="0.25">
      <c r="A21">
        <v>20</v>
      </c>
      <c r="B21" t="s">
        <v>551</v>
      </c>
      <c r="D21" t="str">
        <f t="shared" si="0"/>
        <v>BARU</v>
      </c>
      <c r="E21" s="3" t="d">
        <v>2017-06-23</v>
      </c>
      <c r="F21">
        <v>1.3</v>
      </c>
      <c r="G21" t="s">
        <v>597</v>
      </c>
      <c r="H21">
        <v>190</v>
      </c>
      <c r="I21">
        <v>50</v>
      </c>
      <c r="J21">
        <v>0.56000000000000005</v>
      </c>
      <c r="K21" t="s">
        <v>144</v>
      </c>
      <c r="L21" t="s">
        <v>144</v>
      </c>
      <c r="O21">
        <v>4</v>
      </c>
    </row>
    <row r="22" spans="1:15" x14ac:dyDescent="0.25">
      <c r="A22">
        <v>21</v>
      </c>
      <c r="B22" t="s">
        <v>543</v>
      </c>
      <c r="D22" t="str">
        <f t="shared" si="0"/>
        <v>COSU</v>
      </c>
      <c r="E22" s="3" t="d">
        <v>2017-06-23</v>
      </c>
      <c r="F22">
        <v>8.1999999999999993</v>
      </c>
      <c r="G22">
        <v>6.6</v>
      </c>
      <c r="H22">
        <v>300</v>
      </c>
      <c r="I22">
        <v>50</v>
      </c>
      <c r="J22">
        <v>13.26</v>
      </c>
      <c r="K22">
        <v>9.7100000000000009</v>
      </c>
      <c r="L22">
        <v>11.75</v>
      </c>
      <c r="O22">
        <v>5</v>
      </c>
    </row>
    <row r="23" spans="1:15" x14ac:dyDescent="0.25">
      <c r="A23">
        <v>22</v>
      </c>
      <c r="B23" t="s">
        <v>528</v>
      </c>
      <c r="D23" t="str">
        <f t="shared" si="0"/>
        <v>ANCO</v>
      </c>
      <c r="E23" s="3" t="d">
        <v>2017-06-23</v>
      </c>
      <c r="F23">
        <v>3.6</v>
      </c>
      <c r="G23">
        <v>3</v>
      </c>
      <c r="H23">
        <v>290</v>
      </c>
      <c r="I23">
        <v>100</v>
      </c>
      <c r="J23">
        <v>5.64</v>
      </c>
      <c r="K23">
        <v>5.92</v>
      </c>
      <c r="L23">
        <v>5.63</v>
      </c>
      <c r="O23">
        <v>5</v>
      </c>
    </row>
    <row r="24" spans="1:15" x14ac:dyDescent="0.25">
      <c r="A24">
        <v>23</v>
      </c>
      <c r="B24" t="s">
        <v>530</v>
      </c>
      <c r="D24" t="str">
        <f t="shared" si="0"/>
        <v>BARU</v>
      </c>
      <c r="E24" s="3" t="d">
        <v>2017-06-23</v>
      </c>
      <c r="F24">
        <v>1.4</v>
      </c>
      <c r="G24" t="s">
        <v>598</v>
      </c>
      <c r="H24">
        <v>180</v>
      </c>
      <c r="I24">
        <v>60</v>
      </c>
      <c r="J24">
        <v>3.65</v>
      </c>
      <c r="K24">
        <v>2.11</v>
      </c>
      <c r="L24">
        <v>2.4700000000000002</v>
      </c>
      <c r="O24">
        <v>4</v>
      </c>
    </row>
    <row r="25" spans="1:15" x14ac:dyDescent="0.25">
      <c r="A25">
        <v>24</v>
      </c>
      <c r="B25" t="s">
        <v>550</v>
      </c>
      <c r="D25" t="str">
        <f t="shared" si="0"/>
        <v>ANCO</v>
      </c>
      <c r="E25" s="3" t="d">
        <v>2017-06-23</v>
      </c>
      <c r="F25">
        <v>12</v>
      </c>
      <c r="G25">
        <v>10.8</v>
      </c>
      <c r="H25">
        <v>520</v>
      </c>
      <c r="I25">
        <v>190</v>
      </c>
      <c r="J25">
        <v>8.7799999999999994</v>
      </c>
      <c r="K25">
        <v>10.24</v>
      </c>
      <c r="L25">
        <v>11.33</v>
      </c>
      <c r="O25">
        <v>5</v>
      </c>
    </row>
    <row r="26" spans="1:15" x14ac:dyDescent="0.25">
      <c r="A26">
        <v>25</v>
      </c>
      <c r="B26" t="s">
        <v>529</v>
      </c>
      <c r="D26" t="str">
        <f t="shared" si="0"/>
        <v>CASY</v>
      </c>
      <c r="E26" s="3" t="d">
        <v>2017-06-23</v>
      </c>
      <c r="F26" t="s">
        <v>590</v>
      </c>
      <c r="G26" t="s">
        <v>599</v>
      </c>
      <c r="H26">
        <v>200</v>
      </c>
      <c r="I26">
        <v>120</v>
      </c>
      <c r="J26">
        <v>3.65</v>
      </c>
      <c r="K26">
        <v>2.11</v>
      </c>
      <c r="L26">
        <v>2.4700000000000002</v>
      </c>
      <c r="O26">
        <v>4</v>
      </c>
    </row>
    <row r="27" spans="1:15" x14ac:dyDescent="0.25">
      <c r="A27">
        <v>26</v>
      </c>
      <c r="B27" t="s">
        <v>549</v>
      </c>
      <c r="D27" t="str">
        <f t="shared" si="0"/>
        <v>MAEL</v>
      </c>
      <c r="E27" s="3" t="d">
        <v>2017-06-23</v>
      </c>
      <c r="F27" t="s">
        <v>591</v>
      </c>
      <c r="G27" t="s">
        <v>600</v>
      </c>
      <c r="H27">
        <v>260</v>
      </c>
      <c r="I27">
        <v>170</v>
      </c>
      <c r="J27">
        <v>0.7</v>
      </c>
      <c r="K27" t="s">
        <v>144</v>
      </c>
      <c r="L27" t="s">
        <v>144</v>
      </c>
      <c r="O27">
        <v>4</v>
      </c>
    </row>
    <row r="28" spans="1:15" x14ac:dyDescent="0.25">
      <c r="A28">
        <v>27</v>
      </c>
      <c r="B28" t="s">
        <v>542</v>
      </c>
      <c r="D28" t="str">
        <f t="shared" si="0"/>
        <v>MAEL</v>
      </c>
      <c r="E28" s="3" t="d">
        <v>2017-06-23</v>
      </c>
      <c r="F28">
        <v>4.9000000000000004</v>
      </c>
      <c r="G28" t="s">
        <v>601</v>
      </c>
      <c r="H28">
        <v>230</v>
      </c>
      <c r="I28">
        <v>110</v>
      </c>
      <c r="J28">
        <v>4.01</v>
      </c>
      <c r="K28">
        <v>3.5</v>
      </c>
      <c r="L28">
        <v>3.54</v>
      </c>
      <c r="O28">
        <v>3</v>
      </c>
    </row>
    <row r="29" spans="1:15" x14ac:dyDescent="0.25">
      <c r="A29">
        <v>28</v>
      </c>
      <c r="B29" t="s">
        <v>541</v>
      </c>
      <c r="D29" t="str">
        <f t="shared" si="0"/>
        <v>ZARH</v>
      </c>
      <c r="E29" s="3" t="d">
        <v>2017-06-23</v>
      </c>
      <c r="F29">
        <v>0.9</v>
      </c>
      <c r="G29" t="s">
        <v>144</v>
      </c>
      <c r="H29">
        <v>120</v>
      </c>
      <c r="I29">
        <v>100</v>
      </c>
      <c r="J29">
        <v>0.7</v>
      </c>
      <c r="K29" t="s">
        <v>144</v>
      </c>
      <c r="L29" t="s">
        <v>144</v>
      </c>
      <c r="O29">
        <v>3</v>
      </c>
    </row>
    <row r="30" spans="1:15" x14ac:dyDescent="0.25">
      <c r="A30">
        <v>29</v>
      </c>
      <c r="B30" t="s">
        <v>524</v>
      </c>
      <c r="D30" t="str">
        <f t="shared" si="0"/>
        <v>MILI</v>
      </c>
      <c r="E30" s="3" t="d">
        <v>2017-06-23</v>
      </c>
      <c r="F30">
        <v>15.2</v>
      </c>
      <c r="G30">
        <v>1.1499999999999999</v>
      </c>
      <c r="H30">
        <v>550</v>
      </c>
      <c r="I30">
        <v>170</v>
      </c>
      <c r="J30">
        <v>8.14</v>
      </c>
      <c r="K30">
        <v>7.81</v>
      </c>
      <c r="L30">
        <v>7.69</v>
      </c>
      <c r="O30">
        <v>4</v>
      </c>
    </row>
    <row r="31" spans="1:15" x14ac:dyDescent="0.25">
      <c r="A31">
        <v>30</v>
      </c>
      <c r="B31" t="s">
        <v>202</v>
      </c>
      <c r="D31" t="s">
        <v>1089</v>
      </c>
      <c r="F31">
        <v>5.9</v>
      </c>
      <c r="G31">
        <v>5.6</v>
      </c>
      <c r="H31">
        <v>380</v>
      </c>
      <c r="I31">
        <v>140</v>
      </c>
      <c r="J31">
        <v>1.86</v>
      </c>
      <c r="K31">
        <v>1.91</v>
      </c>
      <c r="L31">
        <v>1.44</v>
      </c>
      <c r="O31">
        <v>3</v>
      </c>
    </row>
    <row r="32" spans="1:15" x14ac:dyDescent="0.25">
      <c r="A32">
        <v>31</v>
      </c>
      <c r="B32" t="s">
        <v>624</v>
      </c>
      <c r="D32" t="str">
        <f t="shared" si="0"/>
        <v>STCA</v>
      </c>
      <c r="E32" s="3" t="d">
        <v>2017-06-29</v>
      </c>
      <c r="F32">
        <v>1.77</v>
      </c>
      <c r="G32">
        <v>1.33</v>
      </c>
      <c r="H32">
        <v>203</v>
      </c>
      <c r="I32">
        <v>90</v>
      </c>
      <c r="J32">
        <v>0.95</v>
      </c>
      <c r="K32">
        <v>1.23</v>
      </c>
      <c r="L32">
        <v>1.06</v>
      </c>
      <c r="O32">
        <v>4</v>
      </c>
    </row>
    <row r="33" spans="1:15" x14ac:dyDescent="0.25">
      <c r="A33">
        <v>32</v>
      </c>
      <c r="B33" t="s">
        <v>638</v>
      </c>
      <c r="D33" t="str">
        <f t="shared" si="0"/>
        <v>DIBU</v>
      </c>
      <c r="E33" s="3" t="d">
        <v>2017-06-29</v>
      </c>
      <c r="F33">
        <v>7.1</v>
      </c>
      <c r="G33" t="s">
        <v>657</v>
      </c>
      <c r="H33">
        <v>215</v>
      </c>
      <c r="I33">
        <v>100</v>
      </c>
      <c r="J33">
        <v>17.68</v>
      </c>
      <c r="K33">
        <v>15.87</v>
      </c>
      <c r="L33">
        <v>15.57</v>
      </c>
      <c r="O33">
        <v>3</v>
      </c>
    </row>
    <row r="34" spans="1:15" x14ac:dyDescent="0.25">
      <c r="A34">
        <v>33</v>
      </c>
      <c r="B34" t="s">
        <v>620</v>
      </c>
      <c r="D34" t="str">
        <f t="shared" si="0"/>
        <v>ERGR</v>
      </c>
      <c r="E34" s="3" t="d">
        <v>2017-06-29</v>
      </c>
      <c r="F34">
        <v>11.9</v>
      </c>
      <c r="G34">
        <v>9.8000000000000007</v>
      </c>
      <c r="H34">
        <v>370</v>
      </c>
      <c r="I34">
        <v>105</v>
      </c>
      <c r="J34">
        <v>17.670000000000002</v>
      </c>
      <c r="K34">
        <v>18.46</v>
      </c>
      <c r="L34">
        <v>20.92</v>
      </c>
      <c r="O34">
        <v>3</v>
      </c>
    </row>
    <row r="35" spans="1:15" x14ac:dyDescent="0.25">
      <c r="A35">
        <v>34</v>
      </c>
      <c r="B35" t="s">
        <v>625</v>
      </c>
      <c r="D35" t="str">
        <f t="shared" si="0"/>
        <v>STAD</v>
      </c>
      <c r="E35" s="3" t="d">
        <v>2017-06-29</v>
      </c>
      <c r="F35">
        <v>3.8</v>
      </c>
      <c r="G35">
        <v>2.8</v>
      </c>
      <c r="H35">
        <v>225</v>
      </c>
      <c r="I35">
        <v>105</v>
      </c>
      <c r="J35">
        <v>5.8</v>
      </c>
      <c r="K35">
        <v>7.09</v>
      </c>
      <c r="L35">
        <v>6.57</v>
      </c>
      <c r="O35">
        <v>3</v>
      </c>
    </row>
    <row r="36" spans="1:15" x14ac:dyDescent="0.25">
      <c r="A36">
        <v>35</v>
      </c>
      <c r="B36" t="s">
        <v>623</v>
      </c>
      <c r="D36" t="str">
        <f t="shared" si="0"/>
        <v>MABR</v>
      </c>
      <c r="E36" s="3" t="d">
        <v>2017-06-29</v>
      </c>
      <c r="F36">
        <v>8.3000000000000007</v>
      </c>
      <c r="G36">
        <v>6.5</v>
      </c>
      <c r="H36">
        <v>750</v>
      </c>
      <c r="I36">
        <v>255</v>
      </c>
      <c r="J36">
        <v>3.34</v>
      </c>
      <c r="K36">
        <v>2.84</v>
      </c>
      <c r="L36">
        <v>3.08</v>
      </c>
      <c r="O36">
        <v>5</v>
      </c>
    </row>
    <row r="37" spans="1:15" x14ac:dyDescent="0.25">
      <c r="A37">
        <v>36</v>
      </c>
      <c r="B37" t="s">
        <v>629</v>
      </c>
      <c r="D37" t="str">
        <f t="shared" si="0"/>
        <v>MYTO</v>
      </c>
      <c r="E37" s="3" t="d">
        <v>2017-06-29</v>
      </c>
      <c r="F37">
        <v>3.2</v>
      </c>
      <c r="G37" t="s">
        <v>658</v>
      </c>
      <c r="H37">
        <v>212</v>
      </c>
      <c r="I37">
        <v>130</v>
      </c>
      <c r="J37">
        <v>3.31</v>
      </c>
      <c r="K37">
        <v>3.25</v>
      </c>
      <c r="L37">
        <v>3.63</v>
      </c>
      <c r="O37">
        <v>4</v>
      </c>
    </row>
    <row r="38" spans="1:15" x14ac:dyDescent="0.25">
      <c r="A38">
        <v>37</v>
      </c>
      <c r="B38" t="s">
        <v>634</v>
      </c>
      <c r="D38" t="str">
        <f t="shared" si="0"/>
        <v>QUCO</v>
      </c>
      <c r="E38" s="3" t="d">
        <v>2017-06-29</v>
      </c>
      <c r="F38">
        <v>7.9</v>
      </c>
      <c r="G38">
        <v>4.8</v>
      </c>
      <c r="H38">
        <v>285</v>
      </c>
      <c r="I38">
        <v>120</v>
      </c>
      <c r="J38">
        <v>6.1</v>
      </c>
      <c r="K38">
        <v>8.8699999999999992</v>
      </c>
      <c r="L38">
        <v>11.14</v>
      </c>
      <c r="O38">
        <v>4</v>
      </c>
    </row>
    <row r="39" spans="1:15" x14ac:dyDescent="0.25">
      <c r="A39">
        <v>38</v>
      </c>
      <c r="B39" t="s">
        <v>626</v>
      </c>
      <c r="D39" t="str">
        <f t="shared" si="0"/>
        <v>QUCO</v>
      </c>
      <c r="E39" s="3" t="d">
        <v>2017-06-29</v>
      </c>
      <c r="F39">
        <v>2.2000000000000002</v>
      </c>
      <c r="G39" t="s">
        <v>659</v>
      </c>
      <c r="H39">
        <v>175</v>
      </c>
      <c r="I39">
        <v>80</v>
      </c>
      <c r="J39">
        <v>3.08</v>
      </c>
      <c r="K39" t="s">
        <v>144</v>
      </c>
      <c r="L39" t="s">
        <v>144</v>
      </c>
      <c r="O39">
        <v>4</v>
      </c>
    </row>
    <row r="40" spans="1:15" x14ac:dyDescent="0.25">
      <c r="A40">
        <v>39</v>
      </c>
      <c r="B40" t="s">
        <v>648</v>
      </c>
      <c r="D40" t="str">
        <f t="shared" si="0"/>
        <v>ANCO</v>
      </c>
      <c r="E40" s="3" t="d">
        <v>2017-06-29</v>
      </c>
      <c r="F40">
        <v>5.0999999999999996</v>
      </c>
      <c r="G40">
        <v>3.8</v>
      </c>
      <c r="H40">
        <v>215</v>
      </c>
      <c r="I40">
        <v>140</v>
      </c>
      <c r="J40">
        <v>6.34</v>
      </c>
      <c r="K40">
        <v>7.74</v>
      </c>
      <c r="L40">
        <v>7.61</v>
      </c>
      <c r="O40">
        <v>4</v>
      </c>
    </row>
    <row r="41" spans="1:15" x14ac:dyDescent="0.25">
      <c r="A41">
        <v>40</v>
      </c>
      <c r="B41" t="s">
        <v>647</v>
      </c>
      <c r="D41" t="str">
        <f t="shared" si="0"/>
        <v>SCVI</v>
      </c>
      <c r="E41" s="3" t="d">
        <v>2017-06-29</v>
      </c>
      <c r="F41">
        <v>3.5</v>
      </c>
      <c r="G41" t="s">
        <v>660</v>
      </c>
      <c r="H41">
        <v>245</v>
      </c>
      <c r="I41">
        <v>150</v>
      </c>
      <c r="J41">
        <v>2.12</v>
      </c>
      <c r="K41">
        <v>1.97</v>
      </c>
      <c r="L41">
        <v>2.14</v>
      </c>
      <c r="O41">
        <v>4</v>
      </c>
    </row>
    <row r="42" spans="1:15" x14ac:dyDescent="0.25">
      <c r="A42">
        <v>41</v>
      </c>
      <c r="B42" t="s">
        <v>643</v>
      </c>
      <c r="D42" t="str">
        <f t="shared" si="0"/>
        <v>ZEMO</v>
      </c>
      <c r="E42" s="3" t="d">
        <v>2017-06-29</v>
      </c>
      <c r="F42">
        <v>1.78</v>
      </c>
      <c r="G42" t="s">
        <v>144</v>
      </c>
      <c r="H42">
        <v>120</v>
      </c>
      <c r="I42">
        <v>20</v>
      </c>
      <c r="J42">
        <v>4.57</v>
      </c>
      <c r="K42" t="s">
        <v>144</v>
      </c>
      <c r="L42" t="s">
        <v>144</v>
      </c>
      <c r="O42">
        <v>4</v>
      </c>
    </row>
    <row r="43" spans="1:15" x14ac:dyDescent="0.25">
      <c r="A43">
        <v>42</v>
      </c>
      <c r="B43" t="s">
        <v>642</v>
      </c>
      <c r="D43" t="str">
        <f t="shared" si="0"/>
        <v>COLA</v>
      </c>
      <c r="E43" s="3" t="d">
        <v>2017-06-29</v>
      </c>
      <c r="F43">
        <v>0.89</v>
      </c>
      <c r="G43" t="s">
        <v>144</v>
      </c>
      <c r="H43">
        <v>105</v>
      </c>
      <c r="I43">
        <v>55</v>
      </c>
      <c r="J43">
        <v>0.52</v>
      </c>
      <c r="K43" t="s">
        <v>144</v>
      </c>
      <c r="L43" t="s">
        <v>144</v>
      </c>
      <c r="O43">
        <v>4</v>
      </c>
    </row>
    <row r="44" spans="1:15" x14ac:dyDescent="0.25">
      <c r="A44">
        <v>43</v>
      </c>
      <c r="B44" t="s">
        <v>631</v>
      </c>
      <c r="D44" t="str">
        <f t="shared" si="0"/>
        <v>SYPU</v>
      </c>
      <c r="E44" s="3" t="d">
        <v>2017-06-29</v>
      </c>
      <c r="F44">
        <v>2.4</v>
      </c>
      <c r="G44">
        <v>1.9</v>
      </c>
      <c r="H44">
        <v>320</v>
      </c>
      <c r="I44">
        <v>160</v>
      </c>
      <c r="J44">
        <v>1.85</v>
      </c>
      <c r="K44">
        <v>1.78</v>
      </c>
      <c r="L44">
        <v>1.61</v>
      </c>
      <c r="O44">
        <v>3</v>
      </c>
    </row>
    <row r="45" spans="1:15" x14ac:dyDescent="0.25">
      <c r="A45">
        <v>44</v>
      </c>
      <c r="B45" t="s">
        <v>645</v>
      </c>
      <c r="D45" t="str">
        <f t="shared" si="0"/>
        <v>GOPO</v>
      </c>
      <c r="E45" s="3" t="d">
        <v>2017-06-29</v>
      </c>
      <c r="F45">
        <v>11</v>
      </c>
      <c r="G45" t="s">
        <v>661</v>
      </c>
      <c r="H45">
        <v>420</v>
      </c>
      <c r="I45">
        <v>200</v>
      </c>
      <c r="J45">
        <v>18.29</v>
      </c>
      <c r="K45">
        <v>20.13</v>
      </c>
      <c r="L45">
        <v>18.78</v>
      </c>
      <c r="O45">
        <v>4</v>
      </c>
    </row>
    <row r="46" spans="1:15" x14ac:dyDescent="0.25">
      <c r="A46">
        <v>45</v>
      </c>
      <c r="B46" t="s">
        <v>622</v>
      </c>
      <c r="D46" t="s">
        <v>387</v>
      </c>
      <c r="E46" s="3" t="d">
        <v>2017-06-29</v>
      </c>
      <c r="F46">
        <v>4</v>
      </c>
      <c r="G46" t="s">
        <v>662</v>
      </c>
      <c r="H46">
        <v>160</v>
      </c>
      <c r="I46">
        <v>10</v>
      </c>
      <c r="J46">
        <v>0.59</v>
      </c>
      <c r="K46" t="s">
        <v>144</v>
      </c>
      <c r="L46" t="s">
        <v>144</v>
      </c>
      <c r="O46">
        <v>4</v>
      </c>
    </row>
    <row r="47" spans="1:15" x14ac:dyDescent="0.25">
      <c r="A47">
        <v>46</v>
      </c>
      <c r="B47" t="s">
        <v>650</v>
      </c>
      <c r="D47" t="s">
        <v>387</v>
      </c>
      <c r="E47" s="3" t="d">
        <v>2017-06-29</v>
      </c>
      <c r="F47">
        <v>5.2</v>
      </c>
      <c r="G47">
        <v>2.1</v>
      </c>
      <c r="H47">
        <v>170</v>
      </c>
      <c r="I47">
        <v>60</v>
      </c>
      <c r="J47">
        <v>3.54</v>
      </c>
      <c r="K47">
        <v>2.17</v>
      </c>
      <c r="L47">
        <v>1.76</v>
      </c>
      <c r="O47">
        <v>4</v>
      </c>
    </row>
    <row r="48" spans="1:15" x14ac:dyDescent="0.25">
      <c r="A48">
        <v>47</v>
      </c>
      <c r="B48" t="s">
        <v>651</v>
      </c>
      <c r="D48" t="str">
        <f t="shared" si="0"/>
        <v>STRO</v>
      </c>
      <c r="E48" s="3" t="d">
        <v>2017-06-29</v>
      </c>
      <c r="F48">
        <v>5.5</v>
      </c>
      <c r="G48">
        <v>4.2</v>
      </c>
      <c r="H48">
        <v>260</v>
      </c>
      <c r="I48">
        <v>110</v>
      </c>
      <c r="J48">
        <v>6.02</v>
      </c>
      <c r="K48">
        <v>6.06</v>
      </c>
      <c r="L48">
        <v>6.83</v>
      </c>
      <c r="O48">
        <v>4</v>
      </c>
    </row>
    <row r="49" spans="1:15" x14ac:dyDescent="0.25">
      <c r="A49">
        <v>48</v>
      </c>
      <c r="B49" t="s">
        <v>637</v>
      </c>
      <c r="D49" t="str">
        <f t="shared" si="0"/>
        <v>MABR</v>
      </c>
      <c r="E49" s="3" t="d">
        <v>2017-06-29</v>
      </c>
      <c r="F49">
        <v>23.9</v>
      </c>
      <c r="G49">
        <v>22</v>
      </c>
      <c r="H49">
        <v>1200</v>
      </c>
      <c r="I49">
        <v>410</v>
      </c>
      <c r="J49">
        <v>7.59</v>
      </c>
      <c r="K49">
        <v>6.9</v>
      </c>
      <c r="L49">
        <v>8.14</v>
      </c>
      <c r="O49">
        <v>5</v>
      </c>
    </row>
    <row r="50" spans="1:15" x14ac:dyDescent="0.25">
      <c r="A50">
        <v>49</v>
      </c>
      <c r="B50" t="s">
        <v>636</v>
      </c>
      <c r="D50" t="str">
        <f t="shared" si="0"/>
        <v>RAGU</v>
      </c>
      <c r="E50" s="3" t="d">
        <v>2017-06-29</v>
      </c>
      <c r="F50">
        <v>14</v>
      </c>
      <c r="G50" t="s">
        <v>663</v>
      </c>
      <c r="H50">
        <v>570</v>
      </c>
      <c r="I50">
        <v>240</v>
      </c>
      <c r="J50">
        <v>19.53</v>
      </c>
      <c r="K50">
        <v>17.12</v>
      </c>
      <c r="L50">
        <v>17.7</v>
      </c>
      <c r="O50">
        <v>4</v>
      </c>
    </row>
    <row r="51" spans="1:15" x14ac:dyDescent="0.25">
      <c r="A51">
        <v>50</v>
      </c>
      <c r="B51" t="s">
        <v>635</v>
      </c>
      <c r="D51" t="str">
        <f t="shared" si="0"/>
        <v>MABR</v>
      </c>
      <c r="E51" s="3" t="d">
        <v>2017-06-29</v>
      </c>
      <c r="F51">
        <v>13.5</v>
      </c>
      <c r="G51">
        <v>12.7</v>
      </c>
      <c r="H51">
        <v>1050</v>
      </c>
      <c r="I51">
        <v>510</v>
      </c>
      <c r="J51">
        <v>4.4400000000000004</v>
      </c>
      <c r="K51">
        <v>5.14</v>
      </c>
      <c r="L51">
        <v>3.95</v>
      </c>
      <c r="O51">
        <v>3</v>
      </c>
    </row>
    <row r="52" spans="1:15" x14ac:dyDescent="0.25">
      <c r="A52">
        <v>51</v>
      </c>
      <c r="B52" t="s">
        <v>630</v>
      </c>
      <c r="D52" t="str">
        <f t="shared" si="0"/>
        <v>ZEMO</v>
      </c>
      <c r="E52" s="3" t="d">
        <v>2017-06-29</v>
      </c>
      <c r="F52">
        <v>2.8</v>
      </c>
      <c r="G52" t="s">
        <v>664</v>
      </c>
      <c r="H52">
        <v>240</v>
      </c>
      <c r="I52">
        <v>130</v>
      </c>
      <c r="J52">
        <v>3.58</v>
      </c>
      <c r="K52">
        <v>4.0599999999999996</v>
      </c>
      <c r="L52">
        <v>4.0599999999999996</v>
      </c>
      <c r="O52">
        <v>4</v>
      </c>
    </row>
    <row r="53" spans="1:15" x14ac:dyDescent="0.25">
      <c r="A53">
        <v>52</v>
      </c>
      <c r="B53" t="s">
        <v>646</v>
      </c>
      <c r="D53" t="str">
        <f t="shared" si="0"/>
        <v>CHMA</v>
      </c>
      <c r="E53" s="3" t="d">
        <v>2017-06-29</v>
      </c>
      <c r="F53">
        <v>6.4</v>
      </c>
      <c r="G53" t="s">
        <v>665</v>
      </c>
      <c r="H53">
        <v>450</v>
      </c>
      <c r="I53">
        <v>130</v>
      </c>
      <c r="J53">
        <v>3.17</v>
      </c>
      <c r="K53">
        <v>3.31</v>
      </c>
      <c r="L53">
        <v>4</v>
      </c>
      <c r="O53">
        <v>3</v>
      </c>
    </row>
    <row r="54" spans="1:15" x14ac:dyDescent="0.25">
      <c r="A54">
        <v>53</v>
      </c>
      <c r="B54" t="s">
        <v>612</v>
      </c>
      <c r="D54" t="str">
        <f t="shared" si="0"/>
        <v>COLA</v>
      </c>
      <c r="E54" s="3" t="d">
        <v>2017-06-29</v>
      </c>
      <c r="F54">
        <v>2.7</v>
      </c>
      <c r="G54">
        <v>2</v>
      </c>
      <c r="H54">
        <v>260</v>
      </c>
      <c r="I54">
        <v>120</v>
      </c>
      <c r="J54">
        <v>0.76</v>
      </c>
      <c r="K54">
        <v>1.39</v>
      </c>
      <c r="L54">
        <v>1.87</v>
      </c>
      <c r="O54">
        <v>3</v>
      </c>
    </row>
    <row r="55" spans="1:15" x14ac:dyDescent="0.25">
      <c r="A55">
        <v>54</v>
      </c>
      <c r="B55" t="s">
        <v>605</v>
      </c>
      <c r="D55" t="str">
        <f t="shared" si="0"/>
        <v>CHMA</v>
      </c>
      <c r="E55" s="3" t="d">
        <v>2017-06-29</v>
      </c>
      <c r="F55">
        <v>0.48</v>
      </c>
      <c r="G55" t="s">
        <v>144</v>
      </c>
      <c r="H55">
        <v>100</v>
      </c>
      <c r="I55">
        <v>0</v>
      </c>
      <c r="J55">
        <v>0.43</v>
      </c>
      <c r="K55" t="s">
        <v>144</v>
      </c>
      <c r="L55" t="s">
        <v>144</v>
      </c>
      <c r="O55">
        <v>2</v>
      </c>
    </row>
    <row r="56" spans="1:15" x14ac:dyDescent="0.25">
      <c r="A56">
        <v>55</v>
      </c>
      <c r="B56" t="s">
        <v>606</v>
      </c>
      <c r="D56" t="str">
        <f t="shared" si="0"/>
        <v>TEGL</v>
      </c>
      <c r="E56" s="3" t="d">
        <v>2017-06-29</v>
      </c>
      <c r="F56">
        <v>1.6</v>
      </c>
      <c r="G56">
        <v>0.8</v>
      </c>
      <c r="H56">
        <v>155</v>
      </c>
      <c r="I56">
        <v>100</v>
      </c>
      <c r="J56">
        <v>1.1000000000000001</v>
      </c>
      <c r="K56" t="s">
        <v>144</v>
      </c>
      <c r="L56" t="s">
        <v>144</v>
      </c>
      <c r="O56">
        <v>2</v>
      </c>
    </row>
    <row r="57" spans="1:15" x14ac:dyDescent="0.25">
      <c r="A57">
        <v>56</v>
      </c>
      <c r="B57" t="s">
        <v>607</v>
      </c>
      <c r="D57" t="str">
        <f t="shared" si="0"/>
        <v>TEGL</v>
      </c>
      <c r="E57" s="3" t="d">
        <v>2017-06-29</v>
      </c>
      <c r="F57">
        <v>2.4</v>
      </c>
      <c r="G57">
        <v>1.8</v>
      </c>
      <c r="H57">
        <v>160</v>
      </c>
      <c r="I57">
        <v>120</v>
      </c>
      <c r="J57">
        <v>3.5</v>
      </c>
      <c r="K57">
        <v>3.17</v>
      </c>
      <c r="L57">
        <v>2.72</v>
      </c>
      <c r="O57">
        <v>3</v>
      </c>
    </row>
    <row r="58" spans="1:15" x14ac:dyDescent="0.25">
      <c r="A58">
        <v>57</v>
      </c>
      <c r="B58" t="s">
        <v>611</v>
      </c>
      <c r="D58" t="str">
        <f t="shared" si="0"/>
        <v>TEGL</v>
      </c>
      <c r="E58" s="3" t="d">
        <v>2017-06-29</v>
      </c>
      <c r="F58">
        <v>3.2</v>
      </c>
      <c r="G58">
        <v>2.6</v>
      </c>
      <c r="H58">
        <v>275</v>
      </c>
      <c r="I58">
        <v>200</v>
      </c>
      <c r="J58">
        <v>3.66</v>
      </c>
      <c r="K58">
        <v>3.21</v>
      </c>
      <c r="L58">
        <v>3.09</v>
      </c>
      <c r="O58">
        <v>3</v>
      </c>
    </row>
    <row r="59" spans="1:15" x14ac:dyDescent="0.25">
      <c r="A59">
        <v>58</v>
      </c>
      <c r="B59" t="s">
        <v>608</v>
      </c>
      <c r="D59" t="str">
        <f t="shared" si="0"/>
        <v>LIMO</v>
      </c>
      <c r="E59" s="3" t="d">
        <v>2017-06-29</v>
      </c>
      <c r="F59">
        <v>0.9</v>
      </c>
      <c r="G59">
        <v>0.35</v>
      </c>
      <c r="H59">
        <v>130</v>
      </c>
      <c r="I59">
        <v>0</v>
      </c>
      <c r="J59">
        <v>0.4</v>
      </c>
      <c r="K59" t="s">
        <v>144</v>
      </c>
      <c r="L59" t="s">
        <v>144</v>
      </c>
      <c r="O59">
        <v>2</v>
      </c>
    </row>
    <row r="60" spans="1:15" x14ac:dyDescent="0.25">
      <c r="A60">
        <v>59</v>
      </c>
      <c r="B60" t="s">
        <v>614</v>
      </c>
      <c r="D60" t="str">
        <f t="shared" si="0"/>
        <v>LIMO</v>
      </c>
      <c r="E60" s="3" t="d">
        <v>2017-06-29</v>
      </c>
      <c r="F60">
        <v>3</v>
      </c>
      <c r="G60">
        <v>2.9</v>
      </c>
      <c r="H60">
        <v>200</v>
      </c>
      <c r="I60">
        <v>60</v>
      </c>
      <c r="J60">
        <v>1.78</v>
      </c>
      <c r="K60">
        <v>1.75</v>
      </c>
      <c r="L60">
        <v>1.48</v>
      </c>
      <c r="O60">
        <v>3</v>
      </c>
    </row>
    <row r="61" spans="1:15" x14ac:dyDescent="0.25">
      <c r="A61">
        <v>60</v>
      </c>
      <c r="B61" t="s">
        <v>613</v>
      </c>
      <c r="D61" t="str">
        <f t="shared" si="0"/>
        <v>LIMO</v>
      </c>
      <c r="E61" s="3" t="d">
        <v>2017-06-29</v>
      </c>
      <c r="F61">
        <v>1</v>
      </c>
      <c r="G61">
        <v>0.1</v>
      </c>
      <c r="H61">
        <v>140</v>
      </c>
      <c r="I61">
        <v>90</v>
      </c>
      <c r="J61">
        <v>0.39</v>
      </c>
      <c r="K61" t="s">
        <v>144</v>
      </c>
      <c r="L61" t="s">
        <v>144</v>
      </c>
      <c r="O61">
        <v>3</v>
      </c>
    </row>
    <row r="62" spans="1:15" x14ac:dyDescent="0.25">
      <c r="A62">
        <v>61</v>
      </c>
      <c r="B62" t="s">
        <v>602</v>
      </c>
      <c r="D62" t="str">
        <f t="shared" si="0"/>
        <v>CHMA</v>
      </c>
      <c r="E62" s="3" t="d">
        <v>2017-06-29</v>
      </c>
      <c r="F62">
        <v>1.3</v>
      </c>
      <c r="G62" t="s">
        <v>669</v>
      </c>
      <c r="H62">
        <v>205</v>
      </c>
      <c r="I62">
        <v>70</v>
      </c>
      <c r="J62">
        <v>0.35</v>
      </c>
      <c r="K62" t="s">
        <v>144</v>
      </c>
      <c r="L62" t="s">
        <v>144</v>
      </c>
      <c r="O62">
        <v>3</v>
      </c>
    </row>
    <row r="63" spans="1:15" x14ac:dyDescent="0.25">
      <c r="A63">
        <v>62</v>
      </c>
      <c r="B63" t="s">
        <v>640</v>
      </c>
      <c r="D63" t="str">
        <f t="shared" si="0"/>
        <v>SYPU</v>
      </c>
      <c r="E63" s="3" t="d">
        <v>2017-06-29</v>
      </c>
      <c r="F63">
        <v>2.2000000000000002</v>
      </c>
      <c r="G63">
        <v>1.7</v>
      </c>
      <c r="H63">
        <v>290</v>
      </c>
      <c r="I63">
        <v>195</v>
      </c>
      <c r="J63">
        <v>1.89</v>
      </c>
      <c r="K63">
        <v>1.47</v>
      </c>
      <c r="L63">
        <v>1.8</v>
      </c>
      <c r="O63">
        <v>2</v>
      </c>
    </row>
    <row r="64" spans="1:15" x14ac:dyDescent="0.25">
      <c r="A64">
        <v>63</v>
      </c>
      <c r="B64" t="s">
        <v>649</v>
      </c>
      <c r="D64" t="str">
        <f t="shared" si="0"/>
        <v>LAHA</v>
      </c>
      <c r="E64" s="3" t="d">
        <v>2017-06-29</v>
      </c>
      <c r="F64" t="s">
        <v>667</v>
      </c>
      <c r="G64" t="s">
        <v>144</v>
      </c>
      <c r="H64">
        <v>115</v>
      </c>
      <c r="I64">
        <v>30</v>
      </c>
      <c r="J64">
        <v>0.52</v>
      </c>
      <c r="K64" t="s">
        <v>144</v>
      </c>
      <c r="L64" t="s">
        <v>144</v>
      </c>
      <c r="O64">
        <v>2</v>
      </c>
    </row>
    <row r="65" spans="1:17" x14ac:dyDescent="0.25">
      <c r="A65">
        <v>64</v>
      </c>
      <c r="B65" t="s">
        <v>616</v>
      </c>
      <c r="D65" t="str">
        <f t="shared" si="0"/>
        <v>BOVI</v>
      </c>
      <c r="E65" s="3" t="d">
        <v>2017-06-29</v>
      </c>
      <c r="F65">
        <v>1.26</v>
      </c>
      <c r="G65" t="s">
        <v>144</v>
      </c>
      <c r="H65">
        <v>65</v>
      </c>
      <c r="I65">
        <v>22</v>
      </c>
      <c r="J65">
        <v>3.15</v>
      </c>
      <c r="K65" t="s">
        <v>144</v>
      </c>
      <c r="L65" t="s">
        <v>144</v>
      </c>
      <c r="O65">
        <v>3</v>
      </c>
    </row>
    <row r="66" spans="1:17" x14ac:dyDescent="0.25">
      <c r="A66">
        <v>65</v>
      </c>
      <c r="B66" t="s">
        <v>617</v>
      </c>
      <c r="D66" t="str">
        <f t="shared" si="0"/>
        <v>COLA</v>
      </c>
      <c r="E66" s="3" t="d">
        <v>2017-06-29</v>
      </c>
      <c r="F66">
        <v>0.67</v>
      </c>
      <c r="G66" t="s">
        <v>144</v>
      </c>
      <c r="H66">
        <v>73</v>
      </c>
      <c r="I66">
        <v>55</v>
      </c>
      <c r="J66">
        <v>0.47</v>
      </c>
      <c r="K66" t="s">
        <v>144</v>
      </c>
      <c r="L66" t="s">
        <v>144</v>
      </c>
      <c r="O66">
        <v>2</v>
      </c>
    </row>
    <row r="67" spans="1:17" x14ac:dyDescent="0.25">
      <c r="A67">
        <v>66</v>
      </c>
      <c r="B67" t="s">
        <v>615</v>
      </c>
      <c r="D67" t="str">
        <f t="shared" si="0"/>
        <v>ZARH</v>
      </c>
      <c r="E67" s="3" t="d">
        <v>2017-06-29</v>
      </c>
      <c r="F67">
        <v>2</v>
      </c>
      <c r="G67">
        <v>1.2</v>
      </c>
      <c r="H67">
        <v>150</v>
      </c>
      <c r="I67">
        <v>30</v>
      </c>
      <c r="J67">
        <v>1.78</v>
      </c>
      <c r="K67">
        <v>2.48</v>
      </c>
      <c r="L67">
        <v>1.91</v>
      </c>
      <c r="O67">
        <v>2</v>
      </c>
    </row>
    <row r="68" spans="1:17" x14ac:dyDescent="0.25">
      <c r="A68">
        <v>67</v>
      </c>
      <c r="B68" t="s">
        <v>666</v>
      </c>
      <c r="D68" t="str">
        <f t="shared" si="0"/>
        <v>BOVI</v>
      </c>
      <c r="E68" s="3" t="d">
        <v>2017-06-29</v>
      </c>
      <c r="F68">
        <v>2.9</v>
      </c>
      <c r="G68">
        <v>1.3</v>
      </c>
      <c r="H68">
        <v>181</v>
      </c>
      <c r="I68">
        <v>95</v>
      </c>
      <c r="J68">
        <v>7.02</v>
      </c>
      <c r="K68">
        <v>7.61</v>
      </c>
      <c r="L68">
        <v>7.5</v>
      </c>
      <c r="O68">
        <v>4</v>
      </c>
    </row>
    <row r="69" spans="1:17" x14ac:dyDescent="0.25">
      <c r="A69">
        <v>68</v>
      </c>
      <c r="B69" t="s">
        <v>619</v>
      </c>
      <c r="D69" t="str">
        <f t="shared" si="0"/>
        <v>STAD</v>
      </c>
      <c r="E69" s="3" t="d">
        <v>2017-06-29</v>
      </c>
      <c r="F69">
        <v>6.5</v>
      </c>
      <c r="G69">
        <v>6</v>
      </c>
      <c r="H69">
        <v>345</v>
      </c>
      <c r="I69">
        <v>60</v>
      </c>
      <c r="J69">
        <v>10.98</v>
      </c>
      <c r="K69">
        <v>10.61</v>
      </c>
      <c r="L69">
        <v>11.6</v>
      </c>
      <c r="O69">
        <v>4</v>
      </c>
    </row>
    <row r="70" spans="1:17" x14ac:dyDescent="0.25">
      <c r="A70">
        <v>69</v>
      </c>
      <c r="B70" t="s">
        <v>618</v>
      </c>
      <c r="D70" t="str">
        <f t="shared" si="0"/>
        <v>BOVI</v>
      </c>
      <c r="E70" s="3" t="d">
        <v>2017-06-29</v>
      </c>
      <c r="F70">
        <v>6.5</v>
      </c>
      <c r="G70">
        <v>5.4</v>
      </c>
      <c r="H70">
        <v>265</v>
      </c>
      <c r="I70">
        <v>60</v>
      </c>
      <c r="J70">
        <v>14.71</v>
      </c>
      <c r="K70">
        <v>16.28</v>
      </c>
      <c r="L70">
        <v>12.14</v>
      </c>
      <c r="O70">
        <v>3</v>
      </c>
    </row>
    <row r="71" spans="1:17" x14ac:dyDescent="0.25">
      <c r="A71">
        <v>70</v>
      </c>
      <c r="B71" t="s">
        <v>639</v>
      </c>
      <c r="D71" t="str">
        <f t="shared" si="0"/>
        <v>CAAD</v>
      </c>
      <c r="E71" s="3" t="d">
        <v>2017-06-29</v>
      </c>
      <c r="F71" t="s">
        <v>668</v>
      </c>
      <c r="G71" t="s">
        <v>670</v>
      </c>
      <c r="H71">
        <v>140</v>
      </c>
      <c r="I71">
        <v>20</v>
      </c>
      <c r="J71">
        <v>2.08</v>
      </c>
      <c r="K71">
        <v>2.67</v>
      </c>
      <c r="L71">
        <v>2.0699999999999998</v>
      </c>
      <c r="O71">
        <v>4</v>
      </c>
    </row>
    <row r="72" spans="1:17" x14ac:dyDescent="0.25">
      <c r="A72">
        <v>71</v>
      </c>
      <c r="B72" t="s">
        <v>644</v>
      </c>
      <c r="D72" t="str">
        <f t="shared" si="0"/>
        <v>GOPO</v>
      </c>
      <c r="E72" s="3" t="d">
        <v>2017-06-29</v>
      </c>
      <c r="F72">
        <v>13.8</v>
      </c>
      <c r="G72" t="s">
        <v>671</v>
      </c>
      <c r="H72">
        <v>560</v>
      </c>
      <c r="I72">
        <v>265</v>
      </c>
      <c r="J72">
        <v>30.75</v>
      </c>
      <c r="K72">
        <v>20.45</v>
      </c>
      <c r="L72">
        <v>21.12</v>
      </c>
      <c r="O72">
        <v>5</v>
      </c>
    </row>
    <row r="73" spans="1:17" x14ac:dyDescent="0.25">
      <c r="A73">
        <v>72</v>
      </c>
      <c r="B73" t="s">
        <v>672</v>
      </c>
      <c r="D73" t="str">
        <f t="shared" ref="D73:D136" si="1">LEFT(B73,4)</f>
        <v>RAFE</v>
      </c>
      <c r="E73" s="3" t="d">
        <v>2017-06-16</v>
      </c>
      <c r="F73">
        <v>1.27</v>
      </c>
      <c r="G73">
        <v>0.77</v>
      </c>
      <c r="H73">
        <v>155</v>
      </c>
      <c r="I73">
        <v>60</v>
      </c>
      <c r="J73">
        <v>1.54</v>
      </c>
      <c r="K73" t="s">
        <v>144</v>
      </c>
      <c r="L73" t="s">
        <v>144</v>
      </c>
      <c r="O73">
        <v>4</v>
      </c>
    </row>
    <row r="74" spans="1:17" x14ac:dyDescent="0.25">
      <c r="A74">
        <v>73</v>
      </c>
      <c r="B74" t="s">
        <v>300</v>
      </c>
      <c r="D74" t="str">
        <f t="shared" si="1"/>
        <v>MYLI</v>
      </c>
      <c r="E74" s="3" t="d">
        <v>2017-06-16</v>
      </c>
      <c r="F74" t="s">
        <v>673</v>
      </c>
      <c r="G74" t="s">
        <v>679</v>
      </c>
      <c r="H74">
        <v>373</v>
      </c>
      <c r="I74">
        <v>20</v>
      </c>
      <c r="J74">
        <v>5.6</v>
      </c>
      <c r="K74">
        <v>6.71</v>
      </c>
      <c r="L74">
        <v>11.21</v>
      </c>
      <c r="O74">
        <v>4</v>
      </c>
      <c r="Q74" s="2"/>
    </row>
    <row r="75" spans="1:17" x14ac:dyDescent="0.25">
      <c r="A75">
        <v>74</v>
      </c>
      <c r="B75" t="s">
        <v>296</v>
      </c>
      <c r="D75" t="str">
        <f t="shared" si="1"/>
        <v>MYLI</v>
      </c>
      <c r="E75" s="3" t="d">
        <v>2017-06-16</v>
      </c>
      <c r="F75">
        <v>1.28</v>
      </c>
      <c r="G75">
        <v>1.05</v>
      </c>
      <c r="H75">
        <v>175</v>
      </c>
      <c r="I75">
        <v>100</v>
      </c>
      <c r="J75">
        <v>1.01</v>
      </c>
      <c r="K75" t="s">
        <v>144</v>
      </c>
      <c r="L75" t="s">
        <v>144</v>
      </c>
      <c r="O75">
        <v>4</v>
      </c>
    </row>
    <row r="76" spans="1:17" x14ac:dyDescent="0.25">
      <c r="A76">
        <v>75</v>
      </c>
      <c r="B76" t="s">
        <v>316</v>
      </c>
      <c r="D76" t="str">
        <f t="shared" si="1"/>
        <v>OCPU</v>
      </c>
      <c r="E76" s="3" t="d">
        <v>2017-06-16</v>
      </c>
      <c r="F76" t="s">
        <v>674</v>
      </c>
      <c r="G76" t="s">
        <v>680</v>
      </c>
      <c r="H76">
        <v>495</v>
      </c>
      <c r="I76">
        <v>160</v>
      </c>
      <c r="J76">
        <v>2.76</v>
      </c>
      <c r="K76">
        <v>2.2000000000000002</v>
      </c>
      <c r="L76">
        <v>1.35</v>
      </c>
      <c r="O76">
        <v>5</v>
      </c>
    </row>
    <row r="77" spans="1:17" x14ac:dyDescent="0.25">
      <c r="A77">
        <v>76</v>
      </c>
      <c r="B77" t="s">
        <v>299</v>
      </c>
      <c r="D77" t="str">
        <f t="shared" si="1"/>
        <v>OCPU</v>
      </c>
      <c r="E77" s="3" t="d">
        <v>2017-06-16</v>
      </c>
      <c r="F77" t="s">
        <v>675</v>
      </c>
      <c r="G77" t="s">
        <v>681</v>
      </c>
      <c r="H77">
        <v>395</v>
      </c>
      <c r="I77">
        <v>120</v>
      </c>
      <c r="J77">
        <v>1.2</v>
      </c>
      <c r="K77">
        <v>1.36</v>
      </c>
      <c r="L77">
        <v>1.52</v>
      </c>
      <c r="O77">
        <v>5</v>
      </c>
    </row>
    <row r="78" spans="1:17" x14ac:dyDescent="0.25">
      <c r="A78">
        <v>77</v>
      </c>
      <c r="B78" t="s">
        <v>301</v>
      </c>
      <c r="D78" t="str">
        <f t="shared" si="1"/>
        <v>OCPU</v>
      </c>
      <c r="E78" s="3" t="d">
        <v>2017-06-16</v>
      </c>
      <c r="F78">
        <v>9.6</v>
      </c>
      <c r="G78" t="s">
        <v>682</v>
      </c>
      <c r="H78">
        <v>371</v>
      </c>
      <c r="I78">
        <v>180</v>
      </c>
      <c r="J78">
        <v>4.72</v>
      </c>
      <c r="K78">
        <v>3.76</v>
      </c>
      <c r="L78">
        <v>4.8899999999999997</v>
      </c>
      <c r="O78">
        <v>4</v>
      </c>
    </row>
    <row r="79" spans="1:17" x14ac:dyDescent="0.25">
      <c r="A79">
        <v>78</v>
      </c>
      <c r="B79" t="s">
        <v>293</v>
      </c>
      <c r="D79" t="str">
        <f t="shared" si="1"/>
        <v>MYMU</v>
      </c>
      <c r="E79" s="3" t="d">
        <v>2017-06-16</v>
      </c>
      <c r="F79">
        <v>2.6</v>
      </c>
      <c r="G79">
        <v>2</v>
      </c>
      <c r="H79">
        <v>322</v>
      </c>
      <c r="I79">
        <v>100</v>
      </c>
      <c r="J79">
        <v>1.1000000000000001</v>
      </c>
      <c r="K79">
        <v>1.1100000000000001</v>
      </c>
      <c r="L79">
        <v>1.07</v>
      </c>
      <c r="O79">
        <v>4</v>
      </c>
    </row>
    <row r="80" spans="1:17" x14ac:dyDescent="0.25">
      <c r="A80">
        <v>79</v>
      </c>
      <c r="B80" t="s">
        <v>298</v>
      </c>
      <c r="D80" t="str">
        <f t="shared" si="1"/>
        <v>MYLI</v>
      </c>
      <c r="E80" s="3" t="d">
        <v>2017-06-16</v>
      </c>
      <c r="F80" t="s">
        <v>676</v>
      </c>
      <c r="G80" t="s">
        <v>683</v>
      </c>
      <c r="H80">
        <v>365</v>
      </c>
      <c r="I80">
        <v>90</v>
      </c>
      <c r="J80">
        <v>8.0500000000000007</v>
      </c>
      <c r="K80">
        <v>5.91</v>
      </c>
      <c r="L80">
        <v>10.77</v>
      </c>
      <c r="O80">
        <v>4</v>
      </c>
    </row>
    <row r="81" spans="1:15" x14ac:dyDescent="0.25">
      <c r="A81">
        <v>80</v>
      </c>
      <c r="B81" t="s">
        <v>302</v>
      </c>
      <c r="D81" t="str">
        <f t="shared" si="1"/>
        <v>COLA</v>
      </c>
      <c r="E81" s="3" t="d">
        <v>2017-06-16</v>
      </c>
      <c r="F81">
        <v>2.71</v>
      </c>
      <c r="G81">
        <v>1.97</v>
      </c>
      <c r="H81">
        <v>373</v>
      </c>
      <c r="I81">
        <v>90</v>
      </c>
      <c r="J81">
        <v>2.0499999999999998</v>
      </c>
      <c r="K81">
        <v>1.54</v>
      </c>
      <c r="L81">
        <v>1.34</v>
      </c>
      <c r="O81">
        <v>3</v>
      </c>
    </row>
    <row r="82" spans="1:15" x14ac:dyDescent="0.25">
      <c r="A82">
        <v>81</v>
      </c>
      <c r="B82" t="s">
        <v>295</v>
      </c>
      <c r="D82" t="str">
        <f t="shared" si="1"/>
        <v>TAGU</v>
      </c>
      <c r="E82" s="3" t="d">
        <v>2017-06-16</v>
      </c>
      <c r="F82">
        <v>8.5</v>
      </c>
      <c r="G82">
        <v>7.6</v>
      </c>
      <c r="H82">
        <v>535</v>
      </c>
      <c r="I82">
        <v>80</v>
      </c>
      <c r="J82">
        <v>3.52</v>
      </c>
      <c r="K82">
        <v>3.28</v>
      </c>
      <c r="L82">
        <v>4.34</v>
      </c>
      <c r="O82">
        <v>5</v>
      </c>
    </row>
    <row r="83" spans="1:15" x14ac:dyDescent="0.25">
      <c r="A83">
        <v>82</v>
      </c>
      <c r="B83" t="s">
        <v>307</v>
      </c>
      <c r="D83" t="str">
        <f t="shared" si="1"/>
        <v>LEEL</v>
      </c>
      <c r="E83" s="3" t="d">
        <v>2017-06-16</v>
      </c>
      <c r="F83">
        <v>4.7</v>
      </c>
      <c r="G83">
        <v>3.6</v>
      </c>
      <c r="H83">
        <v>197</v>
      </c>
      <c r="I83">
        <v>80</v>
      </c>
      <c r="J83">
        <v>9.8000000000000007</v>
      </c>
      <c r="K83">
        <v>9.1</v>
      </c>
      <c r="L83">
        <v>9.6</v>
      </c>
      <c r="O83">
        <v>3</v>
      </c>
    </row>
    <row r="84" spans="1:15" x14ac:dyDescent="0.25">
      <c r="A84">
        <v>83</v>
      </c>
      <c r="B84" t="s">
        <v>306</v>
      </c>
      <c r="D84" t="str">
        <f t="shared" si="1"/>
        <v>MYFA</v>
      </c>
      <c r="E84" s="3" t="d">
        <v>2017-06-16</v>
      </c>
      <c r="F84">
        <v>6.8</v>
      </c>
      <c r="G84" t="s">
        <v>684</v>
      </c>
      <c r="H84">
        <v>290</v>
      </c>
      <c r="I84">
        <v>30</v>
      </c>
      <c r="J84">
        <v>8.86</v>
      </c>
      <c r="K84">
        <v>9.61</v>
      </c>
      <c r="L84">
        <v>9.4700000000000006</v>
      </c>
      <c r="O84">
        <v>5</v>
      </c>
    </row>
    <row r="85" spans="1:15" x14ac:dyDescent="0.25">
      <c r="A85">
        <v>84</v>
      </c>
      <c r="B85" t="s">
        <v>305</v>
      </c>
      <c r="D85" t="str">
        <f t="shared" si="1"/>
        <v>MYMU</v>
      </c>
      <c r="E85" s="3" t="d">
        <v>2017-06-16</v>
      </c>
      <c r="F85">
        <v>1.73</v>
      </c>
      <c r="G85">
        <v>0.96</v>
      </c>
      <c r="H85">
        <v>205</v>
      </c>
      <c r="I85">
        <v>70</v>
      </c>
      <c r="J85">
        <v>0.85</v>
      </c>
      <c r="K85">
        <v>1.19</v>
      </c>
      <c r="L85">
        <v>1.01</v>
      </c>
      <c r="O85">
        <v>4</v>
      </c>
    </row>
    <row r="86" spans="1:15" x14ac:dyDescent="0.25">
      <c r="A86">
        <v>85</v>
      </c>
      <c r="B86" t="s">
        <v>304</v>
      </c>
      <c r="D86" t="str">
        <f t="shared" si="1"/>
        <v>SCVI</v>
      </c>
      <c r="E86" s="3" t="d">
        <v>2017-06-16</v>
      </c>
      <c r="F86">
        <v>2.0499999999999998</v>
      </c>
      <c r="G86" t="s">
        <v>685</v>
      </c>
      <c r="H86">
        <v>280</v>
      </c>
      <c r="I86">
        <v>30</v>
      </c>
      <c r="J86">
        <v>1.9</v>
      </c>
      <c r="K86">
        <v>2.15</v>
      </c>
      <c r="L86">
        <v>2.4700000000000002</v>
      </c>
      <c r="O86">
        <v>4</v>
      </c>
    </row>
    <row r="87" spans="1:15" x14ac:dyDescent="0.25">
      <c r="A87">
        <v>86</v>
      </c>
      <c r="B87" t="s">
        <v>197</v>
      </c>
      <c r="D87" t="str">
        <f t="shared" si="1"/>
        <v>CABR</v>
      </c>
      <c r="E87" s="3" t="d">
        <v>2017-06-16</v>
      </c>
      <c r="F87">
        <v>10.199999999999999</v>
      </c>
      <c r="G87">
        <v>8.5</v>
      </c>
      <c r="H87">
        <v>375</v>
      </c>
      <c r="I87">
        <v>100</v>
      </c>
      <c r="J87">
        <v>18.82</v>
      </c>
      <c r="K87">
        <v>19.37</v>
      </c>
      <c r="L87">
        <v>18.850000000000001</v>
      </c>
      <c r="O87">
        <v>5</v>
      </c>
    </row>
    <row r="88" spans="1:15" x14ac:dyDescent="0.25">
      <c r="A88">
        <v>87</v>
      </c>
      <c r="B88" t="s">
        <v>310</v>
      </c>
      <c r="D88" t="str">
        <f t="shared" si="1"/>
        <v>STFE</v>
      </c>
      <c r="E88" s="3" t="d">
        <v>2017-06-16</v>
      </c>
      <c r="F88" t="s">
        <v>677</v>
      </c>
      <c r="G88" t="s">
        <v>686</v>
      </c>
      <c r="H88">
        <v>582</v>
      </c>
      <c r="I88">
        <v>150</v>
      </c>
      <c r="J88">
        <v>23.9</v>
      </c>
      <c r="K88">
        <v>18.75</v>
      </c>
      <c r="L88">
        <v>23.6</v>
      </c>
      <c r="O88">
        <v>5</v>
      </c>
    </row>
    <row r="89" spans="1:15" x14ac:dyDescent="0.25">
      <c r="A89">
        <v>88</v>
      </c>
      <c r="B89" t="s">
        <v>315</v>
      </c>
      <c r="D89" t="str">
        <f t="shared" si="1"/>
        <v>MYLI</v>
      </c>
      <c r="E89" s="3" t="d">
        <v>2017-06-16</v>
      </c>
      <c r="F89">
        <v>23.9</v>
      </c>
      <c r="G89">
        <v>20.8</v>
      </c>
      <c r="H89">
        <v>535</v>
      </c>
      <c r="I89">
        <v>85</v>
      </c>
      <c r="J89">
        <v>22.7</v>
      </c>
      <c r="K89">
        <v>19.66</v>
      </c>
      <c r="L89">
        <v>15.6</v>
      </c>
      <c r="O89">
        <v>5</v>
      </c>
    </row>
    <row r="90" spans="1:15" x14ac:dyDescent="0.25">
      <c r="A90">
        <v>89</v>
      </c>
      <c r="B90" t="s">
        <v>312</v>
      </c>
      <c r="D90" t="str">
        <f t="shared" si="1"/>
        <v>RAUM</v>
      </c>
      <c r="E90" s="3" t="d">
        <v>2017-06-16</v>
      </c>
      <c r="F90">
        <v>3.6</v>
      </c>
      <c r="G90">
        <v>2.8</v>
      </c>
      <c r="H90">
        <v>375</v>
      </c>
      <c r="I90">
        <v>170</v>
      </c>
      <c r="J90">
        <v>2.62</v>
      </c>
      <c r="K90">
        <v>3.18</v>
      </c>
      <c r="L90">
        <v>2.04</v>
      </c>
      <c r="O90">
        <v>4</v>
      </c>
    </row>
    <row r="91" spans="1:15" x14ac:dyDescent="0.25">
      <c r="A91">
        <v>90</v>
      </c>
      <c r="B91" t="s">
        <v>287</v>
      </c>
      <c r="D91" t="str">
        <f t="shared" si="1"/>
        <v>MILI</v>
      </c>
      <c r="E91" s="3" t="d">
        <v>2017-06-16</v>
      </c>
      <c r="F91" t="s">
        <v>678</v>
      </c>
      <c r="G91" t="s">
        <v>687</v>
      </c>
      <c r="H91">
        <v>355</v>
      </c>
      <c r="I91">
        <v>50</v>
      </c>
      <c r="J91">
        <v>4.1399999999999997</v>
      </c>
      <c r="K91">
        <v>3.33</v>
      </c>
      <c r="L91">
        <v>4.12</v>
      </c>
      <c r="O91">
        <v>3</v>
      </c>
    </row>
    <row r="92" spans="1:15" x14ac:dyDescent="0.25">
      <c r="A92">
        <v>91</v>
      </c>
      <c r="B92" t="s">
        <v>37</v>
      </c>
      <c r="D92" t="str">
        <f t="shared" si="1"/>
        <v>TOFO</v>
      </c>
      <c r="E92" s="3" t="d">
        <v>2017-06-15</v>
      </c>
      <c r="F92">
        <v>1.5</v>
      </c>
      <c r="G92">
        <v>1.05</v>
      </c>
      <c r="H92">
        <v>150</v>
      </c>
      <c r="I92">
        <v>134</v>
      </c>
      <c r="J92">
        <v>0.76</v>
      </c>
      <c r="K92" t="s">
        <v>144</v>
      </c>
      <c r="L92" t="s">
        <v>144</v>
      </c>
      <c r="O92">
        <v>3</v>
      </c>
    </row>
    <row r="93" spans="1:15" x14ac:dyDescent="0.25">
      <c r="A93">
        <v>92</v>
      </c>
      <c r="B93" t="s">
        <v>499</v>
      </c>
      <c r="D93" t="s">
        <v>399</v>
      </c>
      <c r="E93" s="3" t="d">
        <v>2017-06-15</v>
      </c>
      <c r="F93">
        <v>14.9</v>
      </c>
      <c r="G93" t="s">
        <v>690</v>
      </c>
      <c r="H93">
        <v>390</v>
      </c>
      <c r="I93">
        <v>120</v>
      </c>
      <c r="J93">
        <v>18.899999999999999</v>
      </c>
      <c r="K93">
        <v>17.2</v>
      </c>
      <c r="L93">
        <v>18.600000000000001</v>
      </c>
      <c r="O93">
        <v>4</v>
      </c>
    </row>
    <row r="94" spans="1:15" x14ac:dyDescent="0.25">
      <c r="A94">
        <v>93</v>
      </c>
      <c r="B94" t="s">
        <v>38</v>
      </c>
      <c r="D94" t="str">
        <f t="shared" si="1"/>
        <v>DUFU</v>
      </c>
      <c r="E94" s="3" t="d">
        <v>2017-06-15</v>
      </c>
      <c r="F94">
        <v>3.5</v>
      </c>
      <c r="G94">
        <v>1.6</v>
      </c>
      <c r="H94">
        <v>220</v>
      </c>
      <c r="I94">
        <v>50</v>
      </c>
      <c r="J94">
        <v>2.87</v>
      </c>
      <c r="K94">
        <v>2.44</v>
      </c>
      <c r="L94">
        <v>2.63</v>
      </c>
      <c r="O94">
        <v>4</v>
      </c>
    </row>
    <row r="95" spans="1:15" x14ac:dyDescent="0.25">
      <c r="A95">
        <v>94</v>
      </c>
      <c r="B95" t="s">
        <v>20</v>
      </c>
      <c r="D95" t="str">
        <f t="shared" si="1"/>
        <v>STRO</v>
      </c>
      <c r="E95" s="3" t="d">
        <v>2017-06-15</v>
      </c>
      <c r="F95">
        <v>14.5</v>
      </c>
      <c r="G95">
        <v>14.7</v>
      </c>
      <c r="H95">
        <v>460</v>
      </c>
      <c r="I95">
        <v>270</v>
      </c>
      <c r="J95">
        <v>14.52</v>
      </c>
      <c r="K95">
        <v>21.83</v>
      </c>
      <c r="L95">
        <v>17.059999999999999</v>
      </c>
      <c r="O95">
        <v>4</v>
      </c>
    </row>
    <row r="96" spans="1:15" x14ac:dyDescent="0.25">
      <c r="A96">
        <v>95</v>
      </c>
      <c r="B96" t="s">
        <v>39</v>
      </c>
      <c r="D96" t="str">
        <f t="shared" si="1"/>
        <v>QUGR</v>
      </c>
      <c r="E96" s="3" t="d">
        <v>2017-06-15</v>
      </c>
      <c r="F96">
        <v>6.5</v>
      </c>
      <c r="G96">
        <v>5.7</v>
      </c>
      <c r="H96">
        <v>460</v>
      </c>
      <c r="I96">
        <v>70</v>
      </c>
      <c r="J96">
        <v>12.45</v>
      </c>
      <c r="K96">
        <v>11.45</v>
      </c>
      <c r="L96">
        <v>11.7</v>
      </c>
      <c r="O96">
        <v>5</v>
      </c>
    </row>
    <row r="97" spans="1:15" x14ac:dyDescent="0.25">
      <c r="A97">
        <v>96</v>
      </c>
      <c r="B97" t="s">
        <v>43</v>
      </c>
      <c r="D97" t="str">
        <f t="shared" si="1"/>
        <v>LEEL</v>
      </c>
      <c r="E97" s="3" t="d">
        <v>2017-06-15</v>
      </c>
      <c r="F97">
        <v>7</v>
      </c>
      <c r="G97">
        <v>5</v>
      </c>
      <c r="H97">
        <v>210</v>
      </c>
      <c r="I97">
        <v>70</v>
      </c>
      <c r="J97">
        <v>14.55</v>
      </c>
      <c r="K97">
        <v>14.58</v>
      </c>
      <c r="L97">
        <v>15.05</v>
      </c>
      <c r="O97">
        <v>4</v>
      </c>
    </row>
    <row r="98" spans="1:15" x14ac:dyDescent="0.25">
      <c r="A98">
        <v>97</v>
      </c>
      <c r="B98" t="s">
        <v>507</v>
      </c>
      <c r="D98" t="s">
        <v>399</v>
      </c>
      <c r="E98" s="3" t="d">
        <v>2017-06-15</v>
      </c>
      <c r="F98">
        <v>21.5</v>
      </c>
      <c r="G98">
        <v>16.5</v>
      </c>
      <c r="H98">
        <v>690</v>
      </c>
      <c r="I98">
        <v>150</v>
      </c>
      <c r="J98">
        <v>29.4</v>
      </c>
      <c r="K98">
        <v>20.260000000000002</v>
      </c>
      <c r="L98">
        <v>34.56</v>
      </c>
      <c r="O98">
        <v>4</v>
      </c>
    </row>
    <row r="99" spans="1:15" x14ac:dyDescent="0.25">
      <c r="A99">
        <v>98</v>
      </c>
      <c r="B99" t="s">
        <v>688</v>
      </c>
      <c r="D99" t="s">
        <v>399</v>
      </c>
      <c r="E99" s="3" t="d">
        <v>2017-06-15</v>
      </c>
      <c r="F99">
        <v>15.5</v>
      </c>
      <c r="G99" t="s">
        <v>691</v>
      </c>
      <c r="H99">
        <v>560</v>
      </c>
      <c r="I99">
        <v>260</v>
      </c>
      <c r="J99">
        <v>32.93</v>
      </c>
      <c r="K99">
        <v>31.23</v>
      </c>
      <c r="L99">
        <v>25.3</v>
      </c>
      <c r="O99">
        <v>4</v>
      </c>
    </row>
    <row r="100" spans="1:15" x14ac:dyDescent="0.25">
      <c r="A100">
        <v>99</v>
      </c>
      <c r="B100" t="s">
        <v>23</v>
      </c>
      <c r="D100" t="str">
        <f t="shared" si="1"/>
        <v>DIMO</v>
      </c>
      <c r="E100" s="3" t="d">
        <v>2017-06-15</v>
      </c>
      <c r="F100">
        <v>5.8</v>
      </c>
      <c r="G100">
        <v>5</v>
      </c>
      <c r="H100">
        <v>240</v>
      </c>
      <c r="I100">
        <v>30</v>
      </c>
      <c r="J100">
        <v>10.58</v>
      </c>
      <c r="K100">
        <v>11.97</v>
      </c>
      <c r="L100">
        <v>11.45</v>
      </c>
      <c r="O100">
        <v>4</v>
      </c>
    </row>
    <row r="101" spans="1:15" x14ac:dyDescent="0.25">
      <c r="A101">
        <v>100</v>
      </c>
      <c r="B101" t="s">
        <v>30</v>
      </c>
      <c r="D101" t="str">
        <f t="shared" si="1"/>
        <v>ERSU</v>
      </c>
      <c r="E101" s="3" t="d">
        <v>2017-06-15</v>
      </c>
      <c r="F101">
        <v>6.1</v>
      </c>
      <c r="G101">
        <v>5.9</v>
      </c>
      <c r="H101">
        <v>250</v>
      </c>
      <c r="I101">
        <v>60</v>
      </c>
      <c r="J101">
        <v>15.03</v>
      </c>
      <c r="K101">
        <v>15.53</v>
      </c>
      <c r="L101">
        <v>16.04</v>
      </c>
      <c r="O101">
        <v>4</v>
      </c>
    </row>
    <row r="102" spans="1:15" x14ac:dyDescent="0.25">
      <c r="A102">
        <v>101</v>
      </c>
      <c r="B102" t="s">
        <v>29</v>
      </c>
      <c r="D102" t="str">
        <f t="shared" si="1"/>
        <v>KICO</v>
      </c>
      <c r="E102" s="3" t="d">
        <v>2017-06-15</v>
      </c>
      <c r="F102">
        <v>9.6999999999999993</v>
      </c>
      <c r="G102">
        <v>5.8</v>
      </c>
      <c r="H102">
        <v>250</v>
      </c>
      <c r="I102">
        <v>120</v>
      </c>
      <c r="J102">
        <v>25.9</v>
      </c>
      <c r="K102">
        <v>24.3</v>
      </c>
      <c r="L102">
        <v>20.04</v>
      </c>
      <c r="O102">
        <v>3</v>
      </c>
    </row>
    <row r="103" spans="1:15" x14ac:dyDescent="0.25">
      <c r="A103">
        <v>102</v>
      </c>
      <c r="B103" t="s">
        <v>31</v>
      </c>
      <c r="D103" t="str">
        <f t="shared" si="1"/>
        <v>DIBU</v>
      </c>
      <c r="E103" s="3" t="d">
        <v>2017-06-15</v>
      </c>
      <c r="F103">
        <v>12.7</v>
      </c>
      <c r="G103">
        <v>13.2</v>
      </c>
      <c r="H103">
        <v>390</v>
      </c>
      <c r="I103">
        <v>200</v>
      </c>
      <c r="J103">
        <v>19.5</v>
      </c>
      <c r="K103">
        <v>19.600000000000001</v>
      </c>
      <c r="L103">
        <v>16.5</v>
      </c>
      <c r="O103">
        <v>4</v>
      </c>
    </row>
    <row r="104" spans="1:15" x14ac:dyDescent="0.25">
      <c r="A104">
        <v>103</v>
      </c>
      <c r="B104" t="s">
        <v>32</v>
      </c>
      <c r="D104" t="str">
        <f t="shared" si="1"/>
        <v>MAAC</v>
      </c>
      <c r="E104" s="3" t="d">
        <v>2017-06-15</v>
      </c>
      <c r="F104">
        <v>4.8</v>
      </c>
      <c r="G104">
        <v>3.8</v>
      </c>
      <c r="H104">
        <v>360</v>
      </c>
      <c r="I104">
        <v>200</v>
      </c>
      <c r="J104">
        <v>9.07</v>
      </c>
      <c r="K104">
        <v>9.61</v>
      </c>
      <c r="L104">
        <v>9.85</v>
      </c>
      <c r="O104">
        <v>4</v>
      </c>
    </row>
    <row r="105" spans="1:15" x14ac:dyDescent="0.25">
      <c r="A105">
        <v>104</v>
      </c>
      <c r="B105" t="s">
        <v>26</v>
      </c>
      <c r="D105" t="str">
        <f t="shared" si="1"/>
        <v>ERSU</v>
      </c>
      <c r="E105" s="3" t="d">
        <v>2017-06-15</v>
      </c>
      <c r="F105">
        <v>7.5</v>
      </c>
      <c r="G105">
        <v>6.8</v>
      </c>
      <c r="H105">
        <v>280</v>
      </c>
      <c r="I105">
        <v>80</v>
      </c>
      <c r="J105">
        <v>24.6</v>
      </c>
      <c r="K105">
        <v>18.54</v>
      </c>
      <c r="L105">
        <v>23.11</v>
      </c>
      <c r="O105">
        <v>4</v>
      </c>
    </row>
    <row r="106" spans="1:15" x14ac:dyDescent="0.25">
      <c r="A106">
        <v>105</v>
      </c>
      <c r="B106" t="s">
        <v>28</v>
      </c>
      <c r="D106" t="str">
        <f t="shared" si="1"/>
        <v>VOTU</v>
      </c>
      <c r="E106" s="3" t="d">
        <v>2017-06-15</v>
      </c>
      <c r="F106">
        <v>11.3</v>
      </c>
      <c r="G106">
        <v>8.6</v>
      </c>
      <c r="H106">
        <v>520</v>
      </c>
      <c r="I106">
        <v>50</v>
      </c>
      <c r="J106">
        <v>8.93</v>
      </c>
      <c r="K106">
        <v>10.58</v>
      </c>
      <c r="L106">
        <v>10.07</v>
      </c>
      <c r="O106">
        <v>5</v>
      </c>
    </row>
    <row r="107" spans="1:15" x14ac:dyDescent="0.25">
      <c r="A107">
        <v>106</v>
      </c>
      <c r="B107" t="s">
        <v>22</v>
      </c>
      <c r="D107" t="str">
        <f t="shared" si="1"/>
        <v>GOBA</v>
      </c>
      <c r="E107" s="3" t="d">
        <v>2017-06-15</v>
      </c>
      <c r="F107" t="s">
        <v>689</v>
      </c>
      <c r="G107" t="s">
        <v>692</v>
      </c>
      <c r="H107">
        <v>330</v>
      </c>
      <c r="I107">
        <v>140</v>
      </c>
      <c r="J107">
        <v>5.26</v>
      </c>
      <c r="K107">
        <v>4.76</v>
      </c>
      <c r="L107">
        <v>4.21</v>
      </c>
      <c r="O107">
        <v>4</v>
      </c>
    </row>
    <row r="108" spans="1:15" x14ac:dyDescent="0.25">
      <c r="A108">
        <v>107</v>
      </c>
      <c r="B108" t="s">
        <v>27</v>
      </c>
      <c r="D108" t="str">
        <f t="shared" si="1"/>
        <v>MIAL</v>
      </c>
      <c r="E108" s="3" t="d">
        <v>2017-06-15</v>
      </c>
      <c r="F108">
        <v>11.7</v>
      </c>
      <c r="G108" t="s">
        <v>693</v>
      </c>
      <c r="H108">
        <v>290</v>
      </c>
      <c r="I108">
        <v>40</v>
      </c>
      <c r="J108">
        <v>16.7</v>
      </c>
      <c r="K108">
        <v>9.9</v>
      </c>
      <c r="L108">
        <v>6.4</v>
      </c>
      <c r="O108">
        <v>4</v>
      </c>
    </row>
    <row r="109" spans="1:15" x14ac:dyDescent="0.25">
      <c r="A109">
        <v>108</v>
      </c>
      <c r="B109" t="s">
        <v>24</v>
      </c>
      <c r="D109" t="str">
        <f t="shared" si="1"/>
        <v>DUFU</v>
      </c>
      <c r="E109" s="3" t="d">
        <v>2017-06-15</v>
      </c>
      <c r="F109">
        <v>3.5</v>
      </c>
      <c r="G109">
        <v>1.55</v>
      </c>
      <c r="H109">
        <v>200</v>
      </c>
      <c r="I109">
        <v>0</v>
      </c>
      <c r="J109">
        <v>1.72</v>
      </c>
      <c r="K109">
        <v>2.4900000000000002</v>
      </c>
      <c r="L109">
        <v>1.64</v>
      </c>
      <c r="O109">
        <v>4</v>
      </c>
    </row>
    <row r="110" spans="1:15" x14ac:dyDescent="0.25">
      <c r="A110">
        <v>109</v>
      </c>
      <c r="B110" t="s">
        <v>117</v>
      </c>
      <c r="D110" t="str">
        <f t="shared" si="1"/>
        <v>STRO</v>
      </c>
      <c r="E110" s="3" t="d">
        <v>2017-06-15</v>
      </c>
      <c r="F110">
        <v>6.8</v>
      </c>
      <c r="G110" t="s">
        <v>701</v>
      </c>
      <c r="H110">
        <v>325</v>
      </c>
      <c r="I110">
        <v>160</v>
      </c>
      <c r="J110">
        <v>8.19</v>
      </c>
      <c r="K110">
        <v>8.9499999999999993</v>
      </c>
      <c r="L110">
        <v>8.31</v>
      </c>
      <c r="O110">
        <v>5</v>
      </c>
    </row>
    <row r="111" spans="1:15" x14ac:dyDescent="0.25">
      <c r="A111">
        <v>110</v>
      </c>
      <c r="B111" t="s">
        <v>121</v>
      </c>
      <c r="D111" t="str">
        <f t="shared" si="1"/>
        <v>STCA</v>
      </c>
      <c r="E111" s="3" t="d">
        <v>2017-06-15</v>
      </c>
      <c r="F111">
        <v>4</v>
      </c>
      <c r="G111">
        <v>3</v>
      </c>
      <c r="H111">
        <v>250</v>
      </c>
      <c r="I111">
        <v>98</v>
      </c>
      <c r="J111">
        <v>1.88</v>
      </c>
      <c r="K111">
        <v>1.77</v>
      </c>
      <c r="L111">
        <v>2.27</v>
      </c>
      <c r="O111">
        <v>4</v>
      </c>
    </row>
    <row r="112" spans="1:15" x14ac:dyDescent="0.25">
      <c r="A112">
        <v>111</v>
      </c>
      <c r="B112" t="s">
        <v>95</v>
      </c>
      <c r="D112" t="str">
        <f t="shared" si="1"/>
        <v>AEVE</v>
      </c>
      <c r="E112" s="3" t="d">
        <v>2017-06-15</v>
      </c>
      <c r="F112">
        <v>9.1999999999999993</v>
      </c>
      <c r="G112">
        <v>9</v>
      </c>
      <c r="H112">
        <v>380</v>
      </c>
      <c r="I112">
        <v>220</v>
      </c>
      <c r="J112">
        <v>19.149999999999999</v>
      </c>
      <c r="K112">
        <v>19.05</v>
      </c>
      <c r="L112">
        <v>21.35</v>
      </c>
      <c r="O112">
        <v>4</v>
      </c>
    </row>
    <row r="113" spans="1:15" x14ac:dyDescent="0.25">
      <c r="A113">
        <v>112</v>
      </c>
      <c r="B113" t="s">
        <v>500</v>
      </c>
      <c r="D113" t="s">
        <v>441</v>
      </c>
      <c r="E113" s="3" t="d">
        <v>2017-06-15</v>
      </c>
      <c r="F113">
        <v>9.1999999999999993</v>
      </c>
      <c r="G113">
        <v>8.5</v>
      </c>
      <c r="H113">
        <v>450</v>
      </c>
      <c r="I113">
        <v>300</v>
      </c>
      <c r="J113">
        <v>10.94</v>
      </c>
      <c r="K113">
        <v>7.9</v>
      </c>
      <c r="L113">
        <v>9.42</v>
      </c>
      <c r="O113">
        <v>5</v>
      </c>
    </row>
    <row r="114" spans="1:15" x14ac:dyDescent="0.25">
      <c r="A114">
        <v>113</v>
      </c>
      <c r="B114" t="s">
        <v>126</v>
      </c>
      <c r="D114" t="str">
        <f t="shared" si="1"/>
        <v>DIMO</v>
      </c>
      <c r="E114" s="3" t="d">
        <v>2017-06-15</v>
      </c>
      <c r="F114">
        <v>6.4</v>
      </c>
      <c r="G114">
        <v>5</v>
      </c>
      <c r="H114">
        <v>300</v>
      </c>
      <c r="I114">
        <v>130</v>
      </c>
      <c r="J114">
        <v>10.67</v>
      </c>
      <c r="K114">
        <v>11.09</v>
      </c>
      <c r="L114">
        <v>10.73</v>
      </c>
      <c r="O114">
        <v>4</v>
      </c>
    </row>
    <row r="115" spans="1:15" x14ac:dyDescent="0.25">
      <c r="A115">
        <v>114</v>
      </c>
      <c r="B115" t="s">
        <v>99</v>
      </c>
      <c r="D115" t="str">
        <f t="shared" si="1"/>
        <v>STCA</v>
      </c>
      <c r="E115" s="3" t="d">
        <v>2017-06-15</v>
      </c>
      <c r="F115">
        <v>5.9</v>
      </c>
      <c r="G115">
        <v>5.5</v>
      </c>
      <c r="H115">
        <v>350</v>
      </c>
      <c r="I115">
        <v>220</v>
      </c>
      <c r="J115">
        <v>4.08</v>
      </c>
      <c r="K115">
        <v>3.96</v>
      </c>
      <c r="L115">
        <v>4.87</v>
      </c>
      <c r="O115">
        <v>4</v>
      </c>
    </row>
    <row r="116" spans="1:15" x14ac:dyDescent="0.25">
      <c r="A116">
        <v>115</v>
      </c>
      <c r="B116" t="s">
        <v>134</v>
      </c>
      <c r="D116" t="str">
        <f t="shared" si="1"/>
        <v>DIBU</v>
      </c>
      <c r="E116" s="3" t="d">
        <v>2017-06-15</v>
      </c>
      <c r="F116">
        <v>7.1</v>
      </c>
      <c r="G116">
        <v>6.8</v>
      </c>
      <c r="H116">
        <v>280</v>
      </c>
      <c r="I116">
        <v>190</v>
      </c>
      <c r="J116">
        <v>13</v>
      </c>
      <c r="K116">
        <v>13.2</v>
      </c>
      <c r="L116">
        <v>11.1</v>
      </c>
      <c r="O116">
        <v>4</v>
      </c>
    </row>
    <row r="117" spans="1:15" x14ac:dyDescent="0.25">
      <c r="A117">
        <v>116</v>
      </c>
      <c r="B117" t="s">
        <v>127</v>
      </c>
      <c r="D117" t="str">
        <f t="shared" si="1"/>
        <v>STCA</v>
      </c>
      <c r="E117" s="3" t="d">
        <v>2017-06-15</v>
      </c>
      <c r="F117">
        <v>6.8</v>
      </c>
      <c r="G117" t="s">
        <v>702</v>
      </c>
      <c r="H117">
        <v>340</v>
      </c>
      <c r="I117">
        <v>170</v>
      </c>
      <c r="J117">
        <v>4.9000000000000004</v>
      </c>
      <c r="K117">
        <v>4.9800000000000004</v>
      </c>
      <c r="L117">
        <v>5.32</v>
      </c>
      <c r="O117">
        <v>4</v>
      </c>
    </row>
    <row r="118" spans="1:15" x14ac:dyDescent="0.25">
      <c r="A118">
        <v>117</v>
      </c>
      <c r="B118" t="s">
        <v>694</v>
      </c>
      <c r="D118" t="s">
        <v>654</v>
      </c>
      <c r="E118" s="3" t="d">
        <v>2017-06-15</v>
      </c>
      <c r="F118" t="s">
        <v>697</v>
      </c>
      <c r="G118" t="s">
        <v>703</v>
      </c>
      <c r="H118">
        <v>230</v>
      </c>
      <c r="I118">
        <v>85</v>
      </c>
      <c r="J118">
        <v>0.56000000000000005</v>
      </c>
      <c r="K118" t="s">
        <v>144</v>
      </c>
      <c r="L118" t="s">
        <v>144</v>
      </c>
      <c r="O118">
        <v>3</v>
      </c>
    </row>
    <row r="119" spans="1:15" x14ac:dyDescent="0.25">
      <c r="A119">
        <v>118</v>
      </c>
      <c r="B119" t="s">
        <v>4</v>
      </c>
      <c r="D119" t="str">
        <f t="shared" si="1"/>
        <v>PEOB</v>
      </c>
      <c r="E119" s="3" t="d">
        <v>2017-06-15</v>
      </c>
      <c r="F119">
        <v>3.9</v>
      </c>
      <c r="G119">
        <v>3.2</v>
      </c>
      <c r="H119">
        <v>410</v>
      </c>
      <c r="I119">
        <v>180</v>
      </c>
      <c r="J119">
        <v>2.6</v>
      </c>
      <c r="K119">
        <v>2.8</v>
      </c>
      <c r="L119">
        <v>2.97</v>
      </c>
      <c r="O119">
        <v>4</v>
      </c>
    </row>
    <row r="120" spans="1:15" x14ac:dyDescent="0.25">
      <c r="A120">
        <v>119</v>
      </c>
      <c r="B120" t="s">
        <v>36</v>
      </c>
      <c r="D120" t="str">
        <f t="shared" si="1"/>
        <v>DIMO</v>
      </c>
      <c r="E120" s="3" t="d">
        <v>2017-06-15</v>
      </c>
      <c r="F120">
        <v>2.8</v>
      </c>
      <c r="G120">
        <v>1.73</v>
      </c>
      <c r="H120">
        <v>220</v>
      </c>
      <c r="I120">
        <v>120</v>
      </c>
      <c r="J120">
        <v>4.1500000000000004</v>
      </c>
      <c r="K120">
        <v>4.01</v>
      </c>
      <c r="L120">
        <v>4.0599999999999996</v>
      </c>
      <c r="O120">
        <v>4</v>
      </c>
    </row>
    <row r="121" spans="1:15" x14ac:dyDescent="0.25">
      <c r="A121">
        <v>120</v>
      </c>
      <c r="B121" t="s">
        <v>19</v>
      </c>
      <c r="D121" t="s">
        <v>554</v>
      </c>
      <c r="E121" s="3" t="d">
        <v>2017-06-15</v>
      </c>
      <c r="F121">
        <v>3</v>
      </c>
      <c r="G121">
        <v>0.5</v>
      </c>
      <c r="H121">
        <v>150</v>
      </c>
      <c r="I121">
        <v>20</v>
      </c>
      <c r="J121">
        <v>3.93</v>
      </c>
      <c r="K121">
        <v>3.14</v>
      </c>
      <c r="L121">
        <v>2.67</v>
      </c>
      <c r="O121">
        <v>3</v>
      </c>
    </row>
    <row r="122" spans="1:15" x14ac:dyDescent="0.25">
      <c r="A122">
        <v>121</v>
      </c>
      <c r="B122" t="s">
        <v>496</v>
      </c>
      <c r="D122" t="str">
        <f t="shared" si="1"/>
        <v>MYTO</v>
      </c>
      <c r="E122" s="3" t="d">
        <v>2017-06-15</v>
      </c>
      <c r="F122">
        <v>4.0999999999999996</v>
      </c>
      <c r="G122">
        <v>1.5</v>
      </c>
      <c r="H122">
        <v>220</v>
      </c>
      <c r="I122">
        <v>30</v>
      </c>
      <c r="J122">
        <v>4.1500000000000004</v>
      </c>
      <c r="K122">
        <v>4.01</v>
      </c>
      <c r="L122">
        <v>4.0599999999999996</v>
      </c>
      <c r="O122">
        <v>4</v>
      </c>
    </row>
    <row r="123" spans="1:15" x14ac:dyDescent="0.25">
      <c r="A123">
        <v>122</v>
      </c>
      <c r="B123" t="s">
        <v>15</v>
      </c>
      <c r="D123" t="str">
        <f t="shared" si="1"/>
        <v>DIBU</v>
      </c>
      <c r="E123" s="3" t="d">
        <v>2017-06-15</v>
      </c>
      <c r="F123">
        <v>8.5</v>
      </c>
      <c r="G123">
        <v>8</v>
      </c>
      <c r="H123">
        <v>230</v>
      </c>
      <c r="I123">
        <v>100</v>
      </c>
      <c r="J123">
        <v>15.66</v>
      </c>
      <c r="K123">
        <v>16.670000000000002</v>
      </c>
      <c r="L123">
        <v>15.17</v>
      </c>
      <c r="O123">
        <v>4</v>
      </c>
    </row>
    <row r="124" spans="1:15" x14ac:dyDescent="0.25">
      <c r="A124">
        <v>123</v>
      </c>
      <c r="B124" t="s">
        <v>695</v>
      </c>
      <c r="D124" t="s">
        <v>399</v>
      </c>
      <c r="E124" s="3" t="d">
        <v>2017-06-15</v>
      </c>
      <c r="F124">
        <v>11.8</v>
      </c>
      <c r="G124" t="s">
        <v>704</v>
      </c>
      <c r="H124">
        <v>390</v>
      </c>
      <c r="I124">
        <v>120</v>
      </c>
      <c r="J124">
        <v>26.2</v>
      </c>
      <c r="K124">
        <v>22.02</v>
      </c>
      <c r="L124">
        <v>22.27</v>
      </c>
      <c r="O124">
        <v>5</v>
      </c>
    </row>
    <row r="125" spans="1:15" x14ac:dyDescent="0.25">
      <c r="A125">
        <v>124</v>
      </c>
      <c r="B125" t="s">
        <v>11</v>
      </c>
      <c r="D125" t="str">
        <f t="shared" si="1"/>
        <v>SOLY</v>
      </c>
      <c r="E125" s="3" t="d">
        <v>2017-06-15</v>
      </c>
      <c r="F125" t="s">
        <v>698</v>
      </c>
      <c r="G125" t="s">
        <v>144</v>
      </c>
      <c r="H125">
        <v>120</v>
      </c>
      <c r="I125">
        <v>0</v>
      </c>
      <c r="J125">
        <v>2.0299999999999998</v>
      </c>
      <c r="K125">
        <v>1.99</v>
      </c>
      <c r="L125">
        <v>2.1800000000000002</v>
      </c>
      <c r="O125">
        <v>4</v>
      </c>
    </row>
    <row r="126" spans="1:15" x14ac:dyDescent="0.25">
      <c r="A126">
        <v>125</v>
      </c>
      <c r="B126" t="s">
        <v>9</v>
      </c>
      <c r="D126" t="str">
        <f t="shared" si="1"/>
        <v>TAOC</v>
      </c>
      <c r="E126" s="3" t="d">
        <v>2017-06-15</v>
      </c>
      <c r="F126">
        <v>2.92</v>
      </c>
      <c r="G126">
        <v>0.48</v>
      </c>
      <c r="H126">
        <v>150</v>
      </c>
      <c r="I126">
        <v>80</v>
      </c>
      <c r="J126">
        <v>10.8</v>
      </c>
      <c r="K126">
        <v>11.1</v>
      </c>
      <c r="L126">
        <v>8.01</v>
      </c>
      <c r="O126">
        <v>4</v>
      </c>
    </row>
    <row r="127" spans="1:15" x14ac:dyDescent="0.25">
      <c r="A127">
        <v>126</v>
      </c>
      <c r="B127" t="s">
        <v>696</v>
      </c>
      <c r="D127" t="s">
        <v>654</v>
      </c>
      <c r="E127" s="3" t="d">
        <v>2017-06-15</v>
      </c>
      <c r="F127" t="s">
        <v>699</v>
      </c>
      <c r="G127" t="s">
        <v>705</v>
      </c>
      <c r="H127">
        <v>200</v>
      </c>
      <c r="I127">
        <v>60</v>
      </c>
      <c r="J127">
        <v>1.0900000000000001</v>
      </c>
      <c r="K127" t="s">
        <v>144</v>
      </c>
      <c r="L127" t="s">
        <v>144</v>
      </c>
      <c r="O127">
        <v>4</v>
      </c>
    </row>
    <row r="128" spans="1:15" x14ac:dyDescent="0.25">
      <c r="A128">
        <v>127</v>
      </c>
      <c r="B128" t="s">
        <v>6</v>
      </c>
      <c r="D128" t="str">
        <f t="shared" si="1"/>
        <v>MABR</v>
      </c>
      <c r="E128" s="3" t="d">
        <v>2017-06-15</v>
      </c>
      <c r="F128">
        <v>3.4</v>
      </c>
      <c r="G128">
        <v>2.2000000000000002</v>
      </c>
      <c r="H128">
        <v>290</v>
      </c>
      <c r="I128">
        <v>140</v>
      </c>
      <c r="J128">
        <v>1.9</v>
      </c>
      <c r="K128">
        <v>1.6</v>
      </c>
      <c r="L128">
        <v>1.56</v>
      </c>
      <c r="O128">
        <v>3</v>
      </c>
    </row>
    <row r="129" spans="1:15" x14ac:dyDescent="0.25">
      <c r="A129">
        <v>128</v>
      </c>
      <c r="B129" t="s">
        <v>155</v>
      </c>
      <c r="D129" t="str">
        <f t="shared" si="1"/>
        <v>GOPO</v>
      </c>
      <c r="E129" s="3" t="d">
        <v>2017-06-15</v>
      </c>
      <c r="F129">
        <v>15.5</v>
      </c>
      <c r="G129" t="s">
        <v>706</v>
      </c>
      <c r="H129">
        <v>550</v>
      </c>
      <c r="I129">
        <v>70</v>
      </c>
      <c r="J129">
        <v>23.75</v>
      </c>
      <c r="K129">
        <v>24.5</v>
      </c>
      <c r="L129">
        <v>27.4</v>
      </c>
      <c r="O129">
        <v>5</v>
      </c>
    </row>
    <row r="130" spans="1:15" x14ac:dyDescent="0.25">
      <c r="A130">
        <v>129</v>
      </c>
      <c r="B130" t="s">
        <v>10</v>
      </c>
      <c r="D130" t="str">
        <f t="shared" si="1"/>
        <v>TAOC</v>
      </c>
      <c r="E130" s="3" t="d">
        <v>2017-06-15</v>
      </c>
      <c r="F130">
        <v>4.5</v>
      </c>
      <c r="G130" t="s">
        <v>707</v>
      </c>
      <c r="H130">
        <v>170</v>
      </c>
      <c r="I130">
        <v>110</v>
      </c>
      <c r="J130">
        <v>11.1</v>
      </c>
      <c r="K130">
        <v>15.5</v>
      </c>
      <c r="L130">
        <v>11</v>
      </c>
      <c r="O130">
        <v>4</v>
      </c>
    </row>
    <row r="131" spans="1:15" x14ac:dyDescent="0.25">
      <c r="A131">
        <v>130</v>
      </c>
      <c r="B131" t="s">
        <v>16</v>
      </c>
      <c r="D131" t="str">
        <f t="shared" si="1"/>
        <v>ERSU</v>
      </c>
      <c r="E131" s="3" t="d">
        <v>2017-06-15</v>
      </c>
      <c r="F131">
        <v>6.2</v>
      </c>
      <c r="G131" t="s">
        <v>708</v>
      </c>
      <c r="H131">
        <v>240</v>
      </c>
      <c r="I131">
        <v>120</v>
      </c>
      <c r="J131">
        <v>17.5</v>
      </c>
      <c r="K131">
        <v>19.3</v>
      </c>
      <c r="L131">
        <v>16.3</v>
      </c>
      <c r="O131">
        <v>4</v>
      </c>
    </row>
    <row r="132" spans="1:15" x14ac:dyDescent="0.25">
      <c r="A132">
        <v>131</v>
      </c>
      <c r="B132" t="s">
        <v>25</v>
      </c>
      <c r="D132" t="str">
        <f t="shared" si="1"/>
        <v>OUSP</v>
      </c>
      <c r="E132" s="3" t="d">
        <v>2017-06-15</v>
      </c>
      <c r="F132" t="s">
        <v>700</v>
      </c>
      <c r="G132" t="s">
        <v>709</v>
      </c>
      <c r="H132">
        <v>270</v>
      </c>
      <c r="I132">
        <v>80</v>
      </c>
      <c r="J132">
        <v>12.88</v>
      </c>
      <c r="K132">
        <v>14.48</v>
      </c>
      <c r="L132">
        <v>14.67</v>
      </c>
      <c r="O132">
        <v>4</v>
      </c>
    </row>
    <row r="133" spans="1:15" x14ac:dyDescent="0.25">
      <c r="A133">
        <v>132</v>
      </c>
      <c r="B133" t="s">
        <v>498</v>
      </c>
      <c r="D133" t="s">
        <v>441</v>
      </c>
      <c r="E133" s="3" t="d">
        <v>2017-06-15</v>
      </c>
      <c r="F133">
        <v>14.2</v>
      </c>
      <c r="G133" t="s">
        <v>710</v>
      </c>
      <c r="H133">
        <v>560</v>
      </c>
      <c r="I133">
        <v>230</v>
      </c>
      <c r="J133">
        <v>10.9</v>
      </c>
      <c r="K133">
        <v>15</v>
      </c>
      <c r="L133">
        <v>9.3000000000000007</v>
      </c>
      <c r="O133">
        <v>5</v>
      </c>
    </row>
    <row r="134" spans="1:15" x14ac:dyDescent="0.25">
      <c r="A134">
        <v>133</v>
      </c>
      <c r="B134" t="s">
        <v>79</v>
      </c>
      <c r="D134" t="str">
        <f t="shared" si="1"/>
        <v>TACA</v>
      </c>
      <c r="E134" s="3" t="d">
        <v>2017-06-14</v>
      </c>
      <c r="F134">
        <v>7.8</v>
      </c>
      <c r="G134">
        <v>5.0999999999999996</v>
      </c>
      <c r="H134">
        <v>272</v>
      </c>
      <c r="I134">
        <v>45</v>
      </c>
      <c r="J134">
        <v>6.61</v>
      </c>
      <c r="K134">
        <v>8.02</v>
      </c>
      <c r="L134">
        <v>7.42</v>
      </c>
      <c r="O134">
        <v>4</v>
      </c>
    </row>
    <row r="135" spans="1:15" x14ac:dyDescent="0.25">
      <c r="A135">
        <v>134</v>
      </c>
      <c r="B135" t="s">
        <v>711</v>
      </c>
      <c r="D135" t="s">
        <v>348</v>
      </c>
      <c r="E135" s="3" t="d">
        <v>2017-06-14</v>
      </c>
      <c r="F135">
        <v>7</v>
      </c>
      <c r="G135" t="s">
        <v>717</v>
      </c>
      <c r="H135">
        <v>301</v>
      </c>
      <c r="I135">
        <v>100</v>
      </c>
      <c r="J135">
        <v>6.9</v>
      </c>
      <c r="K135">
        <v>4.5999999999999996</v>
      </c>
      <c r="L135">
        <v>6.7</v>
      </c>
      <c r="O135">
        <v>4</v>
      </c>
    </row>
    <row r="136" spans="1:15" x14ac:dyDescent="0.25">
      <c r="A136">
        <v>135</v>
      </c>
      <c r="B136" t="s">
        <v>195</v>
      </c>
      <c r="D136" t="str">
        <f t="shared" si="1"/>
        <v>QUGR</v>
      </c>
      <c r="E136" s="3" t="d">
        <v>2017-06-14</v>
      </c>
      <c r="F136" t="s">
        <v>712</v>
      </c>
      <c r="G136" t="s">
        <v>718</v>
      </c>
      <c r="H136">
        <v>494</v>
      </c>
      <c r="I136">
        <v>170</v>
      </c>
      <c r="J136">
        <v>12.2</v>
      </c>
      <c r="K136">
        <v>12.7</v>
      </c>
      <c r="L136">
        <v>13.6</v>
      </c>
      <c r="O136">
        <v>5</v>
      </c>
    </row>
    <row r="137" spans="1:15" x14ac:dyDescent="0.25">
      <c r="A137">
        <v>136</v>
      </c>
      <c r="B137" t="s">
        <v>108</v>
      </c>
      <c r="D137" t="str">
        <f t="shared" ref="D137:D200" si="2">LEFT(B137,4)</f>
        <v>OCCO</v>
      </c>
      <c r="E137" s="3" t="d">
        <v>2017-06-14</v>
      </c>
      <c r="F137" t="s">
        <v>713</v>
      </c>
      <c r="G137" t="s">
        <v>719</v>
      </c>
      <c r="H137">
        <v>340</v>
      </c>
      <c r="I137">
        <v>73</v>
      </c>
      <c r="J137">
        <v>1.95</v>
      </c>
      <c r="K137">
        <v>2.2000000000000002</v>
      </c>
      <c r="L137">
        <v>2.02</v>
      </c>
      <c r="O137">
        <v>5</v>
      </c>
    </row>
    <row r="138" spans="1:15" x14ac:dyDescent="0.25">
      <c r="A138">
        <v>137</v>
      </c>
      <c r="B138" t="s">
        <v>103</v>
      </c>
      <c r="D138" t="str">
        <f t="shared" si="2"/>
        <v>STCA</v>
      </c>
      <c r="E138" s="3" t="d">
        <v>2017-06-14</v>
      </c>
      <c r="F138">
        <v>4.2</v>
      </c>
      <c r="G138" t="s">
        <v>720</v>
      </c>
      <c r="H138">
        <v>292</v>
      </c>
      <c r="I138">
        <v>132</v>
      </c>
      <c r="J138">
        <v>3.12</v>
      </c>
      <c r="K138">
        <v>2.39</v>
      </c>
      <c r="L138">
        <v>2.23</v>
      </c>
      <c r="O138">
        <v>4</v>
      </c>
    </row>
    <row r="139" spans="1:15" x14ac:dyDescent="0.25">
      <c r="A139">
        <v>138</v>
      </c>
      <c r="B139" t="s">
        <v>114</v>
      </c>
      <c r="D139" t="str">
        <f t="shared" si="2"/>
        <v>ERCU</v>
      </c>
      <c r="E139" s="3" t="d">
        <v>2017-06-14</v>
      </c>
      <c r="F139">
        <v>0.9</v>
      </c>
      <c r="G139" t="s">
        <v>144</v>
      </c>
      <c r="H139">
        <v>127</v>
      </c>
      <c r="I139">
        <v>33</v>
      </c>
      <c r="J139">
        <v>0.67</v>
      </c>
      <c r="K139" t="s">
        <v>144</v>
      </c>
      <c r="L139" t="s">
        <v>144</v>
      </c>
      <c r="O139">
        <v>4</v>
      </c>
    </row>
    <row r="140" spans="1:15" x14ac:dyDescent="0.25">
      <c r="A140">
        <v>139</v>
      </c>
      <c r="B140" t="s">
        <v>510</v>
      </c>
      <c r="D140" t="s">
        <v>399</v>
      </c>
      <c r="E140" s="3" t="d">
        <v>2017-06-14</v>
      </c>
      <c r="F140">
        <v>22.7</v>
      </c>
      <c r="G140" t="s">
        <v>721</v>
      </c>
      <c r="H140">
        <v>535</v>
      </c>
      <c r="I140">
        <v>122</v>
      </c>
      <c r="J140">
        <v>27.5</v>
      </c>
      <c r="K140">
        <v>24.3</v>
      </c>
      <c r="L140">
        <v>27.6</v>
      </c>
      <c r="O140">
        <v>5</v>
      </c>
    </row>
    <row r="141" spans="1:15" x14ac:dyDescent="0.25">
      <c r="A141">
        <v>140</v>
      </c>
      <c r="B141" t="s">
        <v>118</v>
      </c>
      <c r="D141" t="str">
        <f t="shared" si="2"/>
        <v>MAEL</v>
      </c>
      <c r="E141" s="3" t="d">
        <v>2017-06-14</v>
      </c>
      <c r="F141" t="s">
        <v>714</v>
      </c>
      <c r="G141" t="s">
        <v>722</v>
      </c>
      <c r="H141">
        <v>302</v>
      </c>
      <c r="I141">
        <v>58</v>
      </c>
      <c r="J141">
        <v>1.38</v>
      </c>
      <c r="K141">
        <v>1.05</v>
      </c>
      <c r="L141">
        <v>1.36</v>
      </c>
      <c r="O141">
        <v>4</v>
      </c>
    </row>
    <row r="142" spans="1:15" x14ac:dyDescent="0.25">
      <c r="A142">
        <v>141</v>
      </c>
      <c r="B142" t="s">
        <v>505</v>
      </c>
      <c r="D142" t="str">
        <f t="shared" si="2"/>
        <v>MYTO</v>
      </c>
      <c r="E142" s="3" t="d">
        <v>2017-06-14</v>
      </c>
      <c r="F142">
        <v>5</v>
      </c>
      <c r="G142" t="s">
        <v>723</v>
      </c>
      <c r="H142">
        <v>210</v>
      </c>
      <c r="I142">
        <v>87</v>
      </c>
      <c r="J142">
        <v>2.2400000000000002</v>
      </c>
      <c r="K142">
        <v>2.5</v>
      </c>
      <c r="L142">
        <v>2.1</v>
      </c>
      <c r="O142">
        <v>5</v>
      </c>
    </row>
    <row r="143" spans="1:15" x14ac:dyDescent="0.25">
      <c r="A143">
        <v>142</v>
      </c>
      <c r="B143" t="s">
        <v>120</v>
      </c>
      <c r="D143" t="str">
        <f t="shared" si="2"/>
        <v>CABR</v>
      </c>
      <c r="E143" s="3" t="d">
        <v>2017-06-14</v>
      </c>
      <c r="F143">
        <v>4.5</v>
      </c>
      <c r="G143" t="s">
        <v>144</v>
      </c>
      <c r="H143">
        <v>127</v>
      </c>
      <c r="I143">
        <v>58</v>
      </c>
      <c r="J143">
        <v>11.8</v>
      </c>
      <c r="K143">
        <v>10.45</v>
      </c>
      <c r="L143">
        <v>10.24</v>
      </c>
      <c r="O143">
        <v>5</v>
      </c>
    </row>
    <row r="144" spans="1:15" x14ac:dyDescent="0.25">
      <c r="A144">
        <v>143</v>
      </c>
      <c r="B144" t="s">
        <v>123</v>
      </c>
      <c r="D144" t="str">
        <f t="shared" si="2"/>
        <v>TACA</v>
      </c>
      <c r="E144" s="3" t="d">
        <v>2017-06-14</v>
      </c>
      <c r="F144">
        <v>4.4000000000000004</v>
      </c>
      <c r="G144" t="s">
        <v>724</v>
      </c>
      <c r="H144">
        <v>260</v>
      </c>
      <c r="I144">
        <v>91</v>
      </c>
      <c r="J144">
        <v>3.88</v>
      </c>
      <c r="K144">
        <v>4.12</v>
      </c>
      <c r="L144">
        <v>3.89</v>
      </c>
      <c r="O144">
        <v>5</v>
      </c>
    </row>
    <row r="145" spans="1:15" x14ac:dyDescent="0.25">
      <c r="A145">
        <v>144</v>
      </c>
      <c r="B145" t="s">
        <v>96</v>
      </c>
      <c r="D145" t="str">
        <f t="shared" si="2"/>
        <v>DUFU</v>
      </c>
      <c r="E145" s="3" t="d">
        <v>2017-06-14</v>
      </c>
      <c r="F145">
        <v>3.1</v>
      </c>
      <c r="G145" t="s">
        <v>725</v>
      </c>
      <c r="H145">
        <v>253</v>
      </c>
      <c r="I145">
        <v>5</v>
      </c>
      <c r="J145">
        <v>2.2599999999999998</v>
      </c>
      <c r="K145">
        <v>1.89</v>
      </c>
      <c r="L145">
        <v>1.95</v>
      </c>
      <c r="O145">
        <v>4</v>
      </c>
    </row>
    <row r="146" spans="1:15" x14ac:dyDescent="0.25">
      <c r="A146">
        <v>145</v>
      </c>
      <c r="B146" t="s">
        <v>112</v>
      </c>
      <c r="D146" t="str">
        <f t="shared" si="2"/>
        <v>TACA</v>
      </c>
      <c r="E146" s="3" t="d">
        <v>2017-06-14</v>
      </c>
      <c r="F146">
        <v>3.8</v>
      </c>
      <c r="G146">
        <v>2.87</v>
      </c>
      <c r="H146">
        <v>205</v>
      </c>
      <c r="I146">
        <v>64</v>
      </c>
      <c r="J146">
        <v>3.3</v>
      </c>
      <c r="K146">
        <v>4.5</v>
      </c>
      <c r="L146">
        <v>5.08</v>
      </c>
      <c r="O146">
        <v>4</v>
      </c>
    </row>
    <row r="147" spans="1:15" x14ac:dyDescent="0.25">
      <c r="A147">
        <v>146</v>
      </c>
      <c r="B147" t="s">
        <v>116</v>
      </c>
      <c r="D147" t="s">
        <v>387</v>
      </c>
      <c r="E147" s="3" t="d">
        <v>2017-06-14</v>
      </c>
      <c r="F147" t="s">
        <v>715</v>
      </c>
      <c r="G147" t="s">
        <v>144</v>
      </c>
      <c r="H147">
        <v>154</v>
      </c>
      <c r="I147">
        <v>44</v>
      </c>
      <c r="J147">
        <v>0.62</v>
      </c>
      <c r="K147">
        <v>0.98</v>
      </c>
      <c r="L147">
        <v>0.87</v>
      </c>
      <c r="O147">
        <v>4</v>
      </c>
    </row>
    <row r="148" spans="1:15" x14ac:dyDescent="0.25">
      <c r="A148">
        <v>147</v>
      </c>
      <c r="B148" t="s">
        <v>98</v>
      </c>
      <c r="D148" t="str">
        <f t="shared" si="2"/>
        <v>BADR</v>
      </c>
      <c r="E148" s="3" t="d">
        <v>2017-06-14</v>
      </c>
      <c r="F148">
        <v>1.37</v>
      </c>
      <c r="G148">
        <v>0.7</v>
      </c>
      <c r="H148">
        <v>232</v>
      </c>
      <c r="I148">
        <v>105</v>
      </c>
      <c r="J148">
        <v>0.71</v>
      </c>
      <c r="K148" t="s">
        <v>144</v>
      </c>
      <c r="L148" t="s">
        <v>144</v>
      </c>
      <c r="O148">
        <v>4</v>
      </c>
    </row>
    <row r="149" spans="1:15" x14ac:dyDescent="0.25">
      <c r="A149">
        <v>148</v>
      </c>
      <c r="B149" t="s">
        <v>115</v>
      </c>
      <c r="D149" t="str">
        <f t="shared" si="2"/>
        <v>PEOB</v>
      </c>
      <c r="E149" s="3" t="d">
        <v>2017-06-14</v>
      </c>
      <c r="F149" t="s">
        <v>716</v>
      </c>
      <c r="G149" t="s">
        <v>726</v>
      </c>
      <c r="H149">
        <v>384</v>
      </c>
      <c r="I149">
        <v>148</v>
      </c>
      <c r="J149">
        <v>6.46</v>
      </c>
      <c r="K149">
        <v>4.63</v>
      </c>
      <c r="L149">
        <v>5.15</v>
      </c>
      <c r="O149">
        <v>3</v>
      </c>
    </row>
    <row r="150" spans="1:15" x14ac:dyDescent="0.25">
      <c r="A150">
        <v>149</v>
      </c>
      <c r="B150" t="s">
        <v>502</v>
      </c>
      <c r="D150" t="s">
        <v>399</v>
      </c>
      <c r="E150" s="3" t="d">
        <v>2017-06-14</v>
      </c>
      <c r="F150">
        <v>17.7</v>
      </c>
      <c r="G150">
        <v>16.7</v>
      </c>
      <c r="H150">
        <v>595</v>
      </c>
      <c r="I150">
        <v>286</v>
      </c>
      <c r="J150">
        <v>26.5</v>
      </c>
      <c r="K150">
        <v>24.3</v>
      </c>
      <c r="L150">
        <v>23.3</v>
      </c>
      <c r="O150">
        <v>5</v>
      </c>
    </row>
    <row r="151" spans="1:15" x14ac:dyDescent="0.25">
      <c r="A151">
        <v>150</v>
      </c>
      <c r="B151" t="s">
        <v>133</v>
      </c>
      <c r="D151" t="str">
        <f t="shared" si="2"/>
        <v>GOBA</v>
      </c>
      <c r="E151" s="3" t="d">
        <v>2017-06-14</v>
      </c>
      <c r="F151">
        <v>7</v>
      </c>
      <c r="G151" t="s">
        <v>728</v>
      </c>
      <c r="H151">
        <v>277</v>
      </c>
      <c r="I151">
        <v>95</v>
      </c>
      <c r="J151">
        <v>4.8</v>
      </c>
      <c r="K151">
        <v>4.5599999999999996</v>
      </c>
      <c r="L151">
        <v>4.78</v>
      </c>
      <c r="O151">
        <v>5</v>
      </c>
    </row>
    <row r="152" spans="1:15" x14ac:dyDescent="0.25">
      <c r="A152">
        <v>151</v>
      </c>
      <c r="B152" t="s">
        <v>110</v>
      </c>
      <c r="D152" t="str">
        <f t="shared" si="2"/>
        <v>ERSU</v>
      </c>
      <c r="E152" s="3" t="d">
        <v>2017-06-14</v>
      </c>
      <c r="F152" t="s">
        <v>727</v>
      </c>
      <c r="G152" t="s">
        <v>729</v>
      </c>
      <c r="H152">
        <v>177</v>
      </c>
      <c r="I152">
        <v>25</v>
      </c>
      <c r="J152">
        <v>12.06</v>
      </c>
      <c r="K152">
        <v>13.29</v>
      </c>
      <c r="L152">
        <v>15.73</v>
      </c>
      <c r="O152">
        <v>5</v>
      </c>
    </row>
    <row r="153" spans="1:15" x14ac:dyDescent="0.25">
      <c r="A153">
        <v>152</v>
      </c>
      <c r="B153" t="s">
        <v>509</v>
      </c>
      <c r="D153" t="str">
        <f t="shared" si="2"/>
        <v>OUSP</v>
      </c>
      <c r="E153" s="3" t="d">
        <v>2017-06-14</v>
      </c>
      <c r="F153">
        <v>9.6</v>
      </c>
      <c r="G153" t="s">
        <v>738</v>
      </c>
      <c r="H153">
        <v>230</v>
      </c>
      <c r="I153">
        <v>45</v>
      </c>
      <c r="J153">
        <v>12.84</v>
      </c>
      <c r="K153">
        <v>10.8</v>
      </c>
      <c r="L153">
        <v>10.6</v>
      </c>
      <c r="O153">
        <v>5</v>
      </c>
    </row>
    <row r="154" spans="1:15" x14ac:dyDescent="0.25">
      <c r="A154">
        <v>153</v>
      </c>
      <c r="B154" t="s">
        <v>84</v>
      </c>
      <c r="D154" t="str">
        <f t="shared" si="2"/>
        <v>ZARH</v>
      </c>
      <c r="E154" s="3" t="d">
        <v>2017-06-14</v>
      </c>
      <c r="F154">
        <v>2.1800000000000002</v>
      </c>
      <c r="G154" t="s">
        <v>144</v>
      </c>
      <c r="H154">
        <v>115</v>
      </c>
      <c r="I154">
        <v>50</v>
      </c>
      <c r="J154">
        <v>2.0699999999999998</v>
      </c>
      <c r="K154">
        <v>1.96</v>
      </c>
      <c r="L154">
        <v>1.89</v>
      </c>
      <c r="O154">
        <v>5</v>
      </c>
    </row>
    <row r="155" spans="1:15" x14ac:dyDescent="0.25">
      <c r="A155">
        <v>154</v>
      </c>
      <c r="B155" t="s">
        <v>197</v>
      </c>
      <c r="D155" t="str">
        <f t="shared" si="2"/>
        <v>CABR</v>
      </c>
      <c r="E155" s="3" t="d">
        <v>2017-06-14</v>
      </c>
      <c r="F155">
        <v>4.5</v>
      </c>
      <c r="G155">
        <v>1.0900000000000001</v>
      </c>
      <c r="H155">
        <v>148</v>
      </c>
      <c r="I155">
        <v>40</v>
      </c>
      <c r="J155">
        <v>10.08</v>
      </c>
      <c r="K155">
        <v>10.95</v>
      </c>
      <c r="L155">
        <v>8.92</v>
      </c>
      <c r="O155">
        <v>4</v>
      </c>
    </row>
    <row r="156" spans="1:15" x14ac:dyDescent="0.25">
      <c r="A156">
        <v>155</v>
      </c>
      <c r="B156" t="s">
        <v>105</v>
      </c>
      <c r="D156" t="str">
        <f t="shared" si="2"/>
        <v>MYFE</v>
      </c>
      <c r="E156" s="3" t="d">
        <v>2017-06-14</v>
      </c>
      <c r="F156" t="s">
        <v>731</v>
      </c>
      <c r="G156" t="s">
        <v>739</v>
      </c>
      <c r="H156">
        <v>180</v>
      </c>
      <c r="I156">
        <v>55</v>
      </c>
      <c r="J156">
        <v>1.28</v>
      </c>
      <c r="K156">
        <v>1.6</v>
      </c>
      <c r="L156">
        <v>1.59</v>
      </c>
      <c r="O156">
        <v>5</v>
      </c>
    </row>
    <row r="157" spans="1:15" x14ac:dyDescent="0.25">
      <c r="A157">
        <v>156</v>
      </c>
      <c r="B157" t="s">
        <v>86</v>
      </c>
      <c r="D157" t="str">
        <f t="shared" si="2"/>
        <v>AEVE</v>
      </c>
      <c r="E157" s="3" t="d">
        <v>2017-06-14</v>
      </c>
      <c r="F157">
        <v>7.3</v>
      </c>
      <c r="G157">
        <v>5.5</v>
      </c>
      <c r="H157">
        <v>325</v>
      </c>
      <c r="I157">
        <v>140</v>
      </c>
      <c r="J157">
        <v>8.18</v>
      </c>
      <c r="K157">
        <v>9</v>
      </c>
      <c r="L157">
        <v>9.06</v>
      </c>
      <c r="O157">
        <v>5</v>
      </c>
    </row>
    <row r="158" spans="1:15" x14ac:dyDescent="0.25">
      <c r="A158">
        <v>157</v>
      </c>
      <c r="B158" t="s">
        <v>124</v>
      </c>
      <c r="D158" t="str">
        <f t="shared" si="2"/>
        <v>PEOB</v>
      </c>
      <c r="E158" s="3" t="d">
        <v>2017-06-14</v>
      </c>
      <c r="F158" t="s">
        <v>732</v>
      </c>
      <c r="G158" t="s">
        <v>740</v>
      </c>
      <c r="H158">
        <v>430</v>
      </c>
      <c r="I158">
        <v>20</v>
      </c>
      <c r="J158">
        <v>2.7</v>
      </c>
      <c r="K158">
        <v>2.1800000000000002</v>
      </c>
      <c r="L158">
        <v>2.46</v>
      </c>
      <c r="O158">
        <v>5</v>
      </c>
    </row>
    <row r="159" spans="1:15" x14ac:dyDescent="0.25">
      <c r="A159">
        <v>158</v>
      </c>
      <c r="B159" t="s">
        <v>80</v>
      </c>
      <c r="D159" t="str">
        <f t="shared" si="2"/>
        <v>TACA</v>
      </c>
      <c r="E159" s="3" t="d">
        <v>2017-06-14</v>
      </c>
      <c r="F159" t="s">
        <v>733</v>
      </c>
      <c r="G159" t="s">
        <v>741</v>
      </c>
      <c r="H159">
        <v>332</v>
      </c>
      <c r="I159">
        <v>60</v>
      </c>
      <c r="J159">
        <v>8.0500000000000007</v>
      </c>
      <c r="K159">
        <v>9.09</v>
      </c>
      <c r="L159">
        <v>8.18</v>
      </c>
      <c r="O159">
        <v>4</v>
      </c>
    </row>
    <row r="160" spans="1:15" x14ac:dyDescent="0.25">
      <c r="A160">
        <v>159</v>
      </c>
      <c r="B160" t="s">
        <v>82</v>
      </c>
      <c r="D160" t="str">
        <f t="shared" si="2"/>
        <v>OCCO</v>
      </c>
      <c r="E160" s="3" t="d">
        <v>2017-06-14</v>
      </c>
      <c r="F160">
        <v>16.5</v>
      </c>
      <c r="G160">
        <v>13.8</v>
      </c>
      <c r="H160">
        <v>600</v>
      </c>
      <c r="I160">
        <v>210</v>
      </c>
      <c r="J160">
        <v>5.28</v>
      </c>
      <c r="K160">
        <v>6.6</v>
      </c>
      <c r="L160">
        <v>6.61</v>
      </c>
      <c r="O160">
        <v>5</v>
      </c>
    </row>
    <row r="161" spans="1:15" x14ac:dyDescent="0.25">
      <c r="A161">
        <v>160</v>
      </c>
      <c r="B161" t="s">
        <v>131</v>
      </c>
      <c r="D161" t="str">
        <f t="shared" si="2"/>
        <v>VOTU</v>
      </c>
      <c r="E161" s="3" t="d">
        <v>2017-06-14</v>
      </c>
      <c r="F161" t="s">
        <v>734</v>
      </c>
      <c r="G161" t="s">
        <v>742</v>
      </c>
      <c r="H161">
        <v>420</v>
      </c>
      <c r="I161">
        <v>20</v>
      </c>
      <c r="J161">
        <v>6.4</v>
      </c>
      <c r="K161">
        <v>6.81</v>
      </c>
      <c r="L161">
        <v>6.22</v>
      </c>
      <c r="O161">
        <v>5</v>
      </c>
    </row>
    <row r="162" spans="1:15" x14ac:dyDescent="0.25">
      <c r="A162">
        <v>161</v>
      </c>
      <c r="B162" t="s">
        <v>109</v>
      </c>
      <c r="D162" t="str">
        <f t="shared" si="2"/>
        <v>ERSU</v>
      </c>
      <c r="E162" s="3" t="d">
        <v>2017-06-14</v>
      </c>
      <c r="F162" t="s">
        <v>735</v>
      </c>
      <c r="G162" t="s">
        <v>743</v>
      </c>
      <c r="H162">
        <v>242</v>
      </c>
      <c r="I162">
        <v>53</v>
      </c>
      <c r="J162">
        <v>12.11</v>
      </c>
      <c r="K162">
        <v>12.74</v>
      </c>
      <c r="L162">
        <v>11.75</v>
      </c>
      <c r="O162">
        <v>4</v>
      </c>
    </row>
    <row r="163" spans="1:15" x14ac:dyDescent="0.25">
      <c r="A163">
        <v>162</v>
      </c>
      <c r="B163" t="s">
        <v>97</v>
      </c>
      <c r="D163" t="str">
        <f t="shared" si="2"/>
        <v>MYFE</v>
      </c>
      <c r="E163" s="3" t="d">
        <v>2017-06-14</v>
      </c>
      <c r="F163">
        <v>1.61</v>
      </c>
      <c r="G163">
        <v>2.54</v>
      </c>
      <c r="H163">
        <v>225</v>
      </c>
      <c r="I163">
        <v>60</v>
      </c>
      <c r="J163">
        <v>2.5</v>
      </c>
      <c r="K163">
        <v>2.4</v>
      </c>
      <c r="L163">
        <v>2.2200000000000002</v>
      </c>
      <c r="O163">
        <v>4</v>
      </c>
    </row>
    <row r="164" spans="1:15" x14ac:dyDescent="0.25">
      <c r="A164">
        <v>163</v>
      </c>
      <c r="B164" t="s">
        <v>730</v>
      </c>
      <c r="D164" t="s">
        <v>554</v>
      </c>
      <c r="E164" s="3" t="d">
        <v>2017-06-14</v>
      </c>
      <c r="F164">
        <v>3.3</v>
      </c>
      <c r="G164" t="s">
        <v>744</v>
      </c>
      <c r="H164">
        <v>169</v>
      </c>
      <c r="I164">
        <v>40</v>
      </c>
      <c r="J164">
        <v>1.98</v>
      </c>
      <c r="K164">
        <v>2.33</v>
      </c>
      <c r="L164">
        <v>1.58</v>
      </c>
      <c r="O164">
        <v>4</v>
      </c>
    </row>
    <row r="165" spans="1:15" x14ac:dyDescent="0.25">
      <c r="A165">
        <v>164</v>
      </c>
      <c r="B165" t="s">
        <v>91</v>
      </c>
      <c r="D165" t="str">
        <f t="shared" si="2"/>
        <v>MAAC</v>
      </c>
      <c r="E165" s="3" t="d">
        <v>2017-06-14</v>
      </c>
      <c r="F165">
        <v>4.5</v>
      </c>
      <c r="G165" t="s">
        <v>745</v>
      </c>
      <c r="H165">
        <v>252</v>
      </c>
      <c r="I165">
        <v>110</v>
      </c>
      <c r="J165">
        <v>6.7</v>
      </c>
      <c r="K165">
        <v>6.05</v>
      </c>
      <c r="L165">
        <v>5.19</v>
      </c>
      <c r="O165">
        <v>4</v>
      </c>
    </row>
    <row r="166" spans="1:15" x14ac:dyDescent="0.25">
      <c r="A166">
        <v>165</v>
      </c>
      <c r="B166" t="s">
        <v>90</v>
      </c>
      <c r="D166" t="str">
        <f t="shared" si="2"/>
        <v>CASY</v>
      </c>
      <c r="E166" s="3" t="d">
        <v>2017-06-14</v>
      </c>
      <c r="F166" t="s">
        <v>736</v>
      </c>
      <c r="G166" t="s">
        <v>746</v>
      </c>
      <c r="H166">
        <v>302</v>
      </c>
      <c r="I166">
        <v>30</v>
      </c>
      <c r="J166">
        <v>4.74</v>
      </c>
      <c r="K166">
        <v>5.18</v>
      </c>
      <c r="L166">
        <v>5.4</v>
      </c>
      <c r="O166">
        <v>4</v>
      </c>
    </row>
    <row r="167" spans="1:15" x14ac:dyDescent="0.25">
      <c r="A167">
        <v>166</v>
      </c>
      <c r="B167" t="s">
        <v>92</v>
      </c>
      <c r="D167" t="str">
        <f t="shared" si="2"/>
        <v>MAEL</v>
      </c>
      <c r="E167" s="3" t="d">
        <v>2017-06-14</v>
      </c>
      <c r="F167" t="s">
        <v>737</v>
      </c>
      <c r="G167" t="s">
        <v>747</v>
      </c>
      <c r="H167">
        <v>260</v>
      </c>
      <c r="I167">
        <v>32</v>
      </c>
      <c r="J167">
        <v>1.64</v>
      </c>
      <c r="K167">
        <v>1.71</v>
      </c>
      <c r="L167">
        <v>1.35</v>
      </c>
      <c r="O167">
        <v>4</v>
      </c>
    </row>
    <row r="168" spans="1:15" x14ac:dyDescent="0.25">
      <c r="A168">
        <v>167</v>
      </c>
      <c r="B168" t="s">
        <v>132</v>
      </c>
      <c r="D168" t="str">
        <f t="shared" si="2"/>
        <v>ERCU</v>
      </c>
      <c r="E168" s="3" t="d">
        <v>2017-06-14</v>
      </c>
      <c r="F168">
        <v>0.74</v>
      </c>
      <c r="G168">
        <v>0.43</v>
      </c>
      <c r="H168">
        <v>160</v>
      </c>
      <c r="I168">
        <v>50</v>
      </c>
      <c r="J168">
        <v>0.67</v>
      </c>
      <c r="K168" t="s">
        <v>144</v>
      </c>
      <c r="L168" t="s">
        <v>144</v>
      </c>
      <c r="O168">
        <v>4</v>
      </c>
    </row>
    <row r="169" spans="1:15" x14ac:dyDescent="0.25">
      <c r="A169">
        <v>168</v>
      </c>
      <c r="B169" t="s">
        <v>481</v>
      </c>
      <c r="D169" t="str">
        <f t="shared" si="2"/>
        <v>GOPO</v>
      </c>
      <c r="E169" s="3" t="d">
        <v>2017-06-21</v>
      </c>
      <c r="F169">
        <v>26</v>
      </c>
      <c r="G169" t="s">
        <v>752</v>
      </c>
      <c r="H169">
        <v>500</v>
      </c>
      <c r="I169">
        <v>100</v>
      </c>
      <c r="J169">
        <v>36.54</v>
      </c>
      <c r="K169">
        <v>29.13</v>
      </c>
      <c r="L169">
        <v>32.729999999999997</v>
      </c>
      <c r="O169">
        <v>5</v>
      </c>
    </row>
    <row r="170" spans="1:15" x14ac:dyDescent="0.25">
      <c r="A170">
        <v>169</v>
      </c>
      <c r="B170" t="s">
        <v>488</v>
      </c>
      <c r="D170" t="s">
        <v>1070</v>
      </c>
      <c r="E170" s="3" t="d">
        <v>2017-06-21</v>
      </c>
      <c r="F170">
        <v>21.5</v>
      </c>
      <c r="G170">
        <v>18.600000000000001</v>
      </c>
      <c r="H170">
        <v>675</v>
      </c>
      <c r="I170">
        <v>305</v>
      </c>
      <c r="J170">
        <v>13.06</v>
      </c>
      <c r="K170">
        <v>11.83</v>
      </c>
      <c r="L170">
        <v>13.15</v>
      </c>
      <c r="O170">
        <v>5</v>
      </c>
    </row>
    <row r="171" spans="1:15" x14ac:dyDescent="0.25">
      <c r="A171">
        <v>170</v>
      </c>
      <c r="B171" t="s">
        <v>748</v>
      </c>
      <c r="D171" t="s">
        <v>654</v>
      </c>
      <c r="E171" s="3" t="d">
        <v>2017-06-21</v>
      </c>
      <c r="F171">
        <v>4</v>
      </c>
      <c r="G171">
        <v>3.2</v>
      </c>
      <c r="H171">
        <v>430</v>
      </c>
      <c r="I171">
        <v>135</v>
      </c>
      <c r="J171">
        <v>2.64</v>
      </c>
      <c r="K171">
        <v>2.4</v>
      </c>
      <c r="L171">
        <v>2.0699999999999998</v>
      </c>
      <c r="O171">
        <v>4</v>
      </c>
    </row>
    <row r="172" spans="1:15" x14ac:dyDescent="0.25">
      <c r="A172">
        <v>171</v>
      </c>
      <c r="B172" t="s">
        <v>482</v>
      </c>
      <c r="D172" t="str">
        <f t="shared" si="2"/>
        <v>QUGR</v>
      </c>
      <c r="E172" s="3" t="d">
        <v>2017-06-21</v>
      </c>
      <c r="F172">
        <v>9.4</v>
      </c>
      <c r="G172" t="s">
        <v>753</v>
      </c>
      <c r="H172">
        <v>265</v>
      </c>
      <c r="I172">
        <v>110</v>
      </c>
      <c r="J172">
        <v>10.66</v>
      </c>
      <c r="K172">
        <v>10.72</v>
      </c>
      <c r="L172">
        <v>10.51</v>
      </c>
      <c r="O172">
        <v>5</v>
      </c>
    </row>
    <row r="173" spans="1:15" x14ac:dyDescent="0.25">
      <c r="A173">
        <v>172</v>
      </c>
      <c r="B173" t="s">
        <v>478</v>
      </c>
      <c r="D173" t="str">
        <f t="shared" si="2"/>
        <v>OUSP</v>
      </c>
      <c r="E173" s="3" t="d">
        <v>2017-06-21</v>
      </c>
      <c r="F173">
        <v>12.5</v>
      </c>
      <c r="G173">
        <v>11.5</v>
      </c>
      <c r="H173">
        <v>385</v>
      </c>
      <c r="I173">
        <v>240</v>
      </c>
      <c r="J173">
        <v>13.67</v>
      </c>
      <c r="K173">
        <v>11.4</v>
      </c>
      <c r="L173">
        <v>12.2</v>
      </c>
      <c r="O173">
        <v>5</v>
      </c>
    </row>
    <row r="174" spans="1:15" x14ac:dyDescent="0.25">
      <c r="A174">
        <v>173</v>
      </c>
      <c r="B174" t="s">
        <v>483</v>
      </c>
      <c r="D174" t="str">
        <f t="shared" si="2"/>
        <v>AEVE</v>
      </c>
      <c r="E174" s="3" t="d">
        <v>2017-06-21</v>
      </c>
      <c r="F174">
        <v>8.9</v>
      </c>
      <c r="G174">
        <v>7.1</v>
      </c>
      <c r="H174">
        <v>545</v>
      </c>
      <c r="I174">
        <v>340</v>
      </c>
      <c r="J174">
        <v>10.98</v>
      </c>
      <c r="K174">
        <v>10.97</v>
      </c>
      <c r="L174">
        <v>10.95</v>
      </c>
      <c r="O174">
        <v>5</v>
      </c>
    </row>
    <row r="175" spans="1:15" x14ac:dyDescent="0.25">
      <c r="A175">
        <v>174</v>
      </c>
      <c r="B175" t="s">
        <v>474</v>
      </c>
      <c r="D175" t="str">
        <f t="shared" si="2"/>
        <v>STFE</v>
      </c>
      <c r="E175" s="3" t="d">
        <v>2017-06-21</v>
      </c>
      <c r="F175">
        <v>11.1</v>
      </c>
      <c r="G175">
        <v>7.7</v>
      </c>
      <c r="H175">
        <v>405</v>
      </c>
      <c r="I175">
        <v>150</v>
      </c>
      <c r="J175">
        <v>20.100000000000001</v>
      </c>
      <c r="K175">
        <v>18.600000000000001</v>
      </c>
      <c r="L175">
        <v>18.77</v>
      </c>
      <c r="O175">
        <v>5</v>
      </c>
    </row>
    <row r="176" spans="1:15" x14ac:dyDescent="0.25">
      <c r="A176">
        <v>175</v>
      </c>
      <c r="B176" t="s">
        <v>480</v>
      </c>
      <c r="D176" t="str">
        <f t="shared" si="2"/>
        <v>AMIN</v>
      </c>
      <c r="E176" s="3" t="d">
        <v>2017-06-21</v>
      </c>
      <c r="F176">
        <v>2.2999999999999998</v>
      </c>
      <c r="G176">
        <v>2.2000000000000002</v>
      </c>
      <c r="H176">
        <v>250</v>
      </c>
      <c r="I176">
        <v>100</v>
      </c>
      <c r="J176">
        <v>1.8</v>
      </c>
      <c r="K176">
        <v>1.78</v>
      </c>
      <c r="L176">
        <v>2.2000000000000002</v>
      </c>
      <c r="O176">
        <v>3</v>
      </c>
    </row>
    <row r="177" spans="1:15" x14ac:dyDescent="0.25">
      <c r="A177">
        <v>176</v>
      </c>
      <c r="B177" t="s">
        <v>477</v>
      </c>
      <c r="D177" t="str">
        <f t="shared" si="2"/>
        <v>RAGU</v>
      </c>
      <c r="E177" s="3" t="d">
        <v>2017-06-21</v>
      </c>
      <c r="F177" t="s">
        <v>749</v>
      </c>
      <c r="G177">
        <v>1.6</v>
      </c>
      <c r="H177">
        <v>170</v>
      </c>
      <c r="I177">
        <v>90</v>
      </c>
      <c r="J177">
        <v>4.57</v>
      </c>
      <c r="K177">
        <v>3.46</v>
      </c>
      <c r="L177">
        <v>3.49</v>
      </c>
      <c r="O177">
        <v>4</v>
      </c>
    </row>
    <row r="178" spans="1:15" x14ac:dyDescent="0.25">
      <c r="A178">
        <v>177</v>
      </c>
      <c r="B178" t="s">
        <v>479</v>
      </c>
      <c r="D178" t="str">
        <f t="shared" si="2"/>
        <v>AMIN</v>
      </c>
      <c r="E178" s="3" t="d">
        <v>2017-06-21</v>
      </c>
      <c r="F178" t="s">
        <v>750</v>
      </c>
      <c r="G178" t="s">
        <v>754</v>
      </c>
      <c r="H178">
        <v>245</v>
      </c>
      <c r="I178">
        <v>60</v>
      </c>
      <c r="J178">
        <v>1.2</v>
      </c>
      <c r="K178">
        <v>1.1499999999999999</v>
      </c>
      <c r="L178">
        <v>1.1200000000000001</v>
      </c>
      <c r="O178">
        <v>4</v>
      </c>
    </row>
    <row r="179" spans="1:15" x14ac:dyDescent="0.25">
      <c r="A179">
        <v>178</v>
      </c>
      <c r="B179" t="s">
        <v>484</v>
      </c>
      <c r="D179" t="str">
        <f t="shared" si="2"/>
        <v>QUMU</v>
      </c>
      <c r="E179" s="3" t="d">
        <v>2017-06-21</v>
      </c>
      <c r="F179">
        <v>14</v>
      </c>
      <c r="G179">
        <v>13.5</v>
      </c>
      <c r="H179">
        <v>415</v>
      </c>
      <c r="I179">
        <v>245</v>
      </c>
      <c r="J179">
        <v>10.57</v>
      </c>
      <c r="K179">
        <v>13</v>
      </c>
      <c r="L179">
        <v>12.72</v>
      </c>
      <c r="O179">
        <v>3</v>
      </c>
    </row>
    <row r="180" spans="1:15" x14ac:dyDescent="0.25">
      <c r="A180">
        <v>179</v>
      </c>
      <c r="B180" t="s">
        <v>476</v>
      </c>
      <c r="D180" t="str">
        <f t="shared" si="2"/>
        <v>RAGU</v>
      </c>
      <c r="E180" s="3" t="d">
        <v>2017-06-21</v>
      </c>
      <c r="F180">
        <v>5.2</v>
      </c>
      <c r="G180">
        <v>3.2</v>
      </c>
      <c r="H180">
        <v>286</v>
      </c>
      <c r="I180">
        <v>205</v>
      </c>
      <c r="J180">
        <v>7.85</v>
      </c>
      <c r="K180">
        <v>7.51</v>
      </c>
      <c r="L180">
        <v>8.77</v>
      </c>
      <c r="O180">
        <v>3</v>
      </c>
    </row>
    <row r="181" spans="1:15" x14ac:dyDescent="0.25">
      <c r="A181">
        <v>180</v>
      </c>
      <c r="B181" t="s">
        <v>466</v>
      </c>
      <c r="D181" t="str">
        <f t="shared" si="2"/>
        <v>QUMU</v>
      </c>
      <c r="E181" s="3" t="d">
        <v>2017-06-21</v>
      </c>
      <c r="F181">
        <v>6.8</v>
      </c>
      <c r="G181">
        <v>7.3</v>
      </c>
      <c r="H181">
        <v>335</v>
      </c>
      <c r="I181">
        <v>180</v>
      </c>
      <c r="J181">
        <v>8.06</v>
      </c>
      <c r="K181">
        <v>7.58</v>
      </c>
      <c r="L181">
        <v>7.78</v>
      </c>
      <c r="O181">
        <v>4</v>
      </c>
    </row>
    <row r="182" spans="1:15" x14ac:dyDescent="0.25">
      <c r="A182">
        <v>181</v>
      </c>
      <c r="B182" t="s">
        <v>469</v>
      </c>
      <c r="D182" t="str">
        <f t="shared" si="2"/>
        <v>POTO</v>
      </c>
      <c r="E182" s="3" t="d">
        <v>2017-06-21</v>
      </c>
      <c r="F182" t="s">
        <v>751</v>
      </c>
      <c r="G182" t="s">
        <v>755</v>
      </c>
      <c r="H182">
        <v>760</v>
      </c>
      <c r="I182">
        <v>140</v>
      </c>
      <c r="J182">
        <v>23.05</v>
      </c>
      <c r="K182">
        <v>25.49</v>
      </c>
      <c r="L182">
        <v>33.159999999999997</v>
      </c>
      <c r="O182">
        <v>4</v>
      </c>
    </row>
    <row r="183" spans="1:15" x14ac:dyDescent="0.25">
      <c r="A183">
        <v>182</v>
      </c>
      <c r="B183" t="s">
        <v>475</v>
      </c>
      <c r="D183" t="str">
        <f t="shared" si="2"/>
        <v>POTO</v>
      </c>
      <c r="E183" s="3" t="d">
        <v>2017-06-21</v>
      </c>
      <c r="F183">
        <v>24.5</v>
      </c>
      <c r="G183">
        <v>21.2</v>
      </c>
      <c r="H183">
        <v>770</v>
      </c>
      <c r="I183">
        <v>255</v>
      </c>
      <c r="J183">
        <v>30.29</v>
      </c>
      <c r="K183">
        <v>30.33</v>
      </c>
      <c r="L183">
        <v>26.17</v>
      </c>
      <c r="O183">
        <v>4</v>
      </c>
    </row>
    <row r="184" spans="1:15" x14ac:dyDescent="0.25">
      <c r="A184">
        <v>183</v>
      </c>
      <c r="B184" t="s">
        <v>440</v>
      </c>
      <c r="D184" t="str">
        <f t="shared" si="2"/>
        <v>ANCO</v>
      </c>
      <c r="E184" s="3" t="d">
        <v>2017-06-20</v>
      </c>
      <c r="F184">
        <v>5.7</v>
      </c>
      <c r="G184">
        <v>4</v>
      </c>
      <c r="H184">
        <v>210</v>
      </c>
      <c r="I184">
        <v>20</v>
      </c>
      <c r="J184">
        <v>9.18</v>
      </c>
      <c r="K184">
        <v>10.89</v>
      </c>
      <c r="L184">
        <v>10.66</v>
      </c>
      <c r="O184">
        <v>4</v>
      </c>
    </row>
    <row r="185" spans="1:15" x14ac:dyDescent="0.25">
      <c r="A185">
        <v>184</v>
      </c>
      <c r="B185" t="s">
        <v>454</v>
      </c>
      <c r="D185" t="str">
        <f t="shared" si="2"/>
        <v>CABR</v>
      </c>
      <c r="E185" s="3" t="d">
        <v>2017-06-20</v>
      </c>
      <c r="F185">
        <v>7.3</v>
      </c>
      <c r="G185">
        <v>0.95</v>
      </c>
      <c r="H185">
        <v>155</v>
      </c>
      <c r="I185">
        <v>60</v>
      </c>
      <c r="J185">
        <v>21.3</v>
      </c>
      <c r="K185">
        <v>22.04</v>
      </c>
      <c r="L185">
        <v>19.29</v>
      </c>
      <c r="O185">
        <v>4</v>
      </c>
    </row>
    <row r="186" spans="1:15" x14ac:dyDescent="0.25">
      <c r="A186">
        <v>185</v>
      </c>
      <c r="B186" t="s">
        <v>429</v>
      </c>
      <c r="D186" t="str">
        <f t="shared" si="2"/>
        <v>CABR</v>
      </c>
      <c r="E186" s="3" t="d">
        <v>2017-06-20</v>
      </c>
      <c r="F186">
        <v>10.5</v>
      </c>
      <c r="G186">
        <v>7.5</v>
      </c>
      <c r="H186">
        <v>240</v>
      </c>
      <c r="I186">
        <v>110</v>
      </c>
      <c r="J186">
        <v>16.77</v>
      </c>
      <c r="K186">
        <v>13.56</v>
      </c>
      <c r="L186">
        <v>10.029999999999999</v>
      </c>
      <c r="O186">
        <v>5</v>
      </c>
    </row>
    <row r="187" spans="1:15" x14ac:dyDescent="0.25">
      <c r="A187">
        <v>186</v>
      </c>
      <c r="B187" t="s">
        <v>757</v>
      </c>
      <c r="D187" t="s">
        <v>522</v>
      </c>
      <c r="E187" s="3" t="d">
        <v>2017-06-20</v>
      </c>
      <c r="F187">
        <v>4</v>
      </c>
      <c r="G187">
        <v>3.5</v>
      </c>
      <c r="H187">
        <v>395</v>
      </c>
      <c r="I187">
        <v>255</v>
      </c>
      <c r="J187">
        <v>2.02</v>
      </c>
      <c r="K187" t="s">
        <v>144</v>
      </c>
      <c r="L187" t="s">
        <v>144</v>
      </c>
      <c r="O187">
        <v>5</v>
      </c>
    </row>
    <row r="188" spans="1:15" x14ac:dyDescent="0.25">
      <c r="A188">
        <v>187</v>
      </c>
      <c r="B188" t="s">
        <v>427</v>
      </c>
      <c r="D188" t="str">
        <f t="shared" si="2"/>
        <v>ERCU</v>
      </c>
      <c r="E188" s="3" t="d">
        <v>2017-06-20</v>
      </c>
      <c r="F188">
        <v>0.52</v>
      </c>
      <c r="G188" t="s">
        <v>144</v>
      </c>
      <c r="H188">
        <v>100</v>
      </c>
      <c r="I188">
        <v>70</v>
      </c>
      <c r="J188">
        <v>0.62</v>
      </c>
      <c r="K188" t="s">
        <v>144</v>
      </c>
      <c r="L188" t="s">
        <v>144</v>
      </c>
      <c r="O188">
        <v>4</v>
      </c>
    </row>
    <row r="189" spans="1:15" x14ac:dyDescent="0.25">
      <c r="A189">
        <v>188</v>
      </c>
      <c r="B189" t="s">
        <v>425</v>
      </c>
      <c r="D189" t="str">
        <f t="shared" si="2"/>
        <v>SCVI</v>
      </c>
      <c r="E189" s="3" t="d">
        <v>2017-06-20</v>
      </c>
      <c r="F189">
        <v>2.2400000000000002</v>
      </c>
      <c r="G189">
        <v>1.79</v>
      </c>
      <c r="H189">
        <v>305</v>
      </c>
      <c r="I189">
        <v>181</v>
      </c>
      <c r="J189">
        <v>1.83</v>
      </c>
      <c r="K189">
        <v>1.76</v>
      </c>
      <c r="L189">
        <v>1.81</v>
      </c>
      <c r="O189">
        <v>4</v>
      </c>
    </row>
    <row r="190" spans="1:15" x14ac:dyDescent="0.25">
      <c r="A190">
        <v>189</v>
      </c>
      <c r="B190" t="s">
        <v>306</v>
      </c>
      <c r="D190" t="str">
        <f t="shared" si="2"/>
        <v>MYFA</v>
      </c>
      <c r="E190" s="3" t="d">
        <v>2017-06-20</v>
      </c>
      <c r="F190">
        <v>5.5</v>
      </c>
      <c r="G190">
        <v>2.5</v>
      </c>
      <c r="H190">
        <v>225</v>
      </c>
      <c r="I190">
        <v>60</v>
      </c>
      <c r="J190">
        <v>7.07</v>
      </c>
      <c r="K190">
        <v>6.76</v>
      </c>
      <c r="L190">
        <v>6.84</v>
      </c>
      <c r="O190">
        <v>4</v>
      </c>
    </row>
    <row r="191" spans="1:15" x14ac:dyDescent="0.25">
      <c r="A191">
        <v>190</v>
      </c>
      <c r="B191" t="s">
        <v>462</v>
      </c>
      <c r="D191" t="str">
        <f t="shared" si="2"/>
        <v>KICO</v>
      </c>
      <c r="E191" s="3" t="d">
        <v>2017-06-20</v>
      </c>
      <c r="F191">
        <v>6.7</v>
      </c>
      <c r="G191">
        <v>4.8</v>
      </c>
      <c r="H191">
        <v>242</v>
      </c>
      <c r="I191">
        <v>12</v>
      </c>
      <c r="J191">
        <v>16.55</v>
      </c>
      <c r="K191">
        <v>21.6</v>
      </c>
      <c r="L191">
        <v>19.63</v>
      </c>
      <c r="O191">
        <v>4</v>
      </c>
    </row>
    <row r="192" spans="1:15" x14ac:dyDescent="0.25">
      <c r="A192">
        <v>191</v>
      </c>
      <c r="B192" t="s">
        <v>458</v>
      </c>
      <c r="D192" t="str">
        <f t="shared" si="2"/>
        <v>MYFA</v>
      </c>
      <c r="E192" s="3" t="d">
        <v>2017-06-20</v>
      </c>
      <c r="F192">
        <v>7.5</v>
      </c>
      <c r="G192">
        <v>7.6</v>
      </c>
      <c r="H192">
        <v>385</v>
      </c>
      <c r="I192">
        <v>130</v>
      </c>
      <c r="J192">
        <v>8.67</v>
      </c>
      <c r="K192">
        <v>8.6300000000000008</v>
      </c>
      <c r="L192">
        <v>8.23</v>
      </c>
      <c r="O192">
        <v>4</v>
      </c>
    </row>
    <row r="193" spans="1:15" x14ac:dyDescent="0.25">
      <c r="A193">
        <v>192</v>
      </c>
      <c r="B193" t="s">
        <v>457</v>
      </c>
      <c r="D193" t="str">
        <f t="shared" si="2"/>
        <v>STFE</v>
      </c>
      <c r="E193" s="3" t="d">
        <v>2017-06-20</v>
      </c>
      <c r="F193">
        <v>17.7</v>
      </c>
      <c r="G193">
        <v>15.5</v>
      </c>
      <c r="H193">
        <v>265</v>
      </c>
      <c r="I193">
        <v>70</v>
      </c>
      <c r="J193">
        <v>27.23</v>
      </c>
      <c r="K193">
        <v>26.96</v>
      </c>
      <c r="L193">
        <v>30.77</v>
      </c>
      <c r="O193">
        <v>4</v>
      </c>
    </row>
    <row r="194" spans="1:15" x14ac:dyDescent="0.25">
      <c r="A194">
        <v>193</v>
      </c>
      <c r="B194" t="s">
        <v>464</v>
      </c>
      <c r="D194" t="str">
        <f t="shared" si="2"/>
        <v>KICO</v>
      </c>
      <c r="E194" s="3" t="d">
        <v>2017-06-20</v>
      </c>
      <c r="F194">
        <v>2.02</v>
      </c>
      <c r="G194" t="s">
        <v>144</v>
      </c>
      <c r="H194">
        <v>140</v>
      </c>
      <c r="I194">
        <v>95</v>
      </c>
      <c r="J194">
        <v>6.05</v>
      </c>
      <c r="K194">
        <v>6.47</v>
      </c>
      <c r="L194">
        <v>5.18</v>
      </c>
      <c r="O194">
        <v>3</v>
      </c>
    </row>
    <row r="195" spans="1:15" x14ac:dyDescent="0.25">
      <c r="A195">
        <v>194</v>
      </c>
      <c r="B195" t="s">
        <v>455</v>
      </c>
      <c r="D195" t="str">
        <f t="shared" si="2"/>
        <v>SOLY</v>
      </c>
      <c r="E195" s="3" t="d">
        <v>2017-06-20</v>
      </c>
      <c r="F195">
        <v>1.46</v>
      </c>
      <c r="G195" t="s">
        <v>144</v>
      </c>
      <c r="H195">
        <v>100</v>
      </c>
      <c r="I195">
        <v>15</v>
      </c>
      <c r="J195">
        <v>1.37</v>
      </c>
      <c r="K195" t="s">
        <v>144</v>
      </c>
      <c r="L195" t="s">
        <v>144</v>
      </c>
      <c r="O195">
        <v>4</v>
      </c>
    </row>
    <row r="196" spans="1:15" x14ac:dyDescent="0.25">
      <c r="A196">
        <v>195</v>
      </c>
      <c r="B196" t="s">
        <v>445</v>
      </c>
      <c r="D196" t="str">
        <f t="shared" si="2"/>
        <v>CASY</v>
      </c>
      <c r="E196" s="3" t="d">
        <v>2017-06-20</v>
      </c>
      <c r="F196">
        <v>0.67</v>
      </c>
      <c r="G196" t="s">
        <v>144</v>
      </c>
      <c r="H196">
        <v>90</v>
      </c>
      <c r="I196">
        <v>10</v>
      </c>
      <c r="J196">
        <v>0.59</v>
      </c>
      <c r="K196" t="s">
        <v>144</v>
      </c>
      <c r="L196" t="s">
        <v>144</v>
      </c>
      <c r="O196">
        <v>3</v>
      </c>
    </row>
    <row r="197" spans="1:15" x14ac:dyDescent="0.25">
      <c r="A197">
        <v>196</v>
      </c>
      <c r="B197" t="s">
        <v>465</v>
      </c>
      <c r="D197" t="str">
        <f t="shared" si="2"/>
        <v>TOFO</v>
      </c>
      <c r="E197" s="3" t="d">
        <v>2017-06-20</v>
      </c>
      <c r="F197">
        <v>1.45</v>
      </c>
      <c r="G197">
        <v>0.49</v>
      </c>
      <c r="H197">
        <v>137</v>
      </c>
      <c r="I197">
        <v>105</v>
      </c>
      <c r="J197">
        <v>1.1000000000000001</v>
      </c>
      <c r="K197" t="s">
        <v>144</v>
      </c>
      <c r="L197" t="s">
        <v>144</v>
      </c>
      <c r="O197">
        <v>3</v>
      </c>
    </row>
    <row r="198" spans="1:15" x14ac:dyDescent="0.25">
      <c r="A198">
        <v>197</v>
      </c>
      <c r="B198" t="s">
        <v>450</v>
      </c>
      <c r="D198" t="str">
        <f t="shared" si="2"/>
        <v>RAGU</v>
      </c>
      <c r="E198" s="3" t="d">
        <v>2017-06-20</v>
      </c>
      <c r="F198">
        <v>1.1000000000000001</v>
      </c>
      <c r="G198" t="s">
        <v>144</v>
      </c>
      <c r="H198">
        <v>86</v>
      </c>
      <c r="I198">
        <v>15</v>
      </c>
      <c r="J198">
        <v>1.73</v>
      </c>
      <c r="K198" t="s">
        <v>144</v>
      </c>
      <c r="L198" t="s">
        <v>144</v>
      </c>
      <c r="O198">
        <v>4</v>
      </c>
    </row>
    <row r="199" spans="1:15" x14ac:dyDescent="0.25">
      <c r="A199">
        <v>198</v>
      </c>
      <c r="B199" t="s">
        <v>423</v>
      </c>
      <c r="D199" t="str">
        <f t="shared" si="2"/>
        <v>KICO</v>
      </c>
      <c r="E199" s="3" t="d">
        <v>2017-06-20</v>
      </c>
      <c r="F199">
        <v>9.5</v>
      </c>
      <c r="G199">
        <v>4.5</v>
      </c>
      <c r="H199">
        <v>215</v>
      </c>
      <c r="I199">
        <v>115</v>
      </c>
      <c r="J199">
        <v>24.5</v>
      </c>
      <c r="K199">
        <v>25.3</v>
      </c>
      <c r="L199">
        <v>29.06</v>
      </c>
      <c r="O199">
        <v>3</v>
      </c>
    </row>
    <row r="200" spans="1:15" x14ac:dyDescent="0.25">
      <c r="A200">
        <v>199</v>
      </c>
      <c r="B200" t="s">
        <v>424</v>
      </c>
      <c r="D200" t="str">
        <f t="shared" si="2"/>
        <v>PLPO</v>
      </c>
      <c r="E200" s="3" t="d">
        <v>2017-06-20</v>
      </c>
      <c r="F200">
        <v>5.5</v>
      </c>
      <c r="G200">
        <v>4.2</v>
      </c>
      <c r="H200">
        <v>290</v>
      </c>
      <c r="I200">
        <v>160</v>
      </c>
      <c r="J200">
        <v>12.81</v>
      </c>
      <c r="K200">
        <v>11.74</v>
      </c>
      <c r="L200">
        <v>9.6999999999999993</v>
      </c>
      <c r="O200">
        <v>4</v>
      </c>
    </row>
    <row r="201" spans="1:15" x14ac:dyDescent="0.25">
      <c r="A201">
        <v>200</v>
      </c>
      <c r="B201" t="s">
        <v>456</v>
      </c>
      <c r="D201" t="str">
        <f t="shared" ref="D201:D264" si="3">LEFT(B201,4)</f>
        <v>PLPO</v>
      </c>
      <c r="E201" s="3" t="d">
        <v>2017-06-20</v>
      </c>
      <c r="F201">
        <v>5.0999999999999996</v>
      </c>
      <c r="G201">
        <v>2.1</v>
      </c>
      <c r="H201">
        <v>200</v>
      </c>
      <c r="I201">
        <v>80</v>
      </c>
      <c r="J201">
        <v>6.4</v>
      </c>
      <c r="K201">
        <v>6.01</v>
      </c>
      <c r="L201">
        <v>5.88</v>
      </c>
      <c r="O201">
        <v>4</v>
      </c>
    </row>
    <row r="202" spans="1:15" x14ac:dyDescent="0.25">
      <c r="A202">
        <v>201</v>
      </c>
      <c r="B202" t="s">
        <v>421</v>
      </c>
      <c r="D202" t="s">
        <v>1071</v>
      </c>
      <c r="E202" s="3" t="d">
        <v>2017-06-20</v>
      </c>
      <c r="F202">
        <v>6</v>
      </c>
      <c r="G202">
        <v>5.2</v>
      </c>
      <c r="H202">
        <v>588</v>
      </c>
      <c r="I202">
        <v>217</v>
      </c>
      <c r="J202">
        <v>6.83</v>
      </c>
      <c r="K202">
        <v>7.33</v>
      </c>
      <c r="L202">
        <v>6.11</v>
      </c>
      <c r="O202">
        <v>3</v>
      </c>
    </row>
    <row r="203" spans="1:15" x14ac:dyDescent="0.25">
      <c r="A203">
        <v>202</v>
      </c>
      <c r="B203" t="s">
        <v>446</v>
      </c>
      <c r="D203" t="str">
        <f t="shared" si="3"/>
        <v>PRHE</v>
      </c>
      <c r="E203" s="3" t="d">
        <v>2017-06-20</v>
      </c>
      <c r="F203">
        <v>5.7</v>
      </c>
      <c r="G203">
        <v>4.5999999999999996</v>
      </c>
      <c r="H203">
        <v>565</v>
      </c>
      <c r="I203">
        <v>135</v>
      </c>
      <c r="J203">
        <v>2.23</v>
      </c>
      <c r="K203">
        <v>2.56</v>
      </c>
      <c r="L203">
        <v>2.68</v>
      </c>
      <c r="O203">
        <v>3</v>
      </c>
    </row>
    <row r="204" spans="1:15" x14ac:dyDescent="0.25">
      <c r="A204">
        <v>203</v>
      </c>
      <c r="B204" t="s">
        <v>453</v>
      </c>
      <c r="D204" t="str">
        <f t="shared" si="3"/>
        <v>BOVI</v>
      </c>
      <c r="E204" s="3" t="d">
        <v>2017-06-20</v>
      </c>
      <c r="F204">
        <v>2.98</v>
      </c>
      <c r="G204">
        <v>2.0099999999999998</v>
      </c>
      <c r="H204">
        <v>231</v>
      </c>
      <c r="I204">
        <v>135</v>
      </c>
      <c r="J204">
        <v>5.38</v>
      </c>
      <c r="K204">
        <v>6.36</v>
      </c>
      <c r="L204">
        <v>6.4</v>
      </c>
      <c r="O204">
        <v>4</v>
      </c>
    </row>
    <row r="205" spans="1:15" x14ac:dyDescent="0.25">
      <c r="A205">
        <v>204</v>
      </c>
      <c r="B205" t="s">
        <v>444</v>
      </c>
      <c r="D205" t="str">
        <f t="shared" si="3"/>
        <v>STFE</v>
      </c>
      <c r="E205" s="3" t="d">
        <v>2017-06-20</v>
      </c>
      <c r="F205">
        <v>19.2</v>
      </c>
      <c r="G205">
        <v>18.100000000000001</v>
      </c>
      <c r="H205">
        <v>645</v>
      </c>
      <c r="I205">
        <v>170</v>
      </c>
      <c r="J205">
        <v>39.020000000000003</v>
      </c>
      <c r="K205">
        <v>30.87</v>
      </c>
      <c r="L205">
        <v>39.06</v>
      </c>
      <c r="O205">
        <v>5</v>
      </c>
    </row>
    <row r="206" spans="1:15" x14ac:dyDescent="0.25">
      <c r="A206">
        <v>205</v>
      </c>
      <c r="B206" t="s">
        <v>426</v>
      </c>
      <c r="D206" t="str">
        <f t="shared" si="3"/>
        <v>OCPU</v>
      </c>
      <c r="E206" s="3" t="d">
        <v>2017-06-20</v>
      </c>
      <c r="F206">
        <v>4.5</v>
      </c>
      <c r="G206">
        <v>3.6</v>
      </c>
      <c r="H206">
        <v>440</v>
      </c>
      <c r="I206">
        <v>242</v>
      </c>
      <c r="J206">
        <v>1.71</v>
      </c>
      <c r="K206">
        <v>2.0299999999999998</v>
      </c>
      <c r="L206">
        <v>1.9</v>
      </c>
      <c r="O206">
        <v>4</v>
      </c>
    </row>
    <row r="207" spans="1:15" x14ac:dyDescent="0.25">
      <c r="A207">
        <v>206</v>
      </c>
      <c r="B207" t="s">
        <v>443</v>
      </c>
      <c r="D207" t="str">
        <f t="shared" si="3"/>
        <v>STFE</v>
      </c>
      <c r="E207" s="3" t="d">
        <v>2017-06-20</v>
      </c>
      <c r="F207">
        <v>18.5</v>
      </c>
      <c r="G207">
        <v>16.8</v>
      </c>
      <c r="H207">
        <v>460</v>
      </c>
      <c r="I207">
        <v>120</v>
      </c>
      <c r="J207">
        <v>10.4</v>
      </c>
      <c r="K207">
        <v>16.78</v>
      </c>
      <c r="L207">
        <v>18.899999999999999</v>
      </c>
      <c r="O207">
        <v>5</v>
      </c>
    </row>
    <row r="208" spans="1:15" x14ac:dyDescent="0.25">
      <c r="A208">
        <v>207</v>
      </c>
      <c r="B208" t="s">
        <v>457</v>
      </c>
      <c r="D208" t="str">
        <f t="shared" si="3"/>
        <v>STFE</v>
      </c>
      <c r="E208" s="3" t="d">
        <v>2017-06-20</v>
      </c>
      <c r="F208">
        <v>15</v>
      </c>
      <c r="G208">
        <v>9.5</v>
      </c>
      <c r="H208">
        <v>390</v>
      </c>
      <c r="I208">
        <v>100</v>
      </c>
      <c r="J208">
        <v>20.3</v>
      </c>
      <c r="K208">
        <v>14.04</v>
      </c>
      <c r="L208">
        <v>16.27</v>
      </c>
      <c r="O208">
        <v>5</v>
      </c>
    </row>
    <row r="209" spans="1:16" x14ac:dyDescent="0.25">
      <c r="A209">
        <v>208</v>
      </c>
      <c r="B209" t="s">
        <v>461</v>
      </c>
      <c r="D209" t="str">
        <f t="shared" si="3"/>
        <v>SCVI</v>
      </c>
      <c r="E209" s="3" t="d">
        <v>2017-06-20</v>
      </c>
      <c r="F209">
        <v>1.56</v>
      </c>
      <c r="G209">
        <v>0.79</v>
      </c>
      <c r="H209">
        <v>160</v>
      </c>
      <c r="I209">
        <v>50</v>
      </c>
      <c r="J209">
        <v>0.53</v>
      </c>
      <c r="K209" t="s">
        <v>144</v>
      </c>
      <c r="L209" t="s">
        <v>144</v>
      </c>
      <c r="O209">
        <v>3</v>
      </c>
    </row>
    <row r="210" spans="1:16" x14ac:dyDescent="0.25">
      <c r="A210">
        <v>209</v>
      </c>
      <c r="B210" t="s">
        <v>449</v>
      </c>
      <c r="D210" t="str">
        <f t="shared" si="3"/>
        <v>TOFO</v>
      </c>
      <c r="E210" s="3" t="d">
        <v>2017-06-20</v>
      </c>
      <c r="F210">
        <v>1.4</v>
      </c>
      <c r="G210">
        <v>0.93</v>
      </c>
      <c r="H210">
        <v>175</v>
      </c>
      <c r="I210">
        <v>80</v>
      </c>
      <c r="J210">
        <v>1.28</v>
      </c>
      <c r="K210" t="s">
        <v>144</v>
      </c>
      <c r="L210" t="s">
        <v>144</v>
      </c>
      <c r="O210">
        <v>4</v>
      </c>
    </row>
    <row r="211" spans="1:16" x14ac:dyDescent="0.25">
      <c r="A211">
        <v>210</v>
      </c>
      <c r="B211" t="s">
        <v>430</v>
      </c>
      <c r="D211" t="str">
        <f t="shared" si="3"/>
        <v>TOFO</v>
      </c>
      <c r="E211" s="3" t="d">
        <v>2017-06-20</v>
      </c>
      <c r="F211">
        <v>1.33</v>
      </c>
      <c r="G211">
        <v>0.74</v>
      </c>
      <c r="H211">
        <v>140</v>
      </c>
      <c r="I211">
        <v>95</v>
      </c>
      <c r="J211">
        <v>1.31</v>
      </c>
      <c r="K211" t="s">
        <v>144</v>
      </c>
      <c r="L211" t="s">
        <v>144</v>
      </c>
      <c r="O211">
        <v>5</v>
      </c>
    </row>
    <row r="212" spans="1:16" x14ac:dyDescent="0.25">
      <c r="A212">
        <v>211</v>
      </c>
      <c r="B212" t="s">
        <v>11</v>
      </c>
      <c r="D212" t="str">
        <f t="shared" si="3"/>
        <v>SOLY</v>
      </c>
      <c r="E212" s="3" t="d">
        <v>2017-06-20</v>
      </c>
      <c r="F212">
        <v>1.92</v>
      </c>
      <c r="G212">
        <v>1.23</v>
      </c>
      <c r="H212">
        <v>100</v>
      </c>
      <c r="I212">
        <v>5</v>
      </c>
      <c r="J212">
        <v>1.96</v>
      </c>
      <c r="K212" t="s">
        <v>144</v>
      </c>
      <c r="L212" t="s">
        <v>144</v>
      </c>
      <c r="O212">
        <v>4</v>
      </c>
    </row>
    <row r="213" spans="1:16" x14ac:dyDescent="0.25">
      <c r="A213">
        <v>212</v>
      </c>
      <c r="B213" t="s">
        <v>418</v>
      </c>
      <c r="D213" t="str">
        <f t="shared" si="3"/>
        <v>SIGU</v>
      </c>
      <c r="E213" s="3" t="d">
        <v>2017-06-20</v>
      </c>
      <c r="F213">
        <v>0.71</v>
      </c>
      <c r="G213">
        <v>0.55000000000000004</v>
      </c>
      <c r="H213">
        <v>135</v>
      </c>
      <c r="I213">
        <v>40</v>
      </c>
      <c r="J213">
        <v>1.05</v>
      </c>
      <c r="K213" t="s">
        <v>144</v>
      </c>
      <c r="L213" t="s">
        <v>144</v>
      </c>
      <c r="O213">
        <v>3</v>
      </c>
    </row>
    <row r="214" spans="1:16" x14ac:dyDescent="0.25">
      <c r="A214">
        <v>213</v>
      </c>
      <c r="B214" t="s">
        <v>459</v>
      </c>
      <c r="D214" t="str">
        <f t="shared" si="3"/>
        <v>MYMU</v>
      </c>
      <c r="E214" s="3" t="d">
        <v>2017-06-20</v>
      </c>
      <c r="F214">
        <v>2.65</v>
      </c>
      <c r="G214">
        <v>1.85</v>
      </c>
      <c r="H214">
        <v>260</v>
      </c>
      <c r="I214">
        <v>30</v>
      </c>
      <c r="J214">
        <v>2.4700000000000002</v>
      </c>
      <c r="K214">
        <v>1.43</v>
      </c>
      <c r="L214">
        <v>1.27</v>
      </c>
      <c r="O214">
        <v>4</v>
      </c>
    </row>
    <row r="215" spans="1:16" x14ac:dyDescent="0.25">
      <c r="A215">
        <v>214</v>
      </c>
      <c r="B215" t="s">
        <v>436</v>
      </c>
      <c r="D215" t="str">
        <f t="shared" si="3"/>
        <v>AMIN</v>
      </c>
      <c r="E215" s="3" t="d">
        <v>2017-06-20</v>
      </c>
      <c r="F215">
        <v>2.98</v>
      </c>
      <c r="G215">
        <v>2.2200000000000002</v>
      </c>
      <c r="H215">
        <v>295</v>
      </c>
      <c r="I215">
        <v>60</v>
      </c>
      <c r="J215">
        <v>1.86</v>
      </c>
      <c r="K215">
        <v>2.17</v>
      </c>
      <c r="L215">
        <v>4.01</v>
      </c>
      <c r="O215">
        <v>3</v>
      </c>
      <c r="P215" t="s">
        <v>439</v>
      </c>
    </row>
    <row r="216" spans="1:16" x14ac:dyDescent="0.25">
      <c r="A216">
        <v>215</v>
      </c>
      <c r="B216" t="s">
        <v>460</v>
      </c>
      <c r="D216" t="str">
        <f t="shared" si="3"/>
        <v>AMIN</v>
      </c>
      <c r="E216" s="3" t="d">
        <v>2017-06-20</v>
      </c>
      <c r="F216">
        <v>1.48</v>
      </c>
      <c r="G216">
        <v>0.42</v>
      </c>
      <c r="H216">
        <v>174</v>
      </c>
      <c r="I216">
        <v>35</v>
      </c>
      <c r="J216">
        <v>1.08</v>
      </c>
      <c r="K216" t="s">
        <v>144</v>
      </c>
      <c r="L216" t="s">
        <v>144</v>
      </c>
      <c r="O216">
        <v>3</v>
      </c>
      <c r="P216" t="s">
        <v>1016</v>
      </c>
    </row>
    <row r="217" spans="1:16" x14ac:dyDescent="0.25">
      <c r="A217">
        <v>216</v>
      </c>
      <c r="B217" t="s">
        <v>435</v>
      </c>
      <c r="D217" t="str">
        <f t="shared" si="3"/>
        <v>SOLY</v>
      </c>
      <c r="E217" s="3" t="d">
        <v>2017-06-20</v>
      </c>
      <c r="F217">
        <v>0.94699999999999995</v>
      </c>
      <c r="G217" t="s">
        <v>144</v>
      </c>
      <c r="H217">
        <v>110</v>
      </c>
      <c r="I217">
        <v>40</v>
      </c>
      <c r="J217">
        <v>0.92</v>
      </c>
      <c r="K217" t="s">
        <v>144</v>
      </c>
      <c r="L217" t="s">
        <v>144</v>
      </c>
      <c r="O217">
        <v>4</v>
      </c>
    </row>
    <row r="218" spans="1:16" x14ac:dyDescent="0.25">
      <c r="A218">
        <v>217</v>
      </c>
      <c r="B218" t="s">
        <v>434</v>
      </c>
      <c r="D218" t="str">
        <f t="shared" si="3"/>
        <v>SOLY</v>
      </c>
      <c r="E218" s="3" t="d">
        <v>2017-06-20</v>
      </c>
      <c r="F218">
        <v>0.78500000000000003</v>
      </c>
      <c r="G218" t="s">
        <v>144</v>
      </c>
      <c r="H218">
        <v>90</v>
      </c>
      <c r="I218">
        <v>40</v>
      </c>
      <c r="J218">
        <v>0.78</v>
      </c>
      <c r="K218" t="s">
        <v>144</v>
      </c>
      <c r="L218" t="s">
        <v>144</v>
      </c>
      <c r="O218">
        <v>4</v>
      </c>
    </row>
    <row r="219" spans="1:16" x14ac:dyDescent="0.25">
      <c r="A219">
        <v>218</v>
      </c>
      <c r="B219" t="s">
        <v>431</v>
      </c>
      <c r="D219" t="str">
        <f t="shared" si="3"/>
        <v>BOVI</v>
      </c>
      <c r="E219" s="3" t="d">
        <v>2017-06-20</v>
      </c>
      <c r="F219">
        <v>2.6150000000000002</v>
      </c>
      <c r="G219" t="s">
        <v>144</v>
      </c>
      <c r="H219">
        <v>120</v>
      </c>
      <c r="I219">
        <v>70</v>
      </c>
      <c r="J219">
        <v>5.74</v>
      </c>
      <c r="K219">
        <v>4.8600000000000003</v>
      </c>
      <c r="L219">
        <v>5.77</v>
      </c>
      <c r="O219">
        <v>4</v>
      </c>
    </row>
    <row r="220" spans="1:16" x14ac:dyDescent="0.25">
      <c r="A220">
        <v>219</v>
      </c>
      <c r="B220" t="s">
        <v>428</v>
      </c>
      <c r="D220" t="str">
        <f t="shared" si="3"/>
        <v>MILI</v>
      </c>
      <c r="E220" s="3" t="d">
        <v>2017-06-20</v>
      </c>
      <c r="F220">
        <v>9.9</v>
      </c>
      <c r="G220">
        <v>7.8</v>
      </c>
      <c r="H220">
        <v>433</v>
      </c>
      <c r="I220">
        <v>60</v>
      </c>
      <c r="J220">
        <v>6.66</v>
      </c>
      <c r="K220">
        <v>7.35</v>
      </c>
      <c r="L220">
        <v>7.16</v>
      </c>
      <c r="O220">
        <v>5</v>
      </c>
    </row>
    <row r="221" spans="1:16" x14ac:dyDescent="0.25">
      <c r="A221">
        <v>220</v>
      </c>
      <c r="B221" t="s">
        <v>795</v>
      </c>
      <c r="D221" t="str">
        <f t="shared" si="3"/>
        <v>BYCO</v>
      </c>
      <c r="E221" s="3" t="d">
        <v>2017-07-07</v>
      </c>
      <c r="F221">
        <v>4.3</v>
      </c>
      <c r="G221">
        <v>6</v>
      </c>
      <c r="H221">
        <v>390</v>
      </c>
      <c r="I221">
        <v>90</v>
      </c>
      <c r="J221">
        <v>12.35</v>
      </c>
      <c r="K221">
        <v>9.98</v>
      </c>
      <c r="L221">
        <v>10.08</v>
      </c>
      <c r="O221">
        <v>3</v>
      </c>
    </row>
    <row r="222" spans="1:16" x14ac:dyDescent="0.25">
      <c r="A222">
        <v>221</v>
      </c>
      <c r="B222" t="s">
        <v>798</v>
      </c>
      <c r="D222" t="str">
        <f t="shared" si="3"/>
        <v>TAGU</v>
      </c>
      <c r="E222" s="3" t="d">
        <v>2017-07-07</v>
      </c>
      <c r="F222">
        <v>3</v>
      </c>
      <c r="G222">
        <v>2.5299999999999998</v>
      </c>
      <c r="H222">
        <v>312</v>
      </c>
      <c r="I222">
        <v>236</v>
      </c>
      <c r="J222">
        <v>2.0699999999999998</v>
      </c>
      <c r="K222">
        <v>1.85</v>
      </c>
      <c r="L222">
        <v>2.06</v>
      </c>
      <c r="O222">
        <v>3</v>
      </c>
    </row>
    <row r="223" spans="1:16" x14ac:dyDescent="0.25">
      <c r="A223">
        <v>222</v>
      </c>
      <c r="B223" t="s">
        <v>792</v>
      </c>
      <c r="D223" t="str">
        <f t="shared" si="3"/>
        <v>QUGR</v>
      </c>
      <c r="E223" s="3" t="d">
        <v>2017-07-07</v>
      </c>
      <c r="F223">
        <v>21.8</v>
      </c>
      <c r="G223">
        <v>22.8</v>
      </c>
      <c r="H223">
        <v>490</v>
      </c>
      <c r="I223">
        <v>240</v>
      </c>
      <c r="J223">
        <v>30</v>
      </c>
      <c r="K223">
        <v>26</v>
      </c>
      <c r="L223">
        <v>28.13</v>
      </c>
      <c r="O223">
        <v>5</v>
      </c>
    </row>
    <row r="224" spans="1:16" x14ac:dyDescent="0.25">
      <c r="A224">
        <v>223</v>
      </c>
      <c r="B224" t="s">
        <v>794</v>
      </c>
      <c r="D224" t="str">
        <f t="shared" si="3"/>
        <v>MYTO</v>
      </c>
      <c r="E224" s="3" t="d">
        <v>2017-07-07</v>
      </c>
      <c r="F224">
        <v>3.2</v>
      </c>
      <c r="G224">
        <v>1.92</v>
      </c>
      <c r="H224">
        <v>255</v>
      </c>
      <c r="I224">
        <v>130</v>
      </c>
      <c r="J224">
        <v>3.81</v>
      </c>
      <c r="K224">
        <v>3.34</v>
      </c>
      <c r="L224">
        <v>4.4800000000000004</v>
      </c>
      <c r="O224">
        <v>4</v>
      </c>
    </row>
    <row r="225" spans="1:15" x14ac:dyDescent="0.25">
      <c r="A225">
        <v>224</v>
      </c>
      <c r="B225" t="s">
        <v>790</v>
      </c>
      <c r="D225" t="str">
        <f t="shared" si="3"/>
        <v>ERGR</v>
      </c>
      <c r="E225" s="3" t="d">
        <v>2017-07-07</v>
      </c>
      <c r="F225">
        <v>12.4</v>
      </c>
      <c r="G225">
        <v>11.9</v>
      </c>
      <c r="H225">
        <v>535</v>
      </c>
      <c r="I225">
        <v>420</v>
      </c>
      <c r="J225">
        <v>24.88</v>
      </c>
      <c r="K225">
        <v>21.53</v>
      </c>
      <c r="L225">
        <v>18.22</v>
      </c>
      <c r="O225">
        <v>4</v>
      </c>
    </row>
    <row r="226" spans="1:15" x14ac:dyDescent="0.25">
      <c r="A226">
        <v>225</v>
      </c>
      <c r="B226" t="s">
        <v>800</v>
      </c>
      <c r="D226" t="str">
        <f t="shared" si="3"/>
        <v>JACA</v>
      </c>
      <c r="E226" s="3" t="d">
        <v>2017-07-07</v>
      </c>
      <c r="F226">
        <v>6.8</v>
      </c>
      <c r="G226">
        <v>6.6</v>
      </c>
      <c r="H226">
        <v>620</v>
      </c>
      <c r="I226">
        <v>225</v>
      </c>
      <c r="J226">
        <v>3.38</v>
      </c>
      <c r="K226">
        <v>2.27</v>
      </c>
      <c r="L226">
        <v>2.59</v>
      </c>
      <c r="O226">
        <v>4</v>
      </c>
    </row>
    <row r="227" spans="1:15" x14ac:dyDescent="0.25">
      <c r="A227">
        <v>226</v>
      </c>
      <c r="B227" t="s">
        <v>793</v>
      </c>
      <c r="D227" t="str">
        <f t="shared" si="3"/>
        <v>TAOC</v>
      </c>
      <c r="E227" s="3" t="d">
        <v>2017-07-07</v>
      </c>
      <c r="F227">
        <v>6</v>
      </c>
      <c r="G227">
        <v>4.9000000000000004</v>
      </c>
      <c r="H227">
        <v>205</v>
      </c>
      <c r="I227">
        <v>130</v>
      </c>
      <c r="J227">
        <v>20.46</v>
      </c>
      <c r="K227">
        <v>11.47</v>
      </c>
      <c r="L227">
        <v>13.56</v>
      </c>
      <c r="O227">
        <v>4</v>
      </c>
    </row>
    <row r="228" spans="1:15" x14ac:dyDescent="0.25">
      <c r="A228">
        <v>227</v>
      </c>
      <c r="B228" t="s">
        <v>799</v>
      </c>
      <c r="D228" t="str">
        <f t="shared" si="3"/>
        <v>JACA</v>
      </c>
      <c r="E228" s="3" t="d">
        <v>2017-07-07</v>
      </c>
      <c r="F228">
        <v>3.9</v>
      </c>
      <c r="G228">
        <v>2.8</v>
      </c>
      <c r="H228">
        <v>380</v>
      </c>
      <c r="I228">
        <v>130</v>
      </c>
      <c r="J228">
        <v>1.77</v>
      </c>
      <c r="K228">
        <v>1.89</v>
      </c>
      <c r="L228">
        <v>1.9</v>
      </c>
      <c r="O228">
        <v>4</v>
      </c>
    </row>
    <row r="229" spans="1:15" x14ac:dyDescent="0.25">
      <c r="A229">
        <v>228</v>
      </c>
      <c r="B229" t="s">
        <v>780</v>
      </c>
      <c r="D229" t="str">
        <f t="shared" si="3"/>
        <v>DUFU</v>
      </c>
      <c r="E229" s="3" t="d">
        <v>2017-07-07</v>
      </c>
      <c r="F229">
        <v>1.64</v>
      </c>
      <c r="G229" t="s">
        <v>807</v>
      </c>
      <c r="H229">
        <v>160</v>
      </c>
      <c r="I229">
        <v>40</v>
      </c>
      <c r="J229">
        <v>1.0900000000000001</v>
      </c>
      <c r="K229" t="s">
        <v>144</v>
      </c>
      <c r="L229" t="s">
        <v>144</v>
      </c>
      <c r="O229">
        <v>4</v>
      </c>
    </row>
    <row r="230" spans="1:15" x14ac:dyDescent="0.25">
      <c r="A230">
        <v>229</v>
      </c>
      <c r="B230" t="s">
        <v>783</v>
      </c>
      <c r="D230" t="str">
        <f t="shared" si="3"/>
        <v>COSU</v>
      </c>
      <c r="E230" s="3" t="d">
        <v>2017-07-07</v>
      </c>
      <c r="F230">
        <v>12.6</v>
      </c>
      <c r="G230">
        <v>11.2</v>
      </c>
      <c r="H230">
        <v>265</v>
      </c>
      <c r="I230">
        <v>120</v>
      </c>
      <c r="J230">
        <v>25.12</v>
      </c>
      <c r="K230">
        <v>23.39</v>
      </c>
      <c r="L230">
        <v>27.57</v>
      </c>
      <c r="O230">
        <v>3</v>
      </c>
    </row>
    <row r="231" spans="1:15" x14ac:dyDescent="0.25">
      <c r="A231">
        <v>230</v>
      </c>
      <c r="B231" t="s">
        <v>781</v>
      </c>
      <c r="D231" t="str">
        <f t="shared" si="3"/>
        <v>MABR</v>
      </c>
      <c r="E231" s="3" t="d">
        <v>2017-07-07</v>
      </c>
      <c r="F231">
        <v>13.2</v>
      </c>
      <c r="G231">
        <v>12.4</v>
      </c>
      <c r="H231">
        <v>725</v>
      </c>
      <c r="I231">
        <v>265</v>
      </c>
      <c r="J231">
        <v>3.81</v>
      </c>
      <c r="K231">
        <v>3.31</v>
      </c>
      <c r="L231">
        <v>3.19</v>
      </c>
      <c r="O231">
        <v>5</v>
      </c>
    </row>
    <row r="232" spans="1:15" x14ac:dyDescent="0.25">
      <c r="A232">
        <v>231</v>
      </c>
      <c r="B232" t="s">
        <v>782</v>
      </c>
      <c r="D232" t="str">
        <f t="shared" si="3"/>
        <v>ERGR</v>
      </c>
      <c r="E232" s="3" t="d">
        <v>2017-07-07</v>
      </c>
      <c r="F232">
        <v>3</v>
      </c>
      <c r="G232">
        <v>1.1000000000000001</v>
      </c>
      <c r="H232">
        <v>170</v>
      </c>
      <c r="I232">
        <v>85</v>
      </c>
      <c r="J232">
        <v>8.42</v>
      </c>
      <c r="K232">
        <v>8.65</v>
      </c>
      <c r="L232">
        <v>9.2200000000000006</v>
      </c>
      <c r="O232">
        <v>3</v>
      </c>
    </row>
    <row r="233" spans="1:15" x14ac:dyDescent="0.25">
      <c r="A233">
        <v>232</v>
      </c>
      <c r="B233" t="s">
        <v>785</v>
      </c>
      <c r="D233" t="str">
        <f t="shared" si="3"/>
        <v>CASY</v>
      </c>
      <c r="E233" s="3" t="d">
        <v>2017-07-07</v>
      </c>
      <c r="F233">
        <v>1.97</v>
      </c>
      <c r="G233">
        <v>1.17</v>
      </c>
      <c r="H233">
        <v>175</v>
      </c>
      <c r="I233">
        <v>130</v>
      </c>
      <c r="J233">
        <v>0.96</v>
      </c>
      <c r="K233" t="s">
        <v>144</v>
      </c>
      <c r="L233" t="s">
        <v>144</v>
      </c>
      <c r="O233">
        <v>3</v>
      </c>
    </row>
    <row r="234" spans="1:15" x14ac:dyDescent="0.25">
      <c r="A234">
        <v>233</v>
      </c>
      <c r="B234" t="s">
        <v>786</v>
      </c>
      <c r="D234" t="str">
        <f t="shared" si="3"/>
        <v>SYPU</v>
      </c>
      <c r="E234" s="3" t="d">
        <v>2017-07-07</v>
      </c>
      <c r="F234">
        <v>7.5</v>
      </c>
      <c r="G234">
        <v>5.3</v>
      </c>
      <c r="H234">
        <v>420</v>
      </c>
      <c r="I234">
        <v>160</v>
      </c>
      <c r="J234">
        <v>5.7</v>
      </c>
      <c r="K234">
        <v>5.0999999999999996</v>
      </c>
      <c r="L234">
        <v>4.4000000000000004</v>
      </c>
      <c r="O234">
        <v>4</v>
      </c>
    </row>
    <row r="235" spans="1:15" x14ac:dyDescent="0.25">
      <c r="A235">
        <v>234</v>
      </c>
      <c r="B235" t="s">
        <v>787</v>
      </c>
      <c r="D235" t="str">
        <f t="shared" si="3"/>
        <v>RAGU</v>
      </c>
      <c r="E235" s="3" t="d">
        <v>2017-07-07</v>
      </c>
      <c r="F235">
        <v>9.3000000000000007</v>
      </c>
      <c r="G235" t="s">
        <v>808</v>
      </c>
      <c r="H235">
        <v>365</v>
      </c>
      <c r="I235">
        <v>170</v>
      </c>
      <c r="J235">
        <v>9.35</v>
      </c>
      <c r="K235">
        <v>10.51</v>
      </c>
      <c r="L235">
        <v>14.58</v>
      </c>
      <c r="O235">
        <v>4</v>
      </c>
    </row>
    <row r="236" spans="1:15" x14ac:dyDescent="0.25">
      <c r="A236">
        <v>235</v>
      </c>
      <c r="B236" t="s">
        <v>788</v>
      </c>
      <c r="D236" t="str">
        <f t="shared" si="3"/>
        <v>RAUM</v>
      </c>
      <c r="E236" s="3" t="d">
        <v>2017-07-07</v>
      </c>
      <c r="F236">
        <v>2.4</v>
      </c>
      <c r="G236" t="s">
        <v>809</v>
      </c>
      <c r="H236">
        <v>255</v>
      </c>
      <c r="I236">
        <v>105</v>
      </c>
      <c r="J236">
        <v>1.44</v>
      </c>
      <c r="K236">
        <v>1.54</v>
      </c>
      <c r="L236">
        <v>2.15</v>
      </c>
      <c r="O236">
        <v>4</v>
      </c>
    </row>
    <row r="237" spans="1:15" x14ac:dyDescent="0.25">
      <c r="A237">
        <v>236</v>
      </c>
      <c r="B237" t="s">
        <v>789</v>
      </c>
      <c r="D237" t="str">
        <f t="shared" si="3"/>
        <v>PEOB</v>
      </c>
      <c r="E237" s="3" t="d">
        <v>2017-07-07</v>
      </c>
      <c r="F237">
        <v>12</v>
      </c>
      <c r="G237">
        <v>13</v>
      </c>
      <c r="H237">
        <v>740</v>
      </c>
      <c r="I237">
        <v>470</v>
      </c>
      <c r="J237">
        <v>4.99</v>
      </c>
      <c r="K237">
        <v>5.14</v>
      </c>
      <c r="L237">
        <v>4.12</v>
      </c>
      <c r="O237">
        <v>5</v>
      </c>
    </row>
    <row r="238" spans="1:15" x14ac:dyDescent="0.25">
      <c r="A238">
        <v>237</v>
      </c>
      <c r="B238" t="s">
        <v>791</v>
      </c>
      <c r="D238" t="str">
        <f t="shared" si="3"/>
        <v>MYMU</v>
      </c>
      <c r="E238" s="3" t="d">
        <v>2017-07-07</v>
      </c>
      <c r="F238">
        <v>1.19</v>
      </c>
      <c r="G238">
        <v>0.9</v>
      </c>
      <c r="H238">
        <v>210</v>
      </c>
      <c r="I238">
        <v>160</v>
      </c>
      <c r="J238">
        <v>0.33</v>
      </c>
      <c r="K238" t="s">
        <v>144</v>
      </c>
      <c r="L238" t="s">
        <v>144</v>
      </c>
      <c r="O238">
        <v>4</v>
      </c>
    </row>
    <row r="239" spans="1:15" x14ac:dyDescent="0.25">
      <c r="A239">
        <v>238</v>
      </c>
      <c r="B239" t="s">
        <v>779</v>
      </c>
      <c r="D239" t="str">
        <f t="shared" si="3"/>
        <v>SYPU</v>
      </c>
      <c r="E239" s="3" t="d">
        <v>2017-07-07</v>
      </c>
      <c r="F239" t="s">
        <v>806</v>
      </c>
      <c r="G239" t="s">
        <v>810</v>
      </c>
      <c r="H239">
        <v>615</v>
      </c>
      <c r="I239">
        <v>170</v>
      </c>
      <c r="J239">
        <v>5.9</v>
      </c>
      <c r="K239">
        <v>6.06</v>
      </c>
      <c r="L239">
        <v>4.72</v>
      </c>
      <c r="O239">
        <v>4</v>
      </c>
    </row>
    <row r="240" spans="1:15" x14ac:dyDescent="0.25">
      <c r="A240">
        <v>239</v>
      </c>
      <c r="B240" t="s">
        <v>75</v>
      </c>
      <c r="D240" t="s">
        <v>345</v>
      </c>
      <c r="E240" s="3" t="d">
        <v>2017-06-10</v>
      </c>
      <c r="F240" t="s">
        <v>811</v>
      </c>
      <c r="G240" t="s">
        <v>812</v>
      </c>
      <c r="H240">
        <v>400</v>
      </c>
      <c r="I240">
        <v>190</v>
      </c>
      <c r="J240">
        <f>8.67+12.44</f>
        <v>21.11</v>
      </c>
      <c r="K240" t="s">
        <v>144</v>
      </c>
      <c r="L240" t="s">
        <v>144</v>
      </c>
      <c r="O240">
        <v>4</v>
      </c>
    </row>
    <row r="241" spans="1:16" x14ac:dyDescent="0.25">
      <c r="A241">
        <v>240</v>
      </c>
      <c r="B241" t="s">
        <v>71</v>
      </c>
      <c r="D241" t="s">
        <v>351</v>
      </c>
      <c r="E241" s="3" t="d">
        <v>2017-06-10</v>
      </c>
      <c r="F241">
        <v>5.0999999999999996</v>
      </c>
      <c r="G241">
        <v>3.9</v>
      </c>
      <c r="H241">
        <v>194</v>
      </c>
      <c r="I241">
        <v>138</v>
      </c>
      <c r="J241">
        <v>7.49</v>
      </c>
      <c r="K241">
        <v>7.21</v>
      </c>
      <c r="L241">
        <v>7.55</v>
      </c>
      <c r="O241">
        <v>3</v>
      </c>
    </row>
    <row r="242" spans="1:16" x14ac:dyDescent="0.25">
      <c r="A242">
        <v>241</v>
      </c>
      <c r="B242" t="s">
        <v>74</v>
      </c>
      <c r="D242" t="s">
        <v>357</v>
      </c>
      <c r="E242" s="3" t="d">
        <v>2017-06-10</v>
      </c>
      <c r="F242">
        <v>11.2</v>
      </c>
      <c r="G242" t="s">
        <v>813</v>
      </c>
      <c r="H242">
        <v>430</v>
      </c>
      <c r="I242">
        <v>158</v>
      </c>
      <c r="J242">
        <v>8.34</v>
      </c>
      <c r="K242">
        <v>9.7200000000000006</v>
      </c>
      <c r="L242">
        <v>8.7799999999999994</v>
      </c>
      <c r="O242">
        <v>4</v>
      </c>
    </row>
    <row r="243" spans="1:16" x14ac:dyDescent="0.25">
      <c r="A243">
        <v>242</v>
      </c>
      <c r="B243" t="s">
        <v>72</v>
      </c>
      <c r="D243" t="s">
        <v>371</v>
      </c>
      <c r="E243" s="3" t="d">
        <v>2017-06-10</v>
      </c>
      <c r="F243" t="s">
        <v>814</v>
      </c>
      <c r="G243" t="s">
        <v>815</v>
      </c>
      <c r="H243">
        <v>255</v>
      </c>
      <c r="I243">
        <v>62</v>
      </c>
      <c r="J243">
        <v>6.86</v>
      </c>
      <c r="K243">
        <v>6.15</v>
      </c>
      <c r="L243">
        <v>7.61</v>
      </c>
      <c r="O243">
        <v>4</v>
      </c>
    </row>
    <row r="244" spans="1:16" x14ac:dyDescent="0.25">
      <c r="A244">
        <v>243</v>
      </c>
      <c r="B244" t="s">
        <v>89</v>
      </c>
      <c r="D244" t="str">
        <f t="shared" si="3"/>
        <v>MYFA</v>
      </c>
      <c r="E244" s="3" t="d">
        <v>2017-06-12</v>
      </c>
      <c r="F244" t="s">
        <v>816</v>
      </c>
      <c r="G244" t="s">
        <v>817</v>
      </c>
      <c r="H244">
        <v>270</v>
      </c>
      <c r="I244">
        <v>82</v>
      </c>
      <c r="J244">
        <v>3.1</v>
      </c>
      <c r="K244">
        <v>3.9</v>
      </c>
      <c r="L244">
        <v>3.5</v>
      </c>
      <c r="O244">
        <v>3</v>
      </c>
    </row>
    <row r="245" spans="1:16" x14ac:dyDescent="0.25">
      <c r="A245">
        <v>244</v>
      </c>
      <c r="B245" t="s">
        <v>818</v>
      </c>
      <c r="D245" t="str">
        <f t="shared" si="3"/>
        <v>JACA</v>
      </c>
      <c r="E245" s="3" t="d">
        <v>2017-06-12</v>
      </c>
      <c r="F245" t="s">
        <v>819</v>
      </c>
      <c r="G245" t="s">
        <v>820</v>
      </c>
      <c r="H245">
        <v>326</v>
      </c>
      <c r="I245" t="s">
        <v>144</v>
      </c>
      <c r="J245">
        <v>1.1000000000000001</v>
      </c>
      <c r="K245">
        <v>1.65</v>
      </c>
      <c r="L245">
        <v>1.19</v>
      </c>
      <c r="O245">
        <v>3</v>
      </c>
      <c r="P245" t="s">
        <v>821</v>
      </c>
    </row>
    <row r="246" spans="1:16" x14ac:dyDescent="0.25">
      <c r="A246">
        <v>245</v>
      </c>
      <c r="B246" t="s">
        <v>87</v>
      </c>
      <c r="D246" t="str">
        <f t="shared" si="3"/>
        <v>MAAC</v>
      </c>
      <c r="E246" s="3" t="d">
        <v>2017-06-12</v>
      </c>
      <c r="F246">
        <v>7.8</v>
      </c>
      <c r="G246">
        <v>6.9</v>
      </c>
      <c r="H246">
        <v>380</v>
      </c>
      <c r="I246">
        <v>169</v>
      </c>
      <c r="J246">
        <v>1.714</v>
      </c>
      <c r="K246">
        <v>1.526</v>
      </c>
      <c r="L246">
        <v>1.32</v>
      </c>
      <c r="O246">
        <v>4</v>
      </c>
    </row>
    <row r="247" spans="1:16" x14ac:dyDescent="0.25">
      <c r="A247">
        <v>246</v>
      </c>
      <c r="B247" t="s">
        <v>77</v>
      </c>
      <c r="D247" t="str">
        <f t="shared" si="3"/>
        <v>MAAC</v>
      </c>
      <c r="E247" s="3" t="d">
        <v>2017-06-12</v>
      </c>
      <c r="F247">
        <v>6.2</v>
      </c>
      <c r="G247">
        <v>5</v>
      </c>
      <c r="H247">
        <v>350</v>
      </c>
      <c r="I247">
        <v>202</v>
      </c>
      <c r="J247">
        <v>9.68</v>
      </c>
      <c r="K247">
        <v>9.91</v>
      </c>
      <c r="L247">
        <v>9.9600000000000009</v>
      </c>
      <c r="O247">
        <v>3</v>
      </c>
    </row>
    <row r="248" spans="1:16" x14ac:dyDescent="0.25">
      <c r="A248">
        <v>247</v>
      </c>
      <c r="B248" t="s">
        <v>141</v>
      </c>
      <c r="D248" t="str">
        <f t="shared" si="3"/>
        <v>TACA</v>
      </c>
      <c r="E248" s="3" t="d">
        <v>2017-06-12</v>
      </c>
      <c r="F248">
        <v>19.8</v>
      </c>
      <c r="G248" t="s">
        <v>822</v>
      </c>
      <c r="H248">
        <v>400</v>
      </c>
      <c r="I248">
        <v>80</v>
      </c>
      <c r="J248">
        <v>8.52</v>
      </c>
      <c r="K248">
        <v>7.91</v>
      </c>
      <c r="L248">
        <v>7.81</v>
      </c>
      <c r="O248">
        <v>5</v>
      </c>
    </row>
    <row r="249" spans="1:16" x14ac:dyDescent="0.25">
      <c r="A249">
        <v>248</v>
      </c>
      <c r="B249" t="s">
        <v>81</v>
      </c>
      <c r="D249" t="str">
        <f t="shared" si="3"/>
        <v>ERCU</v>
      </c>
      <c r="E249" s="3" t="d">
        <v>2017-06-12</v>
      </c>
      <c r="F249">
        <v>1.94</v>
      </c>
      <c r="G249" t="s">
        <v>823</v>
      </c>
      <c r="H249">
        <v>267</v>
      </c>
      <c r="I249">
        <v>93</v>
      </c>
      <c r="J249">
        <v>1.08</v>
      </c>
      <c r="K249">
        <v>1.06</v>
      </c>
      <c r="L249">
        <v>0.74</v>
      </c>
      <c r="O249">
        <v>4</v>
      </c>
    </row>
    <row r="250" spans="1:16" x14ac:dyDescent="0.25">
      <c r="A250">
        <v>249</v>
      </c>
      <c r="B250" t="s">
        <v>78</v>
      </c>
      <c r="D250" t="str">
        <f t="shared" si="3"/>
        <v>OCCO</v>
      </c>
      <c r="E250" s="3" t="d">
        <v>2017-06-12</v>
      </c>
      <c r="F250">
        <v>7</v>
      </c>
      <c r="G250">
        <v>6.2</v>
      </c>
      <c r="H250">
        <v>660</v>
      </c>
      <c r="I250">
        <v>101</v>
      </c>
      <c r="J250">
        <v>3.22</v>
      </c>
      <c r="K250">
        <v>3.02</v>
      </c>
      <c r="L250">
        <v>2.73</v>
      </c>
      <c r="O250">
        <v>4</v>
      </c>
    </row>
    <row r="251" spans="1:16" x14ac:dyDescent="0.25">
      <c r="A251">
        <v>250</v>
      </c>
      <c r="B251" t="s">
        <v>119</v>
      </c>
      <c r="D251" t="str">
        <f t="shared" si="3"/>
        <v>STRO</v>
      </c>
      <c r="E251" s="3" t="d">
        <v>2017-06-12</v>
      </c>
      <c r="F251">
        <v>10</v>
      </c>
      <c r="G251">
        <v>8.5</v>
      </c>
      <c r="H251">
        <v>370</v>
      </c>
      <c r="I251">
        <v>161</v>
      </c>
      <c r="J251">
        <v>3.22</v>
      </c>
      <c r="K251">
        <v>3.02</v>
      </c>
      <c r="L251">
        <v>2.73</v>
      </c>
      <c r="O251">
        <v>4</v>
      </c>
    </row>
    <row r="252" spans="1:16" x14ac:dyDescent="0.25">
      <c r="A252">
        <v>251</v>
      </c>
      <c r="B252" t="s">
        <v>824</v>
      </c>
      <c r="D252" t="str">
        <f t="shared" si="3"/>
        <v>JACA</v>
      </c>
      <c r="E252" s="3" t="d">
        <v>2017-06-12</v>
      </c>
      <c r="F252">
        <v>3.4</v>
      </c>
      <c r="G252" t="s">
        <v>825</v>
      </c>
      <c r="H252">
        <v>300</v>
      </c>
      <c r="I252">
        <v>80</v>
      </c>
      <c r="J252">
        <v>1.66</v>
      </c>
      <c r="K252">
        <v>1.34</v>
      </c>
      <c r="L252">
        <v>1.65</v>
      </c>
      <c r="O252">
        <v>4</v>
      </c>
    </row>
    <row r="253" spans="1:16" x14ac:dyDescent="0.25">
      <c r="A253">
        <v>252</v>
      </c>
      <c r="B253" t="s">
        <v>85</v>
      </c>
      <c r="D253" t="str">
        <f t="shared" si="3"/>
        <v>STRO</v>
      </c>
      <c r="E253" s="3" t="d">
        <v>2017-06-12</v>
      </c>
      <c r="F253">
        <v>5.7</v>
      </c>
      <c r="G253" t="s">
        <v>826</v>
      </c>
      <c r="H253">
        <v>300</v>
      </c>
      <c r="I253">
        <v>126</v>
      </c>
      <c r="J253">
        <v>5.84</v>
      </c>
      <c r="K253">
        <v>5.64</v>
      </c>
      <c r="L253">
        <v>6.38</v>
      </c>
      <c r="O253">
        <v>4</v>
      </c>
    </row>
    <row r="254" spans="1:16" x14ac:dyDescent="0.25">
      <c r="A254">
        <v>253</v>
      </c>
      <c r="B254" t="s">
        <v>269</v>
      </c>
      <c r="D254" t="str">
        <f t="shared" si="3"/>
        <v>MYFA</v>
      </c>
      <c r="E254" s="3" t="d">
        <v>2017-06-15</v>
      </c>
      <c r="F254">
        <v>5.6</v>
      </c>
      <c r="G254">
        <v>1.8</v>
      </c>
      <c r="H254">
        <v>400</v>
      </c>
      <c r="I254">
        <v>220</v>
      </c>
      <c r="J254">
        <v>9.14</v>
      </c>
      <c r="K254">
        <v>6.18</v>
      </c>
      <c r="L254">
        <v>6.06</v>
      </c>
      <c r="P254">
        <v>1665</v>
      </c>
    </row>
    <row r="255" spans="1:16" x14ac:dyDescent="0.25">
      <c r="A255">
        <v>254</v>
      </c>
      <c r="B255" t="s">
        <v>490</v>
      </c>
      <c r="D255" t="str">
        <f t="shared" si="3"/>
        <v>VOTU</v>
      </c>
      <c r="E255" s="3" t="d">
        <v>2017-06-15</v>
      </c>
      <c r="F255">
        <v>7</v>
      </c>
      <c r="G255">
        <v>5.8</v>
      </c>
      <c r="H255">
        <v>450</v>
      </c>
      <c r="I255">
        <v>140</v>
      </c>
      <c r="J255">
        <v>6.8</v>
      </c>
      <c r="K255">
        <v>6.6</v>
      </c>
      <c r="L255">
        <v>6.14</v>
      </c>
      <c r="P255">
        <v>8355</v>
      </c>
    </row>
    <row r="256" spans="1:16" x14ac:dyDescent="0.25">
      <c r="A256">
        <v>255</v>
      </c>
      <c r="B256" t="s">
        <v>290</v>
      </c>
      <c r="D256" t="str">
        <f t="shared" si="3"/>
        <v>VOTU</v>
      </c>
      <c r="E256" s="3" t="d">
        <v>2017-06-15</v>
      </c>
      <c r="F256">
        <v>6.3</v>
      </c>
      <c r="G256">
        <v>5</v>
      </c>
      <c r="H256">
        <v>450</v>
      </c>
      <c r="I256">
        <v>110</v>
      </c>
      <c r="J256">
        <v>8.02</v>
      </c>
      <c r="K256">
        <v>6.38</v>
      </c>
      <c r="L256">
        <v>7.01</v>
      </c>
      <c r="P256">
        <v>8340</v>
      </c>
    </row>
    <row r="257" spans="1:16" x14ac:dyDescent="0.25">
      <c r="A257">
        <v>256</v>
      </c>
      <c r="B257" t="s">
        <v>281</v>
      </c>
      <c r="D257" t="str">
        <f t="shared" si="3"/>
        <v>MAEL</v>
      </c>
      <c r="E257" s="3" t="d">
        <v>2017-06-15</v>
      </c>
      <c r="F257">
        <v>1.8</v>
      </c>
      <c r="G257">
        <v>1.9</v>
      </c>
      <c r="H257">
        <v>400</v>
      </c>
      <c r="I257">
        <v>200</v>
      </c>
      <c r="J257">
        <v>4.09</v>
      </c>
      <c r="K257">
        <v>3.5</v>
      </c>
      <c r="L257">
        <v>3</v>
      </c>
      <c r="P257">
        <v>1362</v>
      </c>
    </row>
    <row r="258" spans="1:16" x14ac:dyDescent="0.25">
      <c r="A258">
        <v>257</v>
      </c>
      <c r="B258" t="s">
        <v>249</v>
      </c>
      <c r="D258" t="str">
        <f t="shared" si="3"/>
        <v>MILI</v>
      </c>
      <c r="E258" s="3" t="d">
        <v>2017-06-15</v>
      </c>
      <c r="F258" t="s">
        <v>1072</v>
      </c>
      <c r="G258" t="s">
        <v>1073</v>
      </c>
      <c r="H258">
        <v>600</v>
      </c>
      <c r="I258">
        <v>120</v>
      </c>
      <c r="J258">
        <v>9.43</v>
      </c>
      <c r="K258">
        <v>10.6</v>
      </c>
      <c r="L258">
        <v>9.56</v>
      </c>
      <c r="P258">
        <v>1620</v>
      </c>
    </row>
    <row r="259" spans="1:16" x14ac:dyDescent="0.25">
      <c r="A259">
        <v>258</v>
      </c>
      <c r="B259" t="s">
        <v>292</v>
      </c>
      <c r="D259" t="str">
        <f t="shared" si="3"/>
        <v>PLPO</v>
      </c>
      <c r="E259" s="3" t="d">
        <v>2017-06-15</v>
      </c>
      <c r="F259">
        <v>6.2</v>
      </c>
      <c r="G259">
        <v>4</v>
      </c>
      <c r="H259">
        <v>220</v>
      </c>
      <c r="I259">
        <v>90</v>
      </c>
      <c r="J259">
        <v>12.64</v>
      </c>
      <c r="K259">
        <v>13.62</v>
      </c>
      <c r="L259">
        <v>13.87</v>
      </c>
      <c r="P259">
        <v>8330</v>
      </c>
    </row>
    <row r="260" spans="1:16" x14ac:dyDescent="0.25">
      <c r="A260">
        <v>259</v>
      </c>
      <c r="B260" t="s">
        <v>1086</v>
      </c>
      <c r="D260" t="s">
        <v>387</v>
      </c>
      <c r="E260" s="3" t="d">
        <v>2017-06-15</v>
      </c>
      <c r="F260">
        <v>3.4</v>
      </c>
      <c r="G260" t="s">
        <v>144</v>
      </c>
      <c r="H260">
        <v>145</v>
      </c>
      <c r="I260">
        <v>60</v>
      </c>
      <c r="J260">
        <v>1.75</v>
      </c>
      <c r="K260" t="s">
        <v>144</v>
      </c>
      <c r="L260" t="s">
        <v>144</v>
      </c>
      <c r="P260" t="s">
        <v>1087</v>
      </c>
    </row>
    <row r="261" spans="1:16" x14ac:dyDescent="0.25">
      <c r="A261">
        <v>260</v>
      </c>
      <c r="B261" t="s">
        <v>231</v>
      </c>
      <c r="D261" t="str">
        <f t="shared" si="3"/>
        <v>LEEL</v>
      </c>
      <c r="E261" s="3" t="d">
        <v>2017-06-15</v>
      </c>
      <c r="F261">
        <v>14</v>
      </c>
      <c r="G261" t="s">
        <v>1074</v>
      </c>
      <c r="H261">
        <v>500</v>
      </c>
      <c r="I261">
        <v>50</v>
      </c>
      <c r="J261">
        <v>18.489999999999998</v>
      </c>
      <c r="K261">
        <v>19</v>
      </c>
      <c r="L261">
        <v>16.88</v>
      </c>
      <c r="P261">
        <v>1564</v>
      </c>
    </row>
    <row r="262" spans="1:16" x14ac:dyDescent="0.25">
      <c r="A262">
        <v>261</v>
      </c>
      <c r="B262" t="s">
        <v>255</v>
      </c>
      <c r="D262" t="str">
        <f t="shared" si="3"/>
        <v>LEEL</v>
      </c>
      <c r="E262" s="3" t="d">
        <v>2017-06-15</v>
      </c>
      <c r="F262">
        <v>4.3</v>
      </c>
      <c r="G262">
        <v>6.3</v>
      </c>
      <c r="H262">
        <v>300</v>
      </c>
      <c r="I262">
        <v>50</v>
      </c>
      <c r="J262">
        <v>15.06</v>
      </c>
      <c r="K262">
        <v>13.78</v>
      </c>
      <c r="L262">
        <v>17.57</v>
      </c>
      <c r="P262">
        <v>1565</v>
      </c>
    </row>
    <row r="263" spans="1:16" x14ac:dyDescent="0.25">
      <c r="A263">
        <v>262</v>
      </c>
      <c r="B263" t="s">
        <v>234</v>
      </c>
      <c r="D263" t="str">
        <f t="shared" si="3"/>
        <v>PLPO</v>
      </c>
      <c r="E263" s="3" t="d">
        <v>2017-06-15</v>
      </c>
      <c r="F263">
        <v>4.2</v>
      </c>
      <c r="G263">
        <v>3.6</v>
      </c>
      <c r="H263">
        <v>250</v>
      </c>
      <c r="I263">
        <v>170</v>
      </c>
      <c r="J263">
        <v>7.78</v>
      </c>
      <c r="K263">
        <v>9.06</v>
      </c>
      <c r="L263">
        <v>9.4499999999999993</v>
      </c>
      <c r="P263">
        <v>1559</v>
      </c>
    </row>
    <row r="264" spans="1:16" x14ac:dyDescent="0.25">
      <c r="A264">
        <v>263</v>
      </c>
      <c r="B264" t="s">
        <v>288</v>
      </c>
      <c r="D264" t="str">
        <f t="shared" si="3"/>
        <v>TAGU</v>
      </c>
      <c r="E264" s="3" t="d">
        <v>2017-06-15</v>
      </c>
      <c r="F264">
        <v>6.9</v>
      </c>
      <c r="G264">
        <v>6</v>
      </c>
      <c r="H264">
        <v>700</v>
      </c>
      <c r="I264">
        <v>300</v>
      </c>
      <c r="J264">
        <v>2.27</v>
      </c>
      <c r="K264">
        <v>3.18</v>
      </c>
      <c r="L264">
        <v>2.88</v>
      </c>
      <c r="P264">
        <v>1533</v>
      </c>
    </row>
    <row r="265" spans="1:16" x14ac:dyDescent="0.25">
      <c r="A265">
        <v>264</v>
      </c>
      <c r="B265" t="s">
        <v>237</v>
      </c>
      <c r="D265" t="str">
        <f t="shared" ref="D265:D328" si="4">LEFT(B265,4)</f>
        <v>TAGU</v>
      </c>
      <c r="E265" s="3" t="d">
        <v>2017-06-15</v>
      </c>
      <c r="F265">
        <v>6</v>
      </c>
      <c r="G265">
        <v>5.4</v>
      </c>
      <c r="H265">
        <v>700</v>
      </c>
      <c r="I265">
        <v>220</v>
      </c>
      <c r="J265">
        <v>2.76</v>
      </c>
      <c r="K265">
        <v>2.46</v>
      </c>
      <c r="L265">
        <v>2.5299999999999998</v>
      </c>
      <c r="P265">
        <v>1513</v>
      </c>
    </row>
    <row r="266" spans="1:16" x14ac:dyDescent="0.25">
      <c r="A266">
        <v>265</v>
      </c>
      <c r="B266" t="s">
        <v>258</v>
      </c>
      <c r="D266" t="str">
        <f t="shared" si="4"/>
        <v>RAFE</v>
      </c>
      <c r="E266" s="3" t="d">
        <v>2017-06-15</v>
      </c>
      <c r="F266">
        <v>3.3</v>
      </c>
      <c r="G266">
        <v>2.5</v>
      </c>
      <c r="H266">
        <v>400</v>
      </c>
      <c r="I266">
        <v>230</v>
      </c>
      <c r="J266">
        <v>2.08</v>
      </c>
      <c r="K266">
        <v>1.94</v>
      </c>
      <c r="L266">
        <v>2.4300000000000002</v>
      </c>
      <c r="P266">
        <v>1195</v>
      </c>
    </row>
    <row r="267" spans="1:16" x14ac:dyDescent="0.25">
      <c r="A267">
        <v>266</v>
      </c>
      <c r="B267" t="s">
        <v>242</v>
      </c>
      <c r="D267" t="str">
        <f t="shared" si="4"/>
        <v>LEEL</v>
      </c>
      <c r="E267" s="3" t="d">
        <v>2017-06-15</v>
      </c>
      <c r="F267">
        <v>7.3</v>
      </c>
      <c r="G267">
        <v>4.8</v>
      </c>
      <c r="H267">
        <v>190</v>
      </c>
      <c r="I267">
        <v>50</v>
      </c>
      <c r="J267">
        <v>24.8</v>
      </c>
      <c r="K267">
        <v>24.21</v>
      </c>
      <c r="L267">
        <v>26.7</v>
      </c>
      <c r="P267">
        <v>1173</v>
      </c>
    </row>
    <row r="268" spans="1:16" x14ac:dyDescent="0.25">
      <c r="A268">
        <v>267</v>
      </c>
      <c r="B268" t="s">
        <v>219</v>
      </c>
      <c r="D268" t="str">
        <f t="shared" si="4"/>
        <v>MAAC</v>
      </c>
      <c r="E268" s="3" t="d">
        <v>2017-06-15</v>
      </c>
      <c r="F268">
        <v>2.8</v>
      </c>
      <c r="G268">
        <v>1.2</v>
      </c>
      <c r="H268">
        <v>180</v>
      </c>
      <c r="I268">
        <v>120</v>
      </c>
      <c r="J268">
        <v>9.64</v>
      </c>
      <c r="K268">
        <v>10.74</v>
      </c>
      <c r="L268">
        <v>8.33</v>
      </c>
      <c r="P268">
        <v>1159</v>
      </c>
    </row>
    <row r="269" spans="1:16" x14ac:dyDescent="0.25">
      <c r="A269">
        <v>268</v>
      </c>
      <c r="B269" t="s">
        <v>266</v>
      </c>
      <c r="D269" t="str">
        <f t="shared" si="4"/>
        <v>RAUM</v>
      </c>
      <c r="E269" s="3" t="d">
        <v>2017-06-15</v>
      </c>
      <c r="F269">
        <v>10.7</v>
      </c>
      <c r="G269">
        <v>7.5</v>
      </c>
      <c r="H269">
        <v>550</v>
      </c>
      <c r="I269">
        <v>210</v>
      </c>
      <c r="J269">
        <v>3.05</v>
      </c>
      <c r="K269">
        <v>3.68</v>
      </c>
      <c r="L269">
        <v>2.9</v>
      </c>
      <c r="P269">
        <v>1057</v>
      </c>
    </row>
    <row r="270" spans="1:16" x14ac:dyDescent="0.25">
      <c r="A270">
        <v>269</v>
      </c>
      <c r="B270" t="s">
        <v>251</v>
      </c>
      <c r="D270" t="str">
        <f t="shared" si="4"/>
        <v>BYBA</v>
      </c>
      <c r="E270" s="3" t="d">
        <v>2017-06-15</v>
      </c>
      <c r="F270">
        <v>5.9</v>
      </c>
      <c r="G270">
        <v>5.3</v>
      </c>
      <c r="H270">
        <v>500</v>
      </c>
      <c r="I270">
        <v>190</v>
      </c>
      <c r="J270">
        <v>10.32</v>
      </c>
      <c r="K270">
        <v>10.73</v>
      </c>
      <c r="L270">
        <v>9.85</v>
      </c>
      <c r="P270" t="s">
        <v>1085</v>
      </c>
    </row>
    <row r="271" spans="1:16" x14ac:dyDescent="0.25">
      <c r="A271">
        <v>270</v>
      </c>
      <c r="B271" t="s">
        <v>264</v>
      </c>
      <c r="D271" t="str">
        <f t="shared" si="4"/>
        <v>ANCR</v>
      </c>
      <c r="E271" s="3" t="d">
        <v>2017-06-15</v>
      </c>
      <c r="F271">
        <v>8.6</v>
      </c>
      <c r="G271">
        <v>7</v>
      </c>
      <c r="H271">
        <v>400</v>
      </c>
      <c r="I271">
        <v>180</v>
      </c>
      <c r="J271">
        <v>21.3</v>
      </c>
      <c r="K271">
        <v>26.35</v>
      </c>
      <c r="L271">
        <v>20.010000000000002</v>
      </c>
      <c r="P271">
        <v>1324</v>
      </c>
    </row>
    <row r="272" spans="1:16" x14ac:dyDescent="0.25">
      <c r="A272">
        <v>271</v>
      </c>
      <c r="B272" t="s">
        <v>212</v>
      </c>
      <c r="D272" t="str">
        <f t="shared" si="4"/>
        <v>TAGU</v>
      </c>
      <c r="E272" s="3" t="d">
        <v>2017-06-15</v>
      </c>
      <c r="F272">
        <v>6</v>
      </c>
      <c r="G272">
        <v>5</v>
      </c>
      <c r="H272">
        <v>500</v>
      </c>
      <c r="I272">
        <v>190</v>
      </c>
      <c r="J272">
        <v>3.24</v>
      </c>
      <c r="K272">
        <v>3.36</v>
      </c>
      <c r="L272">
        <v>2.67</v>
      </c>
      <c r="P272">
        <v>1243</v>
      </c>
    </row>
    <row r="273" spans="1:16" x14ac:dyDescent="0.25">
      <c r="A273">
        <v>272</v>
      </c>
      <c r="B273" t="s">
        <v>246</v>
      </c>
      <c r="D273" t="str">
        <f t="shared" si="4"/>
        <v>MILI</v>
      </c>
      <c r="E273" s="3" t="d">
        <v>2017-06-15</v>
      </c>
      <c r="F273">
        <v>2.8</v>
      </c>
      <c r="G273">
        <v>1.5</v>
      </c>
      <c r="H273">
        <v>250</v>
      </c>
      <c r="I273">
        <v>150</v>
      </c>
      <c r="J273">
        <v>2.4</v>
      </c>
      <c r="K273">
        <v>2.0699999999999998</v>
      </c>
      <c r="L273">
        <v>2.58</v>
      </c>
      <c r="P273">
        <v>1238</v>
      </c>
    </row>
    <row r="274" spans="1:16" x14ac:dyDescent="0.25">
      <c r="A274">
        <v>273</v>
      </c>
      <c r="B274" t="s">
        <v>224</v>
      </c>
      <c r="D274" t="str">
        <f t="shared" si="4"/>
        <v>OCCO</v>
      </c>
      <c r="E274" s="3" t="d">
        <v>2017-06-15</v>
      </c>
      <c r="F274">
        <v>15.2</v>
      </c>
      <c r="G274" t="s">
        <v>1075</v>
      </c>
      <c r="H274">
        <v>700</v>
      </c>
      <c r="I274">
        <v>150</v>
      </c>
      <c r="J274">
        <v>5.01</v>
      </c>
      <c r="K274">
        <v>7.15</v>
      </c>
      <c r="L274">
        <v>5.53</v>
      </c>
      <c r="P274">
        <v>1215</v>
      </c>
    </row>
    <row r="275" spans="1:16" x14ac:dyDescent="0.25">
      <c r="A275">
        <v>274</v>
      </c>
      <c r="B275" t="s">
        <v>267</v>
      </c>
      <c r="D275" t="str">
        <f t="shared" si="4"/>
        <v>ZEMO</v>
      </c>
      <c r="E275" s="3" t="d">
        <v>2017-06-15</v>
      </c>
      <c r="F275">
        <v>4.5999999999999996</v>
      </c>
      <c r="G275">
        <v>4.0999999999999996</v>
      </c>
      <c r="H275">
        <v>280</v>
      </c>
      <c r="I275">
        <v>110</v>
      </c>
      <c r="J275">
        <v>6.4</v>
      </c>
      <c r="K275">
        <v>7.08</v>
      </c>
      <c r="L275">
        <v>9.31</v>
      </c>
      <c r="P275">
        <v>1197</v>
      </c>
    </row>
    <row r="276" spans="1:16" x14ac:dyDescent="0.25">
      <c r="A276">
        <v>275</v>
      </c>
      <c r="B276" t="s">
        <v>320</v>
      </c>
      <c r="D276" t="str">
        <f t="shared" si="4"/>
        <v>OUSP</v>
      </c>
      <c r="E276" s="3" t="d">
        <v>2017-06-16</v>
      </c>
      <c r="F276" t="s">
        <v>1076</v>
      </c>
      <c r="G276" t="s">
        <v>1077</v>
      </c>
      <c r="H276">
        <v>460</v>
      </c>
      <c r="I276">
        <v>60</v>
      </c>
      <c r="J276">
        <v>9.27</v>
      </c>
      <c r="K276">
        <v>11.62</v>
      </c>
      <c r="L276">
        <v>13.56</v>
      </c>
      <c r="O276">
        <v>5</v>
      </c>
      <c r="P276">
        <v>5086</v>
      </c>
    </row>
    <row r="277" spans="1:16" x14ac:dyDescent="0.25">
      <c r="A277">
        <v>276</v>
      </c>
      <c r="B277" t="s">
        <v>244</v>
      </c>
      <c r="D277" t="str">
        <f t="shared" si="4"/>
        <v>SCVI</v>
      </c>
      <c r="E277" s="3" t="d">
        <v>2017-06-16</v>
      </c>
      <c r="F277">
        <v>1.8</v>
      </c>
      <c r="G277">
        <v>1.3</v>
      </c>
      <c r="H277">
        <v>230</v>
      </c>
      <c r="I277">
        <v>40</v>
      </c>
      <c r="J277">
        <v>1.7</v>
      </c>
      <c r="K277">
        <v>1.56</v>
      </c>
      <c r="L277">
        <v>1.67</v>
      </c>
      <c r="O277">
        <v>4</v>
      </c>
      <c r="P277">
        <v>5091</v>
      </c>
    </row>
    <row r="278" spans="1:16" x14ac:dyDescent="0.25">
      <c r="A278">
        <v>277</v>
      </c>
      <c r="B278" t="s">
        <v>202</v>
      </c>
      <c r="D278" t="str">
        <f t="shared" si="4"/>
        <v>RALI</v>
      </c>
      <c r="E278" s="3" t="d">
        <v>2017-06-16</v>
      </c>
      <c r="F278">
        <v>5.9</v>
      </c>
      <c r="G278">
        <v>5.6</v>
      </c>
      <c r="H278">
        <v>380</v>
      </c>
      <c r="I278">
        <v>140</v>
      </c>
      <c r="J278">
        <v>1.86</v>
      </c>
      <c r="K278">
        <v>1.91</v>
      </c>
      <c r="L278">
        <v>1.44</v>
      </c>
      <c r="O278">
        <v>3</v>
      </c>
      <c r="P278">
        <v>5075</v>
      </c>
    </row>
    <row r="279" spans="1:16" x14ac:dyDescent="0.25">
      <c r="A279">
        <v>278</v>
      </c>
      <c r="B279" t="s">
        <v>226</v>
      </c>
      <c r="D279" t="str">
        <f t="shared" si="4"/>
        <v>OUSP</v>
      </c>
      <c r="E279" s="3" t="d">
        <v>2017-06-16</v>
      </c>
      <c r="F279">
        <v>8.8000000000000007</v>
      </c>
      <c r="G279">
        <v>7.5</v>
      </c>
      <c r="H279">
        <v>400</v>
      </c>
      <c r="I279">
        <v>100</v>
      </c>
      <c r="J279">
        <v>17.45</v>
      </c>
      <c r="K279">
        <v>8.9600000000000009</v>
      </c>
      <c r="L279">
        <v>14.39</v>
      </c>
      <c r="O279">
        <v>5</v>
      </c>
      <c r="P279">
        <v>5068</v>
      </c>
    </row>
    <row r="280" spans="1:16" x14ac:dyDescent="0.25">
      <c r="A280">
        <v>279</v>
      </c>
      <c r="B280" t="s">
        <v>261</v>
      </c>
      <c r="D280" t="str">
        <f t="shared" si="4"/>
        <v>RAUM</v>
      </c>
      <c r="E280" s="3" t="d">
        <v>2017-06-16</v>
      </c>
      <c r="F280">
        <v>7.5</v>
      </c>
      <c r="G280">
        <v>7.1</v>
      </c>
      <c r="H280">
        <v>600</v>
      </c>
      <c r="I280">
        <v>190</v>
      </c>
      <c r="J280">
        <v>6.25</v>
      </c>
      <c r="K280">
        <v>6.11</v>
      </c>
      <c r="L280">
        <v>5.3</v>
      </c>
      <c r="O280">
        <v>4</v>
      </c>
      <c r="P280">
        <v>5024</v>
      </c>
    </row>
    <row r="281" spans="1:16" x14ac:dyDescent="0.25">
      <c r="A281">
        <v>280</v>
      </c>
      <c r="B281" t="s">
        <v>229</v>
      </c>
      <c r="D281" t="str">
        <f t="shared" si="4"/>
        <v>OUSP</v>
      </c>
      <c r="E281" s="3" t="d">
        <v>2017-06-16</v>
      </c>
      <c r="F281">
        <v>7.2</v>
      </c>
      <c r="G281" t="s">
        <v>1078</v>
      </c>
      <c r="H281">
        <v>400</v>
      </c>
      <c r="I281">
        <v>260</v>
      </c>
      <c r="J281">
        <v>13.08</v>
      </c>
      <c r="K281">
        <v>13.01</v>
      </c>
      <c r="L281">
        <v>13.33</v>
      </c>
      <c r="O281">
        <v>4</v>
      </c>
      <c r="P281">
        <v>5135</v>
      </c>
    </row>
    <row r="282" spans="1:16" x14ac:dyDescent="0.25">
      <c r="A282">
        <v>281</v>
      </c>
      <c r="B282" t="s">
        <v>216</v>
      </c>
      <c r="D282" t="s">
        <v>387</v>
      </c>
      <c r="E282" s="3" t="d">
        <v>2017-06-16</v>
      </c>
      <c r="F282">
        <v>4</v>
      </c>
      <c r="G282" t="s">
        <v>1079</v>
      </c>
      <c r="H282">
        <v>250</v>
      </c>
      <c r="I282">
        <v>60</v>
      </c>
      <c r="J282">
        <v>1.19</v>
      </c>
      <c r="K282">
        <v>0.76</v>
      </c>
      <c r="L282">
        <v>1.29</v>
      </c>
      <c r="O282">
        <v>4</v>
      </c>
      <c r="P282">
        <v>5155</v>
      </c>
    </row>
    <row r="283" spans="1:16" x14ac:dyDescent="0.25">
      <c r="A283">
        <v>282</v>
      </c>
      <c r="B283" t="s">
        <v>317</v>
      </c>
      <c r="D283" t="str">
        <f t="shared" si="4"/>
        <v>ERCU</v>
      </c>
      <c r="E283" s="3" t="d">
        <v>2017-06-16</v>
      </c>
      <c r="F283">
        <v>1.6</v>
      </c>
      <c r="G283">
        <v>1.5</v>
      </c>
      <c r="H283">
        <v>240</v>
      </c>
      <c r="I283">
        <v>90</v>
      </c>
      <c r="J283">
        <v>1.21</v>
      </c>
      <c r="K283">
        <v>0.95</v>
      </c>
      <c r="L283">
        <v>1.01</v>
      </c>
      <c r="O283">
        <v>4</v>
      </c>
      <c r="P283">
        <v>5131</v>
      </c>
    </row>
    <row r="284" spans="1:16" x14ac:dyDescent="0.25">
      <c r="A284">
        <v>283</v>
      </c>
      <c r="B284" t="s">
        <v>221</v>
      </c>
      <c r="D284" t="str">
        <f t="shared" si="4"/>
        <v>OCCO</v>
      </c>
      <c r="E284" s="3" t="d">
        <v>2017-06-16</v>
      </c>
      <c r="F284">
        <v>9.3000000000000007</v>
      </c>
      <c r="G284">
        <v>5.6</v>
      </c>
      <c r="H284">
        <v>500</v>
      </c>
      <c r="I284">
        <v>20</v>
      </c>
      <c r="J284">
        <v>7.28</v>
      </c>
      <c r="K284">
        <v>8.15</v>
      </c>
      <c r="L284">
        <v>5.56</v>
      </c>
      <c r="O284">
        <v>4</v>
      </c>
      <c r="P284">
        <v>5108</v>
      </c>
    </row>
    <row r="285" spans="1:16" x14ac:dyDescent="0.25">
      <c r="A285">
        <v>284</v>
      </c>
      <c r="B285" t="s">
        <v>284</v>
      </c>
      <c r="D285" t="str">
        <f t="shared" si="4"/>
        <v>AEVE</v>
      </c>
      <c r="E285" s="3" t="d">
        <v>2017-06-16</v>
      </c>
      <c r="F285">
        <v>6.5</v>
      </c>
      <c r="G285" t="s">
        <v>1080</v>
      </c>
      <c r="H285">
        <v>200</v>
      </c>
      <c r="I285">
        <v>50</v>
      </c>
      <c r="J285">
        <v>3.5</v>
      </c>
      <c r="K285">
        <v>3.26</v>
      </c>
      <c r="L285">
        <v>2.41</v>
      </c>
      <c r="O285">
        <v>5</v>
      </c>
      <c r="P285">
        <v>5105</v>
      </c>
    </row>
    <row r="286" spans="1:16" x14ac:dyDescent="0.25">
      <c r="A286">
        <v>285</v>
      </c>
      <c r="B286" t="s">
        <v>272</v>
      </c>
      <c r="D286" t="str">
        <f t="shared" si="4"/>
        <v>CALU</v>
      </c>
      <c r="E286" s="3" t="d">
        <v>2017-06-16</v>
      </c>
      <c r="F286">
        <v>11.5</v>
      </c>
      <c r="G286" t="s">
        <v>1081</v>
      </c>
      <c r="H286">
        <v>700</v>
      </c>
      <c r="I286">
        <v>120</v>
      </c>
      <c r="J286">
        <v>9.56</v>
      </c>
      <c r="K286">
        <v>7.45</v>
      </c>
      <c r="L286">
        <v>7.33</v>
      </c>
      <c r="O286">
        <v>4</v>
      </c>
      <c r="P286">
        <v>5085</v>
      </c>
    </row>
    <row r="287" spans="1:16" x14ac:dyDescent="0.25">
      <c r="A287">
        <v>286</v>
      </c>
      <c r="B287" t="s">
        <v>271</v>
      </c>
      <c r="D287" t="str">
        <f t="shared" si="4"/>
        <v>OCCO</v>
      </c>
      <c r="E287" s="3" t="d">
        <v>2017-06-16</v>
      </c>
      <c r="F287" t="s">
        <v>1082</v>
      </c>
      <c r="G287" t="s">
        <v>1083</v>
      </c>
      <c r="H287">
        <v>700</v>
      </c>
      <c r="I287">
        <v>30</v>
      </c>
      <c r="J287">
        <v>5.28</v>
      </c>
      <c r="K287">
        <v>4.78</v>
      </c>
      <c r="L287">
        <v>4.41</v>
      </c>
      <c r="O287">
        <v>5</v>
      </c>
      <c r="P287">
        <v>5096</v>
      </c>
    </row>
    <row r="288" spans="1:16" x14ac:dyDescent="0.25">
      <c r="A288">
        <v>287</v>
      </c>
      <c r="B288" t="s">
        <v>209</v>
      </c>
      <c r="D288" t="str">
        <f t="shared" si="4"/>
        <v>GOPO</v>
      </c>
      <c r="E288" s="3" t="d">
        <v>2017-06-16</v>
      </c>
      <c r="F288">
        <v>17.8</v>
      </c>
      <c r="G288" t="s">
        <v>1084</v>
      </c>
      <c r="H288">
        <v>600</v>
      </c>
      <c r="I288">
        <v>130</v>
      </c>
      <c r="J288">
        <v>25.93</v>
      </c>
      <c r="K288">
        <v>23.02</v>
      </c>
      <c r="L288">
        <v>31.38</v>
      </c>
      <c r="O288">
        <v>5</v>
      </c>
      <c r="P288">
        <v>5101</v>
      </c>
    </row>
    <row r="289" spans="1:16" x14ac:dyDescent="0.25">
      <c r="A289">
        <v>288</v>
      </c>
      <c r="B289" t="s">
        <v>239</v>
      </c>
      <c r="D289" t="str">
        <f t="shared" si="4"/>
        <v>OCPU</v>
      </c>
      <c r="E289" s="3" t="d">
        <v>2017-06-16</v>
      </c>
      <c r="F289">
        <v>3.8</v>
      </c>
      <c r="G289">
        <v>2.2999999999999998</v>
      </c>
      <c r="H289">
        <v>400</v>
      </c>
      <c r="I289">
        <v>130</v>
      </c>
      <c r="J289">
        <v>1.81</v>
      </c>
      <c r="K289">
        <v>1.25</v>
      </c>
      <c r="L289">
        <v>1.45</v>
      </c>
      <c r="O289">
        <v>3</v>
      </c>
      <c r="P289" t="s">
        <v>1019</v>
      </c>
    </row>
    <row r="290" spans="1:16" x14ac:dyDescent="0.25">
      <c r="A290">
        <v>289</v>
      </c>
      <c r="B290" t="s">
        <v>835</v>
      </c>
      <c r="D290" t="str">
        <f t="shared" si="4"/>
        <v>JACA</v>
      </c>
      <c r="E290" s="3" t="d">
        <v>2017-07-11</v>
      </c>
      <c r="F290">
        <v>5.3</v>
      </c>
      <c r="G290">
        <v>4.8</v>
      </c>
      <c r="H290">
        <v>656</v>
      </c>
      <c r="I290">
        <v>550</v>
      </c>
      <c r="J290">
        <v>2.76</v>
      </c>
      <c r="K290">
        <v>2.58</v>
      </c>
      <c r="L290">
        <v>4.28</v>
      </c>
      <c r="O290">
        <v>4</v>
      </c>
    </row>
    <row r="291" spans="1:16" x14ac:dyDescent="0.25">
      <c r="A291">
        <v>290</v>
      </c>
      <c r="B291" t="s">
        <v>839</v>
      </c>
      <c r="D291" t="str">
        <f t="shared" si="4"/>
        <v>LAHA</v>
      </c>
      <c r="E291" s="3" t="d">
        <v>2017-07-11</v>
      </c>
      <c r="F291">
        <v>1.52</v>
      </c>
      <c r="G291">
        <v>0.85</v>
      </c>
      <c r="H291">
        <v>202</v>
      </c>
      <c r="I291">
        <v>40</v>
      </c>
      <c r="J291">
        <v>0.64</v>
      </c>
      <c r="K291" t="s">
        <v>144</v>
      </c>
      <c r="L291" t="s">
        <v>144</v>
      </c>
      <c r="O291">
        <v>3</v>
      </c>
    </row>
    <row r="292" spans="1:16" x14ac:dyDescent="0.25">
      <c r="A292">
        <v>291</v>
      </c>
      <c r="B292" t="s">
        <v>848</v>
      </c>
      <c r="D292" t="str">
        <f t="shared" si="4"/>
        <v>RAUM</v>
      </c>
      <c r="E292" s="3" t="d">
        <v>2017-07-11</v>
      </c>
      <c r="F292">
        <v>2.2999999999999998</v>
      </c>
      <c r="G292">
        <v>1.5</v>
      </c>
      <c r="H292">
        <v>290</v>
      </c>
      <c r="I292">
        <v>140</v>
      </c>
      <c r="J292">
        <v>2.11</v>
      </c>
      <c r="K292" t="s">
        <v>144</v>
      </c>
      <c r="L292" t="s">
        <v>144</v>
      </c>
      <c r="O292">
        <v>3</v>
      </c>
    </row>
    <row r="293" spans="1:16" x14ac:dyDescent="0.25">
      <c r="A293">
        <v>292</v>
      </c>
      <c r="B293" t="s">
        <v>844</v>
      </c>
      <c r="D293" t="str">
        <f t="shared" si="4"/>
        <v>CUVE</v>
      </c>
      <c r="E293" s="3" t="d">
        <v>2017-07-11</v>
      </c>
      <c r="F293">
        <v>1.1000000000000001</v>
      </c>
      <c r="G293">
        <v>0.75</v>
      </c>
      <c r="H293">
        <v>135</v>
      </c>
      <c r="I293">
        <v>60</v>
      </c>
      <c r="J293">
        <v>0.54</v>
      </c>
      <c r="K293" t="s">
        <v>144</v>
      </c>
      <c r="L293" t="s">
        <v>144</v>
      </c>
      <c r="O293">
        <v>4</v>
      </c>
    </row>
    <row r="294" spans="1:16" x14ac:dyDescent="0.25">
      <c r="A294">
        <v>293</v>
      </c>
      <c r="B294" t="s">
        <v>847</v>
      </c>
      <c r="D294" t="str">
        <f t="shared" si="4"/>
        <v>BYCO</v>
      </c>
      <c r="E294" s="3" t="d">
        <v>2017-07-11</v>
      </c>
      <c r="F294">
        <v>0.75</v>
      </c>
      <c r="G294" t="s">
        <v>144</v>
      </c>
      <c r="H294">
        <v>99</v>
      </c>
      <c r="I294">
        <v>40</v>
      </c>
      <c r="J294">
        <v>0.35</v>
      </c>
      <c r="K294" t="s">
        <v>144</v>
      </c>
      <c r="L294" t="s">
        <v>144</v>
      </c>
      <c r="O294">
        <v>3</v>
      </c>
    </row>
    <row r="295" spans="1:16" x14ac:dyDescent="0.25">
      <c r="A295">
        <v>294</v>
      </c>
      <c r="B295" t="s">
        <v>841</v>
      </c>
      <c r="D295" t="str">
        <f t="shared" si="4"/>
        <v>PLEL</v>
      </c>
      <c r="E295" s="3" t="d">
        <v>2017-07-11</v>
      </c>
      <c r="F295">
        <v>6</v>
      </c>
      <c r="G295">
        <v>5.5</v>
      </c>
      <c r="H295">
        <v>360</v>
      </c>
      <c r="I295">
        <v>205</v>
      </c>
      <c r="J295">
        <v>8.6</v>
      </c>
      <c r="K295">
        <v>9.06</v>
      </c>
      <c r="L295">
        <v>9.5299999999999994</v>
      </c>
      <c r="O295">
        <v>3</v>
      </c>
    </row>
    <row r="296" spans="1:16" x14ac:dyDescent="0.25">
      <c r="A296">
        <v>295</v>
      </c>
      <c r="B296" t="s">
        <v>840</v>
      </c>
      <c r="D296" t="str">
        <f t="shared" si="4"/>
        <v>BARU</v>
      </c>
      <c r="E296" s="3" t="d">
        <v>2017-07-11</v>
      </c>
      <c r="F296">
        <v>1.1100000000000001</v>
      </c>
      <c r="G296">
        <v>0.4</v>
      </c>
      <c r="H296">
        <v>165</v>
      </c>
      <c r="I296">
        <v>120</v>
      </c>
      <c r="J296">
        <v>0.97</v>
      </c>
      <c r="K296" t="s">
        <v>144</v>
      </c>
      <c r="L296" t="s">
        <v>144</v>
      </c>
      <c r="O296">
        <v>3</v>
      </c>
    </row>
    <row r="297" spans="1:16" x14ac:dyDescent="0.25">
      <c r="A297">
        <v>296</v>
      </c>
      <c r="B297" t="s">
        <v>836</v>
      </c>
      <c r="D297" t="str">
        <f t="shared" si="4"/>
        <v>RAFE</v>
      </c>
      <c r="E297" s="3" t="d">
        <v>2017-07-11</v>
      </c>
      <c r="F297">
        <v>1.59</v>
      </c>
      <c r="G297">
        <v>0.9</v>
      </c>
      <c r="H297">
        <v>197</v>
      </c>
      <c r="I297">
        <v>90</v>
      </c>
      <c r="J297">
        <v>1.38</v>
      </c>
      <c r="K297" t="s">
        <v>144</v>
      </c>
      <c r="L297" t="s">
        <v>144</v>
      </c>
      <c r="O297">
        <v>4</v>
      </c>
    </row>
    <row r="298" spans="1:16" x14ac:dyDescent="0.25">
      <c r="A298">
        <v>297</v>
      </c>
      <c r="B298" t="s">
        <v>850</v>
      </c>
      <c r="D298" t="str">
        <f t="shared" si="4"/>
        <v>VOTU</v>
      </c>
      <c r="E298" s="3" t="d">
        <v>2017-07-11</v>
      </c>
      <c r="F298">
        <v>7</v>
      </c>
      <c r="G298">
        <v>5.3</v>
      </c>
      <c r="H298">
        <v>340</v>
      </c>
      <c r="I298">
        <v>130</v>
      </c>
      <c r="J298">
        <v>6.3</v>
      </c>
      <c r="K298">
        <v>6.98</v>
      </c>
      <c r="L298">
        <v>7.95</v>
      </c>
      <c r="O298">
        <v>4</v>
      </c>
    </row>
    <row r="299" spans="1:16" x14ac:dyDescent="0.25">
      <c r="A299">
        <v>298</v>
      </c>
      <c r="B299" t="s">
        <v>849</v>
      </c>
      <c r="D299" t="str">
        <f t="shared" si="4"/>
        <v>QUCO</v>
      </c>
      <c r="E299" s="3" t="d">
        <v>2017-07-11</v>
      </c>
      <c r="F299">
        <v>3.2</v>
      </c>
      <c r="G299">
        <v>2.2000000000000002</v>
      </c>
      <c r="H299">
        <v>220</v>
      </c>
      <c r="I299">
        <v>130</v>
      </c>
      <c r="J299">
        <v>5.07</v>
      </c>
      <c r="K299">
        <v>4.34</v>
      </c>
      <c r="L299">
        <v>5.56</v>
      </c>
      <c r="O299">
        <v>3</v>
      </c>
    </row>
    <row r="300" spans="1:16" x14ac:dyDescent="0.25">
      <c r="A300">
        <v>299</v>
      </c>
      <c r="B300" t="s">
        <v>852</v>
      </c>
      <c r="D300" t="str">
        <f t="shared" si="4"/>
        <v>QUCO</v>
      </c>
      <c r="E300" s="3" t="d">
        <v>2017-07-11</v>
      </c>
      <c r="F300">
        <v>7.8</v>
      </c>
      <c r="G300" t="s">
        <v>855</v>
      </c>
      <c r="H300">
        <v>213</v>
      </c>
      <c r="I300">
        <v>140</v>
      </c>
      <c r="J300">
        <v>16.010000000000002</v>
      </c>
      <c r="K300">
        <v>17.41</v>
      </c>
      <c r="L300">
        <v>13.4</v>
      </c>
      <c r="O300">
        <v>4</v>
      </c>
    </row>
    <row r="301" spans="1:16" x14ac:dyDescent="0.25">
      <c r="A301">
        <v>300</v>
      </c>
      <c r="B301" t="s">
        <v>851</v>
      </c>
      <c r="D301" t="str">
        <f t="shared" si="4"/>
        <v>MYMU</v>
      </c>
      <c r="E301" s="3" t="d">
        <v>2017-07-11</v>
      </c>
      <c r="F301">
        <v>3</v>
      </c>
      <c r="G301">
        <v>2.8</v>
      </c>
      <c r="H301">
        <v>440</v>
      </c>
      <c r="I301">
        <v>245</v>
      </c>
      <c r="J301">
        <v>0.62</v>
      </c>
      <c r="K301">
        <v>0.51</v>
      </c>
      <c r="L301">
        <v>0.68</v>
      </c>
      <c r="O301">
        <v>3</v>
      </c>
    </row>
    <row r="302" spans="1:16" x14ac:dyDescent="0.25">
      <c r="A302">
        <v>301</v>
      </c>
      <c r="B302" t="s">
        <v>829</v>
      </c>
      <c r="D302" t="str">
        <f t="shared" si="4"/>
        <v>QUCO</v>
      </c>
      <c r="E302" s="3" t="d">
        <v>2017-07-11</v>
      </c>
      <c r="F302">
        <v>3.64</v>
      </c>
      <c r="G302">
        <v>0.43</v>
      </c>
      <c r="H302">
        <v>150</v>
      </c>
      <c r="I302">
        <v>70</v>
      </c>
      <c r="J302">
        <v>4.66</v>
      </c>
      <c r="K302">
        <v>7.25</v>
      </c>
      <c r="L302">
        <v>6.51</v>
      </c>
      <c r="O302">
        <v>4</v>
      </c>
    </row>
    <row r="303" spans="1:16" x14ac:dyDescent="0.25">
      <c r="A303">
        <v>302</v>
      </c>
      <c r="B303" t="s">
        <v>831</v>
      </c>
      <c r="D303" t="str">
        <f t="shared" si="4"/>
        <v>BYCO</v>
      </c>
      <c r="E303" s="3" t="d">
        <v>2017-07-11</v>
      </c>
      <c r="F303">
        <v>1.01</v>
      </c>
      <c r="G303" t="s">
        <v>144</v>
      </c>
      <c r="H303">
        <v>80</v>
      </c>
      <c r="I303">
        <v>40</v>
      </c>
      <c r="J303">
        <v>0.82</v>
      </c>
      <c r="K303" t="s">
        <v>144</v>
      </c>
      <c r="L303" t="s">
        <v>144</v>
      </c>
      <c r="O303">
        <v>4</v>
      </c>
    </row>
    <row r="304" spans="1:16" x14ac:dyDescent="0.25">
      <c r="A304">
        <v>303</v>
      </c>
      <c r="B304" t="s">
        <v>838</v>
      </c>
      <c r="D304" t="str">
        <f t="shared" si="4"/>
        <v>LAHA</v>
      </c>
      <c r="E304" s="3" t="d">
        <v>2017-07-11</v>
      </c>
      <c r="F304">
        <v>0.47</v>
      </c>
      <c r="G304" t="s">
        <v>144</v>
      </c>
      <c r="H304">
        <v>80</v>
      </c>
      <c r="I304">
        <v>0</v>
      </c>
      <c r="J304">
        <v>0.3</v>
      </c>
      <c r="K304" t="s">
        <v>144</v>
      </c>
      <c r="L304" t="s">
        <v>144</v>
      </c>
      <c r="O304">
        <v>3</v>
      </c>
    </row>
    <row r="305" spans="1:15" x14ac:dyDescent="0.25">
      <c r="A305">
        <v>304</v>
      </c>
      <c r="B305" t="s">
        <v>830</v>
      </c>
      <c r="D305" t="str">
        <f t="shared" si="4"/>
        <v>ALED</v>
      </c>
      <c r="E305" s="3" t="d">
        <v>2017-07-11</v>
      </c>
      <c r="F305">
        <v>2.14</v>
      </c>
      <c r="G305">
        <v>1.1599999999999999</v>
      </c>
      <c r="H305">
        <v>250</v>
      </c>
      <c r="I305">
        <v>140</v>
      </c>
      <c r="J305">
        <v>1.72</v>
      </c>
      <c r="K305">
        <v>1.18</v>
      </c>
      <c r="L305">
        <v>1.54</v>
      </c>
      <c r="O305">
        <v>4</v>
      </c>
    </row>
    <row r="306" spans="1:15" x14ac:dyDescent="0.25">
      <c r="A306">
        <v>305</v>
      </c>
      <c r="B306" t="s">
        <v>828</v>
      </c>
      <c r="D306" t="str">
        <f t="shared" si="4"/>
        <v>COSU</v>
      </c>
      <c r="E306" s="3" t="d">
        <v>2017-07-11</v>
      </c>
      <c r="F306">
        <v>4.3</v>
      </c>
      <c r="G306">
        <v>2.7</v>
      </c>
      <c r="H306">
        <v>181</v>
      </c>
      <c r="I306">
        <v>100</v>
      </c>
      <c r="J306">
        <v>10.61</v>
      </c>
      <c r="K306">
        <v>7.84</v>
      </c>
      <c r="L306">
        <v>12.76</v>
      </c>
      <c r="O306">
        <v>3</v>
      </c>
    </row>
    <row r="307" spans="1:15" x14ac:dyDescent="0.25">
      <c r="A307">
        <v>306</v>
      </c>
      <c r="B307" t="s">
        <v>827</v>
      </c>
      <c r="D307" t="str">
        <f t="shared" si="4"/>
        <v>COSU</v>
      </c>
      <c r="E307" s="3" t="d">
        <v>2017-07-11</v>
      </c>
      <c r="F307">
        <v>4.7</v>
      </c>
      <c r="G307">
        <v>4.0999999999999996</v>
      </c>
      <c r="H307">
        <v>221</v>
      </c>
      <c r="I307">
        <v>120</v>
      </c>
      <c r="J307">
        <v>10.87</v>
      </c>
      <c r="K307">
        <v>19.309999999999999</v>
      </c>
      <c r="L307">
        <v>8.49</v>
      </c>
      <c r="O307">
        <v>3</v>
      </c>
    </row>
    <row r="308" spans="1:15" x14ac:dyDescent="0.25">
      <c r="A308">
        <v>307</v>
      </c>
      <c r="B308" t="s">
        <v>837</v>
      </c>
      <c r="D308" t="str">
        <f t="shared" si="4"/>
        <v>PEOB</v>
      </c>
      <c r="E308" s="3" t="d">
        <v>2017-07-11</v>
      </c>
      <c r="F308">
        <v>14.4</v>
      </c>
      <c r="G308" t="s">
        <v>856</v>
      </c>
      <c r="H308">
        <v>670</v>
      </c>
      <c r="I308">
        <v>400</v>
      </c>
      <c r="J308">
        <v>7.54</v>
      </c>
      <c r="K308">
        <v>3.64</v>
      </c>
      <c r="L308">
        <v>4.87</v>
      </c>
      <c r="O308">
        <v>5</v>
      </c>
    </row>
    <row r="309" spans="1:15" x14ac:dyDescent="0.25">
      <c r="A309">
        <v>308</v>
      </c>
      <c r="B309" t="s">
        <v>832</v>
      </c>
      <c r="D309" t="str">
        <f t="shared" si="4"/>
        <v>LUGR</v>
      </c>
      <c r="E309" s="3" t="d">
        <v>2017-07-11</v>
      </c>
      <c r="F309">
        <v>5.8</v>
      </c>
      <c r="G309">
        <v>4.5999999999999996</v>
      </c>
      <c r="H309">
        <v>340</v>
      </c>
      <c r="I309">
        <v>150</v>
      </c>
      <c r="J309">
        <v>10.02</v>
      </c>
      <c r="K309">
        <v>8.6300000000000008</v>
      </c>
      <c r="L309">
        <v>10.68</v>
      </c>
      <c r="O309">
        <v>4</v>
      </c>
    </row>
    <row r="310" spans="1:15" x14ac:dyDescent="0.25">
      <c r="A310">
        <v>309</v>
      </c>
      <c r="B310" t="s">
        <v>772</v>
      </c>
      <c r="D310" t="str">
        <f t="shared" si="4"/>
        <v>ROMO</v>
      </c>
      <c r="E310" s="3" t="d">
        <v>2017-07-05</v>
      </c>
      <c r="F310">
        <v>3.8</v>
      </c>
      <c r="G310">
        <v>1.6579999999999999</v>
      </c>
      <c r="H310">
        <v>220</v>
      </c>
      <c r="I310">
        <v>76</v>
      </c>
      <c r="J310">
        <v>6.64</v>
      </c>
      <c r="K310">
        <v>4.03</v>
      </c>
      <c r="L310">
        <v>4.07</v>
      </c>
      <c r="O310">
        <v>3</v>
      </c>
    </row>
    <row r="311" spans="1:15" x14ac:dyDescent="0.25">
      <c r="A311">
        <v>310</v>
      </c>
      <c r="B311" t="s">
        <v>770</v>
      </c>
      <c r="D311" t="str">
        <f t="shared" si="4"/>
        <v>DUFU</v>
      </c>
      <c r="E311" s="3" t="d">
        <v>2017-07-05</v>
      </c>
      <c r="F311">
        <v>3.2</v>
      </c>
      <c r="G311">
        <v>0.65400000000000003</v>
      </c>
      <c r="H311">
        <v>166</v>
      </c>
      <c r="I311">
        <v>44</v>
      </c>
      <c r="J311">
        <v>2.3199999999999998</v>
      </c>
      <c r="K311">
        <v>4.08</v>
      </c>
      <c r="L311">
        <v>2.4</v>
      </c>
      <c r="O311">
        <v>3</v>
      </c>
    </row>
    <row r="312" spans="1:15" x14ac:dyDescent="0.25">
      <c r="A312">
        <v>311</v>
      </c>
      <c r="B312" t="s">
        <v>773</v>
      </c>
      <c r="D312" t="str">
        <f t="shared" si="4"/>
        <v>ERGR</v>
      </c>
      <c r="E312" s="3" t="d">
        <v>2017-07-05</v>
      </c>
      <c r="F312">
        <v>8.1</v>
      </c>
      <c r="G312">
        <v>7.4</v>
      </c>
      <c r="H312">
        <v>250</v>
      </c>
      <c r="I312">
        <v>50</v>
      </c>
      <c r="J312">
        <v>18.440000000000001</v>
      </c>
      <c r="K312">
        <v>17.93</v>
      </c>
      <c r="L312">
        <v>15.35</v>
      </c>
      <c r="O312">
        <v>3</v>
      </c>
    </row>
    <row r="313" spans="1:15" x14ac:dyDescent="0.25">
      <c r="A313">
        <v>312</v>
      </c>
      <c r="B313" t="s">
        <v>769</v>
      </c>
      <c r="D313" t="str">
        <f t="shared" si="4"/>
        <v>QUGR</v>
      </c>
      <c r="E313" s="3" t="d">
        <v>2017-07-05</v>
      </c>
      <c r="F313">
        <v>10.4</v>
      </c>
      <c r="G313">
        <v>7.3</v>
      </c>
      <c r="H313">
        <v>500</v>
      </c>
      <c r="I313">
        <v>300</v>
      </c>
      <c r="J313">
        <v>15.74</v>
      </c>
      <c r="K313">
        <v>12.96</v>
      </c>
      <c r="L313">
        <v>14.13</v>
      </c>
      <c r="O313">
        <v>4</v>
      </c>
    </row>
    <row r="314" spans="1:15" x14ac:dyDescent="0.25">
      <c r="A314">
        <v>313</v>
      </c>
      <c r="B314" t="s">
        <v>774</v>
      </c>
      <c r="D314" t="str">
        <f t="shared" si="4"/>
        <v>TOFO</v>
      </c>
      <c r="E314" s="3" t="d">
        <v>2017-07-05</v>
      </c>
      <c r="F314">
        <v>1.67</v>
      </c>
      <c r="G314">
        <v>1.23</v>
      </c>
      <c r="H314">
        <v>205</v>
      </c>
      <c r="I314">
        <v>140</v>
      </c>
      <c r="J314">
        <v>0.72</v>
      </c>
      <c r="K314" t="s">
        <v>144</v>
      </c>
      <c r="L314" t="s">
        <v>144</v>
      </c>
      <c r="O314">
        <v>3</v>
      </c>
    </row>
    <row r="315" spans="1:15" x14ac:dyDescent="0.25">
      <c r="A315">
        <v>314</v>
      </c>
      <c r="B315" t="s">
        <v>762</v>
      </c>
      <c r="D315" t="str">
        <f t="shared" si="4"/>
        <v>POTO</v>
      </c>
      <c r="E315" s="3" t="d">
        <v>2017-07-05</v>
      </c>
      <c r="F315">
        <v>21.5</v>
      </c>
      <c r="G315">
        <v>18.5</v>
      </c>
      <c r="H315">
        <v>550</v>
      </c>
      <c r="I315">
        <v>300</v>
      </c>
      <c r="J315">
        <v>29.41</v>
      </c>
      <c r="K315">
        <v>29.93</v>
      </c>
      <c r="L315">
        <v>25.75</v>
      </c>
      <c r="O315">
        <v>4</v>
      </c>
    </row>
    <row r="316" spans="1:15" x14ac:dyDescent="0.25">
      <c r="A316">
        <v>315</v>
      </c>
      <c r="B316" t="s">
        <v>765</v>
      </c>
      <c r="D316" t="str">
        <f t="shared" si="4"/>
        <v>RAFE</v>
      </c>
      <c r="E316" s="3" t="d">
        <v>2017-07-05</v>
      </c>
      <c r="F316">
        <v>2.9</v>
      </c>
      <c r="G316">
        <v>2.4</v>
      </c>
      <c r="H316">
        <v>240</v>
      </c>
      <c r="I316">
        <v>200</v>
      </c>
      <c r="J316">
        <v>1.83</v>
      </c>
      <c r="K316">
        <v>1.77</v>
      </c>
      <c r="L316">
        <v>1.26</v>
      </c>
      <c r="O316">
        <v>3</v>
      </c>
    </row>
    <row r="317" spans="1:15" x14ac:dyDescent="0.25">
      <c r="A317">
        <v>316</v>
      </c>
      <c r="B317" t="s">
        <v>771</v>
      </c>
      <c r="D317" t="str">
        <f t="shared" si="4"/>
        <v>ANDI</v>
      </c>
      <c r="E317" s="3" t="d">
        <v>2017-07-05</v>
      </c>
      <c r="F317">
        <v>0.88</v>
      </c>
      <c r="G317" t="s">
        <v>144</v>
      </c>
      <c r="H317">
        <v>115</v>
      </c>
      <c r="I317">
        <v>70</v>
      </c>
      <c r="J317">
        <v>1.29</v>
      </c>
      <c r="K317" t="s">
        <v>144</v>
      </c>
      <c r="L317" t="s">
        <v>144</v>
      </c>
      <c r="O317">
        <v>3</v>
      </c>
    </row>
    <row r="318" spans="1:15" x14ac:dyDescent="0.25">
      <c r="A318">
        <v>317</v>
      </c>
      <c r="B318" t="s">
        <v>767</v>
      </c>
      <c r="D318" t="str">
        <f t="shared" si="4"/>
        <v>DAEL</v>
      </c>
      <c r="E318" s="3" t="d">
        <v>2017-07-05</v>
      </c>
      <c r="F318" t="s">
        <v>914</v>
      </c>
      <c r="G318" t="s">
        <v>915</v>
      </c>
      <c r="H318">
        <v>200</v>
      </c>
      <c r="I318">
        <v>60</v>
      </c>
      <c r="J318">
        <v>5.53</v>
      </c>
      <c r="K318">
        <v>8.1199999999999992</v>
      </c>
      <c r="L318">
        <v>6.96</v>
      </c>
      <c r="O318">
        <v>4</v>
      </c>
    </row>
    <row r="319" spans="1:15" x14ac:dyDescent="0.25">
      <c r="A319">
        <v>318</v>
      </c>
      <c r="B319" t="s">
        <v>766</v>
      </c>
      <c r="D319" t="str">
        <f t="shared" si="4"/>
        <v>CASY</v>
      </c>
      <c r="E319" s="3" t="d">
        <v>2017-07-05</v>
      </c>
      <c r="F319">
        <v>1.48</v>
      </c>
      <c r="G319">
        <v>0.78</v>
      </c>
      <c r="H319">
        <v>185</v>
      </c>
      <c r="I319">
        <v>100</v>
      </c>
      <c r="J319">
        <v>1.47</v>
      </c>
      <c r="K319" t="s">
        <v>144</v>
      </c>
      <c r="L319" t="s">
        <v>144</v>
      </c>
      <c r="O319">
        <v>3</v>
      </c>
    </row>
    <row r="320" spans="1:15" x14ac:dyDescent="0.25">
      <c r="A320">
        <v>319</v>
      </c>
      <c r="B320" t="s">
        <v>759</v>
      </c>
      <c r="D320" t="str">
        <f t="shared" si="4"/>
        <v>SYPU</v>
      </c>
      <c r="E320" s="3" t="d">
        <v>2017-07-05</v>
      </c>
      <c r="F320">
        <v>4.8</v>
      </c>
      <c r="G320">
        <v>3</v>
      </c>
      <c r="H320">
        <v>450</v>
      </c>
      <c r="I320">
        <v>215</v>
      </c>
      <c r="J320">
        <v>10.59</v>
      </c>
      <c r="K320">
        <v>10.51</v>
      </c>
      <c r="L320">
        <v>13.96</v>
      </c>
      <c r="O320">
        <v>3</v>
      </c>
    </row>
    <row r="321" spans="1:15" x14ac:dyDescent="0.25">
      <c r="A321">
        <v>320</v>
      </c>
      <c r="B321" t="s">
        <v>760</v>
      </c>
      <c r="D321" t="str">
        <f t="shared" si="4"/>
        <v>ERGR</v>
      </c>
      <c r="E321" s="3" t="d">
        <v>2017-07-05</v>
      </c>
      <c r="F321">
        <v>11.8</v>
      </c>
      <c r="G321">
        <v>11.5</v>
      </c>
      <c r="H321">
        <v>400</v>
      </c>
      <c r="I321">
        <v>240</v>
      </c>
      <c r="J321">
        <v>24.04</v>
      </c>
      <c r="K321">
        <v>25.77</v>
      </c>
      <c r="L321">
        <v>28.93</v>
      </c>
      <c r="O321">
        <v>4</v>
      </c>
    </row>
    <row r="322" spans="1:15" x14ac:dyDescent="0.25">
      <c r="A322">
        <v>321</v>
      </c>
      <c r="B322" t="s">
        <v>886</v>
      </c>
      <c r="D322" t="str">
        <f t="shared" si="4"/>
        <v>CAGU</v>
      </c>
      <c r="E322" s="3" t="d">
        <v>2017-07-14</v>
      </c>
      <c r="F322">
        <v>6.9</v>
      </c>
      <c r="G322">
        <v>5.9</v>
      </c>
      <c r="H322">
        <v>500</v>
      </c>
      <c r="I322">
        <v>420</v>
      </c>
      <c r="J322">
        <v>1.52</v>
      </c>
      <c r="K322">
        <v>1.76</v>
      </c>
      <c r="L322">
        <v>1.04</v>
      </c>
      <c r="O322">
        <v>3</v>
      </c>
    </row>
    <row r="323" spans="1:15" x14ac:dyDescent="0.25">
      <c r="A323">
        <v>322</v>
      </c>
      <c r="B323" t="s">
        <v>884</v>
      </c>
      <c r="D323" t="str">
        <f t="shared" si="4"/>
        <v>OCVE</v>
      </c>
      <c r="E323" s="3" t="d">
        <v>2017-07-14</v>
      </c>
      <c r="F323">
        <v>8.1</v>
      </c>
      <c r="G323">
        <v>7</v>
      </c>
      <c r="H323">
        <v>500</v>
      </c>
      <c r="I323">
        <v>262</v>
      </c>
      <c r="J323">
        <v>6.04</v>
      </c>
      <c r="K323">
        <v>5.7</v>
      </c>
      <c r="L323">
        <v>5.74</v>
      </c>
      <c r="O323">
        <v>3</v>
      </c>
    </row>
    <row r="324" spans="1:15" x14ac:dyDescent="0.25">
      <c r="A324">
        <v>323</v>
      </c>
      <c r="B324" t="s">
        <v>857</v>
      </c>
      <c r="D324" t="str">
        <f t="shared" si="4"/>
        <v>CAGU</v>
      </c>
      <c r="E324" s="3" t="d">
        <v>2017-07-14</v>
      </c>
      <c r="F324">
        <v>6.5</v>
      </c>
      <c r="G324">
        <v>6</v>
      </c>
      <c r="H324">
        <v>570</v>
      </c>
      <c r="I324">
        <v>372</v>
      </c>
      <c r="J324">
        <v>1.29</v>
      </c>
      <c r="K324">
        <v>1.68</v>
      </c>
      <c r="L324">
        <v>1.8</v>
      </c>
      <c r="O324">
        <v>3</v>
      </c>
    </row>
    <row r="325" spans="1:15" x14ac:dyDescent="0.25">
      <c r="A325">
        <v>324</v>
      </c>
      <c r="B325" t="s">
        <v>878</v>
      </c>
      <c r="D325" t="str">
        <f t="shared" si="4"/>
        <v>CAGU</v>
      </c>
      <c r="E325" s="3" t="d">
        <v>2017-07-14</v>
      </c>
      <c r="F325">
        <v>7.1</v>
      </c>
      <c r="G325">
        <v>6.6</v>
      </c>
      <c r="H325">
        <v>745</v>
      </c>
      <c r="I325">
        <v>378</v>
      </c>
      <c r="J325">
        <v>2.3199999999999998</v>
      </c>
      <c r="K325">
        <v>3.32</v>
      </c>
      <c r="L325">
        <v>1.32</v>
      </c>
      <c r="O325">
        <v>3</v>
      </c>
    </row>
    <row r="326" spans="1:15" x14ac:dyDescent="0.25">
      <c r="A326">
        <v>325</v>
      </c>
      <c r="B326" t="s">
        <v>937</v>
      </c>
      <c r="D326" t="str">
        <f t="shared" si="4"/>
        <v>OCVE</v>
      </c>
      <c r="E326" s="3" t="d">
        <v>2017-07-14</v>
      </c>
      <c r="F326">
        <v>7.6</v>
      </c>
      <c r="G326">
        <v>5.3</v>
      </c>
      <c r="H326">
        <v>652</v>
      </c>
      <c r="I326">
        <v>412</v>
      </c>
      <c r="J326">
        <v>6.66</v>
      </c>
      <c r="K326">
        <v>7.39</v>
      </c>
      <c r="L326">
        <v>6.92</v>
      </c>
      <c r="O326">
        <v>3</v>
      </c>
    </row>
    <row r="327" spans="1:15" x14ac:dyDescent="0.25">
      <c r="A327">
        <v>326</v>
      </c>
      <c r="B327" t="s">
        <v>938</v>
      </c>
      <c r="D327" t="str">
        <f t="shared" si="4"/>
        <v>OCMI</v>
      </c>
      <c r="E327" s="3" t="d">
        <v>2017-07-14</v>
      </c>
      <c r="F327">
        <v>6.5</v>
      </c>
      <c r="G327">
        <v>5.0999999999999996</v>
      </c>
      <c r="H327">
        <v>543</v>
      </c>
      <c r="I327">
        <v>262</v>
      </c>
      <c r="J327">
        <v>5.68</v>
      </c>
      <c r="K327">
        <v>5.78</v>
      </c>
      <c r="L327">
        <v>7.75</v>
      </c>
      <c r="O327">
        <v>3</v>
      </c>
    </row>
    <row r="328" spans="1:15" x14ac:dyDescent="0.25">
      <c r="A328">
        <v>327</v>
      </c>
      <c r="B328" t="s">
        <v>880</v>
      </c>
      <c r="D328" t="str">
        <f t="shared" si="4"/>
        <v>EUMY</v>
      </c>
      <c r="E328" s="3" t="d">
        <v>2017-07-14</v>
      </c>
      <c r="F328">
        <v>5.2</v>
      </c>
      <c r="G328">
        <v>4</v>
      </c>
      <c r="H328">
        <v>585</v>
      </c>
      <c r="I328">
        <v>452</v>
      </c>
      <c r="J328">
        <v>4.5</v>
      </c>
      <c r="K328">
        <v>4.4000000000000004</v>
      </c>
      <c r="L328">
        <v>4.6399999999999997</v>
      </c>
      <c r="O328">
        <v>3</v>
      </c>
    </row>
    <row r="329" spans="1:15" x14ac:dyDescent="0.25">
      <c r="A329">
        <v>328</v>
      </c>
      <c r="B329" t="s">
        <v>883</v>
      </c>
      <c r="D329" t="str">
        <f t="shared" ref="D329:D392" si="5">LEFT(B329,4)</f>
        <v>OCVE</v>
      </c>
      <c r="E329" s="3" t="d">
        <v>2017-07-14</v>
      </c>
      <c r="F329">
        <v>3.8</v>
      </c>
      <c r="G329">
        <v>3.5</v>
      </c>
      <c r="H329">
        <v>632</v>
      </c>
      <c r="I329">
        <v>385</v>
      </c>
      <c r="J329">
        <v>3.87</v>
      </c>
      <c r="K329">
        <v>2.9</v>
      </c>
      <c r="L329">
        <v>3.01</v>
      </c>
      <c r="O329">
        <v>4</v>
      </c>
    </row>
    <row r="330" spans="1:15" x14ac:dyDescent="0.25">
      <c r="A330">
        <v>329</v>
      </c>
      <c r="B330" t="s">
        <v>879</v>
      </c>
      <c r="D330" t="str">
        <f t="shared" si="5"/>
        <v>OCMI</v>
      </c>
      <c r="E330" s="3" t="d">
        <v>2017-07-14</v>
      </c>
      <c r="F330">
        <v>16.5</v>
      </c>
      <c r="G330">
        <v>14.2</v>
      </c>
      <c r="H330">
        <v>1000</v>
      </c>
      <c r="I330">
        <v>422</v>
      </c>
      <c r="J330">
        <v>12.86</v>
      </c>
      <c r="K330">
        <v>9.08</v>
      </c>
      <c r="L330">
        <v>10.54</v>
      </c>
      <c r="O330">
        <v>4</v>
      </c>
    </row>
    <row r="331" spans="1:15" x14ac:dyDescent="0.25">
      <c r="A331">
        <v>330</v>
      </c>
      <c r="B331" t="s">
        <v>862</v>
      </c>
      <c r="D331" t="str">
        <f t="shared" si="5"/>
        <v>CASY</v>
      </c>
      <c r="E331" s="3" t="d">
        <v>2017-07-14</v>
      </c>
      <c r="F331">
        <v>6.5</v>
      </c>
      <c r="G331">
        <v>6.2</v>
      </c>
      <c r="H331">
        <v>700</v>
      </c>
      <c r="I331">
        <v>470</v>
      </c>
      <c r="J331">
        <v>5.03</v>
      </c>
      <c r="K331">
        <v>4.45</v>
      </c>
      <c r="L331">
        <v>3.5</v>
      </c>
      <c r="O331">
        <v>3</v>
      </c>
    </row>
    <row r="332" spans="1:15" x14ac:dyDescent="0.25">
      <c r="A332">
        <v>331</v>
      </c>
      <c r="B332" t="s">
        <v>863</v>
      </c>
      <c r="D332" t="str">
        <f t="shared" si="5"/>
        <v>COLA</v>
      </c>
      <c r="E332" s="3" t="d">
        <v>2017-07-14</v>
      </c>
      <c r="F332">
        <v>6.3</v>
      </c>
      <c r="G332">
        <v>5.0999999999999996</v>
      </c>
      <c r="H332">
        <v>600</v>
      </c>
      <c r="I332">
        <v>269</v>
      </c>
      <c r="J332">
        <v>6.79</v>
      </c>
      <c r="K332" s="4">
        <v>4.04</v>
      </c>
      <c r="L332" s="4">
        <v>4.33</v>
      </c>
      <c r="O332">
        <v>2</v>
      </c>
    </row>
    <row r="333" spans="1:15" x14ac:dyDescent="0.25">
      <c r="A333">
        <v>332</v>
      </c>
      <c r="B333" t="s">
        <v>888</v>
      </c>
      <c r="D333" t="str">
        <f t="shared" si="5"/>
        <v>OCMI</v>
      </c>
      <c r="E333" s="3" t="d">
        <v>2017-07-14</v>
      </c>
      <c r="F333">
        <v>4.0999999999999996</v>
      </c>
      <c r="G333">
        <v>2.6</v>
      </c>
      <c r="H333">
        <v>543</v>
      </c>
      <c r="I333">
        <v>160</v>
      </c>
      <c r="J333">
        <v>7.56</v>
      </c>
      <c r="K333">
        <v>6.51</v>
      </c>
      <c r="L333">
        <v>8.09</v>
      </c>
      <c r="O333">
        <v>4</v>
      </c>
    </row>
    <row r="334" spans="1:15" x14ac:dyDescent="0.25">
      <c r="A334">
        <v>333</v>
      </c>
      <c r="B334" t="s">
        <v>864</v>
      </c>
      <c r="D334" t="str">
        <f t="shared" si="5"/>
        <v>SIGU</v>
      </c>
      <c r="E334" s="3" t="d">
        <v>2017-07-14</v>
      </c>
      <c r="F334" t="s">
        <v>939</v>
      </c>
      <c r="G334" t="s">
        <v>940</v>
      </c>
      <c r="H334">
        <v>240</v>
      </c>
      <c r="I334">
        <v>35</v>
      </c>
      <c r="J334">
        <v>0.96</v>
      </c>
      <c r="K334">
        <v>0.99</v>
      </c>
      <c r="L334" t="s">
        <v>144</v>
      </c>
      <c r="O334">
        <v>2</v>
      </c>
    </row>
    <row r="335" spans="1:15" x14ac:dyDescent="0.25">
      <c r="A335">
        <v>334</v>
      </c>
      <c r="B335" t="s">
        <v>868</v>
      </c>
      <c r="D335" t="str">
        <f t="shared" si="5"/>
        <v>OCVE</v>
      </c>
      <c r="E335" s="3" t="d">
        <v>2017-07-14</v>
      </c>
      <c r="F335">
        <v>11.5</v>
      </c>
      <c r="G335">
        <v>9.6</v>
      </c>
      <c r="H335">
        <v>707</v>
      </c>
      <c r="I335">
        <v>471</v>
      </c>
      <c r="J335">
        <v>10.49</v>
      </c>
      <c r="K335">
        <v>9.9700000000000006</v>
      </c>
      <c r="L335">
        <v>8.9499999999999993</v>
      </c>
      <c r="O335">
        <v>2</v>
      </c>
    </row>
    <row r="336" spans="1:15" x14ac:dyDescent="0.25">
      <c r="A336">
        <v>335</v>
      </c>
      <c r="B336" t="s">
        <v>875</v>
      </c>
      <c r="D336" t="str">
        <f t="shared" si="5"/>
        <v>OCMI</v>
      </c>
      <c r="E336" s="3" t="d">
        <v>2017-07-14</v>
      </c>
      <c r="F336">
        <v>2.1</v>
      </c>
      <c r="G336">
        <v>1.8</v>
      </c>
      <c r="H336">
        <v>520</v>
      </c>
      <c r="I336">
        <v>110</v>
      </c>
      <c r="J336">
        <v>4.32</v>
      </c>
      <c r="K336">
        <v>3.94</v>
      </c>
      <c r="L336">
        <v>4.13</v>
      </c>
      <c r="O336">
        <v>2</v>
      </c>
    </row>
    <row r="337" spans="1:16" x14ac:dyDescent="0.25">
      <c r="A337">
        <v>336</v>
      </c>
      <c r="B337" t="s">
        <v>876</v>
      </c>
      <c r="D337" t="str">
        <f t="shared" si="5"/>
        <v>CAGU</v>
      </c>
      <c r="E337" s="3" t="d">
        <v>2017-07-14</v>
      </c>
      <c r="F337">
        <v>2.2000000000000002</v>
      </c>
      <c r="G337">
        <v>1.4</v>
      </c>
      <c r="H337">
        <v>259</v>
      </c>
      <c r="I337">
        <v>90</v>
      </c>
      <c r="J337">
        <v>0.9</v>
      </c>
      <c r="K337">
        <v>1.22</v>
      </c>
      <c r="L337">
        <v>0.91</v>
      </c>
      <c r="O337">
        <v>2</v>
      </c>
    </row>
    <row r="338" spans="1:16" x14ac:dyDescent="0.25">
      <c r="A338">
        <v>337</v>
      </c>
      <c r="B338" t="s">
        <v>860</v>
      </c>
      <c r="D338" t="str">
        <f t="shared" si="5"/>
        <v>SIGU</v>
      </c>
      <c r="E338" s="3" t="d">
        <v>2017-07-14</v>
      </c>
      <c r="F338">
        <v>3.9</v>
      </c>
      <c r="G338">
        <v>3.4</v>
      </c>
      <c r="H338">
        <v>650</v>
      </c>
      <c r="I338">
        <v>262</v>
      </c>
      <c r="J338">
        <v>2.2000000000000002</v>
      </c>
      <c r="K338">
        <v>1.84</v>
      </c>
      <c r="L338">
        <v>2.11</v>
      </c>
      <c r="O338">
        <v>3</v>
      </c>
    </row>
    <row r="339" spans="1:16" x14ac:dyDescent="0.25">
      <c r="A339">
        <v>338</v>
      </c>
      <c r="B339" t="s">
        <v>861</v>
      </c>
      <c r="D339" t="str">
        <f t="shared" si="5"/>
        <v>CAGU</v>
      </c>
      <c r="E339" s="3" t="d">
        <v>2017-07-14</v>
      </c>
      <c r="F339">
        <v>10.199999999999999</v>
      </c>
      <c r="G339">
        <v>9</v>
      </c>
      <c r="H339">
        <v>654</v>
      </c>
      <c r="I339">
        <v>210</v>
      </c>
      <c r="J339">
        <v>2.52</v>
      </c>
      <c r="K339">
        <v>2.5099999999999998</v>
      </c>
      <c r="L339">
        <v>1.94</v>
      </c>
      <c r="O339">
        <v>2</v>
      </c>
    </row>
    <row r="340" spans="1:16" x14ac:dyDescent="0.25">
      <c r="A340">
        <v>339</v>
      </c>
      <c r="B340" t="s">
        <v>877</v>
      </c>
      <c r="D340" t="str">
        <f t="shared" si="5"/>
        <v>OCVE</v>
      </c>
      <c r="E340" s="3" t="d">
        <v>2017-07-14</v>
      </c>
      <c r="F340">
        <v>5.0999999999999996</v>
      </c>
      <c r="G340">
        <v>2.7</v>
      </c>
      <c r="H340">
        <v>487</v>
      </c>
      <c r="I340">
        <v>410</v>
      </c>
      <c r="J340">
        <v>5.45</v>
      </c>
      <c r="K340">
        <v>5.0999999999999996</v>
      </c>
      <c r="L340">
        <v>7.82</v>
      </c>
      <c r="O340">
        <v>2</v>
      </c>
    </row>
    <row r="341" spans="1:16" x14ac:dyDescent="0.25">
      <c r="A341">
        <v>340</v>
      </c>
      <c r="B341" t="s">
        <v>874</v>
      </c>
      <c r="D341" t="str">
        <f t="shared" si="5"/>
        <v>OCVE</v>
      </c>
      <c r="E341" s="3" t="d">
        <v>2017-07-14</v>
      </c>
      <c r="F341">
        <v>10.199999999999999</v>
      </c>
      <c r="G341">
        <v>8.5</v>
      </c>
      <c r="H341">
        <v>512</v>
      </c>
      <c r="I341">
        <v>345</v>
      </c>
      <c r="J341">
        <v>9.69</v>
      </c>
      <c r="K341">
        <v>12.33</v>
      </c>
      <c r="L341">
        <v>11.75</v>
      </c>
      <c r="O341">
        <v>3</v>
      </c>
    </row>
    <row r="342" spans="1:16" x14ac:dyDescent="0.25">
      <c r="A342">
        <v>341</v>
      </c>
      <c r="B342" t="s">
        <v>865</v>
      </c>
      <c r="D342" t="str">
        <f t="shared" si="5"/>
        <v>OCMI</v>
      </c>
      <c r="E342" s="3" t="d">
        <v>2017-07-14</v>
      </c>
      <c r="F342">
        <v>2.5</v>
      </c>
      <c r="G342">
        <v>2.1</v>
      </c>
      <c r="H342">
        <v>412</v>
      </c>
      <c r="I342">
        <v>238</v>
      </c>
      <c r="J342">
        <v>4.9800000000000004</v>
      </c>
      <c r="K342">
        <v>4.49</v>
      </c>
      <c r="L342">
        <v>4.74</v>
      </c>
      <c r="O342">
        <v>2</v>
      </c>
    </row>
    <row r="343" spans="1:16" x14ac:dyDescent="0.25">
      <c r="A343">
        <v>342</v>
      </c>
      <c r="B343" t="s">
        <v>902</v>
      </c>
      <c r="D343" t="str">
        <f t="shared" si="5"/>
        <v>EUMY</v>
      </c>
      <c r="E343" s="3" t="d">
        <v>2017-07-14</v>
      </c>
      <c r="F343">
        <v>8.6</v>
      </c>
      <c r="G343">
        <v>7.9</v>
      </c>
      <c r="H343">
        <v>800</v>
      </c>
      <c r="I343">
        <v>433</v>
      </c>
      <c r="J343">
        <v>5.35</v>
      </c>
      <c r="K343">
        <v>5.3</v>
      </c>
      <c r="L343">
        <v>5.45</v>
      </c>
      <c r="O343">
        <v>3</v>
      </c>
      <c r="P343" t="s">
        <v>1143</v>
      </c>
    </row>
    <row r="344" spans="1:16" x14ac:dyDescent="0.25">
      <c r="A344">
        <v>343</v>
      </c>
      <c r="B344" t="s">
        <v>871</v>
      </c>
      <c r="D344" t="str">
        <f t="shared" si="5"/>
        <v>ANCA</v>
      </c>
      <c r="E344" s="3" t="d">
        <v>2017-07-14</v>
      </c>
      <c r="F344">
        <v>27.3</v>
      </c>
      <c r="G344">
        <v>24.1</v>
      </c>
      <c r="H344">
        <v>1000</v>
      </c>
      <c r="I344">
        <v>636</v>
      </c>
      <c r="J344">
        <v>8.14</v>
      </c>
      <c r="K344" t="s">
        <v>144</v>
      </c>
      <c r="L344" t="s">
        <v>144</v>
      </c>
      <c r="O344">
        <v>4</v>
      </c>
    </row>
    <row r="345" spans="1:16" x14ac:dyDescent="0.25">
      <c r="A345">
        <v>344</v>
      </c>
      <c r="B345" t="s">
        <v>988</v>
      </c>
      <c r="D345" t="str">
        <f t="shared" si="5"/>
        <v>MYVE</v>
      </c>
      <c r="E345" s="3" t="d">
        <v>2017-07-24</v>
      </c>
      <c r="F345">
        <v>18.600000000000001</v>
      </c>
      <c r="G345">
        <v>16.2</v>
      </c>
      <c r="H345">
        <v>920</v>
      </c>
      <c r="I345">
        <v>410</v>
      </c>
      <c r="J345">
        <v>5.35</v>
      </c>
      <c r="K345">
        <v>5.33</v>
      </c>
      <c r="L345">
        <v>6.03</v>
      </c>
      <c r="O345">
        <v>4</v>
      </c>
      <c r="P345">
        <v>4200</v>
      </c>
    </row>
    <row r="346" spans="1:16" x14ac:dyDescent="0.25">
      <c r="A346">
        <v>345</v>
      </c>
      <c r="B346" t="s">
        <v>1000</v>
      </c>
      <c r="D346" t="str">
        <f t="shared" si="5"/>
        <v>EUPU</v>
      </c>
      <c r="E346" s="3" t="d">
        <v>2017-07-24</v>
      </c>
      <c r="F346">
        <v>3.1</v>
      </c>
      <c r="G346">
        <v>2.9</v>
      </c>
      <c r="H346">
        <v>603</v>
      </c>
      <c r="I346">
        <v>366</v>
      </c>
      <c r="J346">
        <v>1.19</v>
      </c>
      <c r="K346">
        <v>1.44</v>
      </c>
      <c r="L346">
        <v>1.1599999999999999</v>
      </c>
      <c r="O346">
        <v>3</v>
      </c>
      <c r="P346">
        <v>4252</v>
      </c>
    </row>
    <row r="347" spans="1:16" x14ac:dyDescent="0.25">
      <c r="A347">
        <v>346</v>
      </c>
      <c r="B347" t="s">
        <v>999</v>
      </c>
      <c r="D347" t="str">
        <f t="shared" si="5"/>
        <v>GUNI</v>
      </c>
      <c r="E347" s="3" t="d">
        <v>2017-07-24</v>
      </c>
      <c r="F347">
        <v>9.5</v>
      </c>
      <c r="G347">
        <v>8.4</v>
      </c>
      <c r="H347">
        <v>840</v>
      </c>
      <c r="I347">
        <v>497</v>
      </c>
      <c r="J347">
        <v>5.53</v>
      </c>
      <c r="K347">
        <v>3.06</v>
      </c>
      <c r="L347">
        <v>4.54</v>
      </c>
      <c r="O347">
        <v>4</v>
      </c>
      <c r="P347">
        <v>4244</v>
      </c>
    </row>
    <row r="348" spans="1:16" x14ac:dyDescent="0.25">
      <c r="A348">
        <v>347</v>
      </c>
      <c r="B348" t="s">
        <v>996</v>
      </c>
      <c r="D348" t="str">
        <f t="shared" si="5"/>
        <v>MYVE</v>
      </c>
      <c r="E348" s="3" t="d">
        <v>2017-07-24</v>
      </c>
      <c r="F348" t="s">
        <v>1009</v>
      </c>
      <c r="G348" t="s">
        <v>1011</v>
      </c>
      <c r="H348">
        <v>860</v>
      </c>
      <c r="I348">
        <v>400</v>
      </c>
      <c r="J348">
        <v>4.72</v>
      </c>
      <c r="K348">
        <v>3.32</v>
      </c>
      <c r="L348">
        <v>3.97</v>
      </c>
      <c r="O348">
        <v>4</v>
      </c>
      <c r="P348">
        <v>4313</v>
      </c>
    </row>
    <row r="349" spans="1:16" x14ac:dyDescent="0.25">
      <c r="A349">
        <v>348</v>
      </c>
      <c r="B349" t="s">
        <v>1006</v>
      </c>
      <c r="D349" t="str">
        <f t="shared" si="5"/>
        <v>EUPU</v>
      </c>
      <c r="E349" s="3" t="d">
        <v>2017-07-24</v>
      </c>
      <c r="F349">
        <v>5.7</v>
      </c>
      <c r="G349">
        <v>4.9000000000000004</v>
      </c>
      <c r="H349">
        <v>637</v>
      </c>
      <c r="I349">
        <v>545</v>
      </c>
      <c r="J349">
        <v>1.94</v>
      </c>
      <c r="K349">
        <v>1.69</v>
      </c>
      <c r="L349">
        <v>1.97</v>
      </c>
      <c r="O349">
        <v>3</v>
      </c>
      <c r="P349">
        <v>4329</v>
      </c>
    </row>
    <row r="350" spans="1:16" x14ac:dyDescent="0.25">
      <c r="A350">
        <v>349</v>
      </c>
      <c r="B350" t="s">
        <v>997</v>
      </c>
      <c r="D350" t="str">
        <f t="shared" si="5"/>
        <v>PLRE</v>
      </c>
      <c r="E350" s="3" t="d">
        <v>2017-07-24</v>
      </c>
      <c r="F350">
        <v>18.899999999999999</v>
      </c>
      <c r="G350">
        <v>18.8</v>
      </c>
      <c r="H350">
        <v>725</v>
      </c>
      <c r="I350">
        <v>521</v>
      </c>
      <c r="J350">
        <v>12.54</v>
      </c>
      <c r="K350">
        <v>11.14</v>
      </c>
      <c r="L350">
        <v>9.93</v>
      </c>
      <c r="O350">
        <v>3</v>
      </c>
      <c r="P350">
        <v>4332</v>
      </c>
    </row>
    <row r="351" spans="1:16" x14ac:dyDescent="0.25">
      <c r="A351">
        <v>350</v>
      </c>
      <c r="B351" t="s">
        <v>1007</v>
      </c>
      <c r="D351" t="str">
        <f t="shared" si="5"/>
        <v>CUTE</v>
      </c>
      <c r="E351" s="3" t="d">
        <v>2017-07-24</v>
      </c>
      <c r="F351" t="s">
        <v>1010</v>
      </c>
      <c r="G351" t="s">
        <v>1012</v>
      </c>
      <c r="H351">
        <v>320</v>
      </c>
      <c r="I351">
        <v>130</v>
      </c>
      <c r="J351">
        <v>0.65</v>
      </c>
      <c r="K351" t="s">
        <v>144</v>
      </c>
      <c r="L351" t="s">
        <v>144</v>
      </c>
      <c r="O351">
        <v>3</v>
      </c>
    </row>
    <row r="352" spans="1:16" x14ac:dyDescent="0.25">
      <c r="A352">
        <v>351</v>
      </c>
      <c r="B352" t="s">
        <v>1008</v>
      </c>
      <c r="D352" t="str">
        <f t="shared" si="5"/>
        <v>CUTE</v>
      </c>
      <c r="E352" s="3" t="d">
        <v>2017-07-24</v>
      </c>
      <c r="F352">
        <v>2.87</v>
      </c>
      <c r="G352">
        <v>1.89</v>
      </c>
      <c r="H352">
        <v>270</v>
      </c>
      <c r="I352">
        <v>150</v>
      </c>
      <c r="J352">
        <v>1.27</v>
      </c>
      <c r="K352" t="s">
        <v>144</v>
      </c>
      <c r="L352" t="s">
        <v>144</v>
      </c>
      <c r="O352">
        <v>4</v>
      </c>
    </row>
    <row r="353" spans="1:16" x14ac:dyDescent="0.25">
      <c r="A353">
        <v>352</v>
      </c>
      <c r="B353" t="s">
        <v>1004</v>
      </c>
      <c r="D353" t="str">
        <f t="shared" si="5"/>
        <v>CUTE</v>
      </c>
      <c r="E353" s="3" t="d">
        <v>2017-07-24</v>
      </c>
      <c r="F353">
        <v>1.75</v>
      </c>
      <c r="G353">
        <v>1.04</v>
      </c>
      <c r="H353">
        <v>220</v>
      </c>
      <c r="I353">
        <v>60</v>
      </c>
      <c r="J353">
        <v>0.74</v>
      </c>
      <c r="K353" t="s">
        <v>144</v>
      </c>
      <c r="L353" t="s">
        <v>144</v>
      </c>
      <c r="O353">
        <v>4</v>
      </c>
    </row>
    <row r="354" spans="1:16" x14ac:dyDescent="0.25">
      <c r="A354">
        <v>353</v>
      </c>
      <c r="B354" t="s">
        <v>1003</v>
      </c>
      <c r="D354" t="str">
        <f t="shared" si="5"/>
        <v>MYVE</v>
      </c>
      <c r="E354" s="3" t="d">
        <v>2017-07-24</v>
      </c>
      <c r="F354">
        <v>15.2</v>
      </c>
      <c r="G354">
        <v>13.5</v>
      </c>
      <c r="H354">
        <v>910</v>
      </c>
      <c r="I354">
        <v>480</v>
      </c>
      <c r="J354">
        <v>7.11</v>
      </c>
      <c r="K354">
        <v>8.17</v>
      </c>
      <c r="L354">
        <v>7.11</v>
      </c>
      <c r="O354">
        <v>4</v>
      </c>
    </row>
    <row r="355" spans="1:16" x14ac:dyDescent="0.25">
      <c r="A355">
        <v>354</v>
      </c>
      <c r="B355" t="s">
        <v>992</v>
      </c>
      <c r="D355" t="str">
        <f t="shared" si="5"/>
        <v>PLRE</v>
      </c>
      <c r="E355" s="3" t="d">
        <v>2017-07-24</v>
      </c>
      <c r="F355">
        <v>17.100000000000001</v>
      </c>
      <c r="G355">
        <v>14.6</v>
      </c>
      <c r="H355">
        <v>533</v>
      </c>
      <c r="I355">
        <v>240</v>
      </c>
      <c r="J355">
        <v>14.76</v>
      </c>
      <c r="K355">
        <v>21.02</v>
      </c>
      <c r="L355">
        <v>19.46</v>
      </c>
      <c r="O355">
        <v>2</v>
      </c>
    </row>
    <row r="356" spans="1:16" x14ac:dyDescent="0.25">
      <c r="A356">
        <v>355</v>
      </c>
      <c r="B356" t="s">
        <v>998</v>
      </c>
      <c r="D356" t="str">
        <f t="shared" si="5"/>
        <v>NECU</v>
      </c>
      <c r="E356" s="3" t="d">
        <v>2017-07-24</v>
      </c>
      <c r="F356">
        <v>7.5</v>
      </c>
      <c r="G356">
        <v>7.3</v>
      </c>
      <c r="H356">
        <v>920</v>
      </c>
      <c r="I356">
        <v>495</v>
      </c>
      <c r="J356">
        <v>2.34</v>
      </c>
      <c r="K356">
        <v>3.03</v>
      </c>
      <c r="L356">
        <v>2.83</v>
      </c>
      <c r="O356">
        <v>3</v>
      </c>
      <c r="P356">
        <v>3474</v>
      </c>
    </row>
    <row r="357" spans="1:16" x14ac:dyDescent="0.25">
      <c r="A357">
        <v>356</v>
      </c>
      <c r="B357" t="s">
        <v>986</v>
      </c>
      <c r="D357" t="str">
        <f t="shared" si="5"/>
        <v>PLRE</v>
      </c>
      <c r="E357" s="3" t="d">
        <v>2017-07-24</v>
      </c>
      <c r="F357">
        <v>18.399999999999999</v>
      </c>
      <c r="G357">
        <v>17.600000000000001</v>
      </c>
      <c r="H357">
        <v>1010</v>
      </c>
      <c r="I357">
        <v>460</v>
      </c>
      <c r="J357">
        <v>14.89</v>
      </c>
      <c r="K357">
        <v>16.239999999999998</v>
      </c>
      <c r="L357">
        <v>24.22</v>
      </c>
      <c r="O357">
        <v>3</v>
      </c>
      <c r="P357">
        <v>4485</v>
      </c>
    </row>
    <row r="358" spans="1:16" x14ac:dyDescent="0.25">
      <c r="A358">
        <v>357</v>
      </c>
      <c r="B358" t="s">
        <v>990</v>
      </c>
      <c r="D358" t="str">
        <f t="shared" si="5"/>
        <v>MYVE</v>
      </c>
      <c r="E358" s="3" t="d">
        <v>2017-07-24</v>
      </c>
      <c r="F358">
        <v>13.4</v>
      </c>
      <c r="G358">
        <v>12.2</v>
      </c>
      <c r="H358">
        <v>1200</v>
      </c>
      <c r="I358">
        <v>445</v>
      </c>
      <c r="J358">
        <v>4.25</v>
      </c>
      <c r="K358">
        <v>4.01</v>
      </c>
      <c r="L358">
        <v>4.0999999999999996</v>
      </c>
      <c r="O358">
        <v>3</v>
      </c>
      <c r="P358">
        <v>4509</v>
      </c>
    </row>
    <row r="359" spans="1:16" x14ac:dyDescent="0.25">
      <c r="A359">
        <v>358</v>
      </c>
      <c r="B359" t="s">
        <v>993</v>
      </c>
      <c r="D359" t="str">
        <f t="shared" si="5"/>
        <v>POTO</v>
      </c>
      <c r="E359" s="3" t="d">
        <v>2017-07-24</v>
      </c>
      <c r="F359">
        <v>15.5</v>
      </c>
      <c r="G359">
        <v>13.3</v>
      </c>
      <c r="H359">
        <v>840</v>
      </c>
      <c r="I359">
        <v>690</v>
      </c>
      <c r="J359">
        <v>22.88</v>
      </c>
      <c r="K359">
        <v>15.45</v>
      </c>
      <c r="L359">
        <v>17.32</v>
      </c>
      <c r="O359">
        <v>3</v>
      </c>
      <c r="P359">
        <v>4512</v>
      </c>
    </row>
    <row r="360" spans="1:16" x14ac:dyDescent="0.25">
      <c r="A360">
        <v>359</v>
      </c>
      <c r="B360" t="s">
        <v>994</v>
      </c>
      <c r="D360" t="str">
        <f t="shared" si="5"/>
        <v>NECU</v>
      </c>
      <c r="E360" s="3" t="d">
        <v>2017-07-24</v>
      </c>
      <c r="F360">
        <v>14.5</v>
      </c>
      <c r="G360">
        <v>13.2</v>
      </c>
      <c r="H360">
        <v>1200</v>
      </c>
      <c r="I360">
        <v>780</v>
      </c>
      <c r="J360">
        <v>5.29</v>
      </c>
      <c r="K360">
        <v>4.5999999999999996</v>
      </c>
      <c r="L360">
        <v>4.1399999999999997</v>
      </c>
      <c r="O360">
        <v>4</v>
      </c>
      <c r="P360">
        <v>4546</v>
      </c>
    </row>
    <row r="361" spans="1:16" x14ac:dyDescent="0.25">
      <c r="A361">
        <v>360</v>
      </c>
      <c r="B361" t="s">
        <v>989</v>
      </c>
      <c r="D361" t="str">
        <f t="shared" si="5"/>
        <v>NECU</v>
      </c>
      <c r="E361" s="3" t="d">
        <v>2017-07-24</v>
      </c>
      <c r="F361">
        <v>6.5</v>
      </c>
      <c r="G361">
        <v>6.4</v>
      </c>
      <c r="H361">
        <v>850</v>
      </c>
      <c r="I361">
        <v>595</v>
      </c>
      <c r="J361">
        <v>3.02</v>
      </c>
      <c r="K361">
        <v>2.62</v>
      </c>
      <c r="L361">
        <v>3.11</v>
      </c>
      <c r="O361">
        <v>3</v>
      </c>
      <c r="P361">
        <v>4547</v>
      </c>
    </row>
    <row r="362" spans="1:16" x14ac:dyDescent="0.25">
      <c r="A362">
        <v>361</v>
      </c>
      <c r="B362" t="s">
        <v>995</v>
      </c>
      <c r="D362" t="str">
        <f t="shared" si="5"/>
        <v>PRHE</v>
      </c>
      <c r="E362" s="3" t="d">
        <v>2017-07-24</v>
      </c>
      <c r="F362">
        <v>10.6</v>
      </c>
      <c r="G362">
        <v>9</v>
      </c>
      <c r="H362">
        <v>890</v>
      </c>
      <c r="I362">
        <v>570</v>
      </c>
      <c r="J362">
        <v>3.64</v>
      </c>
      <c r="K362">
        <v>2.4</v>
      </c>
      <c r="L362">
        <v>2.9</v>
      </c>
      <c r="O362">
        <v>3</v>
      </c>
      <c r="P362">
        <v>4613</v>
      </c>
    </row>
    <row r="363" spans="1:16" x14ac:dyDescent="0.25">
      <c r="A363">
        <v>362</v>
      </c>
      <c r="B363" t="s">
        <v>987</v>
      </c>
      <c r="D363" t="str">
        <f t="shared" si="5"/>
        <v>NECU</v>
      </c>
      <c r="E363" s="3" t="d">
        <v>2017-07-24</v>
      </c>
      <c r="F363">
        <v>3.1</v>
      </c>
      <c r="G363">
        <v>2.8</v>
      </c>
      <c r="H363">
        <v>565</v>
      </c>
      <c r="I363">
        <v>225</v>
      </c>
      <c r="J363">
        <v>1.25</v>
      </c>
      <c r="K363" t="s">
        <v>144</v>
      </c>
      <c r="L363" t="s">
        <v>144</v>
      </c>
      <c r="O363">
        <v>2</v>
      </c>
      <c r="P363">
        <v>4710</v>
      </c>
    </row>
    <row r="364" spans="1:16" x14ac:dyDescent="0.25">
      <c r="A364">
        <v>363</v>
      </c>
      <c r="B364" t="s">
        <v>1005</v>
      </c>
      <c r="D364" t="str">
        <f t="shared" si="5"/>
        <v>MIAL</v>
      </c>
      <c r="E364" s="3" t="d">
        <v>2017-07-24</v>
      </c>
      <c r="F364">
        <v>16.600000000000001</v>
      </c>
      <c r="G364">
        <v>11.6</v>
      </c>
      <c r="H364">
        <v>483</v>
      </c>
      <c r="I364">
        <v>241</v>
      </c>
      <c r="J364">
        <v>15.15</v>
      </c>
      <c r="K364">
        <v>11.27</v>
      </c>
      <c r="L364">
        <v>21.09</v>
      </c>
      <c r="O364">
        <v>3</v>
      </c>
      <c r="P364">
        <v>2699</v>
      </c>
    </row>
    <row r="365" spans="1:16" x14ac:dyDescent="0.25">
      <c r="A365">
        <v>364</v>
      </c>
      <c r="B365" t="s">
        <v>991</v>
      </c>
      <c r="D365" t="str">
        <f t="shared" si="5"/>
        <v>STRO</v>
      </c>
      <c r="E365" s="3" t="d">
        <v>2017-07-24</v>
      </c>
      <c r="F365">
        <v>2.37</v>
      </c>
      <c r="G365" t="s">
        <v>144</v>
      </c>
      <c r="H365">
        <v>110</v>
      </c>
      <c r="I365">
        <v>50</v>
      </c>
      <c r="J365">
        <v>2.25</v>
      </c>
      <c r="K365" t="s">
        <v>144</v>
      </c>
      <c r="L365" t="s">
        <v>144</v>
      </c>
      <c r="O365">
        <v>0</v>
      </c>
      <c r="P365">
        <v>2743</v>
      </c>
    </row>
    <row r="366" spans="1:16" x14ac:dyDescent="0.25">
      <c r="A366">
        <v>365</v>
      </c>
      <c r="B366" t="s">
        <v>894</v>
      </c>
      <c r="D366" t="str">
        <f t="shared" si="5"/>
        <v>LAHA</v>
      </c>
      <c r="E366" s="3" t="d">
        <v>2017-07-15</v>
      </c>
      <c r="F366">
        <v>8.6</v>
      </c>
      <c r="G366">
        <v>7.5</v>
      </c>
      <c r="H366">
        <v>550</v>
      </c>
      <c r="I366">
        <v>170</v>
      </c>
      <c r="J366">
        <v>2.4500000000000002</v>
      </c>
      <c r="K366">
        <v>3.49</v>
      </c>
      <c r="L366">
        <v>3.49</v>
      </c>
      <c r="O366">
        <v>3</v>
      </c>
      <c r="P366">
        <v>2699</v>
      </c>
    </row>
    <row r="367" spans="1:16" x14ac:dyDescent="0.25">
      <c r="A367">
        <v>366</v>
      </c>
      <c r="B367" t="s">
        <v>895</v>
      </c>
      <c r="D367" t="str">
        <f t="shared" si="5"/>
        <v>TAOC</v>
      </c>
      <c r="E367" s="3" t="d">
        <v>2017-07-15</v>
      </c>
      <c r="F367">
        <v>5.0999999999999996</v>
      </c>
      <c r="G367">
        <v>3.7</v>
      </c>
      <c r="H367">
        <v>440</v>
      </c>
      <c r="I367">
        <v>229</v>
      </c>
      <c r="J367">
        <v>8.49</v>
      </c>
      <c r="K367">
        <v>11.65</v>
      </c>
      <c r="L367">
        <v>10.02</v>
      </c>
      <c r="O367">
        <v>2</v>
      </c>
      <c r="P367">
        <v>2743</v>
      </c>
    </row>
    <row r="368" spans="1:16" x14ac:dyDescent="0.25">
      <c r="A368">
        <v>367</v>
      </c>
      <c r="B368" t="s">
        <v>901</v>
      </c>
      <c r="D368" t="str">
        <f t="shared" si="5"/>
        <v>OCMI</v>
      </c>
      <c r="E368" s="3" t="d">
        <v>2017-07-15</v>
      </c>
      <c r="F368">
        <v>2.2999999999999998</v>
      </c>
      <c r="G368">
        <v>1.6</v>
      </c>
      <c r="H368">
        <v>283</v>
      </c>
      <c r="I368">
        <v>145</v>
      </c>
      <c r="J368">
        <v>3.33</v>
      </c>
      <c r="K368">
        <v>3.02</v>
      </c>
      <c r="L368">
        <v>3.4</v>
      </c>
      <c r="O368">
        <v>2</v>
      </c>
      <c r="P368">
        <v>2760</v>
      </c>
    </row>
    <row r="369" spans="1:16" x14ac:dyDescent="0.25">
      <c r="A369">
        <v>368</v>
      </c>
      <c r="B369" t="s">
        <v>896</v>
      </c>
      <c r="D369" t="str">
        <f t="shared" si="5"/>
        <v>CUVE</v>
      </c>
      <c r="E369" s="3" t="d">
        <v>2017-07-15</v>
      </c>
      <c r="F369">
        <v>1.8</v>
      </c>
      <c r="G369">
        <v>1.5</v>
      </c>
      <c r="H369">
        <v>386</v>
      </c>
      <c r="I369">
        <v>291</v>
      </c>
      <c r="J369">
        <v>0.79</v>
      </c>
      <c r="K369" t="s">
        <v>144</v>
      </c>
      <c r="L369" t="s">
        <v>144</v>
      </c>
      <c r="O369">
        <v>2</v>
      </c>
      <c r="P369">
        <v>2774</v>
      </c>
    </row>
    <row r="370" spans="1:16" x14ac:dyDescent="0.25">
      <c r="A370">
        <v>369</v>
      </c>
      <c r="B370" t="s">
        <v>900</v>
      </c>
      <c r="D370" t="str">
        <f t="shared" si="5"/>
        <v>ALED</v>
      </c>
      <c r="E370" s="3" t="d">
        <v>2017-07-15</v>
      </c>
      <c r="F370">
        <v>2</v>
      </c>
      <c r="G370">
        <v>1.1000000000000001</v>
      </c>
      <c r="H370">
        <v>294</v>
      </c>
      <c r="I370">
        <v>40</v>
      </c>
      <c r="J370">
        <v>0.64</v>
      </c>
      <c r="K370" t="s">
        <v>144</v>
      </c>
      <c r="L370" t="s">
        <v>144</v>
      </c>
      <c r="O370">
        <v>2</v>
      </c>
      <c r="P370">
        <v>2775</v>
      </c>
    </row>
    <row r="371" spans="1:16" x14ac:dyDescent="0.25">
      <c r="A371">
        <v>370</v>
      </c>
      <c r="B371" t="s">
        <v>903</v>
      </c>
      <c r="D371" t="str">
        <f t="shared" si="5"/>
        <v>SIGU</v>
      </c>
      <c r="E371" s="3" t="d">
        <v>2017-07-15</v>
      </c>
      <c r="F371">
        <v>5.9</v>
      </c>
      <c r="G371">
        <v>5.2</v>
      </c>
      <c r="H371">
        <v>600</v>
      </c>
      <c r="I371">
        <v>244</v>
      </c>
      <c r="J371">
        <v>2.25</v>
      </c>
      <c r="K371">
        <v>2.98</v>
      </c>
      <c r="L371">
        <v>2.96</v>
      </c>
      <c r="O371">
        <v>3</v>
      </c>
      <c r="P371">
        <v>9144</v>
      </c>
    </row>
    <row r="372" spans="1:16" x14ac:dyDescent="0.25">
      <c r="A372">
        <v>371</v>
      </c>
      <c r="B372" t="s">
        <v>904</v>
      </c>
      <c r="D372" t="str">
        <f t="shared" si="5"/>
        <v>LIMO</v>
      </c>
      <c r="E372" s="3" t="d">
        <v>2017-07-15</v>
      </c>
      <c r="F372">
        <v>6.8</v>
      </c>
      <c r="G372">
        <v>6.4</v>
      </c>
      <c r="H372">
        <v>505</v>
      </c>
      <c r="I372">
        <v>419</v>
      </c>
      <c r="J372">
        <v>1.52</v>
      </c>
      <c r="K372">
        <v>1.86</v>
      </c>
      <c r="L372">
        <v>1.59</v>
      </c>
      <c r="O372">
        <v>2</v>
      </c>
      <c r="P372">
        <v>2784</v>
      </c>
    </row>
    <row r="373" spans="1:16" x14ac:dyDescent="0.25">
      <c r="A373">
        <v>372</v>
      </c>
      <c r="B373" t="s">
        <v>905</v>
      </c>
      <c r="D373" t="str">
        <f t="shared" si="5"/>
        <v>SIGU</v>
      </c>
      <c r="E373" s="3" t="d">
        <v>2017-07-15</v>
      </c>
      <c r="F373">
        <v>1.1220000000000001</v>
      </c>
      <c r="G373">
        <v>1.361</v>
      </c>
      <c r="H373">
        <v>306</v>
      </c>
      <c r="I373">
        <v>80</v>
      </c>
      <c r="J373">
        <v>0.71</v>
      </c>
      <c r="K373" t="s">
        <v>144</v>
      </c>
      <c r="L373" t="s">
        <v>144</v>
      </c>
      <c r="O373">
        <v>3</v>
      </c>
    </row>
    <row r="374" spans="1:16" x14ac:dyDescent="0.25">
      <c r="A374">
        <v>373</v>
      </c>
      <c r="B374" t="s">
        <v>909</v>
      </c>
      <c r="D374" t="str">
        <f t="shared" si="5"/>
        <v>PRHE</v>
      </c>
      <c r="E374" s="3" t="d">
        <v>2017-07-15</v>
      </c>
      <c r="F374">
        <v>27.2</v>
      </c>
      <c r="G374">
        <v>23</v>
      </c>
      <c r="H374">
        <v>1300</v>
      </c>
      <c r="I374">
        <v>320</v>
      </c>
      <c r="J374">
        <v>6.32</v>
      </c>
      <c r="K374">
        <v>5.84</v>
      </c>
      <c r="L374">
        <v>5.29</v>
      </c>
      <c r="O374">
        <v>5</v>
      </c>
      <c r="P374">
        <v>2779</v>
      </c>
    </row>
    <row r="375" spans="1:16" x14ac:dyDescent="0.25">
      <c r="A375">
        <v>374</v>
      </c>
      <c r="B375" t="s">
        <v>910</v>
      </c>
      <c r="D375" t="str">
        <f t="shared" si="5"/>
        <v>NEOP</v>
      </c>
      <c r="E375" s="3" t="d">
        <v>2017-07-15</v>
      </c>
      <c r="F375">
        <v>9.5</v>
      </c>
      <c r="G375">
        <v>8.6999999999999993</v>
      </c>
      <c r="H375">
        <v>1000</v>
      </c>
      <c r="I375">
        <v>540</v>
      </c>
      <c r="J375">
        <v>4.0199999999999996</v>
      </c>
      <c r="K375">
        <v>4.0199999999999996</v>
      </c>
      <c r="L375">
        <v>4.4800000000000004</v>
      </c>
      <c r="O375">
        <v>4</v>
      </c>
      <c r="P375">
        <v>2850</v>
      </c>
    </row>
    <row r="376" spans="1:16" x14ac:dyDescent="0.25">
      <c r="A376">
        <v>375</v>
      </c>
      <c r="B376" t="s">
        <v>906</v>
      </c>
      <c r="D376" t="str">
        <f t="shared" si="5"/>
        <v>CUTE</v>
      </c>
      <c r="E376" s="3" t="d">
        <v>2017-07-15</v>
      </c>
      <c r="F376">
        <v>9.1</v>
      </c>
      <c r="G376">
        <v>8.5</v>
      </c>
      <c r="H376">
        <v>633</v>
      </c>
      <c r="I376">
        <v>133</v>
      </c>
      <c r="J376">
        <v>2.84</v>
      </c>
      <c r="K376">
        <v>2.23</v>
      </c>
      <c r="L376">
        <v>2.91</v>
      </c>
      <c r="O376">
        <v>4</v>
      </c>
      <c r="P376">
        <v>2841</v>
      </c>
    </row>
    <row r="377" spans="1:16" x14ac:dyDescent="0.25">
      <c r="A377">
        <v>376</v>
      </c>
      <c r="B377" t="s">
        <v>889</v>
      </c>
      <c r="D377" t="str">
        <f t="shared" si="5"/>
        <v>EUMY</v>
      </c>
      <c r="E377" s="3" t="d">
        <v>2017-07-15</v>
      </c>
      <c r="F377">
        <v>12.8</v>
      </c>
      <c r="G377">
        <v>12.4</v>
      </c>
      <c r="H377">
        <v>673</v>
      </c>
      <c r="I377">
        <v>246</v>
      </c>
      <c r="J377">
        <v>6.88</v>
      </c>
      <c r="K377">
        <v>6.19</v>
      </c>
      <c r="L377">
        <v>6.48</v>
      </c>
      <c r="O377">
        <v>3</v>
      </c>
      <c r="P377">
        <v>2843</v>
      </c>
    </row>
    <row r="378" spans="1:16" x14ac:dyDescent="0.25">
      <c r="A378">
        <v>377</v>
      </c>
      <c r="B378" t="s">
        <v>893</v>
      </c>
      <c r="D378" t="str">
        <f t="shared" si="5"/>
        <v>LIMO</v>
      </c>
      <c r="E378" s="3" t="d">
        <v>2017-07-15</v>
      </c>
      <c r="F378">
        <v>9.8000000000000007</v>
      </c>
      <c r="G378">
        <v>8.1999999999999993</v>
      </c>
      <c r="H378">
        <v>458</v>
      </c>
      <c r="I378">
        <v>120</v>
      </c>
      <c r="J378">
        <v>4.8600000000000003</v>
      </c>
      <c r="K378">
        <v>4.5</v>
      </c>
      <c r="L378">
        <v>4.07</v>
      </c>
      <c r="O378">
        <v>3</v>
      </c>
    </row>
    <row r="379" spans="1:16" x14ac:dyDescent="0.25">
      <c r="A379">
        <v>378</v>
      </c>
      <c r="B379" t="s">
        <v>968</v>
      </c>
      <c r="D379" t="str">
        <f t="shared" si="5"/>
        <v>CALU</v>
      </c>
      <c r="E379" s="3" t="d">
        <v>2017-07-20</v>
      </c>
      <c r="F379">
        <v>6.7</v>
      </c>
      <c r="G379" t="s">
        <v>1067</v>
      </c>
      <c r="H379">
        <v>660</v>
      </c>
      <c r="I379">
        <v>432</v>
      </c>
      <c r="J379">
        <v>2.19</v>
      </c>
      <c r="K379">
        <v>2.71</v>
      </c>
      <c r="L379">
        <v>2.67</v>
      </c>
      <c r="O379">
        <v>3</v>
      </c>
      <c r="P379">
        <v>3821</v>
      </c>
    </row>
    <row r="380" spans="1:16" x14ac:dyDescent="0.25">
      <c r="A380">
        <v>379</v>
      </c>
      <c r="B380" t="s">
        <v>977</v>
      </c>
      <c r="D380" t="str">
        <f t="shared" si="5"/>
        <v>DARA</v>
      </c>
      <c r="E380" s="3" t="d">
        <v>2017-07-20</v>
      </c>
      <c r="F380">
        <v>10.3</v>
      </c>
      <c r="G380">
        <v>9.5</v>
      </c>
      <c r="H380">
        <v>810</v>
      </c>
      <c r="I380">
        <v>625</v>
      </c>
      <c r="J380">
        <v>9.61</v>
      </c>
      <c r="K380">
        <v>9.9700000000000006</v>
      </c>
      <c r="L380">
        <v>7.87</v>
      </c>
      <c r="O380">
        <v>4</v>
      </c>
      <c r="P380">
        <v>3830</v>
      </c>
    </row>
    <row r="381" spans="1:16" x14ac:dyDescent="0.25">
      <c r="A381">
        <v>380</v>
      </c>
      <c r="B381" t="s">
        <v>980</v>
      </c>
      <c r="D381" t="str">
        <f t="shared" si="5"/>
        <v>POTO</v>
      </c>
      <c r="E381" s="3" t="d">
        <v>2017-07-20</v>
      </c>
      <c r="F381">
        <v>21.4</v>
      </c>
      <c r="G381">
        <v>19</v>
      </c>
      <c r="H381">
        <v>648</v>
      </c>
      <c r="I381">
        <v>348</v>
      </c>
      <c r="J381">
        <v>31.61</v>
      </c>
      <c r="K381">
        <v>19.68</v>
      </c>
      <c r="L381">
        <v>27.26</v>
      </c>
      <c r="O381">
        <v>4</v>
      </c>
      <c r="P381">
        <v>3828</v>
      </c>
    </row>
    <row r="382" spans="1:16" x14ac:dyDescent="0.25">
      <c r="A382">
        <v>381</v>
      </c>
      <c r="B382" t="s">
        <v>932</v>
      </c>
      <c r="D382" t="str">
        <f t="shared" si="5"/>
        <v>NECU</v>
      </c>
      <c r="E382" s="3" t="d">
        <v>2017-07-20</v>
      </c>
      <c r="F382">
        <v>9.6</v>
      </c>
      <c r="G382">
        <v>9.1999999999999993</v>
      </c>
      <c r="H382">
        <v>900</v>
      </c>
      <c r="I382">
        <v>540</v>
      </c>
      <c r="J382">
        <v>4.49</v>
      </c>
      <c r="K382">
        <v>5.27</v>
      </c>
      <c r="L382">
        <v>4.91</v>
      </c>
      <c r="O382">
        <v>4</v>
      </c>
      <c r="P382">
        <v>3803</v>
      </c>
    </row>
    <row r="383" spans="1:16" x14ac:dyDescent="0.25">
      <c r="A383">
        <v>382</v>
      </c>
      <c r="B383" t="s">
        <v>972</v>
      </c>
      <c r="D383" t="str">
        <f t="shared" si="5"/>
        <v>GUNI</v>
      </c>
      <c r="E383" s="3" t="d">
        <v>2017-07-20</v>
      </c>
      <c r="F383">
        <v>7.4</v>
      </c>
      <c r="G383">
        <v>7.3</v>
      </c>
      <c r="H383">
        <v>710</v>
      </c>
      <c r="I383">
        <v>515</v>
      </c>
      <c r="J383">
        <v>4.1100000000000003</v>
      </c>
      <c r="K383">
        <v>5.0599999999999996</v>
      </c>
      <c r="L383">
        <v>3.96</v>
      </c>
      <c r="O383">
        <v>3</v>
      </c>
      <c r="P383">
        <v>3806</v>
      </c>
    </row>
    <row r="384" spans="1:16" x14ac:dyDescent="0.25">
      <c r="A384">
        <v>383</v>
      </c>
      <c r="B384" t="s">
        <v>973</v>
      </c>
      <c r="D384" t="str">
        <f t="shared" si="5"/>
        <v>MYVE</v>
      </c>
      <c r="E384" s="3" t="d">
        <v>2017-07-20</v>
      </c>
      <c r="F384">
        <v>9.5</v>
      </c>
      <c r="G384">
        <v>7.3</v>
      </c>
      <c r="H384">
        <v>920</v>
      </c>
      <c r="I384">
        <v>370</v>
      </c>
      <c r="J384">
        <v>5.39</v>
      </c>
      <c r="K384">
        <v>5.24</v>
      </c>
      <c r="L384">
        <v>5.34</v>
      </c>
      <c r="O384">
        <v>4</v>
      </c>
      <c r="P384">
        <v>3839</v>
      </c>
    </row>
    <row r="385" spans="1:16" x14ac:dyDescent="0.25">
      <c r="A385">
        <v>384</v>
      </c>
      <c r="B385" t="s">
        <v>976</v>
      </c>
      <c r="D385" t="str">
        <f t="shared" si="5"/>
        <v>AMIN</v>
      </c>
      <c r="E385" s="3" t="d">
        <v>2017-07-20</v>
      </c>
      <c r="F385">
        <v>7.6</v>
      </c>
      <c r="G385">
        <v>6.2</v>
      </c>
      <c r="H385">
        <v>890</v>
      </c>
      <c r="I385">
        <v>412</v>
      </c>
      <c r="J385">
        <v>3.5</v>
      </c>
      <c r="K385">
        <v>4.24</v>
      </c>
      <c r="L385">
        <v>4.7</v>
      </c>
      <c r="O385">
        <v>4</v>
      </c>
      <c r="P385">
        <v>3866</v>
      </c>
    </row>
    <row r="386" spans="1:16" x14ac:dyDescent="0.25">
      <c r="A386">
        <v>385</v>
      </c>
      <c r="B386" t="s">
        <v>970</v>
      </c>
      <c r="D386" t="str">
        <f t="shared" si="5"/>
        <v>DARA</v>
      </c>
      <c r="E386" s="3" t="d">
        <v>2017-07-20</v>
      </c>
      <c r="F386">
        <v>10.4</v>
      </c>
      <c r="G386">
        <v>9.5</v>
      </c>
      <c r="H386">
        <v>660</v>
      </c>
      <c r="I386">
        <v>445</v>
      </c>
      <c r="J386">
        <v>5.43</v>
      </c>
      <c r="K386">
        <v>5.61</v>
      </c>
      <c r="L386">
        <v>6.07</v>
      </c>
      <c r="O386">
        <v>3</v>
      </c>
      <c r="P386">
        <v>3873</v>
      </c>
    </row>
    <row r="387" spans="1:16" x14ac:dyDescent="0.25">
      <c r="A387">
        <v>386</v>
      </c>
      <c r="B387" t="s">
        <v>969</v>
      </c>
      <c r="D387" t="str">
        <f t="shared" si="5"/>
        <v>AMIN</v>
      </c>
      <c r="E387" s="3" t="d">
        <v>2017-07-20</v>
      </c>
      <c r="F387">
        <v>9</v>
      </c>
      <c r="G387">
        <v>7.8</v>
      </c>
      <c r="H387">
        <v>850</v>
      </c>
      <c r="I387">
        <v>330</v>
      </c>
      <c r="J387">
        <v>3.2</v>
      </c>
      <c r="K387">
        <v>3.15</v>
      </c>
      <c r="L387">
        <v>3.32</v>
      </c>
      <c r="O387">
        <v>3</v>
      </c>
      <c r="P387">
        <v>3872</v>
      </c>
    </row>
    <row r="388" spans="1:16" x14ac:dyDescent="0.25">
      <c r="A388">
        <v>387</v>
      </c>
      <c r="B388" t="s">
        <v>978</v>
      </c>
      <c r="D388" t="str">
        <f t="shared" si="5"/>
        <v>PLRE</v>
      </c>
      <c r="E388" s="3" t="d">
        <v>2017-07-20</v>
      </c>
      <c r="F388">
        <v>7.8</v>
      </c>
      <c r="G388">
        <v>8</v>
      </c>
      <c r="H388">
        <v>620</v>
      </c>
      <c r="I388">
        <v>500</v>
      </c>
      <c r="J388">
        <v>9.5399999999999991</v>
      </c>
      <c r="K388">
        <v>9.5299999999999994</v>
      </c>
      <c r="L388">
        <v>9.01</v>
      </c>
      <c r="O388">
        <v>3</v>
      </c>
      <c r="P388">
        <v>3879</v>
      </c>
    </row>
    <row r="389" spans="1:16" x14ac:dyDescent="0.25">
      <c r="A389">
        <v>388</v>
      </c>
      <c r="B389" t="s">
        <v>979</v>
      </c>
      <c r="D389" t="str">
        <f t="shared" si="5"/>
        <v>QUMU</v>
      </c>
      <c r="E389" s="3" t="d">
        <v>2017-07-20</v>
      </c>
      <c r="F389">
        <v>18.2</v>
      </c>
      <c r="G389">
        <v>12.2</v>
      </c>
      <c r="H389">
        <v>680</v>
      </c>
      <c r="I389">
        <v>485</v>
      </c>
      <c r="J389">
        <v>11.61</v>
      </c>
      <c r="K389">
        <v>9.42</v>
      </c>
      <c r="L389">
        <v>9.73</v>
      </c>
      <c r="O389">
        <v>4</v>
      </c>
      <c r="P389">
        <v>3870</v>
      </c>
    </row>
    <row r="390" spans="1:16" x14ac:dyDescent="0.25">
      <c r="A390">
        <v>389</v>
      </c>
      <c r="B390" t="s">
        <v>965</v>
      </c>
      <c r="D390" t="str">
        <f t="shared" si="5"/>
        <v>GUNI</v>
      </c>
      <c r="E390" s="3" t="d">
        <v>2017-07-20</v>
      </c>
      <c r="F390">
        <v>13.1</v>
      </c>
      <c r="G390" t="s">
        <v>1068</v>
      </c>
      <c r="H390">
        <v>760</v>
      </c>
      <c r="I390">
        <v>480</v>
      </c>
      <c r="J390">
        <v>4.16</v>
      </c>
      <c r="K390">
        <v>5.61</v>
      </c>
      <c r="L390">
        <v>4.7300000000000004</v>
      </c>
      <c r="O390">
        <v>4</v>
      </c>
      <c r="P390">
        <v>3897</v>
      </c>
    </row>
    <row r="391" spans="1:16" x14ac:dyDescent="0.25">
      <c r="A391">
        <v>390</v>
      </c>
      <c r="B391" t="s">
        <v>949</v>
      </c>
      <c r="D391" t="str">
        <f t="shared" si="5"/>
        <v>ANFA</v>
      </c>
      <c r="E391" s="3" t="d">
        <v>2017-07-20</v>
      </c>
      <c r="F391">
        <v>24.8</v>
      </c>
      <c r="G391">
        <v>22.4</v>
      </c>
      <c r="H391">
        <v>990</v>
      </c>
      <c r="I391">
        <v>630</v>
      </c>
      <c r="J391">
        <v>32.590000000000003</v>
      </c>
      <c r="K391">
        <v>54.9</v>
      </c>
      <c r="L391">
        <v>32.409999999999997</v>
      </c>
      <c r="O391">
        <v>5</v>
      </c>
      <c r="P391">
        <v>3907</v>
      </c>
    </row>
    <row r="392" spans="1:16" x14ac:dyDescent="0.25">
      <c r="A392">
        <v>391</v>
      </c>
      <c r="B392" t="s">
        <v>945</v>
      </c>
      <c r="D392" t="str">
        <f t="shared" si="5"/>
        <v>ANFA</v>
      </c>
      <c r="E392" s="3" t="d">
        <v>2017-07-20</v>
      </c>
      <c r="F392">
        <v>18.5</v>
      </c>
      <c r="G392">
        <v>16.600000000000001</v>
      </c>
      <c r="H392">
        <v>780</v>
      </c>
      <c r="I392">
        <v>610</v>
      </c>
      <c r="J392">
        <v>18.84</v>
      </c>
      <c r="K392">
        <v>20.079999999999998</v>
      </c>
      <c r="L392">
        <v>27.9</v>
      </c>
      <c r="O392">
        <v>4</v>
      </c>
    </row>
    <row r="393" spans="1:16" x14ac:dyDescent="0.25">
      <c r="A393">
        <v>392</v>
      </c>
      <c r="B393" t="s">
        <v>941</v>
      </c>
      <c r="D393" t="str">
        <f t="shared" ref="D393:D451" si="6">LEFT(B393,4)</f>
        <v>ANFA</v>
      </c>
      <c r="E393" s="3" t="d">
        <v>2017-07-20</v>
      </c>
      <c r="F393">
        <v>15.7</v>
      </c>
      <c r="G393">
        <v>13.5</v>
      </c>
      <c r="H393">
        <v>695</v>
      </c>
      <c r="I393">
        <v>550</v>
      </c>
      <c r="J393">
        <v>25.18</v>
      </c>
      <c r="K393">
        <v>37.659999999999997</v>
      </c>
      <c r="L393">
        <v>34.799999999999997</v>
      </c>
      <c r="O393">
        <v>4</v>
      </c>
      <c r="P393">
        <v>3945</v>
      </c>
    </row>
    <row r="394" spans="1:16" x14ac:dyDescent="0.25">
      <c r="A394">
        <v>393</v>
      </c>
      <c r="B394" t="s">
        <v>951</v>
      </c>
      <c r="D394" t="str">
        <f t="shared" si="6"/>
        <v>ANFA</v>
      </c>
      <c r="E394" s="3" t="d">
        <v>2017-07-20</v>
      </c>
      <c r="F394">
        <v>14.6</v>
      </c>
      <c r="G394">
        <v>12.1</v>
      </c>
      <c r="H394">
        <v>670</v>
      </c>
      <c r="I394">
        <v>390</v>
      </c>
      <c r="J394">
        <v>31.21</v>
      </c>
      <c r="K394">
        <v>32.03</v>
      </c>
      <c r="L394">
        <v>30.79</v>
      </c>
      <c r="O394">
        <v>4</v>
      </c>
      <c r="P394">
        <v>3940</v>
      </c>
    </row>
    <row r="395" spans="1:16" x14ac:dyDescent="0.25">
      <c r="A395">
        <v>394</v>
      </c>
      <c r="B395" t="s">
        <v>947</v>
      </c>
      <c r="D395" t="str">
        <f t="shared" si="6"/>
        <v>ANFA</v>
      </c>
      <c r="E395" s="3" t="d">
        <v>2017-07-20</v>
      </c>
      <c r="F395">
        <v>10.8</v>
      </c>
      <c r="G395">
        <v>9.6999999999999993</v>
      </c>
      <c r="H395">
        <v>545</v>
      </c>
      <c r="I395">
        <v>400</v>
      </c>
      <c r="J395">
        <v>25.4</v>
      </c>
      <c r="K395">
        <v>26.61</v>
      </c>
      <c r="L395">
        <v>32.880000000000003</v>
      </c>
      <c r="O395">
        <v>4</v>
      </c>
      <c r="P395">
        <v>3939</v>
      </c>
    </row>
    <row r="396" spans="1:16" x14ac:dyDescent="0.25">
      <c r="A396">
        <v>395</v>
      </c>
      <c r="B396" t="s">
        <v>966</v>
      </c>
      <c r="D396" t="str">
        <f t="shared" si="6"/>
        <v>POTO</v>
      </c>
      <c r="E396" s="3" t="d">
        <v>2017-07-20</v>
      </c>
      <c r="F396">
        <v>22.5</v>
      </c>
      <c r="G396">
        <v>19.100000000000001</v>
      </c>
      <c r="H396">
        <v>655</v>
      </c>
      <c r="I396">
        <v>358</v>
      </c>
      <c r="J396">
        <v>30.75</v>
      </c>
      <c r="K396">
        <v>18.29</v>
      </c>
      <c r="L396">
        <v>14.23</v>
      </c>
      <c r="O396">
        <v>3</v>
      </c>
    </row>
    <row r="397" spans="1:16" x14ac:dyDescent="0.25">
      <c r="A397">
        <v>396</v>
      </c>
      <c r="B397" t="s">
        <v>964</v>
      </c>
      <c r="D397" t="str">
        <f t="shared" si="6"/>
        <v>QUMU</v>
      </c>
      <c r="E397" s="3" t="d">
        <v>2017-07-20</v>
      </c>
      <c r="F397">
        <v>12</v>
      </c>
      <c r="G397">
        <v>10.7</v>
      </c>
      <c r="H397">
        <v>642</v>
      </c>
      <c r="I397">
        <v>246</v>
      </c>
      <c r="J397">
        <v>7.36</v>
      </c>
      <c r="K397">
        <v>7.09</v>
      </c>
      <c r="L397">
        <v>11.53</v>
      </c>
      <c r="O397">
        <v>3</v>
      </c>
      <c r="P397">
        <v>3944</v>
      </c>
    </row>
    <row r="398" spans="1:16" x14ac:dyDescent="0.25">
      <c r="A398">
        <v>397</v>
      </c>
      <c r="B398" t="s">
        <v>961</v>
      </c>
      <c r="D398" t="str">
        <f t="shared" si="6"/>
        <v>DARA</v>
      </c>
      <c r="E398" s="3" t="d">
        <v>2017-07-20</v>
      </c>
      <c r="F398">
        <v>6</v>
      </c>
      <c r="G398">
        <v>5.0999999999999996</v>
      </c>
      <c r="H398">
        <v>585</v>
      </c>
      <c r="I398">
        <v>435</v>
      </c>
      <c r="J398">
        <v>7.14</v>
      </c>
      <c r="K398">
        <v>6.44</v>
      </c>
      <c r="L398">
        <v>7.73</v>
      </c>
      <c r="O398">
        <v>2</v>
      </c>
      <c r="P398">
        <v>3975</v>
      </c>
    </row>
    <row r="399" spans="1:16" x14ac:dyDescent="0.25">
      <c r="A399">
        <v>398</v>
      </c>
      <c r="B399" t="s">
        <v>967</v>
      </c>
      <c r="D399" t="str">
        <f t="shared" si="6"/>
        <v>BYCO</v>
      </c>
      <c r="E399" s="3" t="d">
        <v>2017-07-20</v>
      </c>
      <c r="F399">
        <v>6.1</v>
      </c>
      <c r="G399">
        <v>5</v>
      </c>
      <c r="H399">
        <v>465</v>
      </c>
      <c r="I399">
        <v>360</v>
      </c>
      <c r="J399">
        <v>9.43</v>
      </c>
      <c r="K399">
        <v>8.73</v>
      </c>
      <c r="L399">
        <v>10.01</v>
      </c>
      <c r="O399">
        <v>2</v>
      </c>
      <c r="P399">
        <v>3994</v>
      </c>
    </row>
    <row r="400" spans="1:16" x14ac:dyDescent="0.25">
      <c r="A400">
        <v>399</v>
      </c>
      <c r="B400" t="s">
        <v>953</v>
      </c>
      <c r="D400" t="str">
        <f t="shared" si="6"/>
        <v>PLRE</v>
      </c>
      <c r="E400" s="3" t="d">
        <v>2017-07-20</v>
      </c>
      <c r="F400">
        <v>9.6999999999999993</v>
      </c>
      <c r="G400">
        <v>9.5</v>
      </c>
      <c r="H400">
        <v>555</v>
      </c>
      <c r="I400">
        <v>375</v>
      </c>
      <c r="J400">
        <v>14.87</v>
      </c>
      <c r="K400">
        <v>18.100000000000001</v>
      </c>
      <c r="L400">
        <v>16.89</v>
      </c>
      <c r="O400">
        <v>3</v>
      </c>
      <c r="P400">
        <v>3989</v>
      </c>
    </row>
    <row r="401" spans="1:16" x14ac:dyDescent="0.25">
      <c r="A401">
        <v>400</v>
      </c>
      <c r="B401" t="s">
        <v>957</v>
      </c>
      <c r="D401" t="str">
        <f t="shared" si="6"/>
        <v>GUNI</v>
      </c>
      <c r="E401" s="3" t="d">
        <v>2017-07-20</v>
      </c>
      <c r="F401">
        <v>9.1</v>
      </c>
      <c r="G401">
        <v>8.1999999999999993</v>
      </c>
      <c r="H401">
        <v>770</v>
      </c>
      <c r="I401">
        <v>445</v>
      </c>
      <c r="J401">
        <v>4.55</v>
      </c>
      <c r="K401">
        <v>4.75</v>
      </c>
      <c r="L401">
        <v>3.03</v>
      </c>
      <c r="O401">
        <v>4</v>
      </c>
      <c r="P401">
        <v>4033</v>
      </c>
    </row>
    <row r="402" spans="1:16" x14ac:dyDescent="0.25">
      <c r="A402">
        <v>401</v>
      </c>
      <c r="B402" t="s">
        <v>962</v>
      </c>
      <c r="D402" t="str">
        <f t="shared" si="6"/>
        <v>DARA</v>
      </c>
      <c r="E402" s="3" t="d">
        <v>2017-07-20</v>
      </c>
      <c r="F402">
        <v>10</v>
      </c>
      <c r="G402">
        <v>8.8000000000000007</v>
      </c>
      <c r="H402">
        <v>870</v>
      </c>
      <c r="I402">
        <v>520</v>
      </c>
      <c r="J402">
        <v>9.65</v>
      </c>
      <c r="K402">
        <v>10.19</v>
      </c>
      <c r="L402">
        <v>9.01</v>
      </c>
      <c r="O402">
        <v>3</v>
      </c>
      <c r="P402">
        <v>4073</v>
      </c>
    </row>
    <row r="403" spans="1:16" x14ac:dyDescent="0.25">
      <c r="A403">
        <v>402</v>
      </c>
      <c r="B403" t="s">
        <v>960</v>
      </c>
      <c r="D403" t="str">
        <f t="shared" si="6"/>
        <v>QUMU</v>
      </c>
      <c r="E403" s="3" t="d">
        <v>2017-07-20</v>
      </c>
      <c r="F403">
        <v>20.5</v>
      </c>
      <c r="G403">
        <v>17.8</v>
      </c>
      <c r="H403">
        <v>740</v>
      </c>
      <c r="I403">
        <v>445</v>
      </c>
      <c r="J403">
        <v>14.84</v>
      </c>
      <c r="K403">
        <v>15.97</v>
      </c>
      <c r="L403">
        <v>13.7</v>
      </c>
      <c r="O403">
        <v>3</v>
      </c>
      <c r="P403">
        <v>4100</v>
      </c>
    </row>
    <row r="404" spans="1:16" x14ac:dyDescent="0.25">
      <c r="A404">
        <v>403</v>
      </c>
      <c r="B404" t="s">
        <v>963</v>
      </c>
      <c r="D404" t="str">
        <f t="shared" si="6"/>
        <v>GUNI</v>
      </c>
      <c r="E404" s="3" t="d">
        <v>2017-07-20</v>
      </c>
      <c r="F404">
        <v>14.5</v>
      </c>
      <c r="G404">
        <v>12.2</v>
      </c>
      <c r="H404">
        <v>785</v>
      </c>
      <c r="I404">
        <v>600</v>
      </c>
      <c r="J404">
        <v>4.82</v>
      </c>
      <c r="K404">
        <v>7.99</v>
      </c>
      <c r="L404">
        <v>6.53</v>
      </c>
      <c r="O404">
        <v>3</v>
      </c>
      <c r="P404">
        <v>4122</v>
      </c>
    </row>
    <row r="405" spans="1:16" x14ac:dyDescent="0.25">
      <c r="A405">
        <v>404</v>
      </c>
      <c r="B405" t="s">
        <v>916</v>
      </c>
      <c r="D405" t="str">
        <f t="shared" si="6"/>
        <v>MIAL</v>
      </c>
      <c r="E405" s="3" t="d">
        <v>2017-07-18</v>
      </c>
      <c r="F405" t="s">
        <v>1013</v>
      </c>
      <c r="G405" t="s">
        <v>1014</v>
      </c>
      <c r="H405">
        <v>292</v>
      </c>
      <c r="I405">
        <v>30</v>
      </c>
      <c r="J405">
        <v>7.22</v>
      </c>
      <c r="K405">
        <v>6.1</v>
      </c>
      <c r="L405">
        <v>5.63</v>
      </c>
      <c r="O405">
        <v>4</v>
      </c>
    </row>
    <row r="406" spans="1:16" x14ac:dyDescent="0.25">
      <c r="A406">
        <v>405</v>
      </c>
      <c r="B406" t="s">
        <v>917</v>
      </c>
      <c r="D406" t="str">
        <f t="shared" si="6"/>
        <v>CUVE</v>
      </c>
      <c r="E406" s="3" t="d">
        <v>2017-07-18</v>
      </c>
      <c r="F406">
        <v>2.56</v>
      </c>
      <c r="G406">
        <v>2.08</v>
      </c>
      <c r="H406">
        <v>420</v>
      </c>
      <c r="I406">
        <v>220</v>
      </c>
      <c r="J406">
        <v>1.1399999999999999</v>
      </c>
      <c r="K406">
        <v>0.83</v>
      </c>
      <c r="L406">
        <v>0.94</v>
      </c>
      <c r="O406">
        <v>3</v>
      </c>
    </row>
    <row r="407" spans="1:16" x14ac:dyDescent="0.25">
      <c r="A407">
        <v>406</v>
      </c>
      <c r="B407" t="s">
        <v>918</v>
      </c>
      <c r="D407" t="str">
        <f t="shared" si="6"/>
        <v>CUVE</v>
      </c>
      <c r="E407" s="3" t="d">
        <v>2017-07-18</v>
      </c>
      <c r="F407">
        <v>6.5</v>
      </c>
      <c r="G407">
        <v>6.08</v>
      </c>
      <c r="H407">
        <v>400</v>
      </c>
      <c r="I407">
        <v>200</v>
      </c>
      <c r="J407">
        <v>1.55</v>
      </c>
      <c r="K407">
        <v>1.97</v>
      </c>
      <c r="L407">
        <v>1.81</v>
      </c>
      <c r="O407">
        <v>3</v>
      </c>
    </row>
    <row r="408" spans="1:16" x14ac:dyDescent="0.25">
      <c r="A408">
        <v>407</v>
      </c>
      <c r="B408" t="s">
        <v>922</v>
      </c>
      <c r="D408" t="str">
        <f t="shared" si="6"/>
        <v>LUGR</v>
      </c>
      <c r="E408" s="3" t="d">
        <v>2017-07-18</v>
      </c>
      <c r="F408">
        <v>2.76</v>
      </c>
      <c r="G408">
        <v>2.63</v>
      </c>
      <c r="H408">
        <v>360</v>
      </c>
      <c r="I408">
        <v>240</v>
      </c>
      <c r="J408">
        <v>2.81</v>
      </c>
      <c r="K408">
        <v>3.19</v>
      </c>
      <c r="L408">
        <v>2.83</v>
      </c>
      <c r="O408">
        <v>3</v>
      </c>
    </row>
    <row r="409" spans="1:16" x14ac:dyDescent="0.25">
      <c r="A409">
        <v>408</v>
      </c>
      <c r="B409" t="s">
        <v>920</v>
      </c>
      <c r="D409" t="str">
        <f t="shared" si="6"/>
        <v>ZEMO</v>
      </c>
      <c r="E409" s="3" t="d">
        <v>2017-07-18</v>
      </c>
      <c r="F409">
        <v>1.1599999999999999</v>
      </c>
      <c r="G409" t="s">
        <v>144</v>
      </c>
      <c r="H409">
        <v>110</v>
      </c>
      <c r="I409">
        <v>20</v>
      </c>
      <c r="J409">
        <v>1.18</v>
      </c>
      <c r="K409" t="s">
        <v>144</v>
      </c>
      <c r="L409" t="s">
        <v>144</v>
      </c>
      <c r="O409">
        <v>4</v>
      </c>
    </row>
    <row r="410" spans="1:16" x14ac:dyDescent="0.25">
      <c r="A410">
        <v>409</v>
      </c>
      <c r="B410" t="s">
        <v>925</v>
      </c>
      <c r="D410" t="str">
        <f t="shared" si="6"/>
        <v>STAD</v>
      </c>
      <c r="E410" s="3" t="d">
        <v>2017-07-18</v>
      </c>
      <c r="F410">
        <v>1.53</v>
      </c>
      <c r="G410">
        <v>0.4</v>
      </c>
      <c r="H410">
        <v>140</v>
      </c>
      <c r="I410">
        <v>30</v>
      </c>
      <c r="J410">
        <v>1.82</v>
      </c>
      <c r="K410" t="s">
        <v>144</v>
      </c>
      <c r="L410" t="s">
        <v>144</v>
      </c>
      <c r="O410">
        <v>3</v>
      </c>
    </row>
    <row r="411" spans="1:16" x14ac:dyDescent="0.25">
      <c r="A411">
        <v>410</v>
      </c>
      <c r="B411" t="s">
        <v>926</v>
      </c>
      <c r="D411" t="str">
        <f t="shared" si="6"/>
        <v>BADR</v>
      </c>
      <c r="E411" s="3" t="d">
        <v>2017-07-18</v>
      </c>
      <c r="F411">
        <v>1.72</v>
      </c>
      <c r="G411">
        <v>0.33</v>
      </c>
      <c r="H411">
        <v>170</v>
      </c>
      <c r="I411">
        <v>40</v>
      </c>
      <c r="J411">
        <v>1.01</v>
      </c>
      <c r="K411" t="s">
        <v>144</v>
      </c>
      <c r="L411" t="s">
        <v>144</v>
      </c>
      <c r="O411">
        <v>4</v>
      </c>
    </row>
    <row r="412" spans="1:16" x14ac:dyDescent="0.25">
      <c r="A412">
        <v>411</v>
      </c>
      <c r="B412" t="s">
        <v>923</v>
      </c>
      <c r="D412" t="str">
        <f t="shared" si="6"/>
        <v>BADR</v>
      </c>
      <c r="E412" s="3" t="d">
        <v>2017-07-18</v>
      </c>
      <c r="F412">
        <v>1.26</v>
      </c>
      <c r="G412">
        <v>0.6</v>
      </c>
      <c r="H412">
        <v>220</v>
      </c>
      <c r="I412">
        <v>130</v>
      </c>
      <c r="J412">
        <v>0.61</v>
      </c>
      <c r="K412" t="s">
        <v>144</v>
      </c>
      <c r="L412" t="s">
        <v>144</v>
      </c>
      <c r="O412">
        <v>3</v>
      </c>
    </row>
    <row r="413" spans="1:16" x14ac:dyDescent="0.25">
      <c r="A413">
        <v>412</v>
      </c>
      <c r="B413" t="s">
        <v>921</v>
      </c>
      <c r="D413" t="str">
        <f t="shared" si="6"/>
        <v>BADR</v>
      </c>
      <c r="E413" s="3" t="d">
        <v>2017-07-18</v>
      </c>
      <c r="F413">
        <v>0.63</v>
      </c>
      <c r="G413">
        <v>0.38</v>
      </c>
      <c r="H413">
        <v>170</v>
      </c>
      <c r="I413">
        <v>70</v>
      </c>
      <c r="J413">
        <v>0.4</v>
      </c>
      <c r="K413" t="s">
        <v>144</v>
      </c>
      <c r="L413" t="s">
        <v>144</v>
      </c>
      <c r="O413">
        <v>4</v>
      </c>
    </row>
    <row r="414" spans="1:16" x14ac:dyDescent="0.25">
      <c r="A414">
        <v>413</v>
      </c>
      <c r="B414" t="s">
        <v>927</v>
      </c>
      <c r="D414" t="str">
        <f t="shared" si="6"/>
        <v>BADR</v>
      </c>
      <c r="E414" s="3" t="d">
        <v>2017-07-18</v>
      </c>
      <c r="F414">
        <v>0.9</v>
      </c>
      <c r="G414">
        <v>0.34</v>
      </c>
      <c r="H414">
        <v>180</v>
      </c>
      <c r="I414">
        <v>110</v>
      </c>
      <c r="J414">
        <v>7.2999999999999995E-2</v>
      </c>
      <c r="K414" t="s">
        <v>144</v>
      </c>
      <c r="L414" t="s">
        <v>144</v>
      </c>
      <c r="O414">
        <v>4</v>
      </c>
    </row>
    <row r="415" spans="1:16" x14ac:dyDescent="0.25">
      <c r="A415">
        <v>414</v>
      </c>
      <c r="B415" t="s">
        <v>924</v>
      </c>
      <c r="D415" t="str">
        <f t="shared" si="6"/>
        <v>LUGR</v>
      </c>
      <c r="E415" s="3" t="d">
        <v>2017-07-18</v>
      </c>
      <c r="F415">
        <v>1.57</v>
      </c>
      <c r="G415">
        <v>0.85</v>
      </c>
      <c r="H415">
        <v>230</v>
      </c>
      <c r="I415">
        <v>60</v>
      </c>
      <c r="J415">
        <v>0.94</v>
      </c>
      <c r="K415" t="s">
        <v>144</v>
      </c>
      <c r="L415" t="s">
        <v>144</v>
      </c>
      <c r="O415">
        <v>3</v>
      </c>
    </row>
    <row r="416" spans="1:16" x14ac:dyDescent="0.25">
      <c r="A416">
        <v>415</v>
      </c>
      <c r="B416" t="s">
        <v>929</v>
      </c>
      <c r="D416" t="str">
        <f t="shared" si="6"/>
        <v>DIMO</v>
      </c>
      <c r="E416" s="3" t="d">
        <v>2017-07-18</v>
      </c>
      <c r="F416">
        <v>8</v>
      </c>
      <c r="G416" t="s">
        <v>1015</v>
      </c>
      <c r="H416">
        <v>250</v>
      </c>
      <c r="I416">
        <v>110</v>
      </c>
      <c r="J416">
        <v>12.4</v>
      </c>
      <c r="K416">
        <v>13.19</v>
      </c>
      <c r="L416">
        <v>9.93</v>
      </c>
      <c r="O416">
        <v>4</v>
      </c>
    </row>
    <row r="417" spans="1:16" x14ac:dyDescent="0.25">
      <c r="A417">
        <v>416</v>
      </c>
      <c r="B417" t="s">
        <v>928</v>
      </c>
      <c r="D417" t="str">
        <f t="shared" si="6"/>
        <v>DIMO</v>
      </c>
      <c r="E417" s="3" t="d">
        <v>2017-07-18</v>
      </c>
      <c r="F417">
        <v>9.5</v>
      </c>
      <c r="G417">
        <v>7.2</v>
      </c>
      <c r="H417">
        <v>420</v>
      </c>
      <c r="I417">
        <v>130</v>
      </c>
      <c r="J417">
        <v>16.13</v>
      </c>
      <c r="K417">
        <v>17.7</v>
      </c>
      <c r="L417">
        <v>19.61</v>
      </c>
      <c r="O417">
        <v>5</v>
      </c>
    </row>
    <row r="418" spans="1:16" x14ac:dyDescent="0.25">
      <c r="A418">
        <v>417</v>
      </c>
      <c r="B418" t="s">
        <v>1029</v>
      </c>
      <c r="D418" t="str">
        <f t="shared" si="6"/>
        <v>PLEL</v>
      </c>
      <c r="E418" s="3" t="d">
        <v>2017-07-26</v>
      </c>
      <c r="F418">
        <v>1.17</v>
      </c>
      <c r="G418">
        <v>0.8</v>
      </c>
      <c r="H418">
        <v>170</v>
      </c>
      <c r="I418">
        <v>140</v>
      </c>
      <c r="J418">
        <v>0.65</v>
      </c>
      <c r="K418" t="s">
        <v>144</v>
      </c>
      <c r="L418" t="s">
        <v>144</v>
      </c>
      <c r="O418">
        <v>3</v>
      </c>
    </row>
    <row r="419" spans="1:16" x14ac:dyDescent="0.25">
      <c r="A419">
        <v>418</v>
      </c>
      <c r="B419" t="s">
        <v>1031</v>
      </c>
      <c r="D419" t="str">
        <f t="shared" si="6"/>
        <v>PLEL</v>
      </c>
      <c r="E419" s="3" t="d">
        <v>2017-07-26</v>
      </c>
      <c r="F419">
        <v>3.89</v>
      </c>
      <c r="G419">
        <v>2.5</v>
      </c>
      <c r="H419">
        <v>280</v>
      </c>
      <c r="I419">
        <v>180</v>
      </c>
      <c r="J419">
        <v>6.28</v>
      </c>
      <c r="K419">
        <v>6.28</v>
      </c>
      <c r="L419">
        <v>5.87</v>
      </c>
      <c r="O419">
        <v>3</v>
      </c>
    </row>
    <row r="420" spans="1:16" x14ac:dyDescent="0.25">
      <c r="A420">
        <v>419</v>
      </c>
      <c r="B420" t="s">
        <v>1032</v>
      </c>
      <c r="D420" t="str">
        <f t="shared" si="6"/>
        <v>TEGL</v>
      </c>
      <c r="E420" s="3" t="d">
        <v>2017-07-26</v>
      </c>
      <c r="F420">
        <v>14.6</v>
      </c>
      <c r="G420">
        <v>13.7</v>
      </c>
      <c r="H420">
        <v>530</v>
      </c>
      <c r="I420">
        <v>337</v>
      </c>
      <c r="J420">
        <v>8.11</v>
      </c>
      <c r="K420">
        <v>8.86</v>
      </c>
      <c r="L420">
        <v>8.57</v>
      </c>
      <c r="O420">
        <v>3</v>
      </c>
    </row>
    <row r="421" spans="1:16" x14ac:dyDescent="0.25">
      <c r="A421">
        <v>420</v>
      </c>
      <c r="B421" t="s">
        <v>1027</v>
      </c>
      <c r="D421" t="str">
        <f t="shared" si="6"/>
        <v>LUCA</v>
      </c>
      <c r="E421" s="3" t="d">
        <v>2017-07-26</v>
      </c>
      <c r="F421" t="s">
        <v>1054</v>
      </c>
      <c r="G421" t="s">
        <v>1058</v>
      </c>
      <c r="H421">
        <v>455</v>
      </c>
      <c r="I421">
        <v>272</v>
      </c>
      <c r="J421">
        <v>1.6</v>
      </c>
      <c r="K421">
        <v>1.63</v>
      </c>
      <c r="L421">
        <v>1.87</v>
      </c>
      <c r="O421">
        <v>4</v>
      </c>
    </row>
    <row r="422" spans="1:16" x14ac:dyDescent="0.25">
      <c r="A422">
        <v>421</v>
      </c>
      <c r="B422" t="s">
        <v>1033</v>
      </c>
      <c r="D422" t="str">
        <f t="shared" si="6"/>
        <v>GOBA</v>
      </c>
      <c r="E422" s="3" t="d">
        <v>2017-07-26</v>
      </c>
      <c r="F422">
        <v>2.23</v>
      </c>
      <c r="G422" t="s">
        <v>1059</v>
      </c>
      <c r="H422">
        <v>160</v>
      </c>
      <c r="I422">
        <v>40</v>
      </c>
      <c r="J422">
        <v>1.74</v>
      </c>
      <c r="K422">
        <v>1.61</v>
      </c>
      <c r="L422">
        <v>1.3</v>
      </c>
      <c r="O422">
        <v>4</v>
      </c>
    </row>
    <row r="423" spans="1:16" x14ac:dyDescent="0.25">
      <c r="A423">
        <v>422</v>
      </c>
      <c r="B423" t="s">
        <v>1025</v>
      </c>
      <c r="D423" t="str">
        <f t="shared" si="6"/>
        <v>GOBA</v>
      </c>
      <c r="E423" s="3" t="d">
        <v>2017-07-26</v>
      </c>
      <c r="F423" t="s">
        <v>1055</v>
      </c>
      <c r="G423" t="s">
        <v>1060</v>
      </c>
      <c r="H423">
        <v>220</v>
      </c>
      <c r="I423">
        <v>130</v>
      </c>
      <c r="J423">
        <v>0.77</v>
      </c>
      <c r="K423" t="s">
        <v>144</v>
      </c>
      <c r="L423" t="s">
        <v>144</v>
      </c>
      <c r="O423">
        <v>4</v>
      </c>
    </row>
    <row r="424" spans="1:16" x14ac:dyDescent="0.25">
      <c r="A424">
        <v>423</v>
      </c>
      <c r="B424" t="s">
        <v>1028</v>
      </c>
      <c r="D424" t="str">
        <f t="shared" si="6"/>
        <v>GOBA</v>
      </c>
      <c r="E424" s="3" t="d">
        <v>2017-07-26</v>
      </c>
      <c r="F424" t="s">
        <v>1056</v>
      </c>
      <c r="G424" t="s">
        <v>1061</v>
      </c>
      <c r="H424">
        <v>357</v>
      </c>
      <c r="I424">
        <v>60</v>
      </c>
      <c r="J424">
        <v>4.37</v>
      </c>
      <c r="K424">
        <v>3.69</v>
      </c>
      <c r="L424">
        <v>2.91</v>
      </c>
      <c r="O424">
        <v>4</v>
      </c>
    </row>
    <row r="425" spans="1:16" x14ac:dyDescent="0.25">
      <c r="A425">
        <v>424</v>
      </c>
      <c r="B425" t="s">
        <v>1030</v>
      </c>
      <c r="D425" t="str">
        <f t="shared" si="6"/>
        <v>ANDI</v>
      </c>
      <c r="E425" s="3" t="d">
        <v>2017-07-26</v>
      </c>
      <c r="F425" t="s">
        <v>1057</v>
      </c>
      <c r="G425" t="s">
        <v>1062</v>
      </c>
      <c r="H425">
        <v>170</v>
      </c>
      <c r="I425">
        <v>40</v>
      </c>
      <c r="J425">
        <v>2.57</v>
      </c>
      <c r="K425" t="s">
        <v>144</v>
      </c>
      <c r="L425" t="s">
        <v>144</v>
      </c>
      <c r="O425">
        <v>4</v>
      </c>
    </row>
    <row r="426" spans="1:16" x14ac:dyDescent="0.25">
      <c r="A426">
        <v>425</v>
      </c>
      <c r="B426" t="s">
        <v>1035</v>
      </c>
      <c r="D426" t="str">
        <f t="shared" si="6"/>
        <v>TAOC</v>
      </c>
      <c r="E426" s="3" t="d">
        <v>2017-07-26</v>
      </c>
      <c r="F426">
        <v>3.23</v>
      </c>
      <c r="G426" t="s">
        <v>144</v>
      </c>
      <c r="H426">
        <v>120</v>
      </c>
      <c r="I426">
        <v>80</v>
      </c>
      <c r="J426">
        <v>10.38</v>
      </c>
      <c r="K426" t="s">
        <v>144</v>
      </c>
      <c r="L426" t="s">
        <v>144</v>
      </c>
      <c r="O426">
        <v>4</v>
      </c>
    </row>
    <row r="427" spans="1:16" x14ac:dyDescent="0.25">
      <c r="A427">
        <v>426</v>
      </c>
      <c r="B427" t="s">
        <v>1046</v>
      </c>
      <c r="D427" t="str">
        <f t="shared" si="6"/>
        <v>LISA</v>
      </c>
      <c r="E427" s="3" t="d">
        <v>2017-07-26</v>
      </c>
      <c r="F427">
        <v>0.8</v>
      </c>
      <c r="G427">
        <v>0.31</v>
      </c>
      <c r="H427">
        <v>172</v>
      </c>
      <c r="I427">
        <v>30</v>
      </c>
      <c r="J427">
        <v>0.67</v>
      </c>
      <c r="K427" t="s">
        <v>144</v>
      </c>
      <c r="L427" t="s">
        <v>144</v>
      </c>
      <c r="O427">
        <v>4</v>
      </c>
    </row>
    <row r="428" spans="1:16" x14ac:dyDescent="0.25">
      <c r="A428">
        <v>427</v>
      </c>
      <c r="B428" t="s">
        <v>1026</v>
      </c>
      <c r="D428" t="str">
        <f t="shared" si="6"/>
        <v>BADR</v>
      </c>
      <c r="E428" s="3" t="d">
        <v>2017-07-26</v>
      </c>
      <c r="F428">
        <v>3.25</v>
      </c>
      <c r="G428" t="s">
        <v>1063</v>
      </c>
      <c r="H428">
        <v>304</v>
      </c>
      <c r="I428">
        <v>207</v>
      </c>
      <c r="J428">
        <v>2.8</v>
      </c>
      <c r="K428">
        <v>2.73</v>
      </c>
      <c r="L428">
        <v>2.15</v>
      </c>
      <c r="O428">
        <v>5</v>
      </c>
    </row>
    <row r="429" spans="1:16" x14ac:dyDescent="0.25">
      <c r="A429">
        <v>428</v>
      </c>
      <c r="B429" t="s">
        <v>1037</v>
      </c>
      <c r="D429" t="str">
        <f t="shared" si="6"/>
        <v>LISA</v>
      </c>
      <c r="E429" s="3" t="d">
        <v>2017-07-26</v>
      </c>
      <c r="F429">
        <v>0.73799999999999999</v>
      </c>
      <c r="G429" t="s">
        <v>144</v>
      </c>
      <c r="H429">
        <v>90</v>
      </c>
      <c r="I429">
        <v>40</v>
      </c>
      <c r="J429">
        <v>0.55000000000000004</v>
      </c>
      <c r="K429" t="s">
        <v>144</v>
      </c>
      <c r="L429" t="s">
        <v>144</v>
      </c>
      <c r="O429">
        <v>4</v>
      </c>
    </row>
    <row r="430" spans="1:16" x14ac:dyDescent="0.25">
      <c r="A430">
        <v>429</v>
      </c>
      <c r="B430" t="s">
        <v>1034</v>
      </c>
      <c r="D430" t="str">
        <f t="shared" si="6"/>
        <v>KICO</v>
      </c>
      <c r="E430" s="3" t="d">
        <v>2017-07-26</v>
      </c>
      <c r="F430">
        <v>4.9000000000000004</v>
      </c>
      <c r="G430" t="s">
        <v>1064</v>
      </c>
      <c r="H430">
        <v>190</v>
      </c>
      <c r="I430">
        <v>120</v>
      </c>
      <c r="J430">
        <v>12.88</v>
      </c>
      <c r="K430">
        <v>12.83</v>
      </c>
      <c r="L430">
        <v>12.8</v>
      </c>
      <c r="O430">
        <v>3</v>
      </c>
    </row>
    <row r="431" spans="1:16" x14ac:dyDescent="0.25">
      <c r="A431">
        <v>430</v>
      </c>
      <c r="B431" t="s">
        <v>897</v>
      </c>
      <c r="D431" t="str">
        <f t="shared" si="6"/>
        <v>LUCA</v>
      </c>
      <c r="E431" s="3" t="d">
        <v>2017-07-27</v>
      </c>
      <c r="F431">
        <v>6.8</v>
      </c>
      <c r="G431">
        <v>6</v>
      </c>
      <c r="H431">
        <v>810</v>
      </c>
      <c r="I431">
        <v>330</v>
      </c>
      <c r="J431">
        <v>3.3</v>
      </c>
      <c r="K431">
        <v>2.91</v>
      </c>
      <c r="L431">
        <v>3.88</v>
      </c>
      <c r="O431">
        <v>3</v>
      </c>
      <c r="P431" t="s">
        <v>1069</v>
      </c>
    </row>
    <row r="432" spans="1:16" x14ac:dyDescent="0.25">
      <c r="A432">
        <v>431</v>
      </c>
      <c r="B432" t="s">
        <v>890</v>
      </c>
      <c r="D432" t="str">
        <f t="shared" si="6"/>
        <v>BALO</v>
      </c>
      <c r="E432" s="3" t="d">
        <v>2017-07-27</v>
      </c>
      <c r="F432">
        <v>12.4</v>
      </c>
      <c r="G432" t="s">
        <v>1065</v>
      </c>
      <c r="H432">
        <v>680</v>
      </c>
      <c r="I432">
        <v>450</v>
      </c>
      <c r="J432">
        <v>6.96</v>
      </c>
      <c r="K432">
        <v>4.5999999999999996</v>
      </c>
      <c r="L432">
        <v>4.46</v>
      </c>
      <c r="O432">
        <v>3</v>
      </c>
    </row>
    <row r="433" spans="1:16" x14ac:dyDescent="0.25">
      <c r="A433">
        <v>432</v>
      </c>
      <c r="B433" t="s">
        <v>902</v>
      </c>
      <c r="D433" t="str">
        <f t="shared" si="6"/>
        <v>EUMY</v>
      </c>
      <c r="E433" s="3" t="d">
        <v>2017-07-27</v>
      </c>
      <c r="F433">
        <v>18.600000000000001</v>
      </c>
      <c r="G433" t="s">
        <v>1066</v>
      </c>
      <c r="H433">
        <v>900</v>
      </c>
      <c r="I433">
        <v>528</v>
      </c>
      <c r="J433">
        <v>6.37</v>
      </c>
      <c r="K433">
        <v>6.29</v>
      </c>
      <c r="L433">
        <v>5.42</v>
      </c>
      <c r="O433">
        <v>3</v>
      </c>
      <c r="P433">
        <v>2863</v>
      </c>
    </row>
    <row r="434" spans="1:16" x14ac:dyDescent="0.25">
      <c r="A434">
        <v>433</v>
      </c>
      <c r="B434" t="s">
        <v>1045</v>
      </c>
      <c r="D434" t="str">
        <f t="shared" si="6"/>
        <v>ALED</v>
      </c>
      <c r="E434" s="3" t="d">
        <v>2017-07-27</v>
      </c>
      <c r="F434">
        <v>5.8</v>
      </c>
      <c r="G434">
        <v>5.3</v>
      </c>
      <c r="H434">
        <v>618</v>
      </c>
      <c r="I434">
        <v>177</v>
      </c>
      <c r="J434">
        <v>3.7</v>
      </c>
      <c r="K434">
        <v>3.93</v>
      </c>
      <c r="L434">
        <v>4.93</v>
      </c>
      <c r="O434">
        <v>3</v>
      </c>
      <c r="P434">
        <v>4947</v>
      </c>
    </row>
    <row r="435" spans="1:16" x14ac:dyDescent="0.25">
      <c r="A435">
        <v>434</v>
      </c>
      <c r="B435" t="s">
        <v>1041</v>
      </c>
      <c r="D435" t="str">
        <f t="shared" si="6"/>
        <v>EUMY</v>
      </c>
      <c r="E435" s="3" t="d">
        <v>2017-07-27</v>
      </c>
      <c r="F435">
        <v>6.4</v>
      </c>
      <c r="G435">
        <v>5.5</v>
      </c>
      <c r="H435">
        <v>910</v>
      </c>
      <c r="I435">
        <v>615</v>
      </c>
      <c r="J435">
        <v>4.34</v>
      </c>
      <c r="K435">
        <v>4.67</v>
      </c>
      <c r="L435">
        <v>4.9400000000000004</v>
      </c>
      <c r="O435">
        <v>3</v>
      </c>
      <c r="P435">
        <v>5009</v>
      </c>
    </row>
    <row r="436" spans="1:16" x14ac:dyDescent="0.25">
      <c r="A436">
        <v>435</v>
      </c>
      <c r="B436" t="s">
        <v>1047</v>
      </c>
      <c r="D436" t="str">
        <f t="shared" si="6"/>
        <v>ANCA</v>
      </c>
      <c r="E436" s="3" t="d">
        <v>2017-07-27</v>
      </c>
      <c r="F436">
        <v>9.1</v>
      </c>
      <c r="G436">
        <v>8.6999999999999993</v>
      </c>
      <c r="H436">
        <v>1300</v>
      </c>
      <c r="I436">
        <v>900</v>
      </c>
      <c r="J436">
        <v>7.99</v>
      </c>
      <c r="K436">
        <v>9.2799999999999994</v>
      </c>
      <c r="L436">
        <v>8.56</v>
      </c>
      <c r="O436">
        <v>4</v>
      </c>
      <c r="P436">
        <v>4739</v>
      </c>
    </row>
    <row r="437" spans="1:16" x14ac:dyDescent="0.25">
      <c r="A437">
        <v>436</v>
      </c>
      <c r="B437" t="s">
        <v>1042</v>
      </c>
      <c r="D437" t="str">
        <f t="shared" si="6"/>
        <v>CUVE</v>
      </c>
      <c r="E437" s="3" t="d">
        <v>2017-07-27</v>
      </c>
      <c r="F437">
        <v>4.4000000000000004</v>
      </c>
      <c r="G437">
        <v>4</v>
      </c>
      <c r="H437">
        <v>586</v>
      </c>
      <c r="I437">
        <v>463</v>
      </c>
      <c r="J437">
        <v>2.1</v>
      </c>
      <c r="K437">
        <v>2.44</v>
      </c>
      <c r="L437">
        <v>2.33</v>
      </c>
      <c r="O437">
        <v>2</v>
      </c>
      <c r="P437">
        <v>4756</v>
      </c>
    </row>
    <row r="438" spans="1:16" x14ac:dyDescent="0.25">
      <c r="A438">
        <v>437</v>
      </c>
      <c r="B438" t="s">
        <v>1040</v>
      </c>
      <c r="D438" t="str">
        <f t="shared" si="6"/>
        <v>EUMY</v>
      </c>
      <c r="E438" s="3" t="d">
        <v>2017-07-27</v>
      </c>
      <c r="F438">
        <v>6.7</v>
      </c>
      <c r="G438">
        <v>5.8</v>
      </c>
      <c r="H438">
        <v>657</v>
      </c>
      <c r="I438">
        <v>456</v>
      </c>
      <c r="J438">
        <v>3.28</v>
      </c>
      <c r="K438">
        <v>4.1399999999999997</v>
      </c>
      <c r="L438">
        <v>3.25</v>
      </c>
      <c r="O438">
        <v>2</v>
      </c>
      <c r="P438">
        <v>4800</v>
      </c>
    </row>
    <row r="439" spans="1:16" x14ac:dyDescent="0.25">
      <c r="A439">
        <v>438</v>
      </c>
      <c r="B439" t="s">
        <v>1044</v>
      </c>
      <c r="D439" t="str">
        <f t="shared" si="6"/>
        <v>LUCA</v>
      </c>
      <c r="E439" s="3" t="d">
        <v>2017-07-27</v>
      </c>
      <c r="F439">
        <v>4.9000000000000004</v>
      </c>
      <c r="G439">
        <v>4.5</v>
      </c>
      <c r="H439">
        <v>505</v>
      </c>
      <c r="I439">
        <v>270</v>
      </c>
      <c r="J439">
        <v>2.61</v>
      </c>
      <c r="K439">
        <v>2.15</v>
      </c>
      <c r="L439">
        <v>2.02</v>
      </c>
      <c r="O439">
        <v>2</v>
      </c>
    </row>
    <row r="440" spans="1:16" x14ac:dyDescent="0.25">
      <c r="A440">
        <v>439</v>
      </c>
      <c r="B440" t="s">
        <v>1043</v>
      </c>
      <c r="D440" t="str">
        <f t="shared" si="6"/>
        <v>LUCA</v>
      </c>
      <c r="E440" s="3" t="d">
        <v>2017-07-27</v>
      </c>
      <c r="F440">
        <v>3.8</v>
      </c>
      <c r="G440">
        <v>3.8</v>
      </c>
      <c r="H440">
        <v>1200</v>
      </c>
      <c r="I440">
        <v>700</v>
      </c>
      <c r="J440">
        <v>1.61</v>
      </c>
      <c r="K440">
        <v>2.25</v>
      </c>
      <c r="L440">
        <v>3.84</v>
      </c>
      <c r="O440">
        <v>3</v>
      </c>
    </row>
    <row r="441" spans="1:16" x14ac:dyDescent="0.25">
      <c r="A441">
        <v>440</v>
      </c>
      <c r="B441" t="s">
        <v>1105</v>
      </c>
      <c r="D441" t="str">
        <f t="shared" si="6"/>
        <v>BALO</v>
      </c>
      <c r="E441" s="3" t="d">
        <v>2017-08-04</v>
      </c>
      <c r="F441">
        <v>4.5</v>
      </c>
      <c r="G441">
        <v>5.0999999999999996</v>
      </c>
      <c r="H441">
        <v>493</v>
      </c>
      <c r="I441">
        <v>319</v>
      </c>
      <c r="J441">
        <v>3.86</v>
      </c>
      <c r="K441">
        <v>3.14</v>
      </c>
      <c r="L441">
        <v>2.77</v>
      </c>
      <c r="O441">
        <v>4</v>
      </c>
    </row>
    <row r="442" spans="1:16" x14ac:dyDescent="0.25">
      <c r="A442">
        <v>441</v>
      </c>
      <c r="B442" t="s">
        <v>1108</v>
      </c>
      <c r="D442" t="str">
        <f t="shared" si="6"/>
        <v>BALO</v>
      </c>
      <c r="E442" s="3" t="d">
        <v>2017-08-04</v>
      </c>
      <c r="F442">
        <v>4.5</v>
      </c>
      <c r="G442">
        <v>3.5</v>
      </c>
      <c r="H442">
        <v>400</v>
      </c>
      <c r="I442">
        <v>290</v>
      </c>
      <c r="J442">
        <v>4.4400000000000004</v>
      </c>
      <c r="K442">
        <v>3.43</v>
      </c>
      <c r="L442">
        <v>2.99</v>
      </c>
      <c r="O442">
        <v>4</v>
      </c>
    </row>
    <row r="443" spans="1:16" x14ac:dyDescent="0.25">
      <c r="A443">
        <v>442</v>
      </c>
      <c r="B443" t="s">
        <v>1112</v>
      </c>
      <c r="D443" t="str">
        <f t="shared" si="6"/>
        <v>LUCA</v>
      </c>
      <c r="E443" s="3" t="d">
        <v>2017-08-04</v>
      </c>
      <c r="F443">
        <v>13.7</v>
      </c>
      <c r="G443">
        <v>9.3000000000000007</v>
      </c>
      <c r="H443">
        <v>765</v>
      </c>
      <c r="I443">
        <v>400</v>
      </c>
      <c r="J443">
        <v>13.71</v>
      </c>
      <c r="K443">
        <v>13.25</v>
      </c>
      <c r="L443">
        <v>15.46</v>
      </c>
      <c r="O443">
        <v>4</v>
      </c>
    </row>
    <row r="444" spans="1:16" x14ac:dyDescent="0.25">
      <c r="A444">
        <v>443</v>
      </c>
      <c r="B444" t="s">
        <v>1109</v>
      </c>
      <c r="D444" t="str">
        <f t="shared" si="6"/>
        <v>DAEL</v>
      </c>
      <c r="E444" s="3" t="d">
        <v>2017-08-04</v>
      </c>
      <c r="F444">
        <v>1.94</v>
      </c>
      <c r="G444" t="s">
        <v>144</v>
      </c>
      <c r="H444">
        <v>85</v>
      </c>
      <c r="I444">
        <v>10</v>
      </c>
      <c r="J444">
        <v>3.94</v>
      </c>
      <c r="K444" t="s">
        <v>144</v>
      </c>
      <c r="L444" t="s">
        <v>144</v>
      </c>
      <c r="O444">
        <v>3</v>
      </c>
    </row>
    <row r="445" spans="1:16" x14ac:dyDescent="0.25">
      <c r="A445">
        <v>444</v>
      </c>
      <c r="B445" t="s">
        <v>1110</v>
      </c>
      <c r="D445" t="str">
        <f t="shared" si="6"/>
        <v>DAEL</v>
      </c>
      <c r="E445" s="3" t="d">
        <v>2017-08-04</v>
      </c>
      <c r="F445">
        <v>1.04</v>
      </c>
      <c r="G445" t="s">
        <v>144</v>
      </c>
      <c r="H445">
        <v>80</v>
      </c>
      <c r="I445">
        <v>15</v>
      </c>
      <c r="J445">
        <v>0.8</v>
      </c>
      <c r="K445" t="s">
        <v>144</v>
      </c>
      <c r="L445" t="s">
        <v>144</v>
      </c>
      <c r="O445">
        <v>3</v>
      </c>
    </row>
    <row r="446" spans="1:16" x14ac:dyDescent="0.25">
      <c r="A446">
        <v>445</v>
      </c>
      <c r="B446" t="s">
        <v>1113</v>
      </c>
      <c r="D446" t="str">
        <f t="shared" si="6"/>
        <v>BALO</v>
      </c>
      <c r="E446" s="3" t="d">
        <v>2017-08-04</v>
      </c>
      <c r="F446">
        <v>7</v>
      </c>
      <c r="G446">
        <v>6</v>
      </c>
      <c r="H446">
        <v>646</v>
      </c>
      <c r="I446">
        <v>275</v>
      </c>
      <c r="J446">
        <v>4.46</v>
      </c>
      <c r="K446">
        <v>5.89</v>
      </c>
      <c r="L446">
        <v>5.31</v>
      </c>
      <c r="O446">
        <v>4</v>
      </c>
    </row>
    <row r="447" spans="1:16" x14ac:dyDescent="0.25">
      <c r="A447">
        <v>446</v>
      </c>
      <c r="B447" t="s">
        <v>1111</v>
      </c>
      <c r="D447" t="str">
        <f t="shared" si="6"/>
        <v>ANDI</v>
      </c>
      <c r="E447" s="3" t="d">
        <v>2017-08-04</v>
      </c>
      <c r="F447" t="s">
        <v>1125</v>
      </c>
      <c r="G447" t="s">
        <v>1126</v>
      </c>
      <c r="H447">
        <v>180</v>
      </c>
      <c r="I447">
        <v>110</v>
      </c>
      <c r="J447">
        <v>1.45</v>
      </c>
      <c r="K447" t="s">
        <v>144</v>
      </c>
      <c r="L447" t="s">
        <v>144</v>
      </c>
      <c r="O447">
        <v>4</v>
      </c>
    </row>
    <row r="448" spans="1:16" x14ac:dyDescent="0.25">
      <c r="A448">
        <v>447</v>
      </c>
      <c r="B448" t="s">
        <v>1106</v>
      </c>
      <c r="D448" t="str">
        <f t="shared" si="6"/>
        <v>LISA</v>
      </c>
      <c r="E448" s="3" t="d">
        <v>2017-08-04</v>
      </c>
      <c r="F448">
        <v>0.75</v>
      </c>
      <c r="G448">
        <v>0.68</v>
      </c>
      <c r="H448">
        <v>220</v>
      </c>
      <c r="I448">
        <v>100</v>
      </c>
      <c r="J448">
        <v>0.42</v>
      </c>
      <c r="K448" t="s">
        <v>144</v>
      </c>
      <c r="L448" t="s">
        <v>144</v>
      </c>
      <c r="O448">
        <v>3</v>
      </c>
    </row>
    <row r="449" spans="1:16" x14ac:dyDescent="0.25">
      <c r="A449">
        <v>448</v>
      </c>
      <c r="B449" t="s">
        <v>1114</v>
      </c>
      <c r="D449" t="str">
        <f t="shared" si="6"/>
        <v>LISA</v>
      </c>
      <c r="E449" s="3" t="d">
        <v>2017-08-04</v>
      </c>
      <c r="F449">
        <v>1.2</v>
      </c>
      <c r="G449">
        <v>0.8</v>
      </c>
      <c r="H449">
        <v>240</v>
      </c>
      <c r="I449">
        <v>150</v>
      </c>
      <c r="J449">
        <v>0.34</v>
      </c>
      <c r="K449" t="s">
        <v>144</v>
      </c>
      <c r="L449" t="s">
        <v>144</v>
      </c>
      <c r="O449">
        <v>4</v>
      </c>
    </row>
    <row r="450" spans="1:16" x14ac:dyDescent="0.25">
      <c r="A450">
        <v>449</v>
      </c>
      <c r="B450" t="s">
        <v>1115</v>
      </c>
      <c r="D450" t="str">
        <f t="shared" si="6"/>
        <v>LISA</v>
      </c>
      <c r="E450" s="3" t="d">
        <v>2017-08-04</v>
      </c>
      <c r="F450">
        <v>1.96</v>
      </c>
      <c r="G450">
        <v>1.66</v>
      </c>
      <c r="H450">
        <v>385</v>
      </c>
      <c r="I450">
        <v>245</v>
      </c>
      <c r="J450">
        <v>0.5</v>
      </c>
      <c r="K450" t="s">
        <v>144</v>
      </c>
      <c r="L450" t="s">
        <v>144</v>
      </c>
      <c r="O450">
        <v>4</v>
      </c>
    </row>
    <row r="451" spans="1:16" x14ac:dyDescent="0.25">
      <c r="A451">
        <v>450</v>
      </c>
      <c r="B451" t="s">
        <v>1104</v>
      </c>
      <c r="D451" t="str">
        <f t="shared" si="6"/>
        <v>MIAL</v>
      </c>
      <c r="E451" s="3" t="d">
        <v>2017-08-04</v>
      </c>
      <c r="F451">
        <v>4.4000000000000004</v>
      </c>
      <c r="G451">
        <v>2.2999999999999998</v>
      </c>
      <c r="H451">
        <v>290</v>
      </c>
      <c r="I451">
        <v>110</v>
      </c>
      <c r="J451">
        <v>7.38</v>
      </c>
      <c r="K451" t="s">
        <v>144</v>
      </c>
      <c r="L451" t="s">
        <v>144</v>
      </c>
      <c r="O451">
        <v>3</v>
      </c>
    </row>
    <row r="452" spans="1:16" x14ac:dyDescent="0.25">
      <c r="A452">
        <v>451</v>
      </c>
      <c r="B452" t="s">
        <v>111</v>
      </c>
      <c r="D452" t="s">
        <v>370</v>
      </c>
      <c r="E452" s="3" t="d">
        <v>2017-08-05</v>
      </c>
      <c r="F452">
        <v>7.1</v>
      </c>
      <c r="G452">
        <v>6</v>
      </c>
      <c r="H452">
        <v>290</v>
      </c>
      <c r="I452">
        <v>200</v>
      </c>
      <c r="J452">
        <v>13.87</v>
      </c>
      <c r="K452">
        <v>13.99</v>
      </c>
      <c r="L452">
        <v>15.85</v>
      </c>
      <c r="O452">
        <v>4</v>
      </c>
    </row>
    <row r="453" spans="1:16" x14ac:dyDescent="0.25">
      <c r="A453">
        <v>452</v>
      </c>
      <c r="B453" t="s">
        <v>1116</v>
      </c>
      <c r="D453" t="s">
        <v>1117</v>
      </c>
      <c r="E453" s="3" t="d">
        <v>2017-08-05</v>
      </c>
      <c r="F453">
        <v>6.4</v>
      </c>
      <c r="G453">
        <v>4.5</v>
      </c>
      <c r="H453">
        <v>353</v>
      </c>
      <c r="I453">
        <v>145</v>
      </c>
      <c r="J453">
        <v>6.51</v>
      </c>
      <c r="K453">
        <v>7.43</v>
      </c>
      <c r="L453">
        <v>6.11</v>
      </c>
      <c r="O453">
        <v>4</v>
      </c>
    </row>
    <row r="454" spans="1:16" x14ac:dyDescent="0.25">
      <c r="A454">
        <v>453</v>
      </c>
      <c r="B454" t="s">
        <v>1119</v>
      </c>
      <c r="D454" t="s">
        <v>1117</v>
      </c>
      <c r="E454" s="3" t="d">
        <v>2017-08-05</v>
      </c>
      <c r="F454">
        <v>8.1</v>
      </c>
      <c r="G454">
        <v>7.3</v>
      </c>
      <c r="H454">
        <v>577</v>
      </c>
      <c r="I454">
        <v>327</v>
      </c>
      <c r="J454">
        <v>7.53</v>
      </c>
      <c r="K454">
        <v>8.76</v>
      </c>
      <c r="L454">
        <v>8.59</v>
      </c>
      <c r="O454">
        <v>4</v>
      </c>
    </row>
    <row r="455" spans="1:16" x14ac:dyDescent="0.25">
      <c r="A455">
        <v>454</v>
      </c>
      <c r="B455" t="s">
        <v>1120</v>
      </c>
      <c r="D455" t="s">
        <v>1117</v>
      </c>
      <c r="E455" s="3" t="d">
        <v>2017-08-05</v>
      </c>
      <c r="F455">
        <v>9.6999999999999993</v>
      </c>
      <c r="G455">
        <v>6.7</v>
      </c>
      <c r="H455">
        <v>564</v>
      </c>
      <c r="I455">
        <v>184</v>
      </c>
      <c r="J455">
        <v>11.34</v>
      </c>
      <c r="K455">
        <v>12</v>
      </c>
      <c r="L455">
        <v>10.16</v>
      </c>
      <c r="O455">
        <v>3</v>
      </c>
    </row>
    <row r="456" spans="1:16" x14ac:dyDescent="0.25">
      <c r="A456">
        <v>455</v>
      </c>
      <c r="B456" t="s">
        <v>1121</v>
      </c>
      <c r="D456" t="s">
        <v>1117</v>
      </c>
      <c r="E456" s="3" t="d">
        <v>2017-08-05</v>
      </c>
      <c r="F456">
        <v>2</v>
      </c>
      <c r="G456" t="s">
        <v>144</v>
      </c>
      <c r="H456">
        <v>127</v>
      </c>
      <c r="I456">
        <v>40</v>
      </c>
      <c r="J456">
        <v>2.52</v>
      </c>
      <c r="K456" t="s">
        <v>144</v>
      </c>
      <c r="L456" t="s">
        <v>144</v>
      </c>
      <c r="O456">
        <v>4</v>
      </c>
    </row>
    <row r="457" spans="1:16" x14ac:dyDescent="0.25">
      <c r="A457">
        <v>456</v>
      </c>
      <c r="B457" t="s">
        <v>1122</v>
      </c>
      <c r="D457" t="s">
        <v>1117</v>
      </c>
      <c r="E457" s="3" t="d">
        <v>2017-08-05</v>
      </c>
      <c r="F457">
        <v>11.7</v>
      </c>
      <c r="G457">
        <v>10.3</v>
      </c>
      <c r="H457">
        <v>725</v>
      </c>
      <c r="I457">
        <v>263</v>
      </c>
      <c r="J457">
        <v>11.71</v>
      </c>
      <c r="K457">
        <v>9.61</v>
      </c>
      <c r="L457">
        <v>12.77</v>
      </c>
      <c r="O457">
        <v>4</v>
      </c>
    </row>
    <row r="458" spans="1:16" x14ac:dyDescent="0.25">
      <c r="A458">
        <v>457</v>
      </c>
      <c r="B458" t="s">
        <v>1124</v>
      </c>
      <c r="D458" t="s">
        <v>603</v>
      </c>
      <c r="E458" s="3" t="d">
        <v>2017-08-05</v>
      </c>
      <c r="F458">
        <v>0.77</v>
      </c>
      <c r="G458">
        <v>0.26</v>
      </c>
      <c r="H458">
        <v>150</v>
      </c>
      <c r="I458">
        <v>10</v>
      </c>
      <c r="J458">
        <v>0.22</v>
      </c>
      <c r="K458" t="s">
        <v>144</v>
      </c>
      <c r="L458" t="s">
        <v>144</v>
      </c>
      <c r="O458">
        <v>2</v>
      </c>
    </row>
    <row r="459" spans="1:16" x14ac:dyDescent="0.25">
      <c r="A459">
        <v>458</v>
      </c>
      <c r="B459" t="s">
        <v>1123</v>
      </c>
      <c r="D459" t="s">
        <v>603</v>
      </c>
      <c r="E459" s="3" t="d">
        <v>2017-08-05</v>
      </c>
      <c r="F459">
        <v>0.37</v>
      </c>
      <c r="G459" t="s">
        <v>144</v>
      </c>
      <c r="H459">
        <v>50</v>
      </c>
      <c r="I459">
        <v>5</v>
      </c>
      <c r="J459">
        <v>0.15</v>
      </c>
      <c r="K459" t="s">
        <v>144</v>
      </c>
      <c r="L459" t="s">
        <v>144</v>
      </c>
      <c r="O459">
        <v>2</v>
      </c>
    </row>
    <row r="460" spans="1:16" x14ac:dyDescent="0.25">
      <c r="A460">
        <v>459</v>
      </c>
      <c r="B460" t="s">
        <v>1092</v>
      </c>
      <c r="D460" t="s">
        <v>369</v>
      </c>
      <c r="E460" s="3" t="d">
        <v>2017-08-03</v>
      </c>
      <c r="F460">
        <v>18</v>
      </c>
      <c r="G460">
        <v>15.6</v>
      </c>
      <c r="H460">
        <v>1400</v>
      </c>
      <c r="I460">
        <v>724</v>
      </c>
      <c r="J460">
        <v>4.78</v>
      </c>
      <c r="K460">
        <v>3.8</v>
      </c>
      <c r="L460">
        <v>4.0199999999999996</v>
      </c>
      <c r="O460">
        <v>4</v>
      </c>
    </row>
    <row r="461" spans="1:16" x14ac:dyDescent="0.25">
      <c r="A461">
        <v>460</v>
      </c>
      <c r="B461" t="s">
        <v>1093</v>
      </c>
      <c r="D461" t="s">
        <v>842</v>
      </c>
      <c r="E461" s="3" t="d">
        <v>2017-08-03</v>
      </c>
      <c r="F461">
        <v>15.4</v>
      </c>
      <c r="G461">
        <v>11.7</v>
      </c>
      <c r="H461">
        <v>1010</v>
      </c>
      <c r="I461">
        <v>700</v>
      </c>
      <c r="J461">
        <v>17.2</v>
      </c>
      <c r="K461">
        <v>20.45</v>
      </c>
      <c r="L461">
        <v>23.87</v>
      </c>
      <c r="O461">
        <v>3</v>
      </c>
      <c r="P461">
        <v>1394</v>
      </c>
    </row>
    <row r="462" spans="1:16" x14ac:dyDescent="0.25">
      <c r="A462">
        <v>461</v>
      </c>
      <c r="B462" t="s">
        <v>1127</v>
      </c>
      <c r="C462" t="s">
        <v>1134</v>
      </c>
      <c r="D462" t="s">
        <v>842</v>
      </c>
      <c r="E462" s="3" t="d">
        <v>2017-08-03</v>
      </c>
      <c r="F462">
        <v>16.2</v>
      </c>
      <c r="G462">
        <v>18.399999999999999</v>
      </c>
      <c r="H462">
        <v>1300</v>
      </c>
      <c r="I462">
        <v>1000</v>
      </c>
      <c r="J462">
        <v>30.72</v>
      </c>
      <c r="K462">
        <v>29.88</v>
      </c>
      <c r="L462">
        <v>30.36</v>
      </c>
      <c r="O462">
        <v>4</v>
      </c>
      <c r="P462">
        <v>1375</v>
      </c>
    </row>
    <row r="463" spans="1:16" x14ac:dyDescent="0.25">
      <c r="A463">
        <v>462</v>
      </c>
      <c r="B463" t="s">
        <v>1128</v>
      </c>
      <c r="C463" t="s">
        <v>1134</v>
      </c>
      <c r="D463" t="s">
        <v>512</v>
      </c>
      <c r="E463" s="3" t="d">
        <v>2017-08-03</v>
      </c>
      <c r="F463">
        <v>76</v>
      </c>
      <c r="G463" t="s">
        <v>1130</v>
      </c>
      <c r="H463">
        <v>1300</v>
      </c>
      <c r="I463">
        <v>340</v>
      </c>
      <c r="J463">
        <v>19.55</v>
      </c>
      <c r="K463">
        <v>10.82</v>
      </c>
      <c r="L463">
        <v>13.79</v>
      </c>
      <c r="O463">
        <v>5</v>
      </c>
      <c r="P463">
        <v>1372</v>
      </c>
    </row>
    <row r="464" spans="1:16" x14ac:dyDescent="0.25">
      <c r="A464">
        <v>463</v>
      </c>
      <c r="B464" t="s">
        <v>1094</v>
      </c>
      <c r="D464" t="s">
        <v>907</v>
      </c>
      <c r="E464" s="3" t="d">
        <v>2017-08-03</v>
      </c>
      <c r="F464" t="s">
        <v>1131</v>
      </c>
      <c r="G464" t="s">
        <v>1132</v>
      </c>
      <c r="H464">
        <v>580</v>
      </c>
      <c r="I464">
        <v>303</v>
      </c>
      <c r="J464">
        <v>2.2999999999999998</v>
      </c>
      <c r="K464">
        <v>2.42</v>
      </c>
      <c r="L464">
        <v>2.37</v>
      </c>
      <c r="O464">
        <v>3</v>
      </c>
      <c r="P464">
        <v>1350</v>
      </c>
    </row>
    <row r="465" spans="1:16" x14ac:dyDescent="0.25">
      <c r="A465">
        <v>464</v>
      </c>
      <c r="B465" t="s">
        <v>1103</v>
      </c>
      <c r="D465" t="s">
        <v>833</v>
      </c>
      <c r="E465" s="3" t="d">
        <v>2017-08-03</v>
      </c>
      <c r="F465">
        <v>30.5</v>
      </c>
      <c r="G465" t="s">
        <v>1133</v>
      </c>
      <c r="H465">
        <v>660</v>
      </c>
      <c r="I465">
        <v>302</v>
      </c>
      <c r="J465">
        <v>13.06</v>
      </c>
      <c r="K465">
        <v>15.23</v>
      </c>
      <c r="L465">
        <v>9.5299999999999994</v>
      </c>
      <c r="O465">
        <v>3</v>
      </c>
      <c r="P465">
        <v>1356</v>
      </c>
    </row>
    <row r="466" spans="1:16" x14ac:dyDescent="0.25">
      <c r="A466">
        <v>465</v>
      </c>
      <c r="B466" t="s">
        <v>1091</v>
      </c>
      <c r="D466" t="s">
        <v>833</v>
      </c>
      <c r="E466" s="3" t="d">
        <v>2017-08-03</v>
      </c>
      <c r="F466">
        <v>21</v>
      </c>
      <c r="G466">
        <v>15.2</v>
      </c>
      <c r="H466">
        <v>635</v>
      </c>
      <c r="I466">
        <v>435</v>
      </c>
      <c r="J466">
        <v>23.21</v>
      </c>
      <c r="K466">
        <v>15.74</v>
      </c>
      <c r="L466">
        <v>14.27</v>
      </c>
      <c r="O466">
        <v>3</v>
      </c>
      <c r="P466">
        <v>2074</v>
      </c>
    </row>
    <row r="467" spans="1:16" x14ac:dyDescent="0.25">
      <c r="A467">
        <v>466</v>
      </c>
      <c r="B467" t="s">
        <v>1129</v>
      </c>
      <c r="C467" t="s">
        <v>1134</v>
      </c>
      <c r="D467" t="s">
        <v>891</v>
      </c>
      <c r="E467" s="3" t="d">
        <v>2017-08-03</v>
      </c>
      <c r="F467">
        <v>18.5</v>
      </c>
      <c r="G467">
        <v>17.2</v>
      </c>
      <c r="H467">
        <v>1500</v>
      </c>
      <c r="I467">
        <v>900</v>
      </c>
      <c r="J467">
        <v>4.08</v>
      </c>
      <c r="K467">
        <v>4.95</v>
      </c>
      <c r="L467">
        <v>4.88</v>
      </c>
      <c r="O467">
        <v>5</v>
      </c>
      <c r="P467">
        <v>2077</v>
      </c>
    </row>
    <row r="468" spans="1:16" x14ac:dyDescent="0.25">
      <c r="A468">
        <v>467</v>
      </c>
      <c r="B468" t="s">
        <v>1099</v>
      </c>
      <c r="D468" t="s">
        <v>369</v>
      </c>
      <c r="E468" s="3" t="d">
        <v>2017-08-03</v>
      </c>
      <c r="F468">
        <v>12</v>
      </c>
      <c r="G468">
        <v>10.1</v>
      </c>
      <c r="H468">
        <v>910</v>
      </c>
      <c r="I468">
        <v>415</v>
      </c>
      <c r="J468">
        <v>4.5</v>
      </c>
      <c r="K468">
        <v>4.33</v>
      </c>
      <c r="L468">
        <v>2.65</v>
      </c>
      <c r="O468">
        <v>4</v>
      </c>
      <c r="P468">
        <v>2058</v>
      </c>
    </row>
    <row r="469" spans="1:16" x14ac:dyDescent="0.25">
      <c r="A469">
        <v>468</v>
      </c>
      <c r="B469" t="s">
        <v>1100</v>
      </c>
      <c r="D469" t="s">
        <v>891</v>
      </c>
      <c r="E469" s="3" t="d">
        <v>2017-08-03</v>
      </c>
      <c r="F469">
        <v>5.5</v>
      </c>
      <c r="G469">
        <v>4.5999999999999996</v>
      </c>
      <c r="H469">
        <v>451</v>
      </c>
      <c r="I469">
        <v>278</v>
      </c>
      <c r="J469">
        <v>2.68</v>
      </c>
      <c r="K469">
        <v>4.0199999999999996</v>
      </c>
      <c r="L469">
        <v>4.08</v>
      </c>
      <c r="O469">
        <v>3</v>
      </c>
    </row>
    <row r="470" spans="1:16" x14ac:dyDescent="0.25">
      <c r="A470">
        <v>469</v>
      </c>
      <c r="B470" t="s">
        <v>1095</v>
      </c>
      <c r="D470" t="s">
        <v>534</v>
      </c>
      <c r="E470" s="3" t="d">
        <v>2017-08-03</v>
      </c>
      <c r="F470">
        <v>1.1000000000000001</v>
      </c>
      <c r="G470" t="s">
        <v>144</v>
      </c>
      <c r="H470">
        <v>65</v>
      </c>
      <c r="I470">
        <v>25</v>
      </c>
      <c r="J470">
        <v>0.8</v>
      </c>
      <c r="K470" t="s">
        <v>144</v>
      </c>
      <c r="L470" t="s">
        <v>144</v>
      </c>
      <c r="O470">
        <v>4</v>
      </c>
    </row>
    <row r="471" spans="1:16" x14ac:dyDescent="0.25">
      <c r="A471">
        <v>470</v>
      </c>
      <c r="B471" t="s">
        <v>1090</v>
      </c>
      <c r="D471" t="s">
        <v>370</v>
      </c>
      <c r="E471" s="3" t="d">
        <v>2017-08-03</v>
      </c>
      <c r="F471">
        <v>7</v>
      </c>
      <c r="G471">
        <v>6.7</v>
      </c>
      <c r="H471">
        <v>477</v>
      </c>
      <c r="I471">
        <v>327</v>
      </c>
      <c r="J471">
        <v>7.52</v>
      </c>
      <c r="K471">
        <v>6.77</v>
      </c>
      <c r="L471">
        <v>7.6</v>
      </c>
      <c r="O471">
        <v>4</v>
      </c>
    </row>
    <row r="472" spans="1:16" x14ac:dyDescent="0.25">
      <c r="A472">
        <v>471</v>
      </c>
      <c r="B472" t="s">
        <v>1096</v>
      </c>
      <c r="D472" t="s">
        <v>842</v>
      </c>
      <c r="E472" s="3" t="d">
        <v>2017-08-03</v>
      </c>
      <c r="F472">
        <v>13.5</v>
      </c>
      <c r="G472">
        <v>8.9</v>
      </c>
      <c r="H472">
        <v>615</v>
      </c>
      <c r="I472">
        <v>372</v>
      </c>
      <c r="J472">
        <v>13.98</v>
      </c>
      <c r="K472">
        <v>9.5399999999999991</v>
      </c>
      <c r="L472">
        <v>9.3699999999999992</v>
      </c>
      <c r="O472">
        <v>4</v>
      </c>
    </row>
    <row r="473" spans="1:16" x14ac:dyDescent="0.25">
      <c r="A473">
        <v>472</v>
      </c>
      <c r="B473" t="s">
        <v>1101</v>
      </c>
      <c r="D473" t="s">
        <v>400</v>
      </c>
      <c r="E473" s="3" t="d">
        <v>2017-08-03</v>
      </c>
      <c r="F473">
        <v>1.26</v>
      </c>
      <c r="G473">
        <v>0.69</v>
      </c>
      <c r="H473">
        <v>190</v>
      </c>
      <c r="I473">
        <v>20</v>
      </c>
      <c r="J473">
        <v>2.06</v>
      </c>
      <c r="K473" t="s">
        <v>144</v>
      </c>
      <c r="L473" t="s">
        <v>144</v>
      </c>
      <c r="O473">
        <v>4</v>
      </c>
    </row>
    <row r="474" spans="1:16" x14ac:dyDescent="0.25">
      <c r="A474">
        <v>473</v>
      </c>
      <c r="B474" t="s">
        <v>1102</v>
      </c>
      <c r="D474" t="s">
        <v>768</v>
      </c>
      <c r="E474" s="3" t="d">
        <v>2017-08-03</v>
      </c>
      <c r="F474">
        <v>0.75</v>
      </c>
      <c r="G474" t="s">
        <v>144</v>
      </c>
      <c r="H474">
        <v>120</v>
      </c>
      <c r="I474">
        <v>5</v>
      </c>
      <c r="J474">
        <v>0.46</v>
      </c>
      <c r="K474" t="s">
        <v>144</v>
      </c>
      <c r="L474" t="s">
        <v>144</v>
      </c>
      <c r="O474">
        <v>3</v>
      </c>
    </row>
    <row r="475" spans="1:16" x14ac:dyDescent="0.25">
      <c r="A475">
        <v>474</v>
      </c>
      <c r="B475" t="s">
        <v>1097</v>
      </c>
      <c r="D475" t="s">
        <v>768</v>
      </c>
      <c r="E475" s="3" t="d">
        <v>2017-08-03</v>
      </c>
      <c r="F475">
        <v>0.74</v>
      </c>
      <c r="G475" t="s">
        <v>144</v>
      </c>
      <c r="H475">
        <v>110</v>
      </c>
      <c r="I475">
        <v>5</v>
      </c>
      <c r="J475">
        <v>0.53</v>
      </c>
      <c r="K475" t="s">
        <v>144</v>
      </c>
      <c r="L475" t="s">
        <v>144</v>
      </c>
      <c r="O475">
        <v>3</v>
      </c>
    </row>
    <row r="476" spans="1:16" x14ac:dyDescent="0.25">
      <c r="A476">
        <v>475</v>
      </c>
      <c r="B476" t="s">
        <v>1144</v>
      </c>
      <c r="D476" t="s">
        <v>447</v>
      </c>
      <c r="E476" s="3" t="d">
        <v>2017-08-07</v>
      </c>
      <c r="F476">
        <v>14.8</v>
      </c>
      <c r="G476">
        <v>12.2</v>
      </c>
      <c r="H476">
        <v>1200</v>
      </c>
      <c r="I476">
        <v>565</v>
      </c>
      <c r="J476">
        <v>4.07</v>
      </c>
      <c r="K476">
        <v>3.62</v>
      </c>
      <c r="L476">
        <v>3.22</v>
      </c>
      <c r="O476">
        <v>4</v>
      </c>
    </row>
    <row r="477" spans="1:16" x14ac:dyDescent="0.25">
      <c r="A477">
        <v>476</v>
      </c>
      <c r="B477" t="s">
        <v>1145</v>
      </c>
      <c r="D477" t="s">
        <v>447</v>
      </c>
      <c r="E477" s="3" t="d">
        <v>2017-08-07</v>
      </c>
      <c r="F477">
        <v>14.4</v>
      </c>
      <c r="G477">
        <v>13.2</v>
      </c>
      <c r="H477">
        <v>1100</v>
      </c>
      <c r="I477">
        <v>545</v>
      </c>
      <c r="J477">
        <v>4.55</v>
      </c>
      <c r="K477">
        <v>5.14</v>
      </c>
      <c r="L477">
        <v>4.91</v>
      </c>
      <c r="O477">
        <v>3</v>
      </c>
    </row>
    <row r="478" spans="1:16" x14ac:dyDescent="0.25">
      <c r="A478">
        <v>477</v>
      </c>
      <c r="B478" t="s">
        <v>1147</v>
      </c>
      <c r="C478" t="s">
        <v>1134</v>
      </c>
      <c r="D478" t="s">
        <v>404</v>
      </c>
      <c r="E478" s="3" t="d">
        <v>2017-08-07</v>
      </c>
      <c r="F478">
        <v>26.3</v>
      </c>
      <c r="G478">
        <v>25.7</v>
      </c>
      <c r="H478" t="s">
        <v>144</v>
      </c>
      <c r="I478" t="s">
        <v>144</v>
      </c>
      <c r="J478">
        <v>13.48</v>
      </c>
      <c r="K478">
        <v>15.32</v>
      </c>
      <c r="L478">
        <v>20.66</v>
      </c>
      <c r="O478" t="s">
        <v>144</v>
      </c>
      <c r="P478">
        <v>4183</v>
      </c>
    </row>
    <row r="479" spans="1:16" x14ac:dyDescent="0.25">
      <c r="A479">
        <v>478</v>
      </c>
      <c r="B479" t="s">
        <v>1148</v>
      </c>
      <c r="C479" t="s">
        <v>1134</v>
      </c>
      <c r="D479" t="s">
        <v>545</v>
      </c>
      <c r="E479" s="3" t="d">
        <v>2017-08-07</v>
      </c>
      <c r="F479">
        <v>25.7</v>
      </c>
      <c r="G479">
        <v>16</v>
      </c>
      <c r="H479" t="s">
        <v>144</v>
      </c>
      <c r="I479" t="s">
        <v>144</v>
      </c>
      <c r="J479">
        <v>11.63</v>
      </c>
      <c r="K479">
        <v>14.14</v>
      </c>
      <c r="L479">
        <v>9.07</v>
      </c>
      <c r="O479" t="s">
        <v>144</v>
      </c>
      <c r="P479">
        <v>4141</v>
      </c>
    </row>
    <row r="480" spans="1:16" x14ac:dyDescent="0.25">
      <c r="A480">
        <v>479</v>
      </c>
      <c r="B480" t="s">
        <v>1149</v>
      </c>
      <c r="C480" t="s">
        <v>1134</v>
      </c>
      <c r="D480" t="s">
        <v>437</v>
      </c>
      <c r="E480" s="3" t="d">
        <v>2017-08-07</v>
      </c>
      <c r="F480">
        <v>15.5</v>
      </c>
      <c r="G480" t="s">
        <v>144</v>
      </c>
      <c r="H480" t="s">
        <v>144</v>
      </c>
      <c r="I480" t="s">
        <v>144</v>
      </c>
      <c r="J480">
        <v>4.4400000000000004</v>
      </c>
      <c r="K480">
        <v>5.77</v>
      </c>
      <c r="L480">
        <v>6.4</v>
      </c>
      <c r="O480" t="s">
        <v>144</v>
      </c>
      <c r="P480">
        <v>4188</v>
      </c>
    </row>
    <row r="481" spans="1:16" x14ac:dyDescent="0.25">
      <c r="A481">
        <v>480</v>
      </c>
      <c r="B481" t="s">
        <v>1150</v>
      </c>
      <c r="C481" t="s">
        <v>1134</v>
      </c>
      <c r="D481" t="s">
        <v>942</v>
      </c>
      <c r="E481" s="3" t="d">
        <v>2017-08-07</v>
      </c>
      <c r="F481">
        <v>26</v>
      </c>
      <c r="G481" t="s">
        <v>144</v>
      </c>
      <c r="H481" t="s">
        <v>144</v>
      </c>
      <c r="I481" t="s">
        <v>144</v>
      </c>
      <c r="J481">
        <v>54.25</v>
      </c>
      <c r="K481">
        <v>56</v>
      </c>
      <c r="L481">
        <v>46.91</v>
      </c>
      <c r="O481" t="s">
        <v>144</v>
      </c>
      <c r="P481">
        <v>4174</v>
      </c>
    </row>
    <row r="482" spans="1:16" x14ac:dyDescent="0.25">
      <c r="A482">
        <v>481</v>
      </c>
      <c r="B482" t="s">
        <v>1151</v>
      </c>
      <c r="C482" t="s">
        <v>1134</v>
      </c>
      <c r="D482" t="s">
        <v>404</v>
      </c>
      <c r="E482" s="3" t="d">
        <v>2017-08-07</v>
      </c>
      <c r="F482">
        <v>37</v>
      </c>
      <c r="G482" t="s">
        <v>144</v>
      </c>
      <c r="H482" t="s">
        <v>144</v>
      </c>
      <c r="I482" t="s">
        <v>144</v>
      </c>
      <c r="J482">
        <v>21.13</v>
      </c>
      <c r="K482">
        <v>29.57</v>
      </c>
      <c r="L482">
        <v>29.29</v>
      </c>
      <c r="O482" t="s">
        <v>144</v>
      </c>
      <c r="P482">
        <v>4263</v>
      </c>
    </row>
    <row r="483" spans="1:16" x14ac:dyDescent="0.25">
      <c r="A483">
        <v>482</v>
      </c>
      <c r="B483" t="s">
        <v>1152</v>
      </c>
      <c r="C483" t="s">
        <v>1134</v>
      </c>
      <c r="D483" t="s">
        <v>404</v>
      </c>
      <c r="E483" s="3" t="d">
        <v>2017-08-07</v>
      </c>
      <c r="F483">
        <v>29</v>
      </c>
      <c r="G483" t="s">
        <v>144</v>
      </c>
      <c r="H483" t="s">
        <v>144</v>
      </c>
      <c r="I483" t="s">
        <v>144</v>
      </c>
      <c r="J483">
        <v>21.22</v>
      </c>
      <c r="K483">
        <v>14.6</v>
      </c>
      <c r="L483">
        <v>16.760000000000002</v>
      </c>
      <c r="O483" t="s">
        <v>144</v>
      </c>
      <c r="P483">
        <v>4269</v>
      </c>
    </row>
    <row r="484" spans="1:16" x14ac:dyDescent="0.25">
      <c r="A484">
        <v>483</v>
      </c>
      <c r="B484" t="s">
        <v>1153</v>
      </c>
      <c r="C484" t="s">
        <v>1134</v>
      </c>
      <c r="D484" t="s">
        <v>545</v>
      </c>
      <c r="E484" s="3" t="d">
        <v>2017-08-07</v>
      </c>
      <c r="F484">
        <v>10.8</v>
      </c>
      <c r="G484" t="s">
        <v>144</v>
      </c>
      <c r="H484" t="s">
        <v>144</v>
      </c>
      <c r="I484" t="s">
        <v>144</v>
      </c>
      <c r="J484">
        <v>6.65</v>
      </c>
      <c r="K484">
        <v>10.01</v>
      </c>
      <c r="L484">
        <v>7.73</v>
      </c>
      <c r="O484" t="s">
        <v>144</v>
      </c>
      <c r="P484">
        <v>4143</v>
      </c>
    </row>
    <row r="485" spans="1:16" x14ac:dyDescent="0.25">
      <c r="A485">
        <v>484</v>
      </c>
      <c r="B485" t="s">
        <v>1154</v>
      </c>
      <c r="C485" t="s">
        <v>1134</v>
      </c>
      <c r="D485" t="s">
        <v>404</v>
      </c>
      <c r="E485" s="3" t="d">
        <v>2017-08-07</v>
      </c>
      <c r="F485">
        <v>20</v>
      </c>
      <c r="G485" t="s">
        <v>144</v>
      </c>
      <c r="H485" t="s">
        <v>144</v>
      </c>
      <c r="I485" t="s">
        <v>144</v>
      </c>
      <c r="J485">
        <v>10.11</v>
      </c>
      <c r="K485">
        <v>9.25</v>
      </c>
      <c r="L485">
        <v>6.25</v>
      </c>
      <c r="O485" t="s">
        <v>144</v>
      </c>
      <c r="P485">
        <v>4413</v>
      </c>
    </row>
    <row r="486" spans="1:16" x14ac:dyDescent="0.25">
      <c r="A486">
        <v>485</v>
      </c>
      <c r="B486" t="s">
        <v>1155</v>
      </c>
      <c r="C486" t="s">
        <v>1134</v>
      </c>
      <c r="D486" t="s">
        <v>1117</v>
      </c>
      <c r="E486" s="3" t="d">
        <v>2017-08-07</v>
      </c>
      <c r="F486">
        <v>28</v>
      </c>
      <c r="G486" t="s">
        <v>144</v>
      </c>
      <c r="H486" t="s">
        <v>144</v>
      </c>
      <c r="I486" t="s">
        <v>144</v>
      </c>
      <c r="J486">
        <v>19.13</v>
      </c>
      <c r="K486">
        <v>14.87</v>
      </c>
      <c r="L486">
        <v>17.59</v>
      </c>
      <c r="O486" t="s">
        <v>144</v>
      </c>
    </row>
    <row r="487" spans="1:16" x14ac:dyDescent="0.25">
      <c r="A487">
        <v>486</v>
      </c>
      <c r="B487" t="s">
        <v>1156</v>
      </c>
      <c r="C487" t="s">
        <v>1134</v>
      </c>
      <c r="D487" t="s">
        <v>437</v>
      </c>
      <c r="E487" s="3" t="d">
        <v>2017-08-07</v>
      </c>
      <c r="F487">
        <v>9</v>
      </c>
      <c r="G487" t="s">
        <v>144</v>
      </c>
      <c r="H487" t="s">
        <v>144</v>
      </c>
      <c r="I487" t="s">
        <v>144</v>
      </c>
      <c r="J487">
        <v>4.93</v>
      </c>
      <c r="K487">
        <v>4.51</v>
      </c>
      <c r="L487">
        <v>3.35</v>
      </c>
      <c r="O487" t="s">
        <v>144</v>
      </c>
    </row>
    <row r="488" spans="1:16" x14ac:dyDescent="0.25">
      <c r="A488">
        <v>487</v>
      </c>
      <c r="B488" t="s">
        <v>1157</v>
      </c>
      <c r="C488" t="s">
        <v>1134</v>
      </c>
      <c r="D488" t="s">
        <v>1117</v>
      </c>
      <c r="E488" s="3" t="d">
        <v>2017-08-07</v>
      </c>
      <c r="F488">
        <v>29</v>
      </c>
      <c r="G488" t="s">
        <v>144</v>
      </c>
      <c r="H488" t="s">
        <v>144</v>
      </c>
      <c r="I488" t="s">
        <v>144</v>
      </c>
      <c r="J488">
        <v>18.329999999999998</v>
      </c>
      <c r="K488">
        <v>22.34</v>
      </c>
      <c r="L488">
        <v>17.43</v>
      </c>
      <c r="O488" t="s">
        <v>144</v>
      </c>
    </row>
    <row r="489" spans="1:16" x14ac:dyDescent="0.25">
      <c r="A489">
        <v>488</v>
      </c>
      <c r="B489" t="s">
        <v>1158</v>
      </c>
      <c r="C489" t="s">
        <v>1134</v>
      </c>
      <c r="D489" t="s">
        <v>392</v>
      </c>
      <c r="E489" s="3" t="d">
        <v>2017-08-09</v>
      </c>
      <c r="F489">
        <v>27.1</v>
      </c>
      <c r="G489" t="s">
        <v>1174</v>
      </c>
      <c r="H489">
        <v>750</v>
      </c>
      <c r="I489">
        <v>110</v>
      </c>
      <c r="J489">
        <v>15.62</v>
      </c>
      <c r="K489">
        <v>12.39</v>
      </c>
      <c r="L489">
        <v>13.36</v>
      </c>
      <c r="O489">
        <v>5</v>
      </c>
      <c r="P489" t="s">
        <v>1177</v>
      </c>
    </row>
    <row r="490" spans="1:16" x14ac:dyDescent="0.25">
      <c r="A490">
        <v>489</v>
      </c>
      <c r="B490" t="s">
        <v>1159</v>
      </c>
      <c r="C490" t="s">
        <v>1134</v>
      </c>
      <c r="D490" t="s">
        <v>345</v>
      </c>
      <c r="E490" s="3" t="d">
        <v>2017-08-09</v>
      </c>
      <c r="F490">
        <v>23.7</v>
      </c>
      <c r="G490">
        <v>24</v>
      </c>
      <c r="H490">
        <v>647</v>
      </c>
      <c r="I490">
        <v>253</v>
      </c>
      <c r="J490">
        <v>28.75</v>
      </c>
      <c r="K490">
        <v>20.079999999999998</v>
      </c>
      <c r="L490">
        <v>24.45</v>
      </c>
      <c r="O490">
        <v>5</v>
      </c>
      <c r="P490" t="s">
        <v>1177</v>
      </c>
    </row>
    <row r="491" spans="1:16" x14ac:dyDescent="0.25">
      <c r="A491">
        <v>490</v>
      </c>
      <c r="B491" t="s">
        <v>1160</v>
      </c>
      <c r="C491" t="s">
        <v>1134</v>
      </c>
      <c r="D491" t="s">
        <v>345</v>
      </c>
      <c r="E491" s="3" t="d">
        <v>2017-08-09</v>
      </c>
      <c r="F491">
        <v>25.5</v>
      </c>
      <c r="G491">
        <v>25</v>
      </c>
      <c r="H491">
        <v>478</v>
      </c>
      <c r="I491">
        <v>45</v>
      </c>
      <c r="J491">
        <v>26.71</v>
      </c>
      <c r="K491">
        <v>38.5</v>
      </c>
      <c r="L491">
        <v>36.75</v>
      </c>
      <c r="O491">
        <v>5</v>
      </c>
      <c r="P491" t="s">
        <v>1177</v>
      </c>
    </row>
    <row r="492" spans="1:16" x14ac:dyDescent="0.25">
      <c r="A492">
        <v>491</v>
      </c>
      <c r="B492" t="s">
        <v>1161</v>
      </c>
      <c r="C492" t="s">
        <v>1134</v>
      </c>
      <c r="D492" t="s">
        <v>353</v>
      </c>
      <c r="E492" s="3" t="d">
        <v>2017-08-09</v>
      </c>
      <c r="F492">
        <v>20.3</v>
      </c>
      <c r="G492">
        <v>19.7</v>
      </c>
      <c r="H492">
        <v>563</v>
      </c>
      <c r="I492">
        <v>210</v>
      </c>
      <c r="J492">
        <v>23.79</v>
      </c>
      <c r="K492">
        <v>22.62</v>
      </c>
      <c r="L492">
        <v>21.24</v>
      </c>
      <c r="O492">
        <v>5</v>
      </c>
      <c r="P492" t="s">
        <v>1178</v>
      </c>
    </row>
    <row r="493" spans="1:16" x14ac:dyDescent="0.25">
      <c r="A493">
        <v>492</v>
      </c>
      <c r="B493" t="s">
        <v>1162</v>
      </c>
      <c r="C493" t="s">
        <v>1134</v>
      </c>
      <c r="D493" t="s">
        <v>365</v>
      </c>
      <c r="E493" s="3" t="d">
        <v>2017-08-09</v>
      </c>
      <c r="F493">
        <v>30.5</v>
      </c>
      <c r="G493">
        <v>27.9</v>
      </c>
      <c r="H493">
        <v>781</v>
      </c>
      <c r="I493">
        <v>343</v>
      </c>
      <c r="J493">
        <v>16.5</v>
      </c>
      <c r="K493">
        <v>16.600000000000001</v>
      </c>
      <c r="L493">
        <v>15.06</v>
      </c>
      <c r="O493">
        <v>5</v>
      </c>
      <c r="P493" t="s">
        <v>1178</v>
      </c>
    </row>
    <row r="494" spans="1:16" x14ac:dyDescent="0.25">
      <c r="A494">
        <v>493</v>
      </c>
      <c r="B494" t="s">
        <v>1163</v>
      </c>
      <c r="C494" t="s">
        <v>1134</v>
      </c>
      <c r="D494" t="s">
        <v>365</v>
      </c>
      <c r="E494" s="3" t="d">
        <v>2017-08-09</v>
      </c>
      <c r="F494">
        <v>33.5</v>
      </c>
      <c r="G494">
        <v>27.2</v>
      </c>
      <c r="H494">
        <v>1060</v>
      </c>
      <c r="I494">
        <v>510</v>
      </c>
      <c r="J494">
        <v>13.14</v>
      </c>
      <c r="K494">
        <v>16.170000000000002</v>
      </c>
      <c r="L494">
        <v>15.05</v>
      </c>
      <c r="O494">
        <v>5</v>
      </c>
      <c r="P494" t="s">
        <v>1177</v>
      </c>
    </row>
    <row r="495" spans="1:16" x14ac:dyDescent="0.25">
      <c r="A495">
        <v>494</v>
      </c>
      <c r="B495" t="s">
        <v>1164</v>
      </c>
      <c r="C495" t="s">
        <v>1134</v>
      </c>
      <c r="D495" t="s">
        <v>365</v>
      </c>
      <c r="E495" s="3" t="d">
        <v>2017-08-09</v>
      </c>
      <c r="F495">
        <v>52</v>
      </c>
      <c r="G495">
        <v>31</v>
      </c>
      <c r="H495">
        <v>900</v>
      </c>
      <c r="I495">
        <v>420</v>
      </c>
      <c r="J495">
        <v>19.16</v>
      </c>
      <c r="K495">
        <v>20.440000000000001</v>
      </c>
      <c r="L495">
        <v>14.15</v>
      </c>
      <c r="O495">
        <v>5</v>
      </c>
      <c r="P495" t="s">
        <v>1178</v>
      </c>
    </row>
    <row r="496" spans="1:16" x14ac:dyDescent="0.25">
      <c r="A496">
        <v>495</v>
      </c>
      <c r="B496" t="s">
        <v>1165</v>
      </c>
      <c r="C496" t="s">
        <v>1134</v>
      </c>
      <c r="D496" t="s">
        <v>344</v>
      </c>
      <c r="E496" s="3" t="d">
        <v>2017-08-09</v>
      </c>
      <c r="F496">
        <v>30</v>
      </c>
      <c r="G496" t="s">
        <v>1175</v>
      </c>
      <c r="H496">
        <v>870</v>
      </c>
      <c r="I496">
        <v>253</v>
      </c>
      <c r="J496">
        <v>7.23</v>
      </c>
      <c r="K496">
        <v>5.79</v>
      </c>
      <c r="L496">
        <v>5.4</v>
      </c>
      <c r="O496">
        <v>4</v>
      </c>
      <c r="P496" t="s">
        <v>1178</v>
      </c>
    </row>
    <row r="497" spans="1:16" x14ac:dyDescent="0.25">
      <c r="A497">
        <v>496</v>
      </c>
      <c r="B497" t="s">
        <v>1166</v>
      </c>
      <c r="C497" t="s">
        <v>1134</v>
      </c>
      <c r="D497" t="s">
        <v>357</v>
      </c>
      <c r="E497" s="3" t="d">
        <v>2017-08-09</v>
      </c>
      <c r="F497">
        <v>35.5</v>
      </c>
      <c r="G497">
        <v>29.7</v>
      </c>
      <c r="H497">
        <v>820</v>
      </c>
      <c r="I497">
        <v>456</v>
      </c>
      <c r="J497">
        <v>22.41</v>
      </c>
      <c r="K497">
        <v>20.47</v>
      </c>
      <c r="L497">
        <v>22.56</v>
      </c>
      <c r="O497">
        <v>5</v>
      </c>
      <c r="P497" t="s">
        <v>1177</v>
      </c>
    </row>
    <row r="498" spans="1:16" x14ac:dyDescent="0.25">
      <c r="A498">
        <v>497</v>
      </c>
      <c r="B498" t="s">
        <v>1167</v>
      </c>
      <c r="C498" t="s">
        <v>1134</v>
      </c>
      <c r="D498" t="s">
        <v>359</v>
      </c>
      <c r="E498" s="3" t="d">
        <v>2017-08-09</v>
      </c>
      <c r="F498">
        <v>40.9</v>
      </c>
      <c r="G498">
        <v>37.9</v>
      </c>
      <c r="H498">
        <v>1200</v>
      </c>
      <c r="I498">
        <v>582</v>
      </c>
      <c r="J498">
        <v>42.09</v>
      </c>
      <c r="K498">
        <v>33.72</v>
      </c>
      <c r="L498">
        <v>44.21</v>
      </c>
      <c r="O498">
        <v>4</v>
      </c>
      <c r="P498" t="s">
        <v>1178</v>
      </c>
    </row>
    <row r="499" spans="1:16" x14ac:dyDescent="0.25">
      <c r="A499">
        <v>498</v>
      </c>
      <c r="B499" t="s">
        <v>1168</v>
      </c>
      <c r="C499" t="s">
        <v>1134</v>
      </c>
      <c r="D499" t="s">
        <v>344</v>
      </c>
      <c r="E499" s="3" t="d">
        <v>2017-08-09</v>
      </c>
      <c r="F499">
        <v>23.1</v>
      </c>
      <c r="G499" t="s">
        <v>1176</v>
      </c>
      <c r="H499">
        <v>910</v>
      </c>
      <c r="I499">
        <v>632</v>
      </c>
      <c r="J499">
        <v>7.55</v>
      </c>
      <c r="K499">
        <v>7.64</v>
      </c>
      <c r="L499">
        <v>6.76</v>
      </c>
      <c r="O499">
        <v>4</v>
      </c>
      <c r="P499" t="s">
        <v>1177</v>
      </c>
    </row>
    <row r="500" spans="1:16" x14ac:dyDescent="0.25">
      <c r="A500">
        <v>499</v>
      </c>
      <c r="B500" t="s">
        <v>1173</v>
      </c>
      <c r="C500" t="s">
        <v>1134</v>
      </c>
      <c r="D500" t="s">
        <v>344</v>
      </c>
      <c r="E500" s="3" t="d">
        <v>2017-08-09</v>
      </c>
      <c r="F500">
        <v>28.5</v>
      </c>
      <c r="G500">
        <v>27.9</v>
      </c>
      <c r="H500">
        <v>880</v>
      </c>
      <c r="I500">
        <v>245</v>
      </c>
      <c r="J500">
        <v>7.23</v>
      </c>
      <c r="K500">
        <v>8.23</v>
      </c>
      <c r="L500">
        <v>6.79</v>
      </c>
      <c r="O500">
        <v>4</v>
      </c>
      <c r="P500" t="s">
        <v>1177</v>
      </c>
    </row>
    <row r="501" spans="1:16" x14ac:dyDescent="0.25">
      <c r="A501">
        <v>500</v>
      </c>
      <c r="B501" t="s">
        <v>1169</v>
      </c>
      <c r="C501" t="s">
        <v>1134</v>
      </c>
      <c r="D501" t="s">
        <v>359</v>
      </c>
      <c r="E501" s="3" t="d">
        <v>2017-08-09</v>
      </c>
      <c r="F501">
        <v>42.2</v>
      </c>
      <c r="G501">
        <v>36.1</v>
      </c>
      <c r="H501">
        <v>1100</v>
      </c>
      <c r="I501">
        <v>373</v>
      </c>
      <c r="J501">
        <v>56.88</v>
      </c>
      <c r="K501">
        <v>44.03</v>
      </c>
      <c r="L501">
        <v>46.6</v>
      </c>
      <c r="O501">
        <v>5</v>
      </c>
      <c r="P501" t="s">
        <v>1178</v>
      </c>
    </row>
    <row r="502" spans="1:16" x14ac:dyDescent="0.25">
      <c r="A502">
        <v>501</v>
      </c>
      <c r="B502" t="s">
        <v>1170</v>
      </c>
      <c r="C502" t="s">
        <v>1134</v>
      </c>
      <c r="D502" t="s">
        <v>357</v>
      </c>
      <c r="E502" s="3" t="d">
        <v>2017-08-09</v>
      </c>
      <c r="F502">
        <v>45.5</v>
      </c>
      <c r="G502">
        <v>47.5</v>
      </c>
      <c r="H502">
        <v>1050</v>
      </c>
      <c r="I502">
        <v>309</v>
      </c>
      <c r="J502">
        <v>21.09</v>
      </c>
      <c r="K502">
        <v>29.08</v>
      </c>
      <c r="L502">
        <v>30.06</v>
      </c>
      <c r="O502">
        <v>4</v>
      </c>
      <c r="P502" t="s">
        <v>1178</v>
      </c>
    </row>
    <row r="503" spans="1:16" x14ac:dyDescent="0.25">
      <c r="A503">
        <v>502</v>
      </c>
      <c r="B503" t="s">
        <v>1171</v>
      </c>
      <c r="C503" t="s">
        <v>1134</v>
      </c>
      <c r="D503" t="s">
        <v>907</v>
      </c>
      <c r="E503" s="3" t="d">
        <v>2017-08-09</v>
      </c>
      <c r="F503">
        <v>12</v>
      </c>
      <c r="G503">
        <v>12.3</v>
      </c>
      <c r="H503">
        <v>555</v>
      </c>
      <c r="I503">
        <v>245</v>
      </c>
      <c r="J503">
        <v>4.7</v>
      </c>
      <c r="K503">
        <v>4.2</v>
      </c>
      <c r="L503">
        <v>4.68</v>
      </c>
      <c r="O503">
        <v>3</v>
      </c>
      <c r="P503" t="s">
        <v>1178</v>
      </c>
    </row>
    <row r="504" spans="1:16" x14ac:dyDescent="0.25">
      <c r="A504">
        <v>503</v>
      </c>
      <c r="B504" t="s">
        <v>1172</v>
      </c>
      <c r="C504" t="s">
        <v>1134</v>
      </c>
      <c r="D504" t="s">
        <v>391</v>
      </c>
      <c r="E504" s="3" t="d">
        <v>2017-08-09</v>
      </c>
      <c r="F504">
        <v>31.9</v>
      </c>
      <c r="G504">
        <v>28.4</v>
      </c>
      <c r="H504">
        <v>1050</v>
      </c>
      <c r="I504">
        <v>540</v>
      </c>
      <c r="J504">
        <v>8.1999999999999993</v>
      </c>
      <c r="K504">
        <v>8.68</v>
      </c>
      <c r="L504">
        <v>7.5</v>
      </c>
      <c r="O504">
        <v>5</v>
      </c>
      <c r="P504" t="s">
        <v>1178</v>
      </c>
    </row>
    <row r="505" spans="1:16" x14ac:dyDescent="0.25">
      <c r="A505">
        <v>504</v>
      </c>
      <c r="B505" t="s">
        <v>1179</v>
      </c>
      <c r="C505" t="s">
        <v>1134</v>
      </c>
      <c r="D505" t="s">
        <v>344</v>
      </c>
      <c r="E505" s="3" t="d">
        <v>2017-08-10</v>
      </c>
      <c r="F505">
        <v>27.5</v>
      </c>
      <c r="G505">
        <v>24.5</v>
      </c>
      <c r="H505" t="s">
        <v>144</v>
      </c>
      <c r="I505" t="s">
        <v>144</v>
      </c>
      <c r="J505">
        <v>10.07</v>
      </c>
      <c r="K505">
        <v>9.4499999999999993</v>
      </c>
      <c r="L505">
        <v>6.6</v>
      </c>
      <c r="O505">
        <v>3</v>
      </c>
      <c r="P505" t="s">
        <v>1177</v>
      </c>
    </row>
    <row r="506" spans="1:16" x14ac:dyDescent="0.25">
      <c r="A506">
        <v>505</v>
      </c>
      <c r="B506" t="s">
        <v>1180</v>
      </c>
      <c r="C506" t="s">
        <v>1134</v>
      </c>
      <c r="D506" t="s">
        <v>357</v>
      </c>
      <c r="E506" s="3" t="d">
        <v>2017-08-10</v>
      </c>
      <c r="F506">
        <v>48.8</v>
      </c>
      <c r="G506">
        <v>45.5</v>
      </c>
      <c r="H506" t="s">
        <v>144</v>
      </c>
      <c r="I506" t="s">
        <v>144</v>
      </c>
      <c r="J506">
        <v>28.48</v>
      </c>
      <c r="K506">
        <v>29.06</v>
      </c>
      <c r="L506">
        <v>31.25</v>
      </c>
      <c r="O506">
        <v>4</v>
      </c>
    </row>
    <row r="507" spans="1:16" x14ac:dyDescent="0.25">
      <c r="A507">
        <v>506</v>
      </c>
      <c r="B507" t="s">
        <v>1181</v>
      </c>
      <c r="C507" t="s">
        <v>1134</v>
      </c>
      <c r="D507" t="s">
        <v>357</v>
      </c>
      <c r="E507" s="3" t="d">
        <v>2017-08-10</v>
      </c>
      <c r="F507">
        <v>26.5</v>
      </c>
      <c r="G507">
        <v>25.6</v>
      </c>
      <c r="H507" t="s">
        <v>144</v>
      </c>
      <c r="I507" t="s">
        <v>144</v>
      </c>
      <c r="J507">
        <v>21.12</v>
      </c>
      <c r="K507">
        <v>21.43</v>
      </c>
      <c r="L507">
        <v>21.98</v>
      </c>
      <c r="O507">
        <v>4</v>
      </c>
      <c r="P507" t="s">
        <v>1177</v>
      </c>
    </row>
    <row r="508" spans="1:16" x14ac:dyDescent="0.25">
      <c r="A508">
        <v>507</v>
      </c>
      <c r="B508" t="s">
        <v>1182</v>
      </c>
      <c r="C508" t="s">
        <v>1134</v>
      </c>
      <c r="D508" t="s">
        <v>398</v>
      </c>
      <c r="E508" s="3" t="d">
        <v>2017-08-10</v>
      </c>
      <c r="F508">
        <v>14.5</v>
      </c>
      <c r="G508">
        <v>12.8</v>
      </c>
      <c r="H508" t="s">
        <v>144</v>
      </c>
      <c r="I508" t="s">
        <v>144</v>
      </c>
      <c r="J508">
        <v>8.49</v>
      </c>
      <c r="K508">
        <v>6.93</v>
      </c>
      <c r="L508">
        <v>6.61</v>
      </c>
      <c r="O508">
        <v>4</v>
      </c>
      <c r="P508">
        <v>881</v>
      </c>
    </row>
    <row r="509" spans="1:16" x14ac:dyDescent="0.25">
      <c r="A509">
        <v>508</v>
      </c>
      <c r="B509" t="s">
        <v>1183</v>
      </c>
      <c r="C509" t="s">
        <v>1134</v>
      </c>
      <c r="D509" t="s">
        <v>609</v>
      </c>
      <c r="E509" s="3" t="d">
        <v>2017-08-10</v>
      </c>
      <c r="F509">
        <v>12.4</v>
      </c>
      <c r="G509">
        <v>12.3</v>
      </c>
      <c r="H509" t="s">
        <v>144</v>
      </c>
      <c r="I509" t="s">
        <v>144</v>
      </c>
      <c r="J509">
        <v>7.97</v>
      </c>
      <c r="K509">
        <v>6.64</v>
      </c>
      <c r="L509">
        <v>8.06</v>
      </c>
      <c r="O509">
        <v>3</v>
      </c>
      <c r="P509">
        <v>887</v>
      </c>
    </row>
    <row r="510" spans="1:16" x14ac:dyDescent="0.25">
      <c r="A510">
        <v>509</v>
      </c>
      <c r="B510" t="s">
        <v>1184</v>
      </c>
      <c r="C510" t="s">
        <v>1134</v>
      </c>
      <c r="D510" t="s">
        <v>359</v>
      </c>
      <c r="E510" s="3" t="d">
        <v>2017-08-10</v>
      </c>
      <c r="F510">
        <v>26</v>
      </c>
      <c r="G510">
        <v>27</v>
      </c>
      <c r="H510" t="s">
        <v>144</v>
      </c>
      <c r="I510" t="s">
        <v>144</v>
      </c>
      <c r="J510">
        <v>27.41</v>
      </c>
      <c r="K510">
        <v>36.93</v>
      </c>
      <c r="L510">
        <v>35.49</v>
      </c>
      <c r="O510">
        <v>4</v>
      </c>
    </row>
    <row r="511" spans="1:16" x14ac:dyDescent="0.25">
      <c r="A511">
        <v>510</v>
      </c>
      <c r="B511" t="s">
        <v>1185</v>
      </c>
      <c r="C511" t="s">
        <v>1134</v>
      </c>
      <c r="D511" t="s">
        <v>842</v>
      </c>
      <c r="E511" s="3" t="d">
        <v>2017-08-10</v>
      </c>
      <c r="F511">
        <v>34.799999999999997</v>
      </c>
      <c r="G511">
        <v>33.200000000000003</v>
      </c>
      <c r="H511" t="s">
        <v>144</v>
      </c>
      <c r="I511" t="s">
        <v>144</v>
      </c>
      <c r="J511">
        <v>42.36</v>
      </c>
      <c r="K511">
        <v>35.43</v>
      </c>
      <c r="L511">
        <v>32.409999999999997</v>
      </c>
      <c r="O511">
        <v>4</v>
      </c>
      <c r="P511">
        <v>996</v>
      </c>
    </row>
    <row r="512" spans="1:16" x14ac:dyDescent="0.25">
      <c r="A512">
        <v>511</v>
      </c>
      <c r="B512" t="s">
        <v>1186</v>
      </c>
      <c r="C512" t="s">
        <v>1134</v>
      </c>
      <c r="D512" t="s">
        <v>842</v>
      </c>
      <c r="E512" s="3" t="d">
        <v>2017-08-10</v>
      </c>
      <c r="F512">
        <v>25.5</v>
      </c>
      <c r="G512">
        <v>23.8</v>
      </c>
      <c r="H512" t="s">
        <v>144</v>
      </c>
      <c r="I512" t="s">
        <v>144</v>
      </c>
      <c r="J512">
        <v>16.87</v>
      </c>
      <c r="K512">
        <v>30.12</v>
      </c>
      <c r="L512">
        <v>16.149999999999999</v>
      </c>
      <c r="O512">
        <v>3</v>
      </c>
      <c r="P512">
        <v>997</v>
      </c>
    </row>
    <row r="513" spans="1:16" x14ac:dyDescent="0.25">
      <c r="A513">
        <v>512</v>
      </c>
      <c r="B513" t="s">
        <v>1187</v>
      </c>
      <c r="C513" t="s">
        <v>1134</v>
      </c>
      <c r="D513" t="s">
        <v>402</v>
      </c>
      <c r="E513" s="3" t="d">
        <v>2017-08-10</v>
      </c>
      <c r="F513">
        <v>7.6</v>
      </c>
      <c r="G513">
        <v>7.3</v>
      </c>
      <c r="H513" t="s">
        <v>144</v>
      </c>
      <c r="I513" t="s">
        <v>144</v>
      </c>
      <c r="J513">
        <v>0.79</v>
      </c>
      <c r="K513">
        <v>0.8</v>
      </c>
      <c r="L513">
        <v>0.88</v>
      </c>
      <c r="O513">
        <v>2</v>
      </c>
      <c r="P513">
        <v>1010</v>
      </c>
    </row>
    <row r="514" spans="1:16" x14ac:dyDescent="0.25">
      <c r="A514">
        <v>513</v>
      </c>
      <c r="B514" t="s">
        <v>1188</v>
      </c>
      <c r="C514" t="s">
        <v>1134</v>
      </c>
      <c r="D514" t="s">
        <v>845</v>
      </c>
      <c r="E514" s="3" t="d">
        <v>2017-08-10</v>
      </c>
      <c r="F514">
        <v>9.3000000000000007</v>
      </c>
      <c r="G514">
        <v>7.1</v>
      </c>
      <c r="H514" t="s">
        <v>144</v>
      </c>
      <c r="I514" t="s">
        <v>144</v>
      </c>
      <c r="J514">
        <v>10.46</v>
      </c>
      <c r="K514">
        <v>6.31</v>
      </c>
      <c r="L514">
        <v>14.39</v>
      </c>
      <c r="O514">
        <v>3</v>
      </c>
      <c r="P514">
        <v>1011</v>
      </c>
    </row>
    <row r="515" spans="1:16" x14ac:dyDescent="0.25">
      <c r="A515">
        <v>514</v>
      </c>
      <c r="B515" t="s">
        <v>1189</v>
      </c>
      <c r="C515" t="s">
        <v>1134</v>
      </c>
      <c r="D515" t="s">
        <v>348</v>
      </c>
      <c r="E515" s="3" t="d">
        <v>2017-08-10</v>
      </c>
      <c r="F515">
        <v>11</v>
      </c>
      <c r="G515">
        <v>6.8</v>
      </c>
      <c r="H515" t="s">
        <v>144</v>
      </c>
      <c r="I515" t="s">
        <v>144</v>
      </c>
      <c r="J515">
        <v>5.56</v>
      </c>
      <c r="K515">
        <v>5.0199999999999996</v>
      </c>
      <c r="L515">
        <v>5.09</v>
      </c>
      <c r="O515">
        <v>3</v>
      </c>
    </row>
    <row r="516" spans="1:16" x14ac:dyDescent="0.25">
      <c r="A516">
        <v>515</v>
      </c>
      <c r="B516" t="s">
        <v>1190</v>
      </c>
      <c r="C516" t="s">
        <v>1134</v>
      </c>
      <c r="D516" t="s">
        <v>345</v>
      </c>
      <c r="E516" s="3" t="d">
        <v>2017-08-10</v>
      </c>
      <c r="F516">
        <v>42.1</v>
      </c>
      <c r="G516">
        <v>40.200000000000003</v>
      </c>
      <c r="H516" t="s">
        <v>144</v>
      </c>
      <c r="I516" t="s">
        <v>144</v>
      </c>
      <c r="J516">
        <v>42.93</v>
      </c>
      <c r="K516">
        <v>50.36</v>
      </c>
      <c r="L516">
        <v>49.38</v>
      </c>
      <c r="O516">
        <v>5</v>
      </c>
      <c r="P516">
        <v>2011</v>
      </c>
    </row>
    <row r="517" spans="1:16" x14ac:dyDescent="0.25">
      <c r="A517">
        <v>516</v>
      </c>
      <c r="B517" t="s">
        <v>1191</v>
      </c>
      <c r="C517" t="s">
        <v>1134</v>
      </c>
      <c r="D517" t="s">
        <v>357</v>
      </c>
      <c r="E517" s="3" t="d">
        <v>2017-08-10</v>
      </c>
      <c r="F517">
        <v>56</v>
      </c>
      <c r="G517">
        <v>53.4</v>
      </c>
      <c r="H517" t="s">
        <v>144</v>
      </c>
      <c r="I517" t="s">
        <v>144</v>
      </c>
      <c r="J517">
        <v>26.93</v>
      </c>
      <c r="K517">
        <v>32.61</v>
      </c>
      <c r="L517">
        <v>27.91</v>
      </c>
      <c r="O517">
        <v>5</v>
      </c>
      <c r="P517">
        <v>2016</v>
      </c>
    </row>
    <row r="518" spans="1:16" x14ac:dyDescent="0.25">
      <c r="A518">
        <v>517</v>
      </c>
      <c r="B518" t="s">
        <v>1192</v>
      </c>
      <c r="C518" t="s">
        <v>1134</v>
      </c>
      <c r="D518" t="s">
        <v>866</v>
      </c>
      <c r="E518" s="3" t="d">
        <v>2017-08-10</v>
      </c>
      <c r="F518">
        <v>34</v>
      </c>
      <c r="G518">
        <v>32.5</v>
      </c>
      <c r="H518" t="s">
        <v>144</v>
      </c>
      <c r="I518" t="s">
        <v>144</v>
      </c>
      <c r="J518">
        <v>27.85</v>
      </c>
      <c r="K518">
        <v>26.23</v>
      </c>
      <c r="L518">
        <v>27.42</v>
      </c>
      <c r="O518">
        <v>5</v>
      </c>
      <c r="P518">
        <v>2038</v>
      </c>
    </row>
    <row r="519" spans="1:16" x14ac:dyDescent="0.25">
      <c r="A519">
        <v>518</v>
      </c>
      <c r="B519" t="s">
        <v>1193</v>
      </c>
      <c r="C519" t="s">
        <v>1134</v>
      </c>
      <c r="D519" t="s">
        <v>372</v>
      </c>
      <c r="E519" s="3" t="d">
        <v>2017-08-10</v>
      </c>
      <c r="F519">
        <v>13.1</v>
      </c>
      <c r="G519">
        <v>11.8</v>
      </c>
      <c r="H519" t="s">
        <v>144</v>
      </c>
      <c r="I519" t="s">
        <v>144</v>
      </c>
      <c r="J519">
        <v>6.63</v>
      </c>
      <c r="K519">
        <v>6.38</v>
      </c>
      <c r="L519">
        <v>4.75</v>
      </c>
      <c r="O519">
        <v>2</v>
      </c>
      <c r="P519">
        <v>2031</v>
      </c>
    </row>
    <row r="520" spans="1:16" x14ac:dyDescent="0.25">
      <c r="A520">
        <v>519</v>
      </c>
      <c r="B520" t="s">
        <v>1194</v>
      </c>
      <c r="C520" t="s">
        <v>1134</v>
      </c>
      <c r="D520" t="s">
        <v>372</v>
      </c>
      <c r="E520" s="3" t="d">
        <v>2017-08-10</v>
      </c>
      <c r="F520">
        <v>7</v>
      </c>
      <c r="G520">
        <v>6.4</v>
      </c>
      <c r="H520" t="s">
        <v>144</v>
      </c>
      <c r="I520" t="s">
        <v>144</v>
      </c>
      <c r="J520">
        <v>4.09</v>
      </c>
      <c r="K520">
        <v>3.22</v>
      </c>
      <c r="L520">
        <v>4.97</v>
      </c>
      <c r="O520">
        <v>2</v>
      </c>
      <c r="P520">
        <v>1408</v>
      </c>
    </row>
    <row r="521" spans="1:16" x14ac:dyDescent="0.25">
      <c r="A521">
        <v>520</v>
      </c>
      <c r="B521" t="s">
        <v>1195</v>
      </c>
      <c r="C521" t="s">
        <v>1134</v>
      </c>
      <c r="D521" t="s">
        <v>371</v>
      </c>
      <c r="E521" s="3" t="d">
        <v>2017-08-10</v>
      </c>
      <c r="F521">
        <v>10</v>
      </c>
      <c r="G521">
        <v>8.1999999999999993</v>
      </c>
      <c r="H521" t="s">
        <v>144</v>
      </c>
      <c r="I521" t="s">
        <v>144</v>
      </c>
      <c r="J521">
        <v>17.09</v>
      </c>
      <c r="K521">
        <v>10.130000000000001</v>
      </c>
      <c r="L521">
        <v>10.31</v>
      </c>
      <c r="O521">
        <v>4</v>
      </c>
    </row>
    <row r="522" spans="1:16" x14ac:dyDescent="0.25">
      <c r="A522">
        <v>521</v>
      </c>
      <c r="B522" t="s">
        <v>1196</v>
      </c>
      <c r="C522" t="s">
        <v>1134</v>
      </c>
      <c r="D522" t="s">
        <v>344</v>
      </c>
      <c r="E522" s="3" t="d">
        <v>2017-08-10</v>
      </c>
      <c r="F522">
        <v>14.4</v>
      </c>
      <c r="G522">
        <v>12.9</v>
      </c>
      <c r="H522" t="s">
        <v>144</v>
      </c>
      <c r="I522" t="s">
        <v>144</v>
      </c>
      <c r="J522">
        <v>4.1500000000000004</v>
      </c>
      <c r="K522">
        <v>4.74</v>
      </c>
      <c r="L522">
        <v>3.65</v>
      </c>
      <c r="O522">
        <v>4</v>
      </c>
      <c r="P522" t="s">
        <v>1205</v>
      </c>
    </row>
    <row r="523" spans="1:16" x14ac:dyDescent="0.25">
      <c r="A523">
        <v>522</v>
      </c>
      <c r="B523" t="s">
        <v>1197</v>
      </c>
      <c r="C523" t="s">
        <v>1134</v>
      </c>
      <c r="D523" t="s">
        <v>345</v>
      </c>
      <c r="E523" s="3" t="d">
        <v>2017-08-10</v>
      </c>
      <c r="F523">
        <v>27.9</v>
      </c>
      <c r="G523">
        <v>26.1</v>
      </c>
      <c r="H523" t="s">
        <v>144</v>
      </c>
      <c r="I523" t="s">
        <v>144</v>
      </c>
      <c r="J523">
        <v>34.82</v>
      </c>
      <c r="K523">
        <v>30.5</v>
      </c>
      <c r="L523">
        <v>30.91</v>
      </c>
      <c r="O523">
        <v>5</v>
      </c>
      <c r="P523" t="s">
        <v>1205</v>
      </c>
    </row>
    <row r="524" spans="1:16" x14ac:dyDescent="0.25">
      <c r="A524">
        <v>523</v>
      </c>
      <c r="B524" t="s">
        <v>1198</v>
      </c>
      <c r="C524" t="s">
        <v>1134</v>
      </c>
      <c r="D524" t="s">
        <v>379</v>
      </c>
      <c r="E524" s="3" t="d">
        <v>2017-08-10</v>
      </c>
      <c r="F524">
        <v>14.1</v>
      </c>
      <c r="G524">
        <v>13</v>
      </c>
      <c r="H524" t="s">
        <v>144</v>
      </c>
      <c r="I524" t="s">
        <v>144</v>
      </c>
      <c r="J524">
        <v>5.4</v>
      </c>
      <c r="K524">
        <v>4.9800000000000004</v>
      </c>
      <c r="L524">
        <v>3.51</v>
      </c>
      <c r="O524">
        <v>4</v>
      </c>
      <c r="P524">
        <v>2690</v>
      </c>
    </row>
    <row r="525" spans="1:16" x14ac:dyDescent="0.25">
      <c r="A525">
        <v>524</v>
      </c>
      <c r="B525" t="s">
        <v>1199</v>
      </c>
      <c r="C525" t="s">
        <v>1134</v>
      </c>
      <c r="D525" t="s">
        <v>379</v>
      </c>
      <c r="E525" s="3" t="d">
        <v>2017-08-10</v>
      </c>
      <c r="F525">
        <v>29.4</v>
      </c>
      <c r="G525">
        <v>26.2</v>
      </c>
      <c r="H525" t="s">
        <v>144</v>
      </c>
      <c r="I525" t="s">
        <v>144</v>
      </c>
      <c r="J525">
        <v>7.3</v>
      </c>
      <c r="K525">
        <v>6.54</v>
      </c>
      <c r="L525">
        <v>5.81</v>
      </c>
      <c r="O525">
        <v>4</v>
      </c>
      <c r="P525">
        <v>2695</v>
      </c>
    </row>
    <row r="526" spans="1:16" x14ac:dyDescent="0.25">
      <c r="A526">
        <v>525</v>
      </c>
      <c r="B526" t="s">
        <v>1200</v>
      </c>
      <c r="C526" t="s">
        <v>1134</v>
      </c>
      <c r="D526" t="s">
        <v>869</v>
      </c>
      <c r="E526" s="3" t="d">
        <v>2017-08-10</v>
      </c>
      <c r="F526">
        <v>25.8</v>
      </c>
      <c r="G526">
        <v>24</v>
      </c>
      <c r="H526" t="s">
        <v>144</v>
      </c>
      <c r="I526" t="s">
        <v>144</v>
      </c>
      <c r="J526">
        <v>18.77</v>
      </c>
      <c r="K526">
        <v>15.43</v>
      </c>
      <c r="L526">
        <v>17.23</v>
      </c>
      <c r="O526">
        <v>4</v>
      </c>
      <c r="P526">
        <v>2740</v>
      </c>
    </row>
    <row r="527" spans="1:16" x14ac:dyDescent="0.25">
      <c r="A527">
        <v>526</v>
      </c>
      <c r="B527" t="s">
        <v>1201</v>
      </c>
      <c r="C527" t="s">
        <v>1134</v>
      </c>
      <c r="D527" t="s">
        <v>869</v>
      </c>
      <c r="E527" s="3" t="d">
        <v>2017-08-10</v>
      </c>
      <c r="F527">
        <v>16.8</v>
      </c>
      <c r="G527">
        <v>14</v>
      </c>
      <c r="H527" t="s">
        <v>144</v>
      </c>
      <c r="I527" t="s">
        <v>144</v>
      </c>
      <c r="J527">
        <v>12.19</v>
      </c>
      <c r="K527">
        <v>13.62</v>
      </c>
      <c r="L527">
        <v>11.49</v>
      </c>
      <c r="O527">
        <v>3</v>
      </c>
      <c r="P527">
        <v>2744</v>
      </c>
    </row>
    <row r="528" spans="1:16" x14ac:dyDescent="0.25">
      <c r="A528">
        <v>527</v>
      </c>
      <c r="B528" t="s">
        <v>1204</v>
      </c>
      <c r="C528" t="s">
        <v>1134</v>
      </c>
      <c r="D528" t="s">
        <v>348</v>
      </c>
      <c r="E528" s="3" t="d">
        <v>2017-08-10</v>
      </c>
      <c r="F528">
        <v>20.9</v>
      </c>
      <c r="G528">
        <v>15.7</v>
      </c>
      <c r="H528" t="s">
        <v>144</v>
      </c>
      <c r="I528" t="s">
        <v>144</v>
      </c>
      <c r="J528">
        <v>8.3000000000000007</v>
      </c>
      <c r="K528">
        <v>7.62</v>
      </c>
      <c r="L528">
        <v>6.25</v>
      </c>
      <c r="O528">
        <v>3</v>
      </c>
      <c r="P528">
        <v>2763</v>
      </c>
    </row>
    <row r="529" spans="1:16" x14ac:dyDescent="0.25">
      <c r="A529">
        <v>528</v>
      </c>
      <c r="B529" t="s">
        <v>1202</v>
      </c>
      <c r="C529" t="s">
        <v>1134</v>
      </c>
      <c r="D529" t="s">
        <v>526</v>
      </c>
      <c r="E529" s="3" t="d">
        <v>2017-08-10</v>
      </c>
      <c r="F529">
        <v>8.4</v>
      </c>
      <c r="G529">
        <v>7.5</v>
      </c>
      <c r="H529" t="s">
        <v>144</v>
      </c>
      <c r="I529" t="s">
        <v>144</v>
      </c>
      <c r="J529">
        <v>2.63</v>
      </c>
      <c r="K529">
        <v>2.13</v>
      </c>
      <c r="L529">
        <v>2.2799999999999998</v>
      </c>
      <c r="O529">
        <v>2</v>
      </c>
      <c r="P529">
        <v>4841</v>
      </c>
    </row>
    <row r="530" spans="1:16" x14ac:dyDescent="0.25">
      <c r="A530">
        <v>529</v>
      </c>
      <c r="B530" t="s">
        <v>1203</v>
      </c>
      <c r="C530" t="s">
        <v>1134</v>
      </c>
      <c r="D530" t="s">
        <v>383</v>
      </c>
      <c r="E530" s="3" t="d">
        <v>2017-08-10</v>
      </c>
      <c r="F530">
        <v>8.8000000000000007</v>
      </c>
      <c r="G530">
        <v>7.5</v>
      </c>
      <c r="H530" t="s">
        <v>144</v>
      </c>
      <c r="I530" t="s">
        <v>144</v>
      </c>
      <c r="J530">
        <v>3.3</v>
      </c>
      <c r="K530">
        <v>2.89</v>
      </c>
      <c r="L530">
        <v>3.1</v>
      </c>
      <c r="O530">
        <v>2</v>
      </c>
      <c r="P530">
        <v>4894</v>
      </c>
    </row>
    <row r="531" spans="1:16" x14ac:dyDescent="0.25">
      <c r="A531">
        <v>530</v>
      </c>
      <c r="B531" t="s">
        <v>1206</v>
      </c>
      <c r="C531" t="s">
        <v>1134</v>
      </c>
      <c r="D531" t="s">
        <v>397</v>
      </c>
      <c r="E531" s="3" t="d">
        <v>2017-08-10</v>
      </c>
      <c r="F531">
        <v>8.8000000000000007</v>
      </c>
      <c r="G531">
        <v>6.5</v>
      </c>
      <c r="H531" t="s">
        <v>144</v>
      </c>
      <c r="I531" t="s">
        <v>144</v>
      </c>
      <c r="J531">
        <v>3.9</v>
      </c>
      <c r="K531">
        <v>3.76</v>
      </c>
      <c r="L531">
        <v>3.52</v>
      </c>
      <c r="O531">
        <v>3</v>
      </c>
      <c r="P531">
        <v>4898</v>
      </c>
    </row>
    <row r="532" spans="1:16" x14ac:dyDescent="0.25">
      <c r="A532">
        <v>531</v>
      </c>
      <c r="B532" t="s">
        <v>1193</v>
      </c>
      <c r="C532" t="s">
        <v>1134</v>
      </c>
      <c r="D532" t="s">
        <v>372</v>
      </c>
      <c r="E532" s="3" t="d">
        <v>2017-08-10</v>
      </c>
      <c r="F532">
        <v>8.6</v>
      </c>
      <c r="G532">
        <v>8.1999999999999993</v>
      </c>
      <c r="H532" t="s">
        <v>144</v>
      </c>
      <c r="I532" t="s">
        <v>144</v>
      </c>
      <c r="J532">
        <v>3.66</v>
      </c>
      <c r="K532">
        <v>4.4400000000000004</v>
      </c>
      <c r="L532">
        <v>4.92</v>
      </c>
      <c r="O532">
        <v>2</v>
      </c>
      <c r="P532">
        <v>4922</v>
      </c>
    </row>
    <row r="533" spans="1:16" x14ac:dyDescent="0.25">
      <c r="A533">
        <v>532</v>
      </c>
      <c r="B533" t="s">
        <v>1194</v>
      </c>
      <c r="C533" t="s">
        <v>1134</v>
      </c>
      <c r="D533" t="s">
        <v>372</v>
      </c>
      <c r="E533" s="3" t="d">
        <v>2017-08-10</v>
      </c>
      <c r="F533">
        <v>17.399999999999999</v>
      </c>
      <c r="G533">
        <v>16</v>
      </c>
      <c r="H533" t="s">
        <v>144</v>
      </c>
      <c r="I533" t="s">
        <v>144</v>
      </c>
      <c r="J533">
        <v>6.25</v>
      </c>
      <c r="K533">
        <v>6.23</v>
      </c>
      <c r="L533">
        <v>5.26</v>
      </c>
      <c r="O533">
        <v>3</v>
      </c>
      <c r="P533">
        <v>4931</v>
      </c>
    </row>
    <row r="534" spans="1:16" x14ac:dyDescent="0.25">
      <c r="A534">
        <v>533</v>
      </c>
      <c r="B534" t="s">
        <v>1207</v>
      </c>
      <c r="C534" t="s">
        <v>1134</v>
      </c>
      <c r="D534" t="s">
        <v>345</v>
      </c>
      <c r="E534" s="3" t="d">
        <v>2017-08-10</v>
      </c>
      <c r="F534">
        <v>20.8</v>
      </c>
      <c r="G534">
        <v>18.899999999999999</v>
      </c>
      <c r="H534" t="s">
        <v>144</v>
      </c>
      <c r="I534" t="s">
        <v>144</v>
      </c>
      <c r="J534">
        <v>27.29</v>
      </c>
      <c r="K534">
        <v>29.29</v>
      </c>
      <c r="L534">
        <v>27.06</v>
      </c>
      <c r="O534">
        <v>3</v>
      </c>
      <c r="P534" t="s">
        <v>1205</v>
      </c>
    </row>
    <row r="535" spans="1:16" x14ac:dyDescent="0.25">
      <c r="A535">
        <v>534</v>
      </c>
      <c r="B535" t="s">
        <v>1218</v>
      </c>
      <c r="C535" t="s">
        <v>1134</v>
      </c>
      <c r="D535" t="s">
        <v>357</v>
      </c>
      <c r="E535" s="3" t="d">
        <v>2017-08-10</v>
      </c>
      <c r="F535">
        <v>18</v>
      </c>
      <c r="G535">
        <v>16.100000000000001</v>
      </c>
      <c r="H535" t="s">
        <v>144</v>
      </c>
      <c r="I535" t="s">
        <v>144</v>
      </c>
      <c r="J535">
        <v>13.59</v>
      </c>
      <c r="K535">
        <v>14.14</v>
      </c>
      <c r="L535">
        <v>13.37</v>
      </c>
      <c r="O535">
        <v>4</v>
      </c>
      <c r="P535" t="s">
        <v>1205</v>
      </c>
    </row>
    <row r="536" spans="1:16" x14ac:dyDescent="0.25">
      <c r="A536">
        <v>535</v>
      </c>
      <c r="B536" t="s">
        <v>1208</v>
      </c>
      <c r="C536" t="s">
        <v>1134</v>
      </c>
      <c r="D536" t="s">
        <v>942</v>
      </c>
      <c r="E536" s="3" t="d">
        <v>2017-08-10</v>
      </c>
      <c r="F536">
        <v>46.5</v>
      </c>
      <c r="G536">
        <v>44.8</v>
      </c>
      <c r="H536" t="s">
        <v>144</v>
      </c>
      <c r="I536" t="s">
        <v>144</v>
      </c>
      <c r="J536">
        <v>41.09</v>
      </c>
      <c r="K536">
        <v>46.62</v>
      </c>
      <c r="L536" t="s">
        <v>144</v>
      </c>
      <c r="O536">
        <v>5</v>
      </c>
    </row>
    <row r="537" spans="1:16" x14ac:dyDescent="0.25">
      <c r="A537">
        <v>536</v>
      </c>
      <c r="B537" t="s">
        <v>1209</v>
      </c>
      <c r="C537" t="s">
        <v>1134</v>
      </c>
      <c r="D537" t="s">
        <v>365</v>
      </c>
      <c r="E537" s="3" t="d">
        <v>2017-08-10</v>
      </c>
      <c r="F537">
        <v>22.1</v>
      </c>
      <c r="G537">
        <v>24.2</v>
      </c>
      <c r="H537" t="s">
        <v>144</v>
      </c>
      <c r="I537" t="s">
        <v>144</v>
      </c>
      <c r="J537">
        <v>23.31</v>
      </c>
      <c r="K537">
        <v>17.98</v>
      </c>
      <c r="L537">
        <v>18.55</v>
      </c>
      <c r="O537">
        <v>4</v>
      </c>
      <c r="P537" t="s">
        <v>1205</v>
      </c>
    </row>
    <row r="538" spans="1:16" x14ac:dyDescent="0.25">
      <c r="A538">
        <v>537</v>
      </c>
      <c r="B538" t="s">
        <v>1210</v>
      </c>
      <c r="C538" t="s">
        <v>1134</v>
      </c>
      <c r="D538" t="s">
        <v>365</v>
      </c>
      <c r="E538" s="3" t="d">
        <v>2017-08-10</v>
      </c>
      <c r="F538">
        <v>20.5</v>
      </c>
      <c r="G538">
        <v>19.5</v>
      </c>
      <c r="H538" t="s">
        <v>144</v>
      </c>
      <c r="I538" t="s">
        <v>144</v>
      </c>
      <c r="J538">
        <v>7.14</v>
      </c>
      <c r="K538">
        <v>7.15</v>
      </c>
      <c r="L538">
        <v>7.3</v>
      </c>
      <c r="O538">
        <v>4</v>
      </c>
      <c r="P538" t="s">
        <v>1205</v>
      </c>
    </row>
    <row r="539" spans="1:16" x14ac:dyDescent="0.25">
      <c r="A539">
        <v>538</v>
      </c>
      <c r="B539" t="s">
        <v>1211</v>
      </c>
      <c r="C539" t="s">
        <v>1134</v>
      </c>
      <c r="D539" t="s">
        <v>365</v>
      </c>
      <c r="E539" s="3" t="d">
        <v>2017-08-10</v>
      </c>
      <c r="F539">
        <v>17</v>
      </c>
      <c r="G539">
        <v>15.5</v>
      </c>
      <c r="H539" t="s">
        <v>144</v>
      </c>
      <c r="I539" t="s">
        <v>144</v>
      </c>
      <c r="J539">
        <v>7.34</v>
      </c>
      <c r="K539">
        <v>7.3</v>
      </c>
      <c r="L539">
        <v>7.62</v>
      </c>
      <c r="O539">
        <v>3</v>
      </c>
      <c r="P539" t="s">
        <v>1205</v>
      </c>
    </row>
    <row r="540" spans="1:16" x14ac:dyDescent="0.25">
      <c r="A540">
        <v>539</v>
      </c>
      <c r="B540" t="s">
        <v>1212</v>
      </c>
      <c r="C540" t="s">
        <v>1134</v>
      </c>
      <c r="D540" t="s">
        <v>344</v>
      </c>
      <c r="E540" s="3" t="d">
        <v>2017-08-10</v>
      </c>
      <c r="F540">
        <v>38</v>
      </c>
      <c r="G540" t="s">
        <v>1219</v>
      </c>
      <c r="H540" t="s">
        <v>144</v>
      </c>
      <c r="I540" t="s">
        <v>144</v>
      </c>
      <c r="J540">
        <v>10.220000000000001</v>
      </c>
      <c r="K540">
        <v>9.93</v>
      </c>
      <c r="L540">
        <v>7.49</v>
      </c>
      <c r="O540">
        <v>5</v>
      </c>
      <c r="P540" t="s">
        <v>1205</v>
      </c>
    </row>
    <row r="541" spans="1:16" x14ac:dyDescent="0.25">
      <c r="A541">
        <v>540</v>
      </c>
      <c r="B541" t="s">
        <v>1213</v>
      </c>
      <c r="C541" t="s">
        <v>1134</v>
      </c>
      <c r="D541" t="s">
        <v>345</v>
      </c>
      <c r="E541" s="3" t="d">
        <v>2017-08-10</v>
      </c>
      <c r="F541">
        <v>39.1</v>
      </c>
      <c r="G541">
        <v>38.1</v>
      </c>
      <c r="H541" t="s">
        <v>144</v>
      </c>
      <c r="I541" t="s">
        <v>144</v>
      </c>
      <c r="J541">
        <v>50.31</v>
      </c>
      <c r="K541">
        <v>52</v>
      </c>
      <c r="L541" t="s">
        <v>144</v>
      </c>
      <c r="O541">
        <v>4</v>
      </c>
      <c r="P541" t="s">
        <v>1205</v>
      </c>
    </row>
    <row r="542" spans="1:16" x14ac:dyDescent="0.25">
      <c r="A542">
        <v>541</v>
      </c>
      <c r="B542" t="s">
        <v>1214</v>
      </c>
      <c r="C542" t="s">
        <v>1134</v>
      </c>
      <c r="D542" t="s">
        <v>365</v>
      </c>
      <c r="E542" s="3" t="d">
        <v>2017-08-10</v>
      </c>
      <c r="F542">
        <v>15.2</v>
      </c>
      <c r="G542">
        <v>13.8</v>
      </c>
      <c r="H542" t="s">
        <v>144</v>
      </c>
      <c r="I542" t="s">
        <v>144</v>
      </c>
      <c r="J542">
        <v>6.03</v>
      </c>
      <c r="K542">
        <v>6.94</v>
      </c>
      <c r="L542">
        <v>5.33</v>
      </c>
      <c r="O542">
        <v>4</v>
      </c>
      <c r="P542" t="s">
        <v>1205</v>
      </c>
    </row>
    <row r="543" spans="1:16" x14ac:dyDescent="0.25">
      <c r="A543">
        <v>542</v>
      </c>
      <c r="B543" t="s">
        <v>1215</v>
      </c>
      <c r="C543" t="s">
        <v>1134</v>
      </c>
      <c r="D543" t="s">
        <v>351</v>
      </c>
      <c r="E543" s="3" t="d">
        <v>2017-08-10</v>
      </c>
      <c r="F543">
        <v>20.2</v>
      </c>
      <c r="G543">
        <v>19.399999999999999</v>
      </c>
      <c r="H543" t="s">
        <v>144</v>
      </c>
      <c r="I543" t="s">
        <v>144</v>
      </c>
      <c r="J543">
        <v>21.51</v>
      </c>
      <c r="K543">
        <v>18.78</v>
      </c>
      <c r="L543">
        <v>17.61</v>
      </c>
      <c r="O543">
        <v>4</v>
      </c>
    </row>
    <row r="544" spans="1:16" x14ac:dyDescent="0.25">
      <c r="A544">
        <v>543</v>
      </c>
      <c r="B544" t="s">
        <v>1216</v>
      </c>
      <c r="C544" t="s">
        <v>1134</v>
      </c>
      <c r="D544" t="s">
        <v>357</v>
      </c>
      <c r="E544" s="3" t="d">
        <v>2017-08-10</v>
      </c>
      <c r="F544">
        <v>26.8</v>
      </c>
      <c r="G544">
        <v>22.4</v>
      </c>
      <c r="H544" t="s">
        <v>144</v>
      </c>
      <c r="I544" t="s">
        <v>144</v>
      </c>
      <c r="J544">
        <v>16.690000000000001</v>
      </c>
      <c r="K544">
        <v>19.88</v>
      </c>
      <c r="L544">
        <v>16.22</v>
      </c>
      <c r="O544">
        <v>3</v>
      </c>
      <c r="P544" t="s">
        <v>1205</v>
      </c>
    </row>
    <row r="545" spans="1:16" x14ac:dyDescent="0.25">
      <c r="A545">
        <v>544</v>
      </c>
      <c r="B545" t="s">
        <v>1217</v>
      </c>
      <c r="C545" t="s">
        <v>1134</v>
      </c>
      <c r="D545" t="s">
        <v>357</v>
      </c>
      <c r="E545" s="3" t="d">
        <v>2017-08-10</v>
      </c>
      <c r="F545">
        <v>15.2</v>
      </c>
      <c r="G545">
        <v>14</v>
      </c>
      <c r="H545" t="s">
        <v>144</v>
      </c>
      <c r="I545" t="s">
        <v>144</v>
      </c>
      <c r="J545">
        <v>16.64</v>
      </c>
      <c r="K545">
        <v>21.09</v>
      </c>
      <c r="L545">
        <v>17.649999999999999</v>
      </c>
      <c r="O545">
        <v>3</v>
      </c>
      <c r="P545" t="s">
        <v>1205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1141</v>
      </c>
      <c r="B1" t="s">
        <v>1146</v>
      </c>
    </row>
    <row r="2" spans="1:2" x14ac:dyDescent="0.25">
      <c r="A2" t="s">
        <v>511</v>
      </c>
      <c r="B2" t="s">
        <v>824</v>
      </c>
    </row>
    <row r="3" spans="1:2" x14ac:dyDescent="0.25">
      <c r="A3" t="s">
        <v>529</v>
      </c>
      <c r="B3" t="s">
        <v>818</v>
      </c>
    </row>
    <row r="4" spans="1:2" x14ac:dyDescent="0.25">
      <c r="B4" t="s">
        <v>16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1022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ref="A1:B431">
    <sortCondition ref="B1:B431"/>
  </sortState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SLA and leaf size</vt:lpstr>
      <vt:lpstr>wood_temp</vt:lpstr>
      <vt:lpstr>Huber value</vt:lpstr>
      <vt:lpstr>field_temp</vt:lpstr>
      <vt:lpstr>Scrap sheet</vt:lpstr>
      <vt:lpstr>wood_temp!Print_Titles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2017-07-18T14:49:23Z</cp:lastPrinted>
  <dcterms:created xsi:type="dcterms:W3CDTF">2017-06-11T20:23:29Z</dcterms:created>
  <dcterms:modified xsi:type="dcterms:W3CDTF">2017-08-14T20:39:46Z</dcterms:modified>
</cp:coreProperties>
</file>