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Google Drive\Projects\Savanna traits\raw data\"/>
    </mc:Choice>
  </mc:AlternateContent>
  <xr:revisionPtr revIDLastSave="0" documentId="13_ncr:1_{CF1E3E85-9C6A-4001-9D0A-0A996D363E19}" xr6:coauthVersionLast="37" xr6:coauthVersionMax="37" xr10:uidLastSave="{00000000-0000-0000-0000-000000000000}"/>
  <bookViews>
    <workbookView xWindow="0" yWindow="0" windowWidth="18960" windowHeight="9285" activeTab="2" xr2:uid="{00000000-000D-0000-FFFF-FFFF00000000}"/>
  </bookViews>
  <sheets>
    <sheet name="leaf_traits" sheetId="1" r:id="rId1"/>
    <sheet name="twig_traits" sheetId="3" r:id="rId2"/>
    <sheet name="field_data" sheetId="4" r:id="rId3"/>
    <sheet name="Scrap sheet" sheetId="5" r:id="rId4"/>
    <sheet name="Huber value" sheetId="2" r:id="rId5"/>
  </sheets>
  <definedNames>
    <definedName name="_xlnm._FilterDatabase" localSheetId="2" hidden="1">field_data!$A$1:$R$545</definedName>
    <definedName name="_xlnm._FilterDatabase" localSheetId="0" hidden="1">leaf_traits!$A$1:$AC$473</definedName>
    <definedName name="_xlnm._FilterDatabase" localSheetId="1" hidden="1">twig_traits!$A$1:$T$474</definedName>
    <definedName name="_xlnm.Print_Titles" localSheetId="1">twig_traits!$1:$1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475" i="3" l="1"/>
  <c r="R476" i="3"/>
  <c r="R477" i="3"/>
  <c r="R478" i="3"/>
  <c r="R479" i="3"/>
  <c r="L267" i="3" l="1"/>
  <c r="M267" i="3" s="1"/>
  <c r="L437" i="3"/>
  <c r="M437" i="3" s="1"/>
  <c r="L307" i="3"/>
  <c r="M307" i="3" s="1"/>
  <c r="L357" i="3"/>
  <c r="M357" i="3" s="1"/>
  <c r="L33" i="3"/>
  <c r="M33" i="3" s="1"/>
  <c r="L436" i="3"/>
  <c r="M436" i="3" s="1"/>
  <c r="L77" i="3"/>
  <c r="M77" i="3" s="1"/>
  <c r="L314" i="3"/>
  <c r="M314" i="3" s="1"/>
  <c r="L4" i="3"/>
  <c r="M4" i="3" s="1"/>
  <c r="L281" i="3"/>
  <c r="M281" i="3" s="1"/>
  <c r="L225" i="3"/>
  <c r="M225" i="3" s="1"/>
  <c r="L169" i="3"/>
  <c r="M169" i="3" s="1"/>
  <c r="L158" i="3"/>
  <c r="M158" i="3" s="1"/>
  <c r="L32" i="3"/>
  <c r="M32" i="3" s="1"/>
  <c r="L313" i="3"/>
  <c r="M313" i="3" s="1"/>
  <c r="L367" i="3"/>
  <c r="M367" i="3" s="1"/>
  <c r="L460" i="3"/>
  <c r="M460" i="3" s="1"/>
  <c r="L160" i="3"/>
  <c r="M160" i="3" s="1"/>
  <c r="L239" i="3"/>
  <c r="M239" i="3" s="1"/>
  <c r="L156" i="3"/>
  <c r="M156" i="3" s="1"/>
  <c r="L303" i="3"/>
  <c r="M303" i="3" s="1"/>
  <c r="L428" i="3"/>
  <c r="M428" i="3" s="1"/>
  <c r="L253" i="3"/>
  <c r="M253" i="3" s="1"/>
  <c r="L463" i="3"/>
  <c r="M463" i="3" s="1"/>
  <c r="L178" i="3"/>
  <c r="M178" i="3" s="1"/>
  <c r="L184" i="3"/>
  <c r="M184" i="3" s="1"/>
  <c r="L148" i="3"/>
  <c r="M148" i="3" s="1"/>
  <c r="L185" i="3"/>
  <c r="M185" i="3" s="1"/>
  <c r="L226" i="3"/>
  <c r="M226" i="3" s="1"/>
  <c r="L248" i="3"/>
  <c r="M248" i="3" s="1"/>
  <c r="L227" i="3"/>
  <c r="M227" i="3" s="1"/>
  <c r="L424" i="3"/>
  <c r="M424" i="3" s="1"/>
  <c r="L438" i="3"/>
  <c r="M438" i="3" s="1"/>
  <c r="L425" i="3"/>
  <c r="M425" i="3" s="1"/>
  <c r="L282" i="3"/>
  <c r="M282" i="3" s="1"/>
  <c r="P349" i="3"/>
  <c r="R349" i="3" s="1"/>
  <c r="P348" i="3"/>
  <c r="R348" i="3" s="1"/>
  <c r="L349" i="3"/>
  <c r="M349" i="3" s="1"/>
  <c r="L348" i="3"/>
  <c r="M348" i="3" s="1"/>
  <c r="P424" i="3" l="1"/>
  <c r="P226" i="3"/>
  <c r="P248" i="3"/>
  <c r="P77" i="3"/>
  <c r="P218" i="3"/>
  <c r="R218" i="3" s="1"/>
  <c r="L218" i="3"/>
  <c r="M218" i="3" s="1"/>
  <c r="P242" i="3"/>
  <c r="R242" i="3" s="1"/>
  <c r="L242" i="3"/>
  <c r="M242" i="3" s="1"/>
  <c r="P52" i="3"/>
  <c r="R52" i="3" s="1"/>
  <c r="L52" i="3"/>
  <c r="M52" i="3" s="1"/>
  <c r="P211" i="3"/>
  <c r="R211" i="3" s="1"/>
  <c r="L211" i="3"/>
  <c r="M211" i="3" s="1"/>
  <c r="P53" i="3"/>
  <c r="R53" i="3" s="1"/>
  <c r="L53" i="3"/>
  <c r="M53" i="3" s="1"/>
  <c r="P124" i="3"/>
  <c r="R124" i="3" s="1"/>
  <c r="L124" i="3"/>
  <c r="M124" i="3" s="1"/>
  <c r="P125" i="3"/>
  <c r="R125" i="3" s="1"/>
  <c r="L125" i="3"/>
  <c r="M125" i="3" s="1"/>
  <c r="P213" i="3"/>
  <c r="R213" i="3" s="1"/>
  <c r="L213" i="3"/>
  <c r="M213" i="3" s="1"/>
  <c r="P38" i="3"/>
  <c r="R38" i="3" s="1"/>
  <c r="L38" i="3"/>
  <c r="M38" i="3" s="1"/>
  <c r="P54" i="3"/>
  <c r="R54" i="3" s="1"/>
  <c r="L54" i="3"/>
  <c r="M54" i="3" s="1"/>
  <c r="P212" i="3"/>
  <c r="R212" i="3" s="1"/>
  <c r="L212" i="3"/>
  <c r="M212" i="3" s="1"/>
  <c r="P98" i="3"/>
  <c r="R98" i="3" s="1"/>
  <c r="L98" i="3"/>
  <c r="M98" i="3" s="1"/>
  <c r="P99" i="3"/>
  <c r="R99" i="3" s="1"/>
  <c r="L99" i="3"/>
  <c r="M99" i="3" s="1"/>
  <c r="P322" i="3"/>
  <c r="R322" i="3" s="1"/>
  <c r="L322" i="3"/>
  <c r="M322" i="3" s="1"/>
  <c r="P321" i="3"/>
  <c r="R321" i="3" s="1"/>
  <c r="L321" i="3"/>
  <c r="M321" i="3" s="1"/>
  <c r="P305" i="3"/>
  <c r="R305" i="3" s="1"/>
  <c r="L305" i="3"/>
  <c r="M305" i="3" s="1"/>
  <c r="P320" i="3"/>
  <c r="R320" i="3" s="1"/>
  <c r="L320" i="3"/>
  <c r="M320" i="3" s="1"/>
  <c r="P319" i="3"/>
  <c r="R319" i="3" s="1"/>
  <c r="L319" i="3"/>
  <c r="M319" i="3" s="1"/>
  <c r="P3" i="3"/>
  <c r="R3" i="3" s="1"/>
  <c r="L3" i="3"/>
  <c r="M3" i="3" s="1"/>
  <c r="P318" i="3"/>
  <c r="R318" i="3" s="1"/>
  <c r="L318" i="3"/>
  <c r="M318" i="3" s="1"/>
  <c r="P473" i="3" l="1"/>
  <c r="R473" i="3" s="1"/>
  <c r="P66" i="3"/>
  <c r="R66" i="3" s="1"/>
  <c r="P51" i="3"/>
  <c r="R51" i="3" s="1"/>
  <c r="P115" i="3"/>
  <c r="R115" i="3" s="1"/>
  <c r="P7" i="3"/>
  <c r="R7" i="3" s="1"/>
  <c r="P123" i="3"/>
  <c r="R123" i="3" s="1"/>
  <c r="P328" i="3"/>
  <c r="R328" i="3" s="1"/>
  <c r="P327" i="3"/>
  <c r="R327" i="3" s="1"/>
  <c r="P223" i="3"/>
  <c r="R223" i="3" s="1"/>
  <c r="P468" i="3"/>
  <c r="R468" i="3" s="1"/>
  <c r="P408" i="3"/>
  <c r="R408" i="3" s="1"/>
  <c r="P222" i="3"/>
  <c r="R222" i="3" s="1"/>
  <c r="P469" i="3"/>
  <c r="R469" i="3" s="1"/>
  <c r="P122" i="3"/>
  <c r="R122" i="3" s="1"/>
  <c r="L122" i="3"/>
  <c r="M122" i="3" s="1"/>
  <c r="L469" i="3"/>
  <c r="M469" i="3" s="1"/>
  <c r="L222" i="3"/>
  <c r="M222" i="3" s="1"/>
  <c r="L408" i="3"/>
  <c r="M408" i="3" s="1"/>
  <c r="L468" i="3"/>
  <c r="M468" i="3" s="1"/>
  <c r="L223" i="3"/>
  <c r="M223" i="3" s="1"/>
  <c r="L327" i="3"/>
  <c r="M327" i="3" s="1"/>
  <c r="L328" i="3"/>
  <c r="M328" i="3" s="1"/>
  <c r="L123" i="3"/>
  <c r="M123" i="3" s="1"/>
  <c r="L7" i="3"/>
  <c r="M7" i="3" s="1"/>
  <c r="L115" i="3"/>
  <c r="M115" i="3" s="1"/>
  <c r="L51" i="3"/>
  <c r="M51" i="3" s="1"/>
  <c r="L66" i="3"/>
  <c r="M66" i="3" s="1"/>
  <c r="L473" i="3"/>
  <c r="M473" i="3" s="1"/>
  <c r="P448" i="3" l="1"/>
  <c r="R448" i="3" s="1"/>
  <c r="L448" i="3"/>
  <c r="M448" i="3" s="1"/>
  <c r="P49" i="3"/>
  <c r="R49" i="3" s="1"/>
  <c r="L49" i="3"/>
  <c r="M49" i="3" s="1"/>
  <c r="P170" i="3"/>
  <c r="R170" i="3" s="1"/>
  <c r="L170" i="3"/>
  <c r="M170" i="3" s="1"/>
  <c r="P453" i="3"/>
  <c r="R453" i="3" s="1"/>
  <c r="L453" i="3"/>
  <c r="M453" i="3" s="1"/>
  <c r="P37" i="3"/>
  <c r="R37" i="3" s="1"/>
  <c r="P193" i="3"/>
  <c r="R193" i="3" s="1"/>
  <c r="L37" i="3"/>
  <c r="M37" i="3" s="1"/>
  <c r="L193" i="3"/>
  <c r="M193" i="3" s="1"/>
  <c r="P20" i="3"/>
  <c r="R20" i="3" s="1"/>
  <c r="P171" i="3"/>
  <c r="R171" i="3" s="1"/>
  <c r="L20" i="3"/>
  <c r="M20" i="3" s="1"/>
  <c r="P12" i="3"/>
  <c r="R12" i="3" s="1"/>
  <c r="L171" i="3"/>
  <c r="M171" i="3" s="1"/>
  <c r="L12" i="3"/>
  <c r="M12" i="3" s="1"/>
  <c r="P215" i="3"/>
  <c r="R215" i="3" s="1"/>
  <c r="P163" i="3"/>
  <c r="R163" i="3" s="1"/>
  <c r="L215" i="3"/>
  <c r="M215" i="3" s="1"/>
  <c r="L163" i="3"/>
  <c r="M163" i="3" s="1"/>
  <c r="P216" i="3"/>
  <c r="R216" i="3" s="1"/>
  <c r="L216" i="3"/>
  <c r="M216" i="3" s="1"/>
  <c r="P326" i="3"/>
  <c r="R326" i="3" s="1"/>
  <c r="P325" i="3"/>
  <c r="R325" i="3" s="1"/>
  <c r="L326" i="3"/>
  <c r="M326" i="3" s="1"/>
  <c r="L325" i="3"/>
  <c r="M325" i="3" s="1"/>
  <c r="P172" i="3"/>
  <c r="R172" i="3" s="1"/>
  <c r="L172" i="3"/>
  <c r="M172" i="3" s="1"/>
  <c r="P217" i="3"/>
  <c r="R217" i="3" s="1"/>
  <c r="P165" i="3"/>
  <c r="R165" i="3" s="1"/>
  <c r="L217" i="3"/>
  <c r="M217" i="3" s="1"/>
  <c r="L165" i="3"/>
  <c r="M165" i="3" s="1"/>
  <c r="P209" i="3"/>
  <c r="R209" i="3" s="1"/>
  <c r="L209" i="3"/>
  <c r="M209" i="3" s="1"/>
  <c r="P210" i="3"/>
  <c r="R210" i="3" s="1"/>
  <c r="P120" i="3"/>
  <c r="R120" i="3" s="1"/>
  <c r="L210" i="3"/>
  <c r="M210" i="3" s="1"/>
  <c r="L120" i="3"/>
  <c r="M120" i="3" s="1"/>
  <c r="P180" i="3" l="1"/>
  <c r="R180" i="3" s="1"/>
  <c r="L180" i="3"/>
  <c r="M180" i="3" s="1"/>
  <c r="P241" i="3"/>
  <c r="R241" i="3" s="1"/>
  <c r="L241" i="3"/>
  <c r="M241" i="3" s="1"/>
  <c r="P70" i="3"/>
  <c r="R70" i="3" s="1"/>
  <c r="L70" i="3"/>
  <c r="M70" i="3" s="1"/>
  <c r="P127" i="3"/>
  <c r="R127" i="3" s="1"/>
  <c r="L127" i="3"/>
  <c r="M127" i="3" s="1"/>
  <c r="P183" i="3"/>
  <c r="R183" i="3" s="1"/>
  <c r="L183" i="3"/>
  <c r="M183" i="3" s="1"/>
  <c r="P364" i="3"/>
  <c r="R364" i="3" s="1"/>
  <c r="L364" i="3"/>
  <c r="M364" i="3" s="1"/>
  <c r="P40" i="3"/>
  <c r="R40" i="3" s="1"/>
  <c r="L40" i="3"/>
  <c r="M40" i="3" s="1"/>
  <c r="P114" i="3"/>
  <c r="R114" i="3" s="1"/>
  <c r="L114" i="3"/>
  <c r="M114" i="3" s="1"/>
  <c r="P39" i="3"/>
  <c r="R39" i="3" s="1"/>
  <c r="L39" i="3"/>
  <c r="M39" i="3" s="1"/>
  <c r="P129" i="3"/>
  <c r="R129" i="3" s="1"/>
  <c r="L129" i="3"/>
  <c r="M129" i="3" s="1"/>
  <c r="P130" i="3"/>
  <c r="R130" i="3" s="1"/>
  <c r="L130" i="3"/>
  <c r="M130" i="3" s="1"/>
  <c r="P181" i="3"/>
  <c r="R181" i="3" s="1"/>
  <c r="L181" i="3"/>
  <c r="M181" i="3" s="1"/>
  <c r="P342" i="3"/>
  <c r="R342" i="3" s="1"/>
  <c r="L342" i="3"/>
  <c r="M342" i="3" s="1"/>
  <c r="P365" i="3"/>
  <c r="R365" i="3" s="1"/>
  <c r="L365" i="3"/>
  <c r="M365" i="3" s="1"/>
  <c r="P335" i="3"/>
  <c r="R335" i="3" s="1"/>
  <c r="L335" i="3"/>
  <c r="M335" i="3" s="1"/>
  <c r="P269" i="3"/>
  <c r="R269" i="3" s="1"/>
  <c r="L269" i="3"/>
  <c r="M269" i="3" s="1"/>
  <c r="P17" i="3"/>
  <c r="R17" i="3" s="1"/>
  <c r="L17" i="3"/>
  <c r="M17" i="3" s="1"/>
  <c r="P182" i="3"/>
  <c r="R182" i="3" s="1"/>
  <c r="L182" i="3"/>
  <c r="M182" i="3" s="1"/>
  <c r="P274" i="3"/>
  <c r="R274" i="3" s="1"/>
  <c r="L274" i="3"/>
  <c r="M274" i="3" s="1"/>
  <c r="P398" i="3"/>
  <c r="R398" i="3" s="1"/>
  <c r="L398" i="3"/>
  <c r="M398" i="3" s="1"/>
  <c r="P18" i="3"/>
  <c r="R18" i="3" s="1"/>
  <c r="L18" i="3"/>
  <c r="M18" i="3" s="1"/>
  <c r="P43" i="3"/>
  <c r="R43" i="3" s="1"/>
  <c r="L43" i="3"/>
  <c r="M43" i="3" s="1"/>
  <c r="P42" i="3"/>
  <c r="R42" i="3" s="1"/>
  <c r="L42" i="3"/>
  <c r="M42" i="3" s="1"/>
  <c r="P41" i="3"/>
  <c r="R41" i="3" s="1"/>
  <c r="L41" i="3"/>
  <c r="M41" i="3" s="1"/>
  <c r="P272" i="3"/>
  <c r="R272" i="3" s="1"/>
  <c r="L272" i="3"/>
  <c r="M272" i="3" s="1"/>
  <c r="P128" i="3"/>
  <c r="R128" i="3" s="1"/>
  <c r="L128" i="3"/>
  <c r="M128" i="3" s="1"/>
  <c r="P363" i="3"/>
  <c r="R363" i="3" s="1"/>
  <c r="L363" i="3"/>
  <c r="M363" i="3" s="1"/>
  <c r="P277" i="3"/>
  <c r="R277" i="3" s="1"/>
  <c r="L277" i="3"/>
  <c r="M277" i="3" s="1"/>
  <c r="P179" i="3"/>
  <c r="R179" i="3" s="1"/>
  <c r="L179" i="3"/>
  <c r="M179" i="3" s="1"/>
  <c r="P343" i="3"/>
  <c r="R343" i="3" s="1"/>
  <c r="L343" i="3"/>
  <c r="M343" i="3" s="1"/>
  <c r="P334" i="3"/>
  <c r="R334" i="3" s="1"/>
  <c r="L334" i="3"/>
  <c r="M334" i="3" s="1"/>
  <c r="P112" i="3"/>
  <c r="R112" i="3" s="1"/>
  <c r="L112" i="3"/>
  <c r="M112" i="3" s="1"/>
  <c r="P275" i="3"/>
  <c r="R275" i="3" s="1"/>
  <c r="L275" i="3"/>
  <c r="M275" i="3" s="1"/>
  <c r="P347" i="3"/>
  <c r="R347" i="3" s="1"/>
  <c r="L347" i="3"/>
  <c r="M347" i="3" s="1"/>
  <c r="P271" i="3"/>
  <c r="R271" i="3" s="1"/>
  <c r="L271" i="3"/>
  <c r="M271" i="3" s="1"/>
  <c r="L336" i="3"/>
  <c r="M336" i="3" s="1"/>
  <c r="P336" i="3"/>
  <c r="R336" i="3" s="1"/>
  <c r="P167" i="3"/>
  <c r="R167" i="3" s="1"/>
  <c r="L167" i="3"/>
  <c r="M167" i="3" s="1"/>
  <c r="P166" i="3"/>
  <c r="R166" i="3" s="1"/>
  <c r="L166" i="3"/>
  <c r="M166" i="3" s="1"/>
  <c r="P270" i="3"/>
  <c r="R270" i="3" s="1"/>
  <c r="L270" i="3"/>
  <c r="M270" i="3" s="1"/>
  <c r="P273" i="3"/>
  <c r="R273" i="3" s="1"/>
  <c r="L273" i="3"/>
  <c r="M273" i="3" s="1"/>
  <c r="P278" i="3"/>
  <c r="R278" i="3" s="1"/>
  <c r="L278" i="3"/>
  <c r="M278" i="3" s="1"/>
  <c r="P344" i="3"/>
  <c r="R344" i="3" s="1"/>
  <c r="L344" i="3"/>
  <c r="M344" i="3" s="1"/>
  <c r="P338" i="3"/>
  <c r="R338" i="3" s="1"/>
  <c r="L338" i="3"/>
  <c r="M338" i="3" s="1"/>
  <c r="P337" i="3"/>
  <c r="R337" i="3" s="1"/>
  <c r="L337" i="3"/>
  <c r="M337" i="3" s="1"/>
  <c r="P427" i="3"/>
  <c r="R427" i="3" s="1"/>
  <c r="L427" i="3"/>
  <c r="M427" i="3" s="1"/>
  <c r="P276" i="3"/>
  <c r="R276" i="3" s="1"/>
  <c r="L276" i="3"/>
  <c r="M276" i="3" s="1"/>
  <c r="P113" i="3"/>
  <c r="R113" i="3" s="1"/>
  <c r="L113" i="3"/>
  <c r="M113" i="3" s="1"/>
  <c r="P48" i="3" l="1"/>
  <c r="R48" i="3" s="1"/>
  <c r="P139" i="3"/>
  <c r="R139" i="3" s="1"/>
  <c r="P220" i="3"/>
  <c r="R220" i="3" s="1"/>
  <c r="P407" i="3"/>
  <c r="R407" i="3" s="1"/>
  <c r="P118" i="3"/>
  <c r="R118" i="3" s="1"/>
  <c r="P240" i="3"/>
  <c r="R240" i="3" s="1"/>
  <c r="P119" i="3"/>
  <c r="R119" i="3" s="1"/>
  <c r="P47" i="3"/>
  <c r="R47" i="3" s="1"/>
  <c r="L47" i="3"/>
  <c r="M47" i="3" s="1"/>
  <c r="L119" i="3"/>
  <c r="M119" i="3" s="1"/>
  <c r="L240" i="3"/>
  <c r="M240" i="3" s="1"/>
  <c r="L118" i="3"/>
  <c r="M118" i="3" s="1"/>
  <c r="L407" i="3"/>
  <c r="M407" i="3" s="1"/>
  <c r="L220" i="3"/>
  <c r="M220" i="3" s="1"/>
  <c r="L139" i="3"/>
  <c r="M139" i="3" s="1"/>
  <c r="L48" i="3"/>
  <c r="M48" i="3" s="1"/>
  <c r="L221" i="3"/>
  <c r="M221" i="3" s="1"/>
  <c r="P140" i="3"/>
  <c r="R140" i="3" s="1"/>
  <c r="P288" i="3"/>
  <c r="R288" i="3" s="1"/>
  <c r="P45" i="3"/>
  <c r="R45" i="3" s="1"/>
  <c r="P221" i="3"/>
  <c r="R221" i="3" s="1"/>
  <c r="L45" i="3"/>
  <c r="M45" i="3" s="1"/>
  <c r="L288" i="3"/>
  <c r="M288" i="3" s="1"/>
  <c r="L140" i="3"/>
  <c r="M140" i="3" s="1"/>
  <c r="P286" i="3"/>
  <c r="R286" i="3" s="1"/>
  <c r="P46" i="3"/>
  <c r="R46" i="3" s="1"/>
  <c r="L286" i="3"/>
  <c r="M286" i="3" s="1"/>
  <c r="L46" i="3"/>
  <c r="M46" i="3" s="1"/>
  <c r="P297" i="3"/>
  <c r="R297" i="3" s="1"/>
  <c r="P472" i="3"/>
  <c r="R472" i="3" s="1"/>
  <c r="L297" i="3"/>
  <c r="M297" i="3" s="1"/>
  <c r="L472" i="3"/>
  <c r="M472" i="3" s="1"/>
  <c r="P301" i="3"/>
  <c r="R301" i="3" s="1"/>
  <c r="L301" i="3"/>
  <c r="M301" i="3" s="1"/>
  <c r="P300" i="3"/>
  <c r="R300" i="3" s="1"/>
  <c r="L300" i="3"/>
  <c r="M300" i="3" s="1"/>
  <c r="P395" i="3"/>
  <c r="R395" i="3" s="1"/>
  <c r="L395" i="3"/>
  <c r="M395" i="3" s="1"/>
  <c r="P289" i="3"/>
  <c r="R289" i="3" s="1"/>
  <c r="L289" i="3"/>
  <c r="M289" i="3" s="1"/>
  <c r="P85" i="3"/>
  <c r="R85" i="3" s="1"/>
  <c r="L85" i="3"/>
  <c r="M85" i="3" s="1"/>
  <c r="P105" i="3"/>
  <c r="R105" i="3" s="1"/>
  <c r="L105" i="3"/>
  <c r="M105" i="3" s="1"/>
  <c r="P19" i="3"/>
  <c r="R19" i="3" s="1"/>
  <c r="L19" i="3"/>
  <c r="M19" i="3" s="1"/>
  <c r="P299" i="3"/>
  <c r="R299" i="3" s="1"/>
  <c r="L299" i="3"/>
  <c r="M299" i="3" s="1"/>
  <c r="P84" i="3"/>
  <c r="R84" i="3" s="1"/>
  <c r="L84" i="3"/>
  <c r="M84" i="3" s="1"/>
  <c r="P302" i="3"/>
  <c r="R302" i="3" s="1"/>
  <c r="L302" i="3"/>
  <c r="M302" i="3" s="1"/>
  <c r="P161" i="3"/>
  <c r="R161" i="3" s="1"/>
  <c r="L161" i="3"/>
  <c r="M161" i="3" s="1"/>
  <c r="P287" i="3"/>
  <c r="R287" i="3" s="1"/>
  <c r="L287" i="3"/>
  <c r="M287" i="3" s="1"/>
  <c r="P92" i="3"/>
  <c r="R92" i="3" s="1"/>
  <c r="L92" i="3"/>
  <c r="M92" i="3" s="1"/>
  <c r="P291" i="3"/>
  <c r="R291" i="3" s="1"/>
  <c r="L291" i="3"/>
  <c r="M291" i="3" s="1"/>
  <c r="P396" i="3"/>
  <c r="R396" i="3" s="1"/>
  <c r="L396" i="3"/>
  <c r="M396" i="3" s="1"/>
  <c r="P81" i="3"/>
  <c r="R81" i="3" s="1"/>
  <c r="L81" i="3"/>
  <c r="M81" i="3" s="1"/>
  <c r="P208" i="3"/>
  <c r="R208" i="3" s="1"/>
  <c r="L208" i="3"/>
  <c r="M208" i="3" s="1"/>
  <c r="P198" i="3"/>
  <c r="R198" i="3" s="1"/>
  <c r="L198" i="3"/>
  <c r="M198" i="3" s="1"/>
  <c r="P50" i="3"/>
  <c r="R50" i="3" s="1"/>
  <c r="L50" i="3"/>
  <c r="M50" i="3" s="1"/>
  <c r="P298" i="3"/>
  <c r="R298" i="3" s="1"/>
  <c r="L298" i="3"/>
  <c r="M298" i="3" s="1"/>
  <c r="P83" i="3"/>
  <c r="R83" i="3" s="1"/>
  <c r="L83" i="3"/>
  <c r="M83" i="3" s="1"/>
  <c r="P279" i="3"/>
  <c r="R279" i="3" s="1"/>
  <c r="L279" i="3"/>
  <c r="M279" i="3" s="1"/>
  <c r="P82" i="3"/>
  <c r="R82" i="3" s="1"/>
  <c r="L82" i="3"/>
  <c r="M82" i="3" s="1"/>
  <c r="P447" i="3"/>
  <c r="R447" i="3" s="1"/>
  <c r="L447" i="3"/>
  <c r="M447" i="3" s="1"/>
  <c r="P117" i="3"/>
  <c r="R117" i="3" s="1"/>
  <c r="L117" i="3"/>
  <c r="M117" i="3" s="1"/>
  <c r="P214" i="3"/>
  <c r="R214" i="3" s="1"/>
  <c r="L214" i="3"/>
  <c r="M214" i="3" s="1"/>
  <c r="P11" i="3"/>
  <c r="R11" i="3" s="1"/>
  <c r="L11" i="3"/>
  <c r="M11" i="3" s="1"/>
  <c r="P290" i="3"/>
  <c r="R290" i="3" s="1"/>
  <c r="L290" i="3"/>
  <c r="M290" i="3" s="1"/>
  <c r="P162" i="3"/>
  <c r="R162" i="3" s="1"/>
  <c r="L162" i="3"/>
  <c r="M162" i="3" s="1"/>
  <c r="P397" i="3"/>
  <c r="R397" i="3" s="1"/>
  <c r="L397" i="3"/>
  <c r="M397" i="3" s="1"/>
  <c r="P394" i="3"/>
  <c r="R394" i="3" s="1"/>
  <c r="L394" i="3"/>
  <c r="M394" i="3" s="1"/>
  <c r="P207" i="3"/>
  <c r="R207" i="3" s="1"/>
  <c r="L207" i="3"/>
  <c r="M207" i="3" s="1"/>
  <c r="P111" i="3"/>
  <c r="R111" i="3" s="1"/>
  <c r="L111" i="3"/>
  <c r="M111" i="3" s="1"/>
  <c r="P346" i="3"/>
  <c r="R346" i="3" s="1"/>
  <c r="L346" i="3"/>
  <c r="M346" i="3" s="1"/>
  <c r="P164" i="3"/>
  <c r="R164" i="3" s="1"/>
  <c r="L164" i="3"/>
  <c r="M164" i="3" s="1"/>
  <c r="P186" i="3" l="1"/>
  <c r="R186" i="3" s="1"/>
  <c r="L186" i="3"/>
  <c r="M186" i="3" s="1"/>
  <c r="P187" i="3"/>
  <c r="R187" i="3" s="1"/>
  <c r="L187" i="3"/>
  <c r="M187" i="3" s="1"/>
  <c r="P67" i="3"/>
  <c r="R67" i="3" s="1"/>
  <c r="L67" i="3"/>
  <c r="M67" i="3" s="1"/>
  <c r="P268" i="3"/>
  <c r="R268" i="3" s="1"/>
  <c r="L268" i="3"/>
  <c r="M268" i="3" s="1"/>
  <c r="P446" i="3"/>
  <c r="R446" i="3" s="1"/>
  <c r="L446" i="3"/>
  <c r="M446" i="3" s="1"/>
  <c r="P360" i="3"/>
  <c r="R360" i="3" s="1"/>
  <c r="L360" i="3"/>
  <c r="M360" i="3" s="1"/>
  <c r="P145" i="3"/>
  <c r="R145" i="3" s="1"/>
  <c r="L145" i="3"/>
  <c r="M145" i="3" s="1"/>
  <c r="P262" i="3"/>
  <c r="R262" i="3" s="1"/>
  <c r="L262" i="3"/>
  <c r="M262" i="3" s="1"/>
  <c r="N154" i="3"/>
  <c r="P154" i="3" s="1"/>
  <c r="R154" i="3" s="1"/>
  <c r="L154" i="3"/>
  <c r="M154" i="3" s="1"/>
  <c r="P315" i="3"/>
  <c r="R315" i="3" s="1"/>
  <c r="L315" i="3"/>
  <c r="M315" i="3" s="1"/>
  <c r="P197" i="3"/>
  <c r="R197" i="3" s="1"/>
  <c r="L197" i="3"/>
  <c r="M197" i="3" s="1"/>
  <c r="P432" i="3"/>
  <c r="R432" i="3" s="1"/>
  <c r="L432" i="3"/>
  <c r="M432" i="3" s="1"/>
  <c r="P155" i="3"/>
  <c r="R155" i="3" s="1"/>
  <c r="L155" i="3"/>
  <c r="M155" i="3" s="1"/>
  <c r="P443" i="3"/>
  <c r="R443" i="3" s="1"/>
  <c r="L443" i="3"/>
  <c r="M443" i="3" s="1"/>
  <c r="P381" i="3"/>
  <c r="R381" i="3" s="1"/>
  <c r="L381" i="3"/>
  <c r="M381" i="3" s="1"/>
  <c r="P376" i="3"/>
  <c r="R376" i="3" s="1"/>
  <c r="L376" i="3"/>
  <c r="M376" i="3" s="1"/>
  <c r="P91" i="3"/>
  <c r="R91" i="3" s="1"/>
  <c r="L91" i="3"/>
  <c r="M91" i="3" s="1"/>
  <c r="P108" i="3"/>
  <c r="R108" i="3" s="1"/>
  <c r="L108" i="3"/>
  <c r="M108" i="3" s="1"/>
  <c r="P233" i="3"/>
  <c r="R233" i="3" s="1"/>
  <c r="L233" i="3"/>
  <c r="M233" i="3" s="1"/>
  <c r="P433" i="3"/>
  <c r="R433" i="3" s="1"/>
  <c r="L433" i="3"/>
  <c r="M433" i="3" s="1"/>
  <c r="P196" i="3"/>
  <c r="R196" i="3" s="1"/>
  <c r="L196" i="3"/>
  <c r="M196" i="3" s="1"/>
  <c r="P59" i="3"/>
  <c r="R59" i="3" s="1"/>
  <c r="L59" i="3"/>
  <c r="M59" i="3" s="1"/>
  <c r="P324" i="3"/>
  <c r="R324" i="3" s="1"/>
  <c r="L324" i="3"/>
  <c r="M324" i="3" s="1"/>
  <c r="P116" i="3"/>
  <c r="R116" i="3" s="1"/>
  <c r="L116" i="3"/>
  <c r="M116" i="3" s="1"/>
  <c r="P68" i="3"/>
  <c r="R68" i="3" s="1"/>
  <c r="L68" i="3"/>
  <c r="M68" i="3" s="1"/>
  <c r="P382" i="3"/>
  <c r="R382" i="3" s="1"/>
  <c r="L382" i="3"/>
  <c r="M382" i="3" s="1"/>
  <c r="P462" i="3"/>
  <c r="R462" i="3" s="1"/>
  <c r="L462" i="3"/>
  <c r="M462" i="3" s="1"/>
  <c r="P355" i="3"/>
  <c r="R355" i="3" s="1"/>
  <c r="L355" i="3"/>
  <c r="M355" i="3" s="1"/>
  <c r="P10" i="3"/>
  <c r="R10" i="3" s="1"/>
  <c r="L10" i="3"/>
  <c r="M10" i="3" s="1"/>
  <c r="P69" i="3"/>
  <c r="R69" i="3" s="1"/>
  <c r="L69" i="3"/>
  <c r="M69" i="3" s="1"/>
  <c r="P353" i="3"/>
  <c r="R353" i="3" s="1"/>
  <c r="L353" i="3"/>
  <c r="M353" i="3" s="1"/>
  <c r="P219" i="3"/>
  <c r="R219" i="3" s="1"/>
  <c r="L219" i="3"/>
  <c r="M219" i="3" s="1"/>
  <c r="P263" i="3"/>
  <c r="R263" i="3" s="1"/>
  <c r="L263" i="3"/>
  <c r="M263" i="3" s="1"/>
  <c r="P188" i="3"/>
  <c r="R188" i="3" s="1"/>
  <c r="L188" i="3"/>
  <c r="M188" i="3" s="1"/>
  <c r="P368" i="3"/>
  <c r="R368" i="3" s="1"/>
  <c r="L368" i="3"/>
  <c r="M368" i="3" s="1"/>
  <c r="P109" i="3"/>
  <c r="R109" i="3" s="1"/>
  <c r="L109" i="3"/>
  <c r="M109" i="3" s="1"/>
  <c r="P110" i="3"/>
  <c r="R110" i="3" s="1"/>
  <c r="L110" i="3"/>
  <c r="M110" i="3" s="1"/>
  <c r="P354" i="3"/>
  <c r="R354" i="3" s="1"/>
  <c r="L354" i="3"/>
  <c r="M354" i="3" s="1"/>
  <c r="P316" i="3"/>
  <c r="R316" i="3" s="1"/>
  <c r="L316" i="3"/>
  <c r="M316" i="3" s="1"/>
  <c r="P25" i="3" l="1"/>
  <c r="R25" i="3" s="1"/>
  <c r="P384" i="3"/>
  <c r="R384" i="3" s="1"/>
  <c r="P8" i="3"/>
  <c r="R8" i="3" s="1"/>
  <c r="P107" i="3"/>
  <c r="R107" i="3" s="1"/>
  <c r="P56" i="3"/>
  <c r="R56" i="3" s="1"/>
  <c r="P101" i="3"/>
  <c r="R101" i="3" s="1"/>
  <c r="P238" i="3"/>
  <c r="R238" i="3" s="1"/>
  <c r="P126" i="3"/>
  <c r="R126" i="3" s="1"/>
  <c r="P466" i="3"/>
  <c r="R466" i="3" s="1"/>
  <c r="P386" i="3"/>
  <c r="R386" i="3" s="1"/>
  <c r="P404" i="3"/>
  <c r="R404" i="3" s="1"/>
  <c r="P106" i="3"/>
  <c r="R106" i="3" s="1"/>
  <c r="P57" i="3"/>
  <c r="R57" i="3" s="1"/>
  <c r="P258" i="3"/>
  <c r="R258" i="3" s="1"/>
  <c r="P449" i="3"/>
  <c r="R449" i="3" s="1"/>
  <c r="P385" i="3"/>
  <c r="R385" i="3" s="1"/>
  <c r="P55" i="3"/>
  <c r="R55" i="3" s="1"/>
  <c r="P24" i="3"/>
  <c r="R24" i="3" s="1"/>
  <c r="P89" i="3"/>
  <c r="R89" i="3" s="1"/>
  <c r="P9" i="3"/>
  <c r="R9" i="3" s="1"/>
  <c r="P333" i="3"/>
  <c r="R333" i="3" s="1"/>
  <c r="P194" i="3"/>
  <c r="R194" i="3" s="1"/>
  <c r="P323" i="3"/>
  <c r="R323" i="3" s="1"/>
  <c r="P134" i="3"/>
  <c r="R134" i="3" s="1"/>
  <c r="P414" i="3"/>
  <c r="R414" i="3" s="1"/>
  <c r="P247" i="3"/>
  <c r="R247" i="3" s="1"/>
  <c r="P358" i="3"/>
  <c r="R358" i="3" s="1"/>
  <c r="P13" i="3"/>
  <c r="R13" i="3" s="1"/>
  <c r="P361" i="3"/>
  <c r="R361" i="3" s="1"/>
  <c r="P177" i="3"/>
  <c r="R177" i="3" s="1"/>
  <c r="P6" i="3"/>
  <c r="R6" i="3" s="1"/>
  <c r="P373" i="3"/>
  <c r="R373" i="3" s="1"/>
  <c r="P374" i="3"/>
  <c r="R374" i="3" s="1"/>
  <c r="P340" i="3"/>
  <c r="R340" i="3" s="1"/>
  <c r="P317" i="3"/>
  <c r="R317" i="3" s="1"/>
  <c r="P362" i="3"/>
  <c r="R362" i="3" s="1"/>
  <c r="P190" i="3"/>
  <c r="R190" i="3" s="1"/>
  <c r="P191" i="3"/>
  <c r="R191" i="3" s="1"/>
  <c r="P16" i="3"/>
  <c r="R16" i="3" s="1"/>
  <c r="P390" i="3"/>
  <c r="R390" i="3" s="1"/>
  <c r="P457" i="3"/>
  <c r="R457" i="3" s="1"/>
  <c r="P261" i="3"/>
  <c r="R261" i="3" s="1"/>
  <c r="P418" i="3"/>
  <c r="R418" i="3" s="1"/>
  <c r="P252" i="3"/>
  <c r="R252" i="3" s="1"/>
  <c r="P332" i="3"/>
  <c r="R332" i="3" s="1"/>
  <c r="P403" i="3"/>
  <c r="R403" i="3" s="1"/>
  <c r="P417" i="3"/>
  <c r="R417" i="3" s="1"/>
  <c r="P60" i="3"/>
  <c r="R60" i="3" s="1"/>
  <c r="P339" i="3"/>
  <c r="R339" i="3" s="1"/>
  <c r="P391" i="3"/>
  <c r="R391" i="3" s="1"/>
  <c r="P150" i="3"/>
  <c r="R150" i="3" s="1"/>
  <c r="P296" i="3"/>
  <c r="R296" i="3" s="1"/>
  <c r="P80" i="3"/>
  <c r="R80" i="3" s="1"/>
  <c r="P421" i="3"/>
  <c r="R421" i="3" s="1"/>
  <c r="P416" i="3"/>
  <c r="R416" i="3" s="1"/>
  <c r="P192" i="3"/>
  <c r="R192" i="3" s="1"/>
  <c r="P455" i="3"/>
  <c r="R455" i="3" s="1"/>
  <c r="P420" i="3"/>
  <c r="R420" i="3" s="1"/>
  <c r="P310" i="3"/>
  <c r="R310" i="3" s="1"/>
  <c r="P350" i="3"/>
  <c r="R350" i="3" s="1"/>
  <c r="P331" i="3"/>
  <c r="R331" i="3" s="1"/>
  <c r="P15" i="3"/>
  <c r="R15" i="3" s="1"/>
  <c r="P23" i="3"/>
  <c r="R23" i="3" s="1"/>
  <c r="P372" i="3"/>
  <c r="R372" i="3" s="1"/>
  <c r="P402" i="3"/>
  <c r="R402" i="3" s="1"/>
  <c r="P246" i="3"/>
  <c r="R246" i="3" s="1"/>
  <c r="P400" i="3"/>
  <c r="R400" i="3" s="1"/>
  <c r="P419" i="3"/>
  <c r="R419" i="3" s="1"/>
  <c r="P456" i="3"/>
  <c r="R456" i="3" s="1"/>
  <c r="P79" i="3"/>
  <c r="R79" i="3" s="1"/>
  <c r="P58" i="3"/>
  <c r="R58" i="3" s="1"/>
  <c r="P401" i="3"/>
  <c r="R401" i="3" s="1"/>
  <c r="P61" i="3"/>
  <c r="R61" i="3" s="1"/>
  <c r="P393" i="3"/>
  <c r="R393" i="3" s="1"/>
  <c r="P251" i="3"/>
  <c r="R251" i="3" s="1"/>
  <c r="P345" i="3"/>
  <c r="R345" i="3" s="1"/>
  <c r="P88" i="3"/>
  <c r="R88" i="3" s="1"/>
  <c r="P14" i="3"/>
  <c r="R14" i="3" s="1"/>
  <c r="P426" i="3"/>
  <c r="R426" i="3" s="1"/>
  <c r="P74" i="3"/>
  <c r="R74" i="3" s="1"/>
  <c r="P232" i="3"/>
  <c r="R232" i="3" s="1"/>
  <c r="P467" i="3"/>
  <c r="R467" i="3" s="1"/>
  <c r="P205" i="3"/>
  <c r="R205" i="3" s="1"/>
  <c r="P103" i="3"/>
  <c r="R103" i="3" s="1"/>
  <c r="P206" i="3"/>
  <c r="R206" i="3" s="1"/>
  <c r="P26" i="3"/>
  <c r="R26" i="3" s="1"/>
  <c r="P452" i="3"/>
  <c r="R452" i="3" s="1"/>
  <c r="P204" i="3"/>
  <c r="R204" i="3" s="1"/>
  <c r="P451" i="3"/>
  <c r="R451" i="3" s="1"/>
  <c r="P450" i="3"/>
  <c r="R450" i="3" s="1"/>
  <c r="P96" i="3"/>
  <c r="R96" i="3" s="1"/>
  <c r="P471" i="3"/>
  <c r="R471" i="3" s="1"/>
  <c r="P97" i="3"/>
  <c r="R97" i="3" s="1"/>
  <c r="P95" i="3"/>
  <c r="R95" i="3" s="1"/>
  <c r="P392" i="3"/>
  <c r="R392" i="3" s="1"/>
  <c r="P470" i="3"/>
  <c r="R470" i="3" s="1"/>
  <c r="P195" i="3"/>
  <c r="R195" i="3" s="1"/>
  <c r="P102" i="3"/>
  <c r="R102" i="3" s="1"/>
  <c r="P231" i="3"/>
  <c r="R231" i="3" s="1"/>
  <c r="P375" i="3"/>
  <c r="R375" i="3" s="1"/>
  <c r="P351" i="3"/>
  <c r="R351" i="3" s="1"/>
  <c r="P176" i="3"/>
  <c r="R176" i="3" s="1"/>
  <c r="P135" i="3"/>
  <c r="R135" i="3" s="1"/>
  <c r="P175" i="3"/>
  <c r="R175" i="3" s="1"/>
  <c r="P75" i="3"/>
  <c r="R75" i="3" s="1"/>
  <c r="P430" i="3"/>
  <c r="R430" i="3" s="1"/>
  <c r="P429" i="3"/>
  <c r="R429" i="3" s="1"/>
  <c r="P266" i="3"/>
  <c r="R266" i="3" s="1"/>
  <c r="P62" i="3"/>
  <c r="R62" i="3" s="1"/>
  <c r="P104" i="3"/>
  <c r="R104" i="3" s="1"/>
  <c r="P63" i="3"/>
  <c r="R63" i="3" s="1"/>
  <c r="P406" i="3"/>
  <c r="R406" i="3" s="1"/>
  <c r="P64" i="3"/>
  <c r="R64" i="3" s="1"/>
  <c r="P352" i="3"/>
  <c r="R352" i="3" s="1"/>
  <c r="P405" i="3"/>
  <c r="R405" i="3" s="1"/>
  <c r="P230" i="3"/>
  <c r="R230" i="3" s="1"/>
  <c r="P413" i="3"/>
  <c r="R413" i="3" s="1"/>
  <c r="P151" i="3"/>
  <c r="R151" i="3" s="1"/>
  <c r="P73" i="3"/>
  <c r="R73" i="3" s="1"/>
  <c r="P458" i="3"/>
  <c r="R458" i="3" s="1"/>
  <c r="P152" i="3"/>
  <c r="R152" i="3" s="1"/>
  <c r="P387" i="3"/>
  <c r="R387" i="3" s="1"/>
  <c r="P36" i="3"/>
  <c r="R36" i="3" s="1"/>
  <c r="P144" i="3"/>
  <c r="R144" i="3" s="1"/>
  <c r="P359" i="3"/>
  <c r="R359" i="3" s="1"/>
  <c r="P121" i="3"/>
  <c r="R121" i="3" s="1"/>
  <c r="P90" i="3"/>
  <c r="R90" i="3" s="1"/>
  <c r="P369" i="3"/>
  <c r="R369" i="3" s="1"/>
  <c r="P341" i="3"/>
  <c r="R341" i="3" s="1"/>
  <c r="P431" i="3"/>
  <c r="R431" i="3" s="1"/>
  <c r="P203" i="3"/>
  <c r="P260" i="3"/>
  <c r="P250" i="3"/>
  <c r="R250" i="3" s="1"/>
  <c r="P389" i="3"/>
  <c r="R389" i="3" s="1"/>
  <c r="P294" i="3"/>
  <c r="R294" i="3" s="1"/>
  <c r="P441" i="3"/>
  <c r="R441" i="3" s="1"/>
  <c r="P254" i="3"/>
  <c r="R254" i="3" s="1"/>
  <c r="P256" i="3"/>
  <c r="R256" i="3" s="1"/>
  <c r="P259" i="3"/>
  <c r="R259" i="3" s="1"/>
  <c r="P366" i="3"/>
  <c r="R366" i="3" s="1"/>
  <c r="P293" i="3"/>
  <c r="R293" i="3" s="1"/>
  <c r="P255" i="3"/>
  <c r="R255" i="3" s="1"/>
  <c r="P442" i="3"/>
  <c r="R442" i="3" s="1"/>
  <c r="P5" i="3"/>
  <c r="R5" i="3" s="1"/>
  <c r="P285" i="3"/>
  <c r="R285" i="3" s="1"/>
  <c r="P249" i="3"/>
  <c r="R249" i="3" s="1"/>
  <c r="P379" i="3"/>
  <c r="R379" i="3" s="1"/>
  <c r="P378" i="3"/>
  <c r="R378" i="3" s="1"/>
  <c r="P474" i="3"/>
  <c r="R474" i="3" s="1"/>
  <c r="P236" i="3"/>
  <c r="R236" i="3" s="1"/>
  <c r="P86" i="3"/>
  <c r="R86" i="3" s="1"/>
  <c r="P245" i="3"/>
  <c r="R245" i="3" s="1"/>
  <c r="P329" i="3"/>
  <c r="R329" i="3" s="1"/>
  <c r="P31" i="3"/>
  <c r="R31" i="3" s="1"/>
  <c r="P464" i="3"/>
  <c r="R464" i="3" s="1"/>
  <c r="P371" i="3"/>
  <c r="R371" i="3" s="1"/>
  <c r="P330" i="3"/>
  <c r="R330" i="3" s="1"/>
  <c r="P380" i="3"/>
  <c r="R380" i="3" s="1"/>
  <c r="P311" i="3"/>
  <c r="R311" i="3" s="1"/>
  <c r="P461" i="3"/>
  <c r="R461" i="3" s="1"/>
  <c r="P388" i="3"/>
  <c r="R388" i="3" s="1"/>
  <c r="P72" i="3"/>
  <c r="R72" i="3" s="1"/>
  <c r="P201" i="3"/>
  <c r="R201" i="3" s="1"/>
  <c r="P308" i="3"/>
  <c r="R308" i="3" s="1"/>
  <c r="P100" i="3"/>
  <c r="R100" i="3" s="1"/>
  <c r="P377" i="3"/>
  <c r="R377" i="3" s="1"/>
  <c r="P257" i="3"/>
  <c r="R257" i="3" s="1"/>
  <c r="P309" i="3"/>
  <c r="R309" i="3" s="1"/>
  <c r="P149" i="3"/>
  <c r="R149" i="3" s="1"/>
  <c r="P292" i="3"/>
  <c r="R292" i="3" s="1"/>
  <c r="P200" i="3"/>
  <c r="R200" i="3" s="1"/>
  <c r="P244" i="3"/>
  <c r="R244" i="3" s="1"/>
  <c r="P243" i="3"/>
  <c r="R243" i="3" s="1"/>
  <c r="P65" i="3"/>
  <c r="R65" i="3" s="1"/>
  <c r="P295" i="3"/>
  <c r="R295" i="3" s="1"/>
  <c r="P202" i="3"/>
  <c r="R202" i="3" s="1"/>
  <c r="P284" i="3"/>
  <c r="R284" i="3" s="1"/>
  <c r="P440" i="3"/>
  <c r="R440" i="3" s="1"/>
  <c r="P283" i="3"/>
  <c r="R283" i="3" s="1"/>
  <c r="P228" i="3"/>
  <c r="R228" i="3" s="1"/>
  <c r="P174" i="3"/>
  <c r="R174" i="3" s="1"/>
  <c r="P78" i="3"/>
  <c r="R78" i="3" s="1"/>
  <c r="P415" i="3"/>
  <c r="R415" i="3" s="1"/>
  <c r="P141" i="3"/>
  <c r="R141" i="3" s="1"/>
  <c r="P229" i="3"/>
  <c r="R229" i="3" s="1"/>
  <c r="P304" i="3"/>
  <c r="R304" i="3" s="1"/>
  <c r="P168" i="3"/>
  <c r="R168" i="3" s="1"/>
  <c r="P459" i="3"/>
  <c r="R459" i="3" s="1"/>
  <c r="P131" i="3"/>
  <c r="R131" i="3" s="1"/>
  <c r="P224" i="3"/>
  <c r="R224" i="3" s="1"/>
  <c r="P2" i="3"/>
  <c r="R2" i="3" s="1"/>
  <c r="P411" i="3"/>
  <c r="R411" i="3" s="1"/>
  <c r="P409" i="3"/>
  <c r="R409" i="3" s="1"/>
  <c r="P133" i="3"/>
  <c r="R133" i="3" s="1"/>
  <c r="P199" i="3"/>
  <c r="R199" i="3" s="1"/>
  <c r="P138" i="3"/>
  <c r="R138" i="3" s="1"/>
  <c r="P34" i="3"/>
  <c r="R34" i="3" s="1"/>
  <c r="P356" i="3"/>
  <c r="R356" i="3" s="1"/>
  <c r="P410" i="3"/>
  <c r="R410" i="3" s="1"/>
  <c r="P132" i="3"/>
  <c r="R132" i="3" s="1"/>
  <c r="P444" i="3"/>
  <c r="R444" i="3" s="1"/>
  <c r="P146" i="3"/>
  <c r="R146" i="3" s="1"/>
  <c r="P173" i="3"/>
  <c r="R173" i="3" s="1"/>
  <c r="P93" i="3"/>
  <c r="R93" i="3" s="1"/>
  <c r="P445" i="3"/>
  <c r="R445" i="3" s="1"/>
  <c r="P137" i="3"/>
  <c r="R137" i="3" s="1"/>
  <c r="P312" i="3"/>
  <c r="R312" i="3" s="1"/>
  <c r="P27" i="3"/>
  <c r="R27" i="3" s="1"/>
  <c r="P423" i="3"/>
  <c r="R423" i="3" s="1"/>
  <c r="P94" i="3"/>
  <c r="R94" i="3" s="1"/>
  <c r="P399" i="3"/>
  <c r="R399" i="3" s="1"/>
  <c r="P30" i="3"/>
  <c r="R30" i="3" s="1"/>
  <c r="P264" i="3"/>
  <c r="R264" i="3" s="1"/>
  <c r="P189" i="3"/>
  <c r="R189" i="3" s="1"/>
  <c r="P157" i="3"/>
  <c r="R157" i="3" s="1"/>
  <c r="P306" i="3"/>
  <c r="R306" i="3" s="1"/>
  <c r="P29" i="3"/>
  <c r="R29" i="3" s="1"/>
  <c r="P22" i="3"/>
  <c r="R22" i="3" s="1"/>
  <c r="P454" i="3"/>
  <c r="R454" i="3" s="1"/>
  <c r="P142" i="3"/>
  <c r="R142" i="3" s="1"/>
  <c r="P422" i="3"/>
  <c r="R422" i="3" s="1"/>
  <c r="P21" i="3"/>
  <c r="R21" i="3" s="1"/>
  <c r="P159" i="3"/>
  <c r="R159" i="3" s="1"/>
  <c r="P44" i="3"/>
  <c r="R44" i="3" s="1"/>
  <c r="P281" i="3"/>
  <c r="R281" i="3" s="1"/>
  <c r="P225" i="3"/>
  <c r="R225" i="3" s="1"/>
  <c r="P169" i="3"/>
  <c r="R169" i="3" s="1"/>
  <c r="P158" i="3"/>
  <c r="R158" i="3" s="1"/>
  <c r="P32" i="3"/>
  <c r="R32" i="3" s="1"/>
  <c r="P313" i="3"/>
  <c r="R313" i="3" s="1"/>
  <c r="P367" i="3"/>
  <c r="R367" i="3" s="1"/>
  <c r="P460" i="3"/>
  <c r="R460" i="3" s="1"/>
  <c r="P160" i="3"/>
  <c r="R160" i="3" s="1"/>
  <c r="P465" i="3"/>
  <c r="R465" i="3" s="1"/>
  <c r="P71" i="3"/>
  <c r="R71" i="3" s="1"/>
  <c r="P235" i="3"/>
  <c r="R235" i="3" s="1"/>
  <c r="P412" i="3"/>
  <c r="R412" i="3" s="1"/>
  <c r="P434" i="3"/>
  <c r="R434" i="3" s="1"/>
  <c r="P370" i="3"/>
  <c r="R370" i="3" s="1"/>
  <c r="P87" i="3"/>
  <c r="R87" i="3" s="1"/>
  <c r="P280" i="3"/>
  <c r="R280" i="3" s="1"/>
  <c r="P265" i="3"/>
  <c r="R265" i="3" s="1"/>
  <c r="P35" i="3"/>
  <c r="R35" i="3" s="1"/>
  <c r="P143" i="3"/>
  <c r="R143" i="3" s="1"/>
  <c r="P76" i="3"/>
  <c r="R76" i="3" s="1"/>
  <c r="P136" i="3"/>
  <c r="R136" i="3" s="1"/>
  <c r="P234" i="3"/>
  <c r="R234" i="3" s="1"/>
  <c r="P28" i="3"/>
  <c r="R28" i="3" s="1"/>
  <c r="P435" i="3"/>
  <c r="R435" i="3" s="1"/>
  <c r="P147" i="3"/>
  <c r="R147" i="3" s="1"/>
  <c r="P267" i="3"/>
  <c r="R267" i="3" s="1"/>
  <c r="P437" i="3"/>
  <c r="R437" i="3" s="1"/>
  <c r="P307" i="3"/>
  <c r="R307" i="3" s="1"/>
  <c r="P357" i="3"/>
  <c r="R357" i="3" s="1"/>
  <c r="P33" i="3"/>
  <c r="R33" i="3" s="1"/>
  <c r="P436" i="3"/>
  <c r="R436" i="3" s="1"/>
  <c r="R77" i="3"/>
  <c r="P314" i="3"/>
  <c r="R314" i="3" s="1"/>
  <c r="P4" i="3"/>
  <c r="R4" i="3" s="1"/>
  <c r="P237" i="3"/>
  <c r="R237" i="3" s="1"/>
  <c r="P383" i="3"/>
  <c r="R383" i="3" s="1"/>
  <c r="P439" i="3"/>
  <c r="R439" i="3" s="1"/>
  <c r="R203" i="3"/>
  <c r="R260" i="3"/>
  <c r="L431" i="3" l="1"/>
  <c r="M431" i="3" s="1"/>
  <c r="N153" i="3"/>
  <c r="P153" i="3" s="1"/>
  <c r="R153" i="3" s="1"/>
  <c r="L153" i="3"/>
  <c r="M153" i="3" s="1"/>
  <c r="L341" i="3"/>
  <c r="M341" i="3" s="1"/>
  <c r="L369" i="3"/>
  <c r="M369" i="3" s="1"/>
  <c r="L90" i="3"/>
  <c r="M90" i="3" s="1"/>
  <c r="L121" i="3"/>
  <c r="M121" i="3" s="1"/>
  <c r="L359" i="3"/>
  <c r="M359" i="3" s="1"/>
  <c r="L144" i="3"/>
  <c r="M144" i="3" s="1"/>
  <c r="L36" i="3"/>
  <c r="M36" i="3" s="1"/>
  <c r="L387" i="3"/>
  <c r="M387" i="3" s="1"/>
  <c r="L152" i="3"/>
  <c r="M152" i="3" s="1"/>
  <c r="L458" i="3"/>
  <c r="M458" i="3" s="1"/>
  <c r="L73" i="3"/>
  <c r="M73" i="3" s="1"/>
  <c r="L151" i="3"/>
  <c r="M151" i="3" s="1"/>
  <c r="L413" i="3"/>
  <c r="M413" i="3" s="1"/>
  <c r="L230" i="3"/>
  <c r="M230" i="3" s="1"/>
  <c r="L405" i="3"/>
  <c r="M405" i="3" s="1"/>
  <c r="L352" i="3"/>
  <c r="M352" i="3" s="1"/>
  <c r="L64" i="3"/>
  <c r="M64" i="3" s="1"/>
  <c r="L406" i="3"/>
  <c r="M406" i="3" s="1"/>
  <c r="L63" i="3"/>
  <c r="M63" i="3" s="1"/>
  <c r="L104" i="3"/>
  <c r="M104" i="3" s="1"/>
  <c r="L62" i="3"/>
  <c r="M62" i="3" s="1"/>
  <c r="L266" i="3"/>
  <c r="M266" i="3" s="1"/>
  <c r="L429" i="3"/>
  <c r="M429" i="3" s="1"/>
  <c r="L430" i="3"/>
  <c r="M430" i="3" s="1"/>
  <c r="L75" i="3"/>
  <c r="M75" i="3" s="1"/>
  <c r="L175" i="3"/>
  <c r="M175" i="3" s="1"/>
  <c r="L135" i="3"/>
  <c r="M135" i="3" s="1"/>
  <c r="L176" i="3"/>
  <c r="M176" i="3" s="1"/>
  <c r="L351" i="3"/>
  <c r="M351" i="3" s="1"/>
  <c r="L375" i="3"/>
  <c r="M375" i="3" s="1"/>
  <c r="L231" i="3"/>
  <c r="M231" i="3" s="1"/>
  <c r="L102" i="3"/>
  <c r="M102" i="3" s="1"/>
  <c r="L195" i="3"/>
  <c r="M195" i="3" s="1"/>
  <c r="L470" i="3"/>
  <c r="M470" i="3" s="1"/>
  <c r="L392" i="3"/>
  <c r="M392" i="3" s="1"/>
  <c r="L95" i="3"/>
  <c r="M95" i="3" s="1"/>
  <c r="L97" i="3"/>
  <c r="M97" i="3" s="1"/>
  <c r="L471" i="3"/>
  <c r="M471" i="3" s="1"/>
  <c r="L96" i="3"/>
  <c r="M96" i="3" s="1"/>
  <c r="L450" i="3"/>
  <c r="M450" i="3" s="1"/>
  <c r="L451" i="3"/>
  <c r="M451" i="3" s="1"/>
  <c r="L204" i="3"/>
  <c r="M204" i="3" s="1"/>
  <c r="L452" i="3"/>
  <c r="M452" i="3" s="1"/>
  <c r="L26" i="3"/>
  <c r="M26" i="3" s="1"/>
  <c r="L206" i="3"/>
  <c r="M206" i="3" s="1"/>
  <c r="L103" i="3"/>
  <c r="M103" i="3" s="1"/>
  <c r="L205" i="3"/>
  <c r="M205" i="3" s="1"/>
  <c r="L467" i="3"/>
  <c r="M467" i="3" s="1"/>
  <c r="L232" i="3"/>
  <c r="M232" i="3" s="1"/>
  <c r="L74" i="3"/>
  <c r="M74" i="3" s="1"/>
  <c r="L426" i="3"/>
  <c r="M426" i="3" s="1"/>
  <c r="L14" i="3" l="1"/>
  <c r="M14" i="3" s="1"/>
  <c r="L88" i="3"/>
  <c r="M88" i="3" s="1"/>
  <c r="L345" i="3"/>
  <c r="M345" i="3" s="1"/>
  <c r="L251" i="3"/>
  <c r="M251" i="3" s="1"/>
  <c r="L393" i="3"/>
  <c r="M393" i="3" s="1"/>
  <c r="L61" i="3"/>
  <c r="M61" i="3" s="1"/>
  <c r="L401" i="3"/>
  <c r="M401" i="3" s="1"/>
  <c r="L58" i="3"/>
  <c r="M58" i="3" s="1"/>
  <c r="L79" i="3"/>
  <c r="M79" i="3" s="1"/>
  <c r="L456" i="3"/>
  <c r="M456" i="3" s="1"/>
  <c r="L419" i="3"/>
  <c r="M419" i="3" s="1"/>
  <c r="L400" i="3"/>
  <c r="M400" i="3" s="1"/>
  <c r="L246" i="3"/>
  <c r="M246" i="3" s="1"/>
  <c r="L402" i="3"/>
  <c r="M402" i="3" s="1"/>
  <c r="L372" i="3"/>
  <c r="M372" i="3" s="1"/>
  <c r="L23" i="3"/>
  <c r="M23" i="3" s="1"/>
  <c r="L15" i="3"/>
  <c r="M15" i="3" s="1"/>
  <c r="L331" i="3"/>
  <c r="M331" i="3" s="1"/>
  <c r="L350" i="3"/>
  <c r="M350" i="3" s="1"/>
  <c r="L310" i="3"/>
  <c r="M310" i="3" s="1"/>
  <c r="L420" i="3"/>
  <c r="M420" i="3" s="1"/>
  <c r="L455" i="3"/>
  <c r="M455" i="3" s="1"/>
  <c r="L192" i="3"/>
  <c r="M192" i="3" s="1"/>
  <c r="L416" i="3"/>
  <c r="M416" i="3" s="1"/>
  <c r="L421" i="3"/>
  <c r="M421" i="3" s="1"/>
  <c r="L80" i="3"/>
  <c r="M80" i="3" s="1"/>
  <c r="L296" i="3"/>
  <c r="M296" i="3" s="1"/>
  <c r="L150" i="3"/>
  <c r="M150" i="3" s="1"/>
  <c r="L391" i="3"/>
  <c r="M391" i="3" s="1"/>
  <c r="L339" i="3"/>
  <c r="M339" i="3" s="1"/>
  <c r="L60" i="3"/>
  <c r="M60" i="3" s="1"/>
  <c r="L417" i="3"/>
  <c r="M417" i="3" s="1"/>
  <c r="L403" i="3"/>
  <c r="M403" i="3" s="1"/>
  <c r="L332" i="3"/>
  <c r="M332" i="3" s="1"/>
  <c r="L252" i="3"/>
  <c r="M252" i="3" s="1"/>
  <c r="L418" i="3"/>
  <c r="M418" i="3" s="1"/>
  <c r="L261" i="3"/>
  <c r="M261" i="3" s="1"/>
  <c r="L457" i="3"/>
  <c r="M457" i="3" s="1"/>
  <c r="L390" i="3"/>
  <c r="M390" i="3" s="1"/>
  <c r="L16" i="3"/>
  <c r="M16" i="3" s="1"/>
  <c r="L191" i="3"/>
  <c r="M191" i="3" s="1"/>
  <c r="L190" i="3"/>
  <c r="M190" i="3" s="1"/>
  <c r="L362" i="3"/>
  <c r="M362" i="3" s="1"/>
  <c r="L317" i="3"/>
  <c r="M317" i="3" s="1"/>
  <c r="L340" i="3"/>
  <c r="M340" i="3" s="1"/>
  <c r="L374" i="3"/>
  <c r="M374" i="3" s="1"/>
  <c r="L373" i="3"/>
  <c r="M373" i="3" s="1"/>
  <c r="L6" i="3"/>
  <c r="M6" i="3" s="1"/>
  <c r="L177" i="3"/>
  <c r="M177" i="3" s="1"/>
  <c r="L361" i="3"/>
  <c r="M361" i="3" s="1"/>
  <c r="L13" i="3"/>
  <c r="M13" i="3" s="1"/>
  <c r="L358" i="3"/>
  <c r="M358" i="3" s="1"/>
  <c r="L247" i="3"/>
  <c r="M247" i="3" s="1"/>
  <c r="L414" i="3"/>
  <c r="M414" i="3" s="1"/>
  <c r="L134" i="3"/>
  <c r="M134" i="3" s="1"/>
  <c r="L323" i="3"/>
  <c r="M323" i="3" s="1"/>
  <c r="L194" i="3"/>
  <c r="M194" i="3" s="1"/>
  <c r="L333" i="3"/>
  <c r="M333" i="3" s="1"/>
  <c r="L9" i="3"/>
  <c r="M9" i="3" s="1"/>
  <c r="L89" i="3"/>
  <c r="M89" i="3" s="1"/>
  <c r="L24" i="3"/>
  <c r="M24" i="3" s="1"/>
  <c r="L55" i="3"/>
  <c r="M55" i="3" s="1"/>
  <c r="L385" i="3"/>
  <c r="M385" i="3" s="1"/>
  <c r="L449" i="3"/>
  <c r="M449" i="3" s="1"/>
  <c r="L258" i="3"/>
  <c r="M258" i="3" s="1"/>
  <c r="L57" i="3"/>
  <c r="M57" i="3" s="1"/>
  <c r="L106" i="3"/>
  <c r="M106" i="3" s="1"/>
  <c r="L404" i="3"/>
  <c r="M404" i="3" s="1"/>
  <c r="L386" i="3"/>
  <c r="M386" i="3" s="1"/>
  <c r="L466" i="3"/>
  <c r="M466" i="3" s="1"/>
  <c r="L126" i="3"/>
  <c r="M126" i="3" s="1"/>
  <c r="L238" i="3"/>
  <c r="M238" i="3" s="1"/>
  <c r="L101" i="3"/>
  <c r="M101" i="3" s="1"/>
  <c r="L56" i="3"/>
  <c r="M56" i="3" s="1"/>
  <c r="L107" i="3"/>
  <c r="M107" i="3" s="1"/>
  <c r="L8" i="3"/>
  <c r="M8" i="3" s="1"/>
  <c r="L384" i="3"/>
  <c r="M384" i="3" s="1"/>
  <c r="L25" i="3"/>
  <c r="M25" i="3" s="1"/>
  <c r="L383" i="3"/>
  <c r="M383" i="3" s="1"/>
  <c r="L237" i="3"/>
  <c r="M237" i="3" s="1"/>
  <c r="L147" i="3" l="1"/>
  <c r="M147" i="3" s="1"/>
  <c r="L435" i="3"/>
  <c r="M435" i="3" s="1"/>
  <c r="L28" i="3"/>
  <c r="M28" i="3" s="1"/>
  <c r="L234" i="3"/>
  <c r="M234" i="3" s="1"/>
  <c r="L136" i="3"/>
  <c r="M136" i="3" s="1"/>
  <c r="L76" i="3"/>
  <c r="M76" i="3" s="1"/>
  <c r="L143" i="3"/>
  <c r="M143" i="3" s="1"/>
  <c r="L35" i="3"/>
  <c r="M35" i="3" s="1"/>
  <c r="L265" i="3"/>
  <c r="M265" i="3" s="1"/>
  <c r="L280" i="3"/>
  <c r="M280" i="3" s="1"/>
  <c r="L87" i="3"/>
  <c r="M87" i="3" s="1"/>
  <c r="L370" i="3"/>
  <c r="M370" i="3" s="1"/>
  <c r="L434" i="3"/>
  <c r="M434" i="3" s="1"/>
  <c r="L412" i="3"/>
  <c r="M412" i="3" s="1"/>
  <c r="L235" i="3"/>
  <c r="M235" i="3" s="1"/>
  <c r="L71" i="3"/>
  <c r="M71" i="3" s="1"/>
  <c r="L465" i="3"/>
  <c r="M465" i="3" s="1"/>
  <c r="L44" i="3"/>
  <c r="M44" i="3" s="1"/>
  <c r="L159" i="3"/>
  <c r="M159" i="3" s="1"/>
  <c r="L21" i="3"/>
  <c r="M21" i="3" s="1"/>
  <c r="L422" i="3"/>
  <c r="M422" i="3" s="1"/>
  <c r="L142" i="3"/>
  <c r="M142" i="3" s="1"/>
  <c r="L454" i="3"/>
  <c r="M454" i="3" s="1"/>
  <c r="L22" i="3"/>
  <c r="M22" i="3" s="1"/>
  <c r="L29" i="3"/>
  <c r="M29" i="3" s="1"/>
  <c r="L306" i="3"/>
  <c r="M306" i="3" s="1"/>
  <c r="L157" i="3"/>
  <c r="M157" i="3" s="1"/>
  <c r="L189" i="3"/>
  <c r="M189" i="3" s="1"/>
  <c r="L264" i="3"/>
  <c r="M264" i="3" s="1"/>
  <c r="L30" i="3"/>
  <c r="M30" i="3" s="1"/>
  <c r="L399" i="3"/>
  <c r="M399" i="3" s="1"/>
  <c r="L94" i="3"/>
  <c r="M94" i="3" s="1"/>
  <c r="L423" i="3"/>
  <c r="M423" i="3" s="1"/>
  <c r="L27" i="3"/>
  <c r="M27" i="3" s="1"/>
  <c r="L312" i="3"/>
  <c r="M312" i="3" s="1"/>
  <c r="L137" i="3"/>
  <c r="M137" i="3" s="1"/>
  <c r="L445" i="3"/>
  <c r="M445" i="3" s="1"/>
  <c r="L93" i="3"/>
  <c r="M93" i="3" s="1"/>
  <c r="L173" i="3"/>
  <c r="M173" i="3" s="1"/>
  <c r="L146" i="3"/>
  <c r="M146" i="3" s="1"/>
  <c r="L444" i="3"/>
  <c r="M444" i="3" s="1"/>
  <c r="G7" i="2" l="1"/>
  <c r="F9" i="2"/>
  <c r="F13" i="2"/>
  <c r="F8" i="2"/>
  <c r="L132" i="3" l="1"/>
  <c r="M132" i="3" s="1"/>
  <c r="L410" i="3"/>
  <c r="M410" i="3" s="1"/>
  <c r="L356" i="3"/>
  <c r="M356" i="3" s="1"/>
  <c r="L34" i="3"/>
  <c r="M34" i="3" s="1"/>
  <c r="L138" i="3"/>
  <c r="M138" i="3" s="1"/>
  <c r="L199" i="3"/>
  <c r="M199" i="3" s="1"/>
  <c r="L133" i="3"/>
  <c r="M133" i="3" s="1"/>
  <c r="L409" i="3"/>
  <c r="M409" i="3" s="1"/>
  <c r="L411" i="3"/>
  <c r="M411" i="3" s="1"/>
  <c r="L2" i="3"/>
  <c r="M2" i="3" s="1"/>
  <c r="L224" i="3"/>
  <c r="M224" i="3" s="1"/>
  <c r="L131" i="3"/>
  <c r="M131" i="3" s="1"/>
  <c r="L459" i="3"/>
  <c r="M459" i="3" s="1"/>
  <c r="L168" i="3"/>
  <c r="M168" i="3" s="1"/>
  <c r="L304" i="3"/>
  <c r="M304" i="3" s="1"/>
  <c r="L229" i="3"/>
  <c r="M229" i="3" s="1"/>
  <c r="L141" i="3"/>
  <c r="M141" i="3" s="1"/>
  <c r="L415" i="3"/>
  <c r="M415" i="3" s="1"/>
  <c r="L78" i="3"/>
  <c r="M78" i="3" s="1"/>
  <c r="L174" i="3"/>
  <c r="M174" i="3" s="1"/>
  <c r="L228" i="3"/>
  <c r="M228" i="3" s="1"/>
  <c r="L283" i="3"/>
  <c r="M283" i="3" s="1"/>
  <c r="L440" i="3"/>
  <c r="M440" i="3" s="1"/>
  <c r="L284" i="3"/>
  <c r="M284" i="3" s="1"/>
  <c r="L202" i="3"/>
  <c r="M202" i="3" s="1"/>
  <c r="L295" i="3"/>
  <c r="M295" i="3" s="1"/>
  <c r="L65" i="3"/>
  <c r="M65" i="3" s="1"/>
  <c r="L243" i="3"/>
  <c r="M243" i="3" s="1"/>
  <c r="L244" i="3"/>
  <c r="M244" i="3" s="1"/>
  <c r="L200" i="3"/>
  <c r="M200" i="3" s="1"/>
  <c r="L292" i="3"/>
  <c r="M292" i="3" s="1"/>
  <c r="L149" i="3"/>
  <c r="M149" i="3" s="1"/>
  <c r="L309" i="3"/>
  <c r="M309" i="3" s="1"/>
  <c r="L257" i="3"/>
  <c r="M257" i="3" s="1"/>
  <c r="L377" i="3"/>
  <c r="M377" i="3" s="1"/>
  <c r="L100" i="3"/>
  <c r="M100" i="3" s="1"/>
  <c r="L308" i="3"/>
  <c r="M308" i="3" s="1"/>
  <c r="L201" i="3"/>
  <c r="M201" i="3" s="1"/>
  <c r="L72" i="3"/>
  <c r="M72" i="3" s="1"/>
  <c r="L388" i="3"/>
  <c r="M388" i="3" s="1"/>
  <c r="L461" i="3"/>
  <c r="M461" i="3" s="1"/>
  <c r="L245" i="3"/>
  <c r="M245" i="3" s="1"/>
  <c r="L329" i="3"/>
  <c r="M329" i="3" s="1"/>
  <c r="L31" i="3"/>
  <c r="M31" i="3" s="1"/>
  <c r="L464" i="3"/>
  <c r="M464" i="3" s="1"/>
  <c r="L371" i="3"/>
  <c r="M371" i="3" s="1"/>
  <c r="L330" i="3"/>
  <c r="M330" i="3" s="1"/>
  <c r="L380" i="3"/>
  <c r="M380" i="3" s="1"/>
  <c r="L311" i="3"/>
  <c r="M311" i="3" s="1"/>
  <c r="L86" i="3"/>
  <c r="M86" i="3" s="1"/>
  <c r="L236" i="3"/>
  <c r="M236" i="3" s="1"/>
  <c r="L474" i="3"/>
  <c r="M474" i="3" s="1"/>
  <c r="L378" i="3"/>
  <c r="M378" i="3" s="1"/>
  <c r="L379" i="3"/>
  <c r="M379" i="3" s="1"/>
  <c r="L249" i="3"/>
  <c r="M249" i="3" s="1"/>
  <c r="L285" i="3"/>
  <c r="M285" i="3" s="1"/>
  <c r="L5" i="3"/>
  <c r="M5" i="3" s="1"/>
  <c r="L260" i="3"/>
  <c r="M260" i="3" s="1"/>
  <c r="L250" i="3"/>
  <c r="M250" i="3" s="1"/>
  <c r="L389" i="3"/>
  <c r="M389" i="3" s="1"/>
  <c r="L294" i="3"/>
  <c r="M294" i="3" s="1"/>
  <c r="L441" i="3"/>
  <c r="M441" i="3" s="1"/>
  <c r="L254" i="3"/>
  <c r="M254" i="3" s="1"/>
  <c r="L256" i="3"/>
  <c r="M256" i="3" s="1"/>
  <c r="L259" i="3"/>
  <c r="M259" i="3" s="1"/>
  <c r="L366" i="3"/>
  <c r="M366" i="3" s="1"/>
  <c r="L293" i="3"/>
  <c r="M293" i="3" s="1"/>
  <c r="L255" i="3"/>
  <c r="M255" i="3" s="1"/>
  <c r="L442" i="3"/>
  <c r="M442" i="3" s="1"/>
  <c r="L203" i="3"/>
  <c r="M203" i="3" s="1"/>
  <c r="L439" i="3"/>
  <c r="M439" i="3" s="1"/>
  <c r="R248" i="3"/>
  <c r="R226" i="3"/>
  <c r="P282" i="3"/>
  <c r="R282" i="3" s="1"/>
  <c r="P227" i="3"/>
  <c r="R227" i="3" s="1"/>
  <c r="R424" i="3"/>
  <c r="P438" i="3"/>
  <c r="R438" i="3" s="1"/>
  <c r="P425" i="3"/>
  <c r="R425" i="3" s="1"/>
  <c r="G3" i="2"/>
  <c r="G4" i="2"/>
  <c r="G5" i="2"/>
  <c r="G6" i="2"/>
  <c r="G8" i="2"/>
  <c r="G9" i="2"/>
  <c r="G10" i="2"/>
  <c r="G11" i="2"/>
  <c r="G12" i="2"/>
  <c r="G13" i="2"/>
  <c r="G2" i="2"/>
  <c r="P185" i="3"/>
  <c r="R185" i="3" s="1"/>
  <c r="P239" i="3"/>
  <c r="R239" i="3" s="1"/>
  <c r="P156" i="3"/>
  <c r="R156" i="3" s="1"/>
  <c r="P303" i="3"/>
  <c r="R303" i="3" s="1"/>
  <c r="P463" i="3"/>
  <c r="R463" i="3" s="1"/>
  <c r="P428" i="3"/>
  <c r="R428" i="3" s="1"/>
  <c r="P253" i="3"/>
  <c r="R253" i="3" s="1"/>
  <c r="P178" i="3"/>
  <c r="R178" i="3" s="1"/>
  <c r="N148" i="3"/>
  <c r="P148" i="3" s="1"/>
  <c r="R148" i="3" s="1"/>
  <c r="N184" i="3"/>
  <c r="P184" i="3" s="1"/>
  <c r="R184" i="3" s="1"/>
</calcChain>
</file>

<file path=xl/sharedStrings.xml><?xml version="1.0" encoding="utf-8"?>
<sst xmlns="http://schemas.openxmlformats.org/spreadsheetml/2006/main" count="11040" uniqueCount="1672">
  <si>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</si>
  <si>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</si>
  <si>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</si>
  <si>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</si>
  <si>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</si>
  <si>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</si>
  <si>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</si>
  <si>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</si>
  <si>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</si>
  <si>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</si>
  <si>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</si>
  <si>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</si>
  <si>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</si>
  <si>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</si>
  <si>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</si>
  <si>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</si>
  <si>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</si>
  <si>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</si>
  <si>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</si>
  <si>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</si>
  <si>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</si>
  <si>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</si>
  <si>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</si>
  <si>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</si>
  <si>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</si>
  <si>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</si>
  <si>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</si>
  <si>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</si>
  <si>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</si>
  <si>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</si>
  <si>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</si>
  <si>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Subsample fresh leaf mass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</si>
  <si>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</si>
  <si>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</si>
  <si>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</si>
  <si>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</si>
  <si>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</si>
  <si>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</si>
  <si>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</si>
  <si>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</si>
  <si>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</si>
  <si>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</si>
  <si>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</si>
  <si>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</si>
  <si>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</si>
  <si>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</si>
  <si>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</si>
  <si>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</si>
  <si>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</si>
  <si>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</si>
  <si>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</si>
  <si>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</si>
  <si>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</si>
  <si>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</si>
  <si>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</si>
  <si>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</si>
  <si>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</si>
  <si>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</si>
  <si>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</si>
  <si>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</si>
  <si>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</si>
  <si>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</si>
  <si>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</si>
  <si>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</si>
  <si>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Diam axis 1</t>
  </si>
  <si>
    <t>Diam axis 2</t>
  </si>
  <si>
    <t>Diam 1 no bark</t>
  </si>
  <si>
    <t>Diam 2 no bark</t>
  </si>
  <si>
    <t>Pith diam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</si>
  <si>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</si>
  <si>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</si>
  <si>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</si>
  <si>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</si>
  <si>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</si>
  <si>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</si>
  <si>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</si>
  <si>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</si>
  <si>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</si>
  <si>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</si>
  <si>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</si>
  <si>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</si>
  <si>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</si>
  <si>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</si>
  <si>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</si>
  <si>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</si>
  <si>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</si>
  <si>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</si>
  <si>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</si>
  <si>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</si>
  <si>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</si>
  <si>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</si>
  <si>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</si>
  <si>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</si>
  <si>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</si>
  <si>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</si>
  <si>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</si>
  <si>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</si>
  <si>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</si>
  <si>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</si>
  <si>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</si>
  <si>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</si>
  <si>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</si>
  <si>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</si>
  <si>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</si>
  <si>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</si>
  <si>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</si>
  <si>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</si>
  <si>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</si>
  <si>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</si>
  <si>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</si>
  <si>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</si>
  <si>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</si>
  <si>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</si>
  <si>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</si>
  <si>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</si>
  <si>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</si>
  <si>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</si>
  <si>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</si>
  <si>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</si>
  <si>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</si>
  <si>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</si>
  <si>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</si>
  <si>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</si>
  <si>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</si>
  <si>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</si>
  <si>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</si>
  <si>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</si>
  <si>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</si>
  <si>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</si>
  <si>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</si>
  <si>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</si>
  <si>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</si>
  <si>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</si>
  <si>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</si>
  <si>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</si>
  <si>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</si>
  <si>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</si>
  <si>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</si>
  <si>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</si>
  <si>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</si>
  <si>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</si>
  <si>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</si>
  <si>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</si>
  <si>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</si>
  <si>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</si>
  <si>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</si>
  <si>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Subsample dry mass</t>
  </si>
  <si>
    <t>Other dry mass</t>
  </si>
  <si>
    <t>Total dry mass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</si>
  <si>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</si>
  <si>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</si>
  <si>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</si>
  <si>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</si>
  <si>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</si>
  <si>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</si>
  <si>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</si>
  <si>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</si>
  <si>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</si>
  <si>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</si>
  <si>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</si>
  <si>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</si>
  <si>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</si>
  <si>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</si>
  <si>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</si>
  <si>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</si>
  <si>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</si>
  <si>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</si>
  <si>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</si>
  <si>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</si>
  <si>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</si>
  <si>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</si>
  <si>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</si>
  <si>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</si>
  <si>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</si>
  <si>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</si>
  <si>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</si>
  <si>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</si>
  <si>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</si>
  <si>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</si>
  <si>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</si>
  <si>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</si>
  <si>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</si>
  <si>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</si>
  <si>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</si>
  <si>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</si>
  <si>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</si>
  <si>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</si>
  <si>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</si>
  <si>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</si>
  <si>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</si>
  <si>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</si>
  <si>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</si>
  <si>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</si>
  <si>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</si>
  <si>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</si>
  <si>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</si>
  <si>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</si>
  <si>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</si>
  <si>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</si>
  <si>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</si>
  <si>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</si>
  <si>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</si>
  <si>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</si>
  <si>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</si>
  <si>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</si>
  <si>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</si>
  <si>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</si>
  <si>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</si>
  <si>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</si>
  <si>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</si>
  <si>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</si>
  <si>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</si>
  <si>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</si>
  <si>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</si>
  <si>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</si>
  <si>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</si>
  <si>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</si>
  <si>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</si>
  <si>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</si>
  <si>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</si>
  <si>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</si>
  <si>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</si>
  <si>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</si>
  <si>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</si>
  <si>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</si>
  <si>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</si>
  <si>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</si>
  <si>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</si>
  <si>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</si>
  <si>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</si>
  <si>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</si>
  <si>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</si>
  <si>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</si>
  <si>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</si>
  <si>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</si>
  <si>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</si>
  <si>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</si>
  <si>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</si>
  <si>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</si>
  <si>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</si>
  <si>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</si>
  <si>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</si>
  <si>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</si>
  <si>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</si>
  <si>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</si>
  <si>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</si>
  <si>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</si>
  <si>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</si>
  <si>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</si>
  <si>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</si>
  <si>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</si>
  <si>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</si>
  <si>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</si>
  <si>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</si>
  <si>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</si>
  <si>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</si>
  <si>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</si>
  <si>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</si>
  <si>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</si>
  <si>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</si>
  <si>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</si>
  <si>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</si>
  <si>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</si>
  <si>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</si>
  <si>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</si>
  <si>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</si>
  <si>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</si>
  <si>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</si>
  <si>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</si>
  <si>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</si>
  <si>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</si>
  <si>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</si>
  <si>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</si>
  <si>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</si>
  <si>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</si>
  <si>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</si>
  <si>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</si>
  <si>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</si>
  <si>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</si>
  <si>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</si>
  <si>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</si>
  <si>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</si>
  <si>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</si>
  <si>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</si>
  <si>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</si>
  <si>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</si>
  <si>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</si>
  <si>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</si>
  <si>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</si>
  <si>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</si>
  <si>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</si>
  <si>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</si>
  <si>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</si>
  <si>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</si>
  <si>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</si>
  <si>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</si>
  <si>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</si>
  <si>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</si>
  <si>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</si>
  <si>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</si>
  <si>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</si>
  <si>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</si>
  <si>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</si>
  <si>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</si>
  <si>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</si>
  <si>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</si>
  <si>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</si>
  <si>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</si>
  <si>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</si>
  <si>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</si>
  <si>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</si>
  <si>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</si>
  <si>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</si>
  <si>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</si>
  <si>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</si>
  <si>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</si>
  <si>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</si>
  <si>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</si>
  <si>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</si>
  <si>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</si>
  <si>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</si>
  <si>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</si>
  <si>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</si>
  <si>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</si>
  <si>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</si>
  <si>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</si>
  <si>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</si>
  <si>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</si>
  <si>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</si>
  <si>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</si>
  <si>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</si>
  <si>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</si>
  <si>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</si>
  <si>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</si>
  <si>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</si>
  <si>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</si>
  <si>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</si>
  <si>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</si>
  <si>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</si>
  <si>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</si>
  <si>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</si>
  <si>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</si>
  <si>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</si>
  <si>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</si>
  <si>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</si>
  <si>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</si>
  <si>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</si>
  <si>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</si>
  <si>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</si>
  <si>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</si>
  <si>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</si>
  <si>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</si>
  <si>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</si>
  <si>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</si>
  <si>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</si>
  <si>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</si>
  <si>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</si>
  <si>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</si>
  <si>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</si>
  <si>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</si>
  <si>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</si>
  <si>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</si>
  <si>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</si>
  <si>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</si>
  <si>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</si>
  <si>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</si>
  <si>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</si>
  <si>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</si>
  <si>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</si>
  <si>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</si>
  <si>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</si>
  <si>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</si>
  <si>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</si>
  <si>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</si>
  <si>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</si>
  <si>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</si>
  <si>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</si>
  <si>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</si>
  <si>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</si>
  <si>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</si>
  <si>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</si>
  <si>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</si>
  <si>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</si>
  <si>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</si>
  <si>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</si>
  <si>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</si>
  <si>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</si>
  <si>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</si>
  <si>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</si>
  <si>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</si>
  <si>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</si>
  <si>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</si>
  <si>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</si>
  <si>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</si>
  <si>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</si>
  <si>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</si>
  <si>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</si>
  <si>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</si>
  <si>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</si>
  <si>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</si>
  <si>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</si>
  <si>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</si>
  <si>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</si>
  <si>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</si>
  <si>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</si>
  <si>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</si>
  <si>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</si>
  <si>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</si>
  <si>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Sapwood area</t>
  </si>
  <si>
    <t>SLA</t>
  </si>
  <si>
    <t>Leaf area</t>
  </si>
  <si>
    <t>Huber value</t>
  </si>
  <si>
    <t>SIGU1</t>
  </si>
  <si>
    <t>SIGU</t>
  </si>
  <si>
    <t>Siparuna guanensis</t>
  </si>
  <si>
    <t>STPO???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</si>
  <si>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</si>
  <si>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</si>
  <si>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</si>
  <si>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</si>
  <si>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</si>
  <si>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</si>
  <si>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</si>
  <si>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</si>
  <si>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</si>
  <si>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</si>
  <si>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</si>
  <si>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</si>
  <si>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</si>
  <si>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</si>
  <si>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</si>
  <si>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</si>
  <si>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</si>
  <si>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</si>
  <si>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</si>
  <si>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</si>
  <si>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</si>
  <si>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</si>
  <si>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</si>
  <si>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</si>
  <si>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</si>
  <si>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</si>
  <si>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</si>
  <si>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</si>
  <si>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</si>
  <si>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</si>
  <si>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</si>
  <si>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</si>
  <si>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</si>
  <si>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</si>
  <si>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</si>
  <si>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</si>
  <si>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</si>
  <si>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</si>
  <si>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</si>
  <si>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</si>
  <si>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</si>
  <si>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</si>
  <si>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</si>
  <si>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</si>
  <si>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</si>
  <si>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</si>
  <si>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</si>
  <si>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</si>
  <si>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</si>
  <si>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</si>
  <si>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</si>
  <si>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</si>
  <si>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</si>
  <si>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</si>
  <si>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</si>
  <si>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</si>
  <si>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</si>
  <si>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</si>
  <si>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</si>
  <si>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</si>
  <si>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</si>
  <si>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</si>
  <si>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</si>
  <si>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</si>
  <si>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</si>
  <si>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</si>
  <si>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</si>
  <si>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</si>
  <si>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</si>
  <si>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</si>
  <si>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</si>
  <si>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</si>
  <si>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</si>
  <si>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</si>
  <si>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</si>
  <si>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</si>
  <si>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</si>
  <si>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</si>
  <si>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</si>
  <si>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</si>
  <si>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</si>
  <si>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</si>
  <si>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</si>
  <si>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</si>
  <si>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</si>
  <si>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</si>
  <si>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</si>
  <si>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</si>
  <si>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</si>
  <si>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</si>
  <si>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</si>
  <si>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</si>
  <si>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</si>
  <si>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</si>
  <si>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</si>
  <si>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</si>
  <si>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</si>
  <si>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</si>
  <si>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</si>
  <si>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</si>
  <si>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</si>
  <si>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</si>
  <si>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</si>
  <si>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</si>
  <si>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</si>
  <si>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</si>
  <si>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</si>
  <si>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</si>
  <si>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</si>
  <si>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</si>
  <si>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</si>
  <si>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</si>
  <si>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</si>
  <si>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</si>
  <si>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</si>
  <si>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</si>
  <si>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</si>
  <si>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</si>
  <si>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</si>
  <si>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</si>
  <si>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</si>
  <si>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</si>
  <si>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</si>
  <si>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</si>
  <si>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</si>
  <si>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</si>
  <si>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</si>
  <si>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</si>
  <si>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</si>
  <si>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</si>
  <si>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</si>
  <si>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</si>
  <si>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</si>
  <si>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</si>
  <si>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</si>
  <si>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</si>
  <si>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</si>
  <si>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</si>
  <si>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</si>
  <si>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</si>
  <si>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</si>
  <si>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</si>
  <si>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</si>
  <si>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</si>
  <si>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</si>
  <si>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</si>
  <si>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</si>
  <si>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</si>
  <si>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</si>
  <si>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</si>
  <si>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</si>
  <si>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</si>
  <si>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</si>
  <si>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</si>
  <si>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</si>
  <si>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</si>
  <si>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</si>
  <si>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</si>
  <si>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</si>
  <si>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</si>
  <si>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</si>
  <si>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</si>
  <si>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</si>
  <si>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</si>
  <si>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</si>
  <si>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</si>
  <si>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</si>
  <si>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</si>
  <si>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</si>
  <si>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</si>
  <si>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</si>
  <si>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</si>
  <si>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</si>
  <si>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</si>
  <si>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</si>
  <si>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</si>
  <si>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</si>
  <si>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</si>
  <si>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</si>
  <si>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</si>
  <si>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</si>
  <si>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</si>
  <si>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</si>
  <si>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</si>
  <si>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</si>
  <si>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</si>
  <si>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</si>
  <si>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</si>
  <si>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</si>
  <si>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</si>
  <si>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</si>
  <si>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</si>
  <si>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</si>
  <si>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</si>
  <si>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</si>
  <si>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</si>
  <si>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</si>
  <si>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</si>
  <si>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</si>
  <si>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</si>
  <si>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</si>
  <si>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</si>
  <si>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</si>
  <si>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</si>
  <si>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</si>
  <si>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</si>
  <si>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</si>
  <si>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</si>
  <si>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</si>
  <si>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</si>
  <si>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</si>
  <si>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</si>
  <si>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</si>
  <si>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</si>
  <si>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</si>
  <si>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</si>
  <si>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</si>
  <si>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</si>
  <si>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</si>
  <si>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</si>
  <si>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</si>
  <si>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</si>
  <si>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</si>
  <si>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</si>
  <si>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</si>
  <si>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</si>
  <si>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</si>
  <si>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</si>
  <si>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</si>
  <si>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</si>
  <si>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</si>
  <si>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</si>
  <si>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</si>
  <si>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</si>
  <si>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</si>
  <si>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</si>
  <si>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</si>
  <si>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</si>
  <si>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</si>
  <si>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</si>
  <si>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</si>
  <si>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</si>
  <si>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</si>
  <si>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</si>
  <si>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</si>
  <si>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</si>
  <si>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</si>
  <si>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</si>
  <si>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</si>
  <si>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</si>
  <si>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</si>
  <si>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</si>
  <si>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</si>
  <si>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</si>
  <si>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</si>
  <si>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</si>
  <si>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</si>
  <si>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</si>
  <si>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</si>
  <si>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</si>
  <si>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</si>
  <si>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</si>
  <si>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</si>
  <si>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</si>
  <si>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</si>
  <si>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</si>
  <si>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</si>
  <si>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</si>
  <si>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</si>
  <si>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</si>
  <si>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</si>
  <si>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</si>
  <si>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</si>
  <si>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</si>
  <si>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</si>
  <si>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</si>
  <si>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</si>
  <si>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</si>
  <si>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</si>
  <si>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</si>
  <si>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</si>
  <si>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</si>
  <si>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</si>
  <si>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</si>
  <si>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</si>
  <si>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</si>
  <si>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</si>
  <si>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</si>
  <si>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</si>
  <si>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</si>
  <si>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</si>
  <si>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</si>
  <si>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</si>
  <si>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</si>
  <si>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</si>
  <si>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</si>
  <si>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</si>
  <si>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</si>
  <si>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</si>
  <si>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</si>
  <si>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</si>
  <si>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</si>
  <si>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</si>
  <si>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</si>
  <si>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</si>
  <si>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</si>
  <si>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</si>
  <si>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</si>
  <si>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</si>
  <si>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</si>
  <si>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</si>
  <si>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</si>
  <si>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</si>
  <si>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</si>
  <si>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</si>
  <si>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</si>
  <si>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</si>
  <si>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</si>
  <si>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</si>
  <si>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</si>
  <si>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</si>
  <si>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</si>
  <si>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</si>
  <si>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</si>
  <si>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</si>
  <si>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</si>
  <si>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</si>
  <si>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</si>
  <si>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</si>
  <si>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</si>
  <si>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</si>
  <si>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</si>
  <si>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</si>
  <si>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</si>
  <si>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</si>
  <si>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</si>
  <si>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</si>
  <si>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</si>
  <si>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</si>
  <si>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</si>
  <si>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</si>
  <si>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</si>
  <si>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</si>
  <si>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</si>
  <si>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</si>
  <si>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</si>
  <si>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</si>
  <si>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</si>
  <si>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</si>
  <si>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</si>
  <si>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</si>
  <si>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</si>
  <si>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</si>
  <si>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</si>
  <si>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</si>
  <si>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</si>
  <si>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</si>
  <si>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</si>
  <si>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</si>
  <si>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</si>
  <si>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</si>
  <si>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</si>
  <si>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</si>
  <si>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</si>
  <si>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</si>
  <si>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</si>
  <si>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</si>
  <si>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</si>
  <si>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</si>
  <si>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</si>
  <si>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</si>
  <si>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</si>
  <si>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</si>
  <si>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</si>
  <si>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</si>
  <si>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</si>
  <si>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</si>
  <si>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</si>
  <si>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</si>
  <si>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</si>
  <si>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</si>
  <si>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</si>
  <si>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</si>
  <si>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</si>
  <si>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</si>
  <si>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</si>
  <si>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</si>
  <si>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</si>
  <si>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</si>
  <si>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</si>
  <si>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</si>
  <si>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</si>
  <si>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</si>
  <si>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</si>
  <si>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</si>
  <si>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</si>
  <si>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</si>
  <si>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</si>
  <si>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</si>
  <si>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</si>
  <si>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</si>
  <si>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</si>
  <si>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</si>
  <si>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</si>
  <si>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</si>
  <si>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</si>
  <si>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</si>
  <si>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</si>
  <si>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</si>
  <si>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</si>
  <si>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</si>
  <si>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</si>
  <si>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</si>
  <si>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</si>
  <si>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</si>
  <si>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</si>
  <si>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</si>
  <si>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</si>
  <si>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</si>
  <si>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</si>
  <si>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</si>
  <si>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</si>
  <si>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</si>
  <si>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</si>
  <si>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</si>
  <si>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</si>
  <si>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</si>
  <si>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</si>
  <si>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</si>
  <si>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</si>
  <si>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</si>
  <si>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</si>
  <si>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</si>
  <si>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</si>
  <si>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</si>
  <si>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</si>
  <si>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</si>
  <si>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</si>
  <si>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</si>
  <si>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</si>
  <si>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</si>
  <si>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</si>
  <si>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</si>
  <si>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</si>
  <si>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</si>
  <si>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</si>
  <si>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</si>
  <si>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</si>
  <si>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</si>
  <si>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</si>
  <si>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</si>
  <si>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</si>
  <si>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</si>
  <si>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</si>
  <si>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</si>
  <si>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</si>
  <si>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</si>
  <si>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</si>
  <si>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</si>
  <si>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</si>
  <si>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</si>
  <si>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</si>
  <si>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</si>
  <si>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</si>
  <si>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</si>
  <si>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</si>
  <si>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</si>
  <si>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</si>
  <si>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</si>
  <si>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</si>
  <si>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</si>
  <si>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</si>
  <si>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</si>
  <si>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</si>
  <si>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</si>
  <si>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</si>
  <si>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</si>
  <si>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</si>
  <si>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</si>
  <si>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</si>
  <si>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</si>
  <si>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</si>
  <si>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</si>
  <si>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</si>
  <si>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</si>
  <si>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</si>
  <si>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</si>
  <si>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</si>
  <si>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</si>
  <si>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</si>
  <si>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</si>
  <si>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</si>
  <si>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</si>
  <si>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</si>
  <si>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</si>
  <si>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</si>
  <si>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</si>
  <si>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</si>
  <si>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</si>
  <si>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</si>
  <si>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</si>
  <si>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</si>
  <si>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</si>
  <si>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</si>
  <si>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</si>
  <si>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</si>
  <si>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</si>
  <si>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</si>
  <si>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</si>
  <si>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</si>
  <si>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</si>
  <si>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</si>
  <si>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</si>
  <si>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</si>
  <si>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</si>
  <si>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</si>
  <si>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</si>
  <si>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</si>
  <si>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</si>
  <si>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</si>
  <si>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</si>
  <si>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</si>
  <si>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</si>
  <si>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</si>
  <si>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</si>
  <si>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</si>
  <si>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</si>
  <si>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</si>
  <si>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</si>
  <si>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</si>
  <si>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</si>
  <si>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</si>
  <si>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</si>
  <si>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</si>
  <si>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</si>
  <si>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</si>
  <si>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</si>
  <si>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</si>
  <si>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</si>
  <si>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</si>
  <si>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</si>
  <si>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</si>
  <si>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</si>
  <si>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</si>
  <si>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</si>
  <si>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</si>
  <si>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</si>
  <si>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</si>
  <si>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</si>
  <si>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</si>
  <si>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</si>
  <si>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</si>
  <si>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</si>
  <si>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</si>
  <si>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</si>
  <si>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</si>
  <si>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</si>
  <si>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</si>
  <si>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</si>
  <si>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</si>
  <si>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</si>
  <si>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</si>
  <si>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</si>
  <si>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</si>
  <si>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</si>
  <si>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</si>
  <si>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</si>
  <si>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</si>
  <si>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</si>
  <si>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</si>
  <si>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</si>
  <si>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</si>
  <si>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</si>
  <si>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</si>
  <si>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</si>
  <si>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</si>
  <si>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</si>
  <si>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</si>
  <si>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</si>
  <si>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</si>
  <si>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</si>
  <si>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</si>
  <si>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</si>
  <si>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</si>
  <si>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</si>
  <si>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</si>
  <si>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</si>
  <si>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</si>
  <si>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</si>
  <si>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</si>
  <si>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</si>
  <si>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</si>
  <si>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</si>
  <si>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</si>
  <si>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</si>
  <si>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</si>
  <si>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</si>
  <si>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</si>
  <si>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</si>
  <si>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</si>
  <si>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</si>
  <si>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</si>
  <si>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</si>
  <si>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</si>
  <si>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</si>
  <si>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</si>
  <si>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</si>
  <si>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</si>
  <si>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</si>
  <si>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</si>
  <si>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</si>
  <si>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</si>
  <si>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</si>
  <si>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</si>
  <si>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</si>
  <si>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</si>
  <si>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</si>
  <si>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</si>
  <si>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</si>
  <si>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</si>
  <si>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</si>
  <si>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</si>
  <si>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</si>
  <si>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</si>
  <si>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</si>
  <si>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</si>
  <si>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</si>
  <si>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</si>
  <si>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</si>
  <si>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</si>
  <si>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</si>
  <si>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</si>
  <si>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</si>
  <si>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</si>
  <si>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</si>
  <si>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</si>
  <si>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</si>
  <si>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</si>
  <si>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</si>
  <si>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</si>
  <si>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</si>
  <si>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</si>
  <si>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</si>
  <si>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</si>
  <si>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</si>
  <si>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</si>
  <si>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</si>
  <si>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</si>
  <si>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</si>
  <si>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</si>
  <si>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</si>
  <si>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</si>
  <si>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</si>
  <si>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</si>
  <si>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</si>
  <si>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</si>
  <si>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</si>
  <si>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</si>
  <si>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</si>
  <si>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</si>
  <si>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</si>
  <si>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</si>
  <si>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</si>
  <si>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</si>
  <si>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</si>
  <si>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</si>
  <si>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</si>
  <si>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</si>
  <si>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</si>
  <si>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</si>
  <si>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</si>
  <si>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</si>
  <si>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</si>
  <si>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</si>
  <si>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</si>
  <si>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</si>
  <si>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</si>
  <si>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</si>
  <si>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</si>
  <si>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</si>
  <si>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</si>
  <si>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</si>
  <si>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</si>
  <si>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</si>
  <si>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</si>
  <si>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</si>
  <si>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</si>
  <si>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</si>
  <si>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</si>
  <si>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</si>
  <si>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</si>
  <si>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</si>
  <si>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</si>
  <si>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</si>
  <si>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</si>
  <si>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</si>
  <si>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</si>
  <si>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</si>
  <si>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</si>
  <si>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</si>
  <si>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</si>
  <si>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</si>
  <si>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</si>
  <si>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</si>
  <si>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</si>
  <si>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</si>
  <si>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</si>
  <si>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</si>
  <si>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</si>
  <si>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</si>
  <si>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</si>
  <si>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</si>
  <si>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</si>
  <si>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</si>
  <si>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</si>
  <si>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</si>
  <si>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</si>
  <si>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</si>
  <si>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</si>
  <si>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</si>
  <si>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</si>
  <si>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</si>
  <si>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</si>
  <si>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</si>
  <si>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</si>
  <si>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</si>
  <si>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</si>
  <si>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</si>
  <si>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</si>
  <si>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</si>
  <si>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</si>
  <si>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</si>
  <si>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</si>
  <si>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</si>
  <si>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</si>
  <si>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</si>
  <si>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</si>
  <si>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</si>
  <si>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</si>
  <si>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</si>
  <si>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</si>
  <si>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</si>
  <si>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</si>
  <si>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</si>
  <si>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</si>
  <si>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</si>
  <si>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</si>
  <si>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</si>
  <si>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</si>
  <si>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</si>
  <si>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</si>
  <si>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</si>
  <si>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</si>
  <si>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</si>
  <si>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</si>
  <si>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</si>
  <si>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</si>
  <si>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</si>
  <si>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</si>
  <si>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</si>
  <si>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</si>
  <si>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</si>
  <si>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</si>
  <si>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</si>
  <si>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</si>
  <si>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</si>
  <si>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</si>
  <si>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</si>
  <si>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</si>
  <si>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</si>
  <si>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</si>
  <si>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</si>
  <si>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</si>
  <si>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</si>
  <si>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</si>
  <si>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</si>
  <si>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</si>
  <si>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</si>
  <si>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</si>
  <si>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</si>
  <si>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</si>
  <si>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</si>
  <si>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</si>
  <si>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</si>
  <si>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</si>
  <si>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</si>
  <si>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</si>
  <si>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</si>
  <si>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</si>
  <si>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</si>
  <si>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</si>
  <si>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</si>
  <si>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</si>
  <si>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</si>
  <si>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</si>
  <si>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</si>
  <si>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</si>
  <si>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</si>
  <si>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</si>
  <si>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</si>
  <si>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</si>
  <si>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</si>
  <si>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</si>
  <si>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</si>
  <si>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</si>
  <si>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</si>
  <si>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</si>
  <si>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</si>
  <si>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</si>
  <si>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</si>
  <si>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</si>
  <si>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</si>
  <si>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</si>
  <si>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</si>
  <si>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</si>
  <si>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</si>
  <si>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</si>
  <si>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</si>
  <si>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</si>
  <si>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</si>
  <si>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</si>
  <si>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</si>
  <si>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</si>
  <si>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</si>
  <si>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</si>
  <si>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</si>
  <si>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</si>
  <si>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</si>
  <si>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</si>
  <si>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</si>
  <si>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</si>
  <si>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</si>
  <si>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</si>
  <si>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</si>
  <si>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</si>
  <si>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</si>
  <si>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</si>
  <si>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</si>
  <si>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</si>
  <si>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</si>
  <si>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</si>
  <si>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</si>
  <si>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</si>
  <si>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</si>
  <si>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</si>
  <si>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</si>
  <si>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</si>
  <si>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</si>
  <si>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</si>
  <si>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</si>
  <si>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</si>
  <si>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</si>
  <si>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</si>
  <si>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</si>
  <si>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</si>
  <si>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</si>
  <si>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</si>
  <si>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</si>
  <si>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</si>
  <si>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CECR1</t>
  </si>
  <si>
    <t>CECR2</t>
  </si>
  <si>
    <t>CECR3</t>
  </si>
  <si>
    <t>CECR4</t>
  </si>
  <si>
    <t>CECR5</t>
  </si>
  <si>
    <t>CECR</t>
  </si>
  <si>
    <t>Cecropia sp.</t>
  </si>
  <si>
    <t>Cecropia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</si>
  <si>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</si>
  <si>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</si>
  <si>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</si>
  <si>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</si>
  <si>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</si>
  <si>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</si>
  <si>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</si>
  <si>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</si>
  <si>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</si>
  <si>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</si>
  <si>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</si>
  <si>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</si>
  <si>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</si>
  <si>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</si>
  <si>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</si>
  <si>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</si>
  <si>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</si>
  <si>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</si>
  <si>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</si>
  <si>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</si>
  <si>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</si>
  <si>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</si>
  <si>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</si>
  <si>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</si>
  <si>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</si>
  <si>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</si>
  <si>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</si>
  <si>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</si>
  <si>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</si>
  <si>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</si>
  <si>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</si>
  <si>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</si>
  <si>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</si>
  <si>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</si>
  <si>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</si>
  <si>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</si>
  <si>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</si>
  <si>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</si>
  <si>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</si>
  <si>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</si>
  <si>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</si>
  <si>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</si>
  <si>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</si>
  <si>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</si>
  <si>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</si>
  <si>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</si>
  <si>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</si>
  <si>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</si>
  <si>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</si>
  <si>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</si>
  <si>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</si>
  <si>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</si>
  <si>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</si>
  <si>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</si>
  <si>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</si>
  <si>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</si>
  <si>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</si>
  <si>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</si>
  <si>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</si>
  <si>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</si>
  <si>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</si>
  <si>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</si>
  <si>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</si>
  <si>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</si>
  <si>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</si>
  <si>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</si>
  <si>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</si>
  <si>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</si>
  <si>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</si>
  <si>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</si>
  <si>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</si>
  <si>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</si>
  <si>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</si>
  <si>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</si>
  <si>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</si>
  <si>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</si>
  <si>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</si>
  <si>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</si>
  <si>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</si>
  <si>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</si>
  <si>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</si>
  <si>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</si>
  <si>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</si>
  <si>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</si>
  <si>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</si>
  <si>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</si>
  <si>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</si>
  <si>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</si>
  <si>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</si>
  <si>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</si>
  <si>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</si>
  <si>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</si>
  <si>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</si>
  <si>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</si>
  <si>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</si>
  <si>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</si>
  <si>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</si>
  <si>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</si>
  <si>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</si>
  <si>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</si>
  <si>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</si>
  <si>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</si>
  <si>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</si>
  <si>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</si>
  <si>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</si>
  <si>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</si>
  <si>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</si>
  <si>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</si>
  <si>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</si>
  <si>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</si>
  <si>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</si>
  <si>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</si>
  <si>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</si>
  <si>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</si>
  <si>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</si>
  <si>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</si>
  <si>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</si>
  <si>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</si>
  <si>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</si>
  <si>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</si>
  <si>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</si>
  <si>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</si>
  <si>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</si>
  <si>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</si>
  <si>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</si>
  <si>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</si>
  <si>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</si>
  <si>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</si>
  <si>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</si>
  <si>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</si>
  <si>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</si>
  <si>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</si>
  <si>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</si>
  <si>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</si>
  <si>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</si>
  <si>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</si>
  <si>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</si>
  <si>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</si>
  <si>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</si>
  <si>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</si>
  <si>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</si>
  <si>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</si>
  <si>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</si>
  <si>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</si>
  <si>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</si>
  <si>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</si>
  <si>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</si>
  <si>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</si>
  <si>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</si>
  <si>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</si>
  <si>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</si>
  <si>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</si>
  <si>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</si>
  <si>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</si>
  <si>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</si>
  <si>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</si>
  <si>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</si>
  <si>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</si>
  <si>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</si>
  <si>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</si>
  <si>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</si>
  <si>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</si>
  <si>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</si>
  <si>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</si>
  <si>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</si>
  <si>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</si>
  <si>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</si>
  <si>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</si>
  <si>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</si>
  <si>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</si>
  <si>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</si>
  <si>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</si>
  <si>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</si>
  <si>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</si>
  <si>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</si>
  <si>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</si>
  <si>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</si>
  <si>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</si>
  <si>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</si>
  <si>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</si>
  <si>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</si>
  <si>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</si>
  <si>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</si>
  <si>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</si>
  <si>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</si>
  <si>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</si>
  <si>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</si>
  <si>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</si>
  <si>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</si>
  <si>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</si>
  <si>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</si>
  <si>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</si>
  <si>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</si>
  <si>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</si>
  <si>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</si>
  <si>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</si>
  <si>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</si>
  <si>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</si>
  <si>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</si>
  <si>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</si>
  <si>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</si>
  <si>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</si>
  <si>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</si>
  <si>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</si>
  <si>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</si>
  <si>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</si>
  <si>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</si>
  <si>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</si>
  <si>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</si>
  <si>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</si>
  <si>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</si>
  <si>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</si>
  <si>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</si>
  <si>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</si>
  <si>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</si>
  <si>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</si>
  <si>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</si>
  <si>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</si>
  <si>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</si>
  <si>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</si>
  <si>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</si>
  <si>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</si>
  <si>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</si>
  <si>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</si>
  <si>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</si>
  <si>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</si>
  <si>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</si>
  <si>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</si>
  <si>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</si>
  <si>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</si>
  <si>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</si>
  <si>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</si>
  <si>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</si>
  <si>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</si>
  <si>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</si>
  <si>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</si>
  <si>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</si>
  <si>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</si>
  <si>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</si>
  <si>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</si>
  <si>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</si>
  <si>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</si>
  <si>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</si>
  <si>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</si>
  <si>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</si>
  <si>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</si>
  <si>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</si>
  <si>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</si>
  <si>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</si>
  <si>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</si>
  <si>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</si>
  <si>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</si>
  <si>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</si>
  <si>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</si>
  <si>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</si>
  <si>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</si>
  <si>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</si>
  <si>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</si>
  <si>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</si>
  <si>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</si>
  <si>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</si>
  <si>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</si>
  <si>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</si>
  <si>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</si>
  <si>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</si>
  <si>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</si>
  <si>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</si>
  <si>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</si>
  <si>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</si>
  <si>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</si>
  <si>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</si>
  <si>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</si>
  <si>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</si>
  <si>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</si>
  <si>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</si>
  <si>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</si>
  <si>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</si>
  <si>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</si>
  <si>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</si>
  <si>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</si>
  <si>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</si>
  <si>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</si>
  <si>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</si>
  <si>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</si>
  <si>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</si>
  <si>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</si>
  <si>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</si>
  <si>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</si>
  <si>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</si>
  <si>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</si>
  <si>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</si>
  <si>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</si>
  <si>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</si>
  <si>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</si>
  <si>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</si>
  <si>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</si>
  <si>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</si>
  <si>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</si>
  <si>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</si>
  <si>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</si>
  <si>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</si>
  <si>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</si>
  <si>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</si>
  <si>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</si>
  <si>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</si>
  <si>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1.63,1.4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</si>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</sst>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8"/>
  <sheetViews>
    <sheetView workbookViewId="0">
      <pane ySplit="1" topLeftCell="A464" activePane="bottomLeft" state="frozen"/>
      <selection pane="bottomLeft" activeCell="F488" sqref="F488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bestFit="1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962</v>
      </c>
      <c r="B1" t="s">
        <v>338</v>
      </c>
      <c r="C1" t="s">
        <v>1203</v>
      </c>
      <c r="D1" t="s">
        <v>0</v>
      </c>
      <c r="E1" t="s">
        <v>339</v>
      </c>
      <c r="F1" t="s">
        <v>1</v>
      </c>
      <c r="G1" t="s">
        <v>640</v>
      </c>
      <c r="H1" t="s">
        <v>199</v>
      </c>
      <c r="I1" t="s">
        <v>309</v>
      </c>
      <c r="J1" t="s">
        <v>2</v>
      </c>
      <c r="K1" t="s">
        <v>32</v>
      </c>
      <c r="L1" t="s">
        <v>202</v>
      </c>
      <c r="M1" t="s">
        <v>558</v>
      </c>
      <c r="N1" t="s">
        <v>145</v>
      </c>
      <c r="O1" t="s">
        <v>3</v>
      </c>
      <c r="P1" t="s">
        <v>960</v>
      </c>
      <c r="Q1" t="s">
        <v>961</v>
      </c>
      <c r="R1" t="s">
        <v>155</v>
      </c>
      <c r="S1" t="s">
        <v>203</v>
      </c>
      <c r="T1" t="s">
        <v>156</v>
      </c>
      <c r="U1" t="s">
        <v>7</v>
      </c>
      <c r="V1" t="s">
        <v>8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157</v>
      </c>
    </row>
    <row r="2" spans="1:29" x14ac:dyDescent="0.25">
      <c r="A2">
        <v>1</v>
      </c>
      <c r="B2" t="s">
        <v>4</v>
      </c>
      <c r="D2" t="s">
        <v>340</v>
      </c>
      <c r="E2">
        <v>1</v>
      </c>
      <c r="F2" t="s">
        <v>5</v>
      </c>
      <c r="H2" t="s">
        <v>200</v>
      </c>
      <c r="I2" t="s">
        <v>141</v>
      </c>
      <c r="J2">
        <v>2.1160000000000001</v>
      </c>
      <c r="K2">
        <v>0.91200000000000003</v>
      </c>
      <c r="L2" t="s">
        <v>141</v>
      </c>
      <c r="N2">
        <v>0.56899811</v>
      </c>
      <c r="O2" t="s">
        <v>48</v>
      </c>
      <c r="P2">
        <v>1149010</v>
      </c>
      <c r="Q2">
        <v>32.42761556</v>
      </c>
      <c r="R2">
        <v>6</v>
      </c>
      <c r="S2" t="s">
        <v>204</v>
      </c>
      <c r="T2" t="s">
        <v>141</v>
      </c>
      <c r="U2" t="s">
        <v>141</v>
      </c>
      <c r="V2" t="s">
        <v>141</v>
      </c>
      <c r="W2">
        <v>540.46025929999996</v>
      </c>
      <c r="X2">
        <v>540.46025929999996</v>
      </c>
      <c r="Y2">
        <v>0.26</v>
      </c>
      <c r="Z2">
        <v>0.25</v>
      </c>
      <c r="AA2">
        <v>0.28999999999999998</v>
      </c>
      <c r="AB2">
        <v>35.556595999999999</v>
      </c>
    </row>
    <row r="3" spans="1:29" x14ac:dyDescent="0.25">
      <c r="A3">
        <v>2</v>
      </c>
      <c r="B3" t="s">
        <v>152</v>
      </c>
      <c r="D3" t="s">
        <v>341</v>
      </c>
      <c r="E3">
        <v>1</v>
      </c>
      <c r="F3" t="s">
        <v>372</v>
      </c>
      <c r="H3" t="s">
        <v>200</v>
      </c>
      <c r="I3" t="s">
        <v>141</v>
      </c>
      <c r="J3">
        <v>7.2009999999999996</v>
      </c>
      <c r="K3">
        <v>4.0140000000000002</v>
      </c>
      <c r="L3" t="s">
        <v>141</v>
      </c>
      <c r="N3">
        <v>0.44257742</v>
      </c>
      <c r="Q3">
        <v>0</v>
      </c>
      <c r="U3" t="s">
        <v>141</v>
      </c>
      <c r="V3" t="s">
        <v>141</v>
      </c>
      <c r="Y3">
        <v>0.47</v>
      </c>
      <c r="Z3">
        <v>0.52</v>
      </c>
      <c r="AA3">
        <v>0.48</v>
      </c>
      <c r="AB3">
        <v>0</v>
      </c>
      <c r="AC3" t="s">
        <v>153</v>
      </c>
    </row>
    <row r="4" spans="1:29" x14ac:dyDescent="0.25">
      <c r="A4">
        <v>3</v>
      </c>
      <c r="B4" t="s">
        <v>9</v>
      </c>
      <c r="D4" t="s">
        <v>342</v>
      </c>
      <c r="E4">
        <v>2</v>
      </c>
      <c r="F4" t="s">
        <v>373</v>
      </c>
      <c r="H4" t="s">
        <v>200</v>
      </c>
      <c r="I4" t="s">
        <v>141</v>
      </c>
      <c r="J4">
        <v>8.3770000000000007</v>
      </c>
      <c r="K4">
        <v>4.0880000000000001</v>
      </c>
      <c r="L4" t="s">
        <v>141</v>
      </c>
      <c r="N4">
        <v>0.51199713499999999</v>
      </c>
      <c r="O4" t="s">
        <v>58</v>
      </c>
      <c r="P4">
        <v>4227247</v>
      </c>
      <c r="Q4">
        <v>119.30230419999999</v>
      </c>
      <c r="R4">
        <v>2</v>
      </c>
      <c r="S4" t="s">
        <v>210</v>
      </c>
      <c r="T4">
        <v>10</v>
      </c>
      <c r="U4" t="s">
        <v>141</v>
      </c>
      <c r="V4" t="s">
        <v>141</v>
      </c>
      <c r="W4">
        <v>1193.023042</v>
      </c>
      <c r="X4">
        <v>5965.1152110000003</v>
      </c>
      <c r="Y4">
        <v>0.39</v>
      </c>
      <c r="Z4">
        <v>0.39</v>
      </c>
      <c r="AA4">
        <v>0.41</v>
      </c>
      <c r="AB4">
        <v>29.183538209999998</v>
      </c>
      <c r="AC4" t="s">
        <v>44</v>
      </c>
    </row>
    <row r="5" spans="1:29" x14ac:dyDescent="0.25">
      <c r="A5">
        <v>4</v>
      </c>
      <c r="B5" t="s">
        <v>10</v>
      </c>
      <c r="D5" t="s">
        <v>342</v>
      </c>
      <c r="E5">
        <v>1</v>
      </c>
      <c r="F5" t="s">
        <v>373</v>
      </c>
      <c r="H5" t="s">
        <v>200</v>
      </c>
      <c r="I5" t="s">
        <v>141</v>
      </c>
      <c r="J5">
        <v>11.975</v>
      </c>
      <c r="K5">
        <v>4.2770000000000001</v>
      </c>
      <c r="L5" t="s">
        <v>141</v>
      </c>
      <c r="N5">
        <v>0.64283924800000003</v>
      </c>
      <c r="O5" t="s">
        <v>49</v>
      </c>
      <c r="P5">
        <v>3046626</v>
      </c>
      <c r="Q5">
        <v>85.982556000000002</v>
      </c>
      <c r="R5">
        <v>3</v>
      </c>
      <c r="S5" t="s">
        <v>210</v>
      </c>
      <c r="T5">
        <v>9</v>
      </c>
      <c r="U5" t="s">
        <v>141</v>
      </c>
      <c r="V5" t="s">
        <v>141</v>
      </c>
      <c r="W5">
        <v>955.36173329999997</v>
      </c>
      <c r="X5">
        <v>2866.0852</v>
      </c>
      <c r="Y5">
        <v>0.46</v>
      </c>
      <c r="Z5">
        <v>0.44</v>
      </c>
      <c r="AA5">
        <v>0.4</v>
      </c>
      <c r="AB5">
        <v>20.10347346</v>
      </c>
      <c r="AC5" t="s">
        <v>999</v>
      </c>
    </row>
    <row r="6" spans="1:29" x14ac:dyDescent="0.25">
      <c r="A6">
        <v>5</v>
      </c>
      <c r="B6" t="s">
        <v>11</v>
      </c>
      <c r="D6" t="s">
        <v>343</v>
      </c>
      <c r="E6">
        <v>1</v>
      </c>
      <c r="F6" t="s">
        <v>374</v>
      </c>
      <c r="H6" t="s">
        <v>200</v>
      </c>
      <c r="I6" t="s">
        <v>141</v>
      </c>
      <c r="J6">
        <v>8.4730000000000008</v>
      </c>
      <c r="K6">
        <v>2.2599999999999998</v>
      </c>
      <c r="L6" t="s">
        <v>141</v>
      </c>
      <c r="N6">
        <v>0.733270388</v>
      </c>
      <c r="O6" t="s">
        <v>50</v>
      </c>
      <c r="P6">
        <v>2973418</v>
      </c>
      <c r="Q6">
        <v>83.916463559999997</v>
      </c>
      <c r="R6">
        <v>5</v>
      </c>
      <c r="S6" t="s">
        <v>204</v>
      </c>
      <c r="T6" t="s">
        <v>141</v>
      </c>
      <c r="U6" t="s">
        <v>141</v>
      </c>
      <c r="V6" t="s">
        <v>141</v>
      </c>
      <c r="W6">
        <v>1678.3292710000001</v>
      </c>
      <c r="X6">
        <v>1678.3292710000001</v>
      </c>
      <c r="Y6">
        <v>0.44</v>
      </c>
      <c r="Z6">
        <v>0.41</v>
      </c>
      <c r="AA6">
        <v>0.42</v>
      </c>
      <c r="AB6">
        <v>37.131178560000002</v>
      </c>
      <c r="AC6" t="s">
        <v>963</v>
      </c>
    </row>
    <row r="7" spans="1:29" x14ac:dyDescent="0.25">
      <c r="A7">
        <v>6</v>
      </c>
      <c r="B7" t="s">
        <v>1196</v>
      </c>
      <c r="D7" t="s">
        <v>638</v>
      </c>
      <c r="E7">
        <v>1</v>
      </c>
      <c r="F7" t="s">
        <v>639</v>
      </c>
      <c r="H7" t="s">
        <v>200</v>
      </c>
      <c r="I7" t="s">
        <v>141</v>
      </c>
      <c r="J7">
        <v>1.7969999999999999</v>
      </c>
      <c r="K7">
        <v>0.58599999999999997</v>
      </c>
      <c r="L7" t="s">
        <v>141</v>
      </c>
      <c r="N7">
        <v>0.67390094599999995</v>
      </c>
      <c r="O7" t="s">
        <v>51</v>
      </c>
      <c r="P7">
        <v>1258028</v>
      </c>
      <c r="Q7">
        <v>90.181038279999996</v>
      </c>
      <c r="R7">
        <v>5</v>
      </c>
      <c r="S7" t="s">
        <v>204</v>
      </c>
      <c r="T7" t="s">
        <v>141</v>
      </c>
      <c r="U7" t="s">
        <v>141</v>
      </c>
      <c r="V7" t="s">
        <v>141</v>
      </c>
      <c r="W7">
        <v>1803.620766</v>
      </c>
      <c r="X7">
        <v>1803.620766</v>
      </c>
      <c r="Y7">
        <v>0.21</v>
      </c>
      <c r="Z7">
        <v>0.18</v>
      </c>
      <c r="AA7">
        <v>0.2</v>
      </c>
      <c r="AB7">
        <v>153.89255679999999</v>
      </c>
    </row>
    <row r="8" spans="1:29" x14ac:dyDescent="0.25">
      <c r="A8">
        <v>7</v>
      </c>
      <c r="B8" t="s">
        <v>485</v>
      </c>
      <c r="C8" t="s">
        <v>1205</v>
      </c>
      <c r="D8" t="s">
        <v>393</v>
      </c>
      <c r="E8">
        <v>4</v>
      </c>
      <c r="F8" t="s">
        <v>261</v>
      </c>
      <c r="H8" t="s">
        <v>200</v>
      </c>
      <c r="I8" t="s">
        <v>141</v>
      </c>
      <c r="J8">
        <v>9.3350000000000009</v>
      </c>
      <c r="K8">
        <v>4.1680000000000001</v>
      </c>
      <c r="L8" t="s">
        <v>141</v>
      </c>
      <c r="N8">
        <v>0.55350830200000001</v>
      </c>
      <c r="O8" t="s">
        <v>52</v>
      </c>
      <c r="P8">
        <v>3527690</v>
      </c>
      <c r="Q8">
        <v>252.8804978</v>
      </c>
      <c r="R8">
        <v>5</v>
      </c>
      <c r="S8" t="s">
        <v>204</v>
      </c>
      <c r="T8" t="s">
        <v>141</v>
      </c>
      <c r="U8" t="s">
        <v>141</v>
      </c>
      <c r="V8" t="s">
        <v>141</v>
      </c>
      <c r="W8">
        <v>5057.6099560000002</v>
      </c>
      <c r="X8">
        <v>5057.6099560000002</v>
      </c>
      <c r="Y8">
        <v>0.3</v>
      </c>
      <c r="Z8">
        <v>0.31</v>
      </c>
      <c r="AA8">
        <v>0.34</v>
      </c>
      <c r="AB8">
        <v>60.671904470000001</v>
      </c>
      <c r="AC8" t="s">
        <v>150</v>
      </c>
    </row>
    <row r="9" spans="1:29" x14ac:dyDescent="0.25">
      <c r="A9">
        <v>8</v>
      </c>
      <c r="B9" t="s">
        <v>486</v>
      </c>
      <c r="C9" t="s">
        <v>12</v>
      </c>
      <c r="D9" t="s">
        <v>344</v>
      </c>
      <c r="E9">
        <v>1</v>
      </c>
      <c r="F9" t="s">
        <v>358</v>
      </c>
      <c r="H9" t="s">
        <v>200</v>
      </c>
      <c r="I9" t="s">
        <v>141</v>
      </c>
      <c r="J9">
        <v>2.488</v>
      </c>
      <c r="K9">
        <v>1.1319999999999999</v>
      </c>
      <c r="L9" t="s">
        <v>141</v>
      </c>
      <c r="N9">
        <v>0.54501607699999999</v>
      </c>
      <c r="O9" t="s">
        <v>53</v>
      </c>
      <c r="P9">
        <v>1122031</v>
      </c>
      <c r="Q9">
        <v>80.432168880000006</v>
      </c>
      <c r="R9">
        <v>5</v>
      </c>
      <c r="S9" t="s">
        <v>204</v>
      </c>
      <c r="T9" t="s">
        <v>141</v>
      </c>
      <c r="U9" t="s">
        <v>141</v>
      </c>
      <c r="V9" t="s">
        <v>141</v>
      </c>
      <c r="W9">
        <v>1608.643378</v>
      </c>
      <c r="X9">
        <v>1608.643378</v>
      </c>
      <c r="Y9">
        <v>0.44</v>
      </c>
      <c r="Z9">
        <v>0.37</v>
      </c>
      <c r="AA9">
        <v>0.48</v>
      </c>
      <c r="AB9">
        <v>71.05315272</v>
      </c>
    </row>
    <row r="10" spans="1:29" x14ac:dyDescent="0.25">
      <c r="A10">
        <v>9</v>
      </c>
      <c r="B10" t="s">
        <v>13</v>
      </c>
      <c r="D10" t="s">
        <v>345</v>
      </c>
      <c r="E10">
        <v>2</v>
      </c>
      <c r="F10" t="s">
        <v>60</v>
      </c>
      <c r="H10" t="s">
        <v>200</v>
      </c>
      <c r="I10" t="s">
        <v>141</v>
      </c>
      <c r="J10">
        <v>17.48</v>
      </c>
      <c r="K10">
        <v>8.6</v>
      </c>
      <c r="L10" t="s">
        <v>141</v>
      </c>
      <c r="N10">
        <v>0.50800915300000005</v>
      </c>
      <c r="O10" t="s">
        <v>59</v>
      </c>
      <c r="P10">
        <v>5114014</v>
      </c>
      <c r="Q10">
        <v>366.59525250000002</v>
      </c>
      <c r="R10">
        <v>3</v>
      </c>
      <c r="S10" t="s">
        <v>204</v>
      </c>
      <c r="T10" t="s">
        <v>141</v>
      </c>
      <c r="U10" t="s">
        <v>141</v>
      </c>
      <c r="V10" t="s">
        <v>141</v>
      </c>
      <c r="W10">
        <v>12219.84175</v>
      </c>
      <c r="X10">
        <v>12219.84175</v>
      </c>
      <c r="Y10">
        <v>0.7</v>
      </c>
      <c r="Z10">
        <v>0.67</v>
      </c>
      <c r="AA10">
        <v>0.52</v>
      </c>
      <c r="AB10">
        <v>42.627354939999996</v>
      </c>
      <c r="AC10" t="s">
        <v>42</v>
      </c>
    </row>
    <row r="11" spans="1:29" x14ac:dyDescent="0.25">
      <c r="A11">
        <v>10</v>
      </c>
      <c r="B11" t="s">
        <v>14</v>
      </c>
      <c r="D11" t="s">
        <v>346</v>
      </c>
      <c r="E11">
        <v>3</v>
      </c>
      <c r="F11" t="s">
        <v>15</v>
      </c>
      <c r="H11" t="s">
        <v>200</v>
      </c>
      <c r="I11" t="s">
        <v>141</v>
      </c>
      <c r="J11">
        <v>3.972</v>
      </c>
      <c r="K11">
        <v>1.8740000000000001</v>
      </c>
      <c r="L11" t="s">
        <v>141</v>
      </c>
      <c r="N11">
        <v>0.52819738199999999</v>
      </c>
      <c r="P11">
        <v>2842322</v>
      </c>
      <c r="Q11">
        <v>203.75027349999999</v>
      </c>
      <c r="R11">
        <v>5</v>
      </c>
      <c r="S11" t="s">
        <v>204</v>
      </c>
      <c r="T11" t="s">
        <v>141</v>
      </c>
      <c r="U11" t="s">
        <v>141</v>
      </c>
      <c r="V11" t="s">
        <v>141</v>
      </c>
      <c r="W11">
        <v>4075.0054700000001</v>
      </c>
      <c r="X11">
        <v>4075.0054700000001</v>
      </c>
      <c r="Y11">
        <v>0.31</v>
      </c>
      <c r="Z11" t="s">
        <v>141</v>
      </c>
      <c r="AA11" t="s">
        <v>141</v>
      </c>
      <c r="AB11">
        <v>108.7247991</v>
      </c>
    </row>
    <row r="12" spans="1:29" x14ac:dyDescent="0.25">
      <c r="A12">
        <v>11</v>
      </c>
      <c r="B12" t="s">
        <v>1211</v>
      </c>
      <c r="C12" t="s">
        <v>16</v>
      </c>
      <c r="D12" t="s">
        <v>434</v>
      </c>
      <c r="E12">
        <v>2</v>
      </c>
      <c r="F12" t="s">
        <v>481</v>
      </c>
      <c r="H12" t="s">
        <v>200</v>
      </c>
      <c r="I12" t="s">
        <v>141</v>
      </c>
      <c r="J12">
        <v>10.657999999999999</v>
      </c>
      <c r="K12">
        <v>4.4400000000000004</v>
      </c>
      <c r="L12" t="s">
        <v>141</v>
      </c>
      <c r="N12">
        <v>0.58341152200000002</v>
      </c>
      <c r="O12" t="s">
        <v>45</v>
      </c>
      <c r="P12">
        <v>4128930</v>
      </c>
      <c r="Q12">
        <v>295.98005319999999</v>
      </c>
      <c r="R12">
        <v>5</v>
      </c>
      <c r="S12" t="s">
        <v>204</v>
      </c>
      <c r="T12" t="s">
        <v>141</v>
      </c>
      <c r="U12" t="s">
        <v>141</v>
      </c>
      <c r="V12" t="s">
        <v>141</v>
      </c>
      <c r="W12">
        <v>5919.6010640000004</v>
      </c>
      <c r="X12">
        <v>5919.6010640000004</v>
      </c>
      <c r="Y12">
        <v>0.42</v>
      </c>
      <c r="Z12">
        <v>0.45</v>
      </c>
      <c r="AA12">
        <v>0.52</v>
      </c>
      <c r="AB12">
        <v>66.662174140000005</v>
      </c>
    </row>
    <row r="13" spans="1:29" x14ac:dyDescent="0.25">
      <c r="A13">
        <v>12</v>
      </c>
      <c r="B13" t="s">
        <v>1213</v>
      </c>
      <c r="C13" t="s">
        <v>17</v>
      </c>
      <c r="D13" t="s">
        <v>544</v>
      </c>
      <c r="E13">
        <v>1</v>
      </c>
      <c r="F13" t="s">
        <v>545</v>
      </c>
      <c r="H13" t="s">
        <v>200</v>
      </c>
      <c r="I13" t="s">
        <v>141</v>
      </c>
      <c r="J13">
        <v>10.981999999999999</v>
      </c>
      <c r="K13">
        <v>4.1379999999999999</v>
      </c>
      <c r="L13" t="s">
        <v>141</v>
      </c>
      <c r="N13">
        <v>0.62320160300000005</v>
      </c>
      <c r="O13" t="s">
        <v>43</v>
      </c>
      <c r="P13">
        <v>6300545</v>
      </c>
      <c r="Q13">
        <v>451.65106800000001</v>
      </c>
      <c r="R13">
        <v>5</v>
      </c>
      <c r="S13" t="s">
        <v>204</v>
      </c>
      <c r="T13" t="s">
        <v>141</v>
      </c>
      <c r="U13" t="s">
        <v>141</v>
      </c>
      <c r="V13" t="s">
        <v>141</v>
      </c>
      <c r="W13">
        <v>9033.0213600000006</v>
      </c>
      <c r="X13">
        <v>9033.0213600000006</v>
      </c>
      <c r="Y13">
        <v>0.43</v>
      </c>
      <c r="Z13">
        <v>0.6</v>
      </c>
      <c r="AA13">
        <v>0.46</v>
      </c>
      <c r="AB13">
        <v>109.147189</v>
      </c>
      <c r="AC13" t="s">
        <v>42</v>
      </c>
    </row>
    <row r="14" spans="1:29" x14ac:dyDescent="0.25">
      <c r="A14">
        <v>13</v>
      </c>
      <c r="B14" t="s">
        <v>18</v>
      </c>
      <c r="D14" t="s">
        <v>347</v>
      </c>
      <c r="E14">
        <v>1</v>
      </c>
      <c r="F14" t="s">
        <v>19</v>
      </c>
      <c r="H14" t="s">
        <v>200</v>
      </c>
      <c r="I14" t="s">
        <v>141</v>
      </c>
      <c r="J14">
        <v>3.2570000000000001</v>
      </c>
      <c r="K14">
        <v>1.254</v>
      </c>
      <c r="L14" t="s">
        <v>141</v>
      </c>
      <c r="N14">
        <v>0.61498311299999997</v>
      </c>
      <c r="O14" t="s">
        <v>54</v>
      </c>
      <c r="P14">
        <v>1957841</v>
      </c>
      <c r="Q14">
        <v>140.34674440000001</v>
      </c>
      <c r="R14">
        <v>3</v>
      </c>
      <c r="S14" t="s">
        <v>210</v>
      </c>
      <c r="T14">
        <v>286</v>
      </c>
      <c r="U14" t="s">
        <v>141</v>
      </c>
      <c r="V14" t="s">
        <v>141</v>
      </c>
      <c r="W14">
        <v>49.07228825</v>
      </c>
      <c r="X14">
        <v>4678.2248129999998</v>
      </c>
      <c r="Y14">
        <v>0.15</v>
      </c>
      <c r="Z14">
        <v>0.14000000000000001</v>
      </c>
      <c r="AA14">
        <v>0.22</v>
      </c>
      <c r="AB14">
        <v>111.9192539</v>
      </c>
    </row>
    <row r="15" spans="1:29" x14ac:dyDescent="0.25">
      <c r="A15">
        <v>14</v>
      </c>
      <c r="B15" t="s">
        <v>20</v>
      </c>
      <c r="D15" t="s">
        <v>348</v>
      </c>
      <c r="E15">
        <v>1</v>
      </c>
      <c r="F15" t="s">
        <v>371</v>
      </c>
      <c r="H15" t="s">
        <v>200</v>
      </c>
      <c r="I15" t="s">
        <v>141</v>
      </c>
      <c r="J15">
        <v>4.532</v>
      </c>
      <c r="K15">
        <v>2.4889999999999999</v>
      </c>
      <c r="L15" t="s">
        <v>141</v>
      </c>
      <c r="N15">
        <v>0.45079435099999998</v>
      </c>
      <c r="O15" t="s">
        <v>46</v>
      </c>
      <c r="P15">
        <v>3833341</v>
      </c>
      <c r="Q15">
        <v>274.79092000000003</v>
      </c>
      <c r="R15">
        <v>5</v>
      </c>
      <c r="S15" t="s">
        <v>204</v>
      </c>
      <c r="T15" t="s">
        <v>141</v>
      </c>
      <c r="U15" t="s">
        <v>141</v>
      </c>
      <c r="V15" t="s">
        <v>141</v>
      </c>
      <c r="W15">
        <v>5495.8183989999998</v>
      </c>
      <c r="X15">
        <v>5495.8183989999998</v>
      </c>
      <c r="Y15">
        <v>0.31</v>
      </c>
      <c r="Z15">
        <v>0.33</v>
      </c>
      <c r="AA15">
        <v>0.35</v>
      </c>
      <c r="AB15">
        <v>110.4021374</v>
      </c>
      <c r="AC15" t="s">
        <v>151</v>
      </c>
    </row>
    <row r="16" spans="1:29" x14ac:dyDescent="0.25">
      <c r="A16">
        <v>15</v>
      </c>
      <c r="B16" t="s">
        <v>21</v>
      </c>
      <c r="D16" t="s">
        <v>349</v>
      </c>
      <c r="E16">
        <v>1</v>
      </c>
      <c r="F16" t="s">
        <v>61</v>
      </c>
      <c r="H16" t="s">
        <v>200</v>
      </c>
      <c r="I16" t="s">
        <v>141</v>
      </c>
      <c r="J16">
        <v>13.959</v>
      </c>
      <c r="K16">
        <v>6.319</v>
      </c>
      <c r="L16" t="s">
        <v>141</v>
      </c>
      <c r="N16">
        <v>0.54731714300000001</v>
      </c>
      <c r="O16" t="s">
        <v>55</v>
      </c>
      <c r="P16">
        <v>7321768</v>
      </c>
      <c r="Q16">
        <v>524.85687140000005</v>
      </c>
      <c r="R16">
        <v>1</v>
      </c>
      <c r="S16" t="s">
        <v>210</v>
      </c>
      <c r="T16">
        <v>780</v>
      </c>
      <c r="U16" t="s">
        <v>141</v>
      </c>
      <c r="V16" t="s">
        <v>141</v>
      </c>
      <c r="W16">
        <v>67.289342489999996</v>
      </c>
      <c r="X16">
        <v>52485.687140000002</v>
      </c>
      <c r="Y16">
        <v>0.15</v>
      </c>
      <c r="Z16">
        <v>0.19</v>
      </c>
      <c r="AA16">
        <v>0.15</v>
      </c>
      <c r="AB16">
        <v>83.060115749999994</v>
      </c>
      <c r="AC16" t="s">
        <v>56</v>
      </c>
    </row>
    <row r="17" spans="1:29" x14ac:dyDescent="0.25">
      <c r="A17">
        <v>16</v>
      </c>
      <c r="B17" t="s">
        <v>22</v>
      </c>
      <c r="D17" t="s">
        <v>350</v>
      </c>
      <c r="E17">
        <v>1</v>
      </c>
      <c r="F17" t="s">
        <v>400</v>
      </c>
      <c r="H17" t="s">
        <v>200</v>
      </c>
      <c r="I17" t="s">
        <v>141</v>
      </c>
      <c r="J17">
        <v>5.9320000000000004</v>
      </c>
      <c r="K17">
        <v>3.1989999999999998</v>
      </c>
      <c r="L17" t="s">
        <v>141</v>
      </c>
      <c r="N17">
        <v>0.46072151</v>
      </c>
      <c r="P17">
        <v>2208158</v>
      </c>
      <c r="Q17">
        <v>158.29057950000001</v>
      </c>
      <c r="R17">
        <v>5</v>
      </c>
      <c r="S17" t="s">
        <v>204</v>
      </c>
      <c r="T17" t="s">
        <v>141</v>
      </c>
      <c r="U17" t="s">
        <v>141</v>
      </c>
      <c r="V17" t="s">
        <v>141</v>
      </c>
      <c r="W17">
        <v>3165.8115899999998</v>
      </c>
      <c r="X17">
        <v>3165.8115899999998</v>
      </c>
      <c r="Y17">
        <v>0.33</v>
      </c>
      <c r="Z17">
        <v>0.28000000000000003</v>
      </c>
      <c r="AA17">
        <v>0.32</v>
      </c>
      <c r="AB17">
        <v>49.481268980000003</v>
      </c>
    </row>
    <row r="18" spans="1:29" x14ac:dyDescent="0.25">
      <c r="A18">
        <v>17</v>
      </c>
      <c r="B18" t="s">
        <v>23</v>
      </c>
      <c r="D18" t="s">
        <v>351</v>
      </c>
      <c r="E18">
        <v>1</v>
      </c>
      <c r="F18" t="s">
        <v>223</v>
      </c>
      <c r="H18" t="s">
        <v>200</v>
      </c>
      <c r="I18" t="s">
        <v>141</v>
      </c>
      <c r="J18">
        <v>5.1130000000000004</v>
      </c>
      <c r="K18">
        <v>2.2909999999999999</v>
      </c>
      <c r="L18" t="s">
        <v>141</v>
      </c>
      <c r="N18">
        <v>0.55192646199999995</v>
      </c>
      <c r="P18">
        <v>2706244</v>
      </c>
      <c r="Q18">
        <v>193.99559769999999</v>
      </c>
      <c r="R18">
        <v>5</v>
      </c>
      <c r="S18" t="s">
        <v>204</v>
      </c>
      <c r="T18" t="s">
        <v>141</v>
      </c>
      <c r="U18" t="s">
        <v>141</v>
      </c>
      <c r="V18" t="s">
        <v>141</v>
      </c>
      <c r="W18">
        <v>3879.9119529999998</v>
      </c>
      <c r="X18">
        <v>3879.9119529999998</v>
      </c>
      <c r="Y18">
        <v>0.52</v>
      </c>
      <c r="Z18">
        <v>0.47</v>
      </c>
      <c r="AA18">
        <v>0.43</v>
      </c>
      <c r="AB18">
        <v>84.677257819999994</v>
      </c>
    </row>
    <row r="19" spans="1:29" x14ac:dyDescent="0.25">
      <c r="A19">
        <v>18</v>
      </c>
      <c r="B19" t="s">
        <v>24</v>
      </c>
      <c r="D19" t="s">
        <v>346</v>
      </c>
      <c r="E19">
        <v>1</v>
      </c>
      <c r="F19" t="s">
        <v>15</v>
      </c>
      <c r="H19" t="s">
        <v>200</v>
      </c>
      <c r="I19" t="s">
        <v>141</v>
      </c>
      <c r="J19">
        <v>2.8639999999999999</v>
      </c>
      <c r="K19">
        <v>1.5029999999999999</v>
      </c>
      <c r="L19" t="s">
        <v>141</v>
      </c>
      <c r="N19">
        <v>0.47520949699999998</v>
      </c>
      <c r="P19">
        <v>1637283</v>
      </c>
      <c r="Q19">
        <v>117.3677223</v>
      </c>
      <c r="R19">
        <v>5</v>
      </c>
      <c r="S19" t="s">
        <v>204</v>
      </c>
      <c r="T19" t="s">
        <v>141</v>
      </c>
      <c r="U19" t="s">
        <v>141</v>
      </c>
      <c r="V19" t="s">
        <v>141</v>
      </c>
      <c r="W19">
        <v>2347.3544449999999</v>
      </c>
      <c r="X19">
        <v>2347.3544449999999</v>
      </c>
      <c r="Y19">
        <v>0.22</v>
      </c>
      <c r="Z19">
        <v>0.24</v>
      </c>
      <c r="AA19">
        <v>0.22</v>
      </c>
      <c r="AB19">
        <v>78.088970230000001</v>
      </c>
    </row>
    <row r="20" spans="1:29" x14ac:dyDescent="0.25">
      <c r="A20">
        <v>19</v>
      </c>
      <c r="B20" t="s">
        <v>25</v>
      </c>
      <c r="D20" t="s">
        <v>352</v>
      </c>
      <c r="E20">
        <v>1</v>
      </c>
      <c r="F20" t="s">
        <v>332</v>
      </c>
      <c r="H20" t="s">
        <v>200</v>
      </c>
      <c r="I20" t="s">
        <v>141</v>
      </c>
      <c r="J20">
        <v>7.9829999999999997</v>
      </c>
      <c r="K20">
        <v>4.2670000000000003</v>
      </c>
      <c r="L20" t="s">
        <v>141</v>
      </c>
      <c r="N20">
        <v>0.46548916400000001</v>
      </c>
      <c r="P20">
        <v>3180748</v>
      </c>
      <c r="Q20">
        <v>228.01015330000001</v>
      </c>
      <c r="R20">
        <v>5</v>
      </c>
      <c r="S20" t="s">
        <v>204</v>
      </c>
      <c r="T20" t="s">
        <v>141</v>
      </c>
      <c r="U20" t="s">
        <v>141</v>
      </c>
      <c r="V20" t="s">
        <v>141</v>
      </c>
      <c r="W20">
        <v>4560.203066</v>
      </c>
      <c r="X20">
        <v>4560.203066</v>
      </c>
      <c r="Y20">
        <v>0.47</v>
      </c>
      <c r="Z20">
        <v>0.5</v>
      </c>
      <c r="AA20">
        <v>0.51</v>
      </c>
      <c r="AB20">
        <v>53.43570501</v>
      </c>
    </row>
    <row r="21" spans="1:29" x14ac:dyDescent="0.25">
      <c r="A21">
        <v>20</v>
      </c>
      <c r="B21" t="s">
        <v>26</v>
      </c>
      <c r="D21" t="s">
        <v>353</v>
      </c>
      <c r="E21">
        <v>1</v>
      </c>
      <c r="F21" t="s">
        <v>33</v>
      </c>
      <c r="H21" t="s">
        <v>200</v>
      </c>
      <c r="I21" t="s">
        <v>141</v>
      </c>
      <c r="J21">
        <v>4.5519999999999996</v>
      </c>
      <c r="K21">
        <v>1.5049999999999999</v>
      </c>
      <c r="L21" t="s">
        <v>141</v>
      </c>
      <c r="N21">
        <v>0.66937609799999997</v>
      </c>
      <c r="P21">
        <v>1829019</v>
      </c>
      <c r="Q21">
        <v>131.11221090000001</v>
      </c>
      <c r="R21">
        <v>6</v>
      </c>
      <c r="S21" t="s">
        <v>204</v>
      </c>
      <c r="T21" t="s">
        <v>141</v>
      </c>
      <c r="U21" t="s">
        <v>141</v>
      </c>
      <c r="V21" t="s">
        <v>141</v>
      </c>
      <c r="W21">
        <v>2185.2035150000002</v>
      </c>
      <c r="X21">
        <v>2185.2035150000002</v>
      </c>
      <c r="Y21">
        <v>0.39</v>
      </c>
      <c r="Z21">
        <v>0.42</v>
      </c>
      <c r="AA21">
        <v>0.39</v>
      </c>
      <c r="AB21">
        <v>87.1177481</v>
      </c>
    </row>
    <row r="22" spans="1:29" x14ac:dyDescent="0.25">
      <c r="A22">
        <v>21</v>
      </c>
      <c r="B22" t="s">
        <v>27</v>
      </c>
      <c r="D22" t="s">
        <v>354</v>
      </c>
      <c r="E22">
        <v>1</v>
      </c>
      <c r="F22" t="s">
        <v>359</v>
      </c>
      <c r="H22" t="s">
        <v>200</v>
      </c>
      <c r="I22" t="s">
        <v>141</v>
      </c>
      <c r="J22">
        <v>9.4499999999999993</v>
      </c>
      <c r="K22">
        <v>3.1059999999999999</v>
      </c>
      <c r="L22" t="s">
        <v>141</v>
      </c>
      <c r="N22">
        <v>0.67132275100000005</v>
      </c>
      <c r="P22">
        <v>3648239</v>
      </c>
      <c r="Q22">
        <v>261.5219859</v>
      </c>
      <c r="R22">
        <v>5</v>
      </c>
      <c r="S22" t="s">
        <v>204</v>
      </c>
      <c r="T22" t="s">
        <v>141</v>
      </c>
      <c r="U22" t="s">
        <v>141</v>
      </c>
      <c r="V22" t="s">
        <v>141</v>
      </c>
      <c r="W22">
        <v>5230.4397179999996</v>
      </c>
      <c r="X22">
        <v>5230.4397179999996</v>
      </c>
      <c r="Y22">
        <v>0.3</v>
      </c>
      <c r="Z22">
        <v>0.31</v>
      </c>
      <c r="AA22">
        <v>0.33</v>
      </c>
      <c r="AB22">
        <v>84.198965200000004</v>
      </c>
    </row>
    <row r="23" spans="1:29" x14ac:dyDescent="0.25">
      <c r="A23">
        <v>22</v>
      </c>
      <c r="B23" t="s">
        <v>28</v>
      </c>
      <c r="D23" t="s">
        <v>346</v>
      </c>
      <c r="E23">
        <v>2</v>
      </c>
      <c r="F23" t="s">
        <v>15</v>
      </c>
      <c r="H23" t="s">
        <v>200</v>
      </c>
      <c r="I23" t="s">
        <v>141</v>
      </c>
      <c r="J23">
        <v>3.448</v>
      </c>
      <c r="K23">
        <v>1.4219999999999999</v>
      </c>
      <c r="L23" t="s">
        <v>141</v>
      </c>
      <c r="N23">
        <v>0.58758700699999999</v>
      </c>
      <c r="P23">
        <v>1676946</v>
      </c>
      <c r="Q23">
        <v>120.21094239999999</v>
      </c>
      <c r="R23">
        <v>5</v>
      </c>
      <c r="S23" t="s">
        <v>204</v>
      </c>
      <c r="T23" t="s">
        <v>141</v>
      </c>
      <c r="U23" t="s">
        <v>141</v>
      </c>
      <c r="V23" t="s">
        <v>141</v>
      </c>
      <c r="W23">
        <v>2404.2188470000001</v>
      </c>
      <c r="X23">
        <v>2404.2188470000001</v>
      </c>
      <c r="Y23">
        <v>0.22</v>
      </c>
      <c r="Z23">
        <v>0.24</v>
      </c>
      <c r="AA23">
        <v>0.28000000000000003</v>
      </c>
      <c r="AB23">
        <v>84.53652769</v>
      </c>
      <c r="AC23" t="s">
        <v>44</v>
      </c>
    </row>
    <row r="24" spans="1:29" x14ac:dyDescent="0.25">
      <c r="A24">
        <v>23</v>
      </c>
      <c r="B24" t="s">
        <v>29</v>
      </c>
      <c r="D24" t="s">
        <v>345</v>
      </c>
      <c r="E24">
        <v>1</v>
      </c>
      <c r="F24" t="s">
        <v>60</v>
      </c>
      <c r="H24" t="s">
        <v>200</v>
      </c>
      <c r="I24" t="s">
        <v>141</v>
      </c>
      <c r="J24">
        <v>14.85</v>
      </c>
      <c r="K24">
        <v>6.6660000000000004</v>
      </c>
      <c r="L24" t="s">
        <v>141</v>
      </c>
      <c r="N24">
        <v>0.55111111099999999</v>
      </c>
      <c r="P24">
        <v>6140960</v>
      </c>
      <c r="Q24">
        <v>440.21130599999998</v>
      </c>
      <c r="R24">
        <v>5</v>
      </c>
      <c r="S24" t="s">
        <v>204</v>
      </c>
      <c r="T24" t="s">
        <v>141</v>
      </c>
      <c r="U24" t="s">
        <v>141</v>
      </c>
      <c r="V24" t="s">
        <v>141</v>
      </c>
      <c r="W24">
        <v>8804.2261190000008</v>
      </c>
      <c r="X24">
        <v>8804.2261190000008</v>
      </c>
      <c r="Y24">
        <v>0.39</v>
      </c>
      <c r="Z24">
        <v>0.36</v>
      </c>
      <c r="AA24">
        <v>0.35</v>
      </c>
      <c r="AB24">
        <v>66.038299719999998</v>
      </c>
      <c r="AC24" t="s">
        <v>149</v>
      </c>
    </row>
    <row r="25" spans="1:29" x14ac:dyDescent="0.25">
      <c r="A25">
        <v>24</v>
      </c>
      <c r="B25" t="s">
        <v>30</v>
      </c>
      <c r="D25" t="s">
        <v>355</v>
      </c>
      <c r="E25">
        <v>1</v>
      </c>
      <c r="F25" t="s">
        <v>381</v>
      </c>
      <c r="H25" t="s">
        <v>200</v>
      </c>
      <c r="I25" t="s">
        <v>141</v>
      </c>
      <c r="J25">
        <v>1.835</v>
      </c>
      <c r="K25">
        <v>1.048</v>
      </c>
      <c r="L25" t="s">
        <v>141</v>
      </c>
      <c r="N25">
        <v>0.42888283399999999</v>
      </c>
      <c r="P25">
        <v>1488318</v>
      </c>
      <c r="Q25">
        <v>106.689249</v>
      </c>
      <c r="R25">
        <v>1</v>
      </c>
      <c r="S25" t="s">
        <v>210</v>
      </c>
      <c r="T25">
        <v>13</v>
      </c>
      <c r="U25" t="s">
        <v>141</v>
      </c>
      <c r="V25" t="s">
        <v>141</v>
      </c>
      <c r="W25">
        <v>820.68653070000005</v>
      </c>
      <c r="X25">
        <v>10668.9249</v>
      </c>
      <c r="Y25">
        <v>0.19</v>
      </c>
      <c r="Z25">
        <v>0.17</v>
      </c>
      <c r="AA25">
        <v>0.21</v>
      </c>
      <c r="AB25">
        <v>101.8027185</v>
      </c>
      <c r="AC25" t="s">
        <v>63</v>
      </c>
    </row>
    <row r="26" spans="1:29" x14ac:dyDescent="0.25">
      <c r="A26">
        <v>25</v>
      </c>
      <c r="B26" t="s">
        <v>34</v>
      </c>
      <c r="D26" t="s">
        <v>349</v>
      </c>
      <c r="E26">
        <v>2</v>
      </c>
      <c r="F26" t="s">
        <v>61</v>
      </c>
      <c r="H26" t="s">
        <v>200</v>
      </c>
      <c r="I26" t="s">
        <v>141</v>
      </c>
      <c r="J26">
        <v>10.351000000000001</v>
      </c>
      <c r="K26">
        <v>4.7549999999999999</v>
      </c>
      <c r="L26" t="s">
        <v>141</v>
      </c>
      <c r="N26">
        <v>0.540624094</v>
      </c>
      <c r="O26" t="s">
        <v>57</v>
      </c>
      <c r="P26">
        <v>5493956</v>
      </c>
      <c r="Q26">
        <v>393.8311837</v>
      </c>
      <c r="R26">
        <v>1</v>
      </c>
      <c r="S26" t="s">
        <v>210</v>
      </c>
      <c r="T26">
        <v>666.66666669999995</v>
      </c>
      <c r="U26" t="s">
        <v>141</v>
      </c>
      <c r="V26" t="s">
        <v>141</v>
      </c>
      <c r="W26">
        <v>59.074677549999997</v>
      </c>
      <c r="X26">
        <v>39383.118369999997</v>
      </c>
      <c r="Y26">
        <v>0.2</v>
      </c>
      <c r="Z26">
        <v>0.31</v>
      </c>
      <c r="AA26">
        <v>0.21</v>
      </c>
      <c r="AB26">
        <v>82.824644300000003</v>
      </c>
      <c r="AC26" t="s">
        <v>42</v>
      </c>
    </row>
    <row r="27" spans="1:29" x14ac:dyDescent="0.25">
      <c r="A27">
        <v>26</v>
      </c>
      <c r="B27" t="s">
        <v>35</v>
      </c>
      <c r="D27" t="s">
        <v>356</v>
      </c>
      <c r="E27">
        <v>1</v>
      </c>
      <c r="F27" t="s">
        <v>370</v>
      </c>
      <c r="H27" t="s">
        <v>200</v>
      </c>
      <c r="I27" t="s">
        <v>141</v>
      </c>
      <c r="J27">
        <v>8.6639999999999997</v>
      </c>
      <c r="K27">
        <v>4.2039999999999997</v>
      </c>
      <c r="L27" t="s">
        <v>141</v>
      </c>
      <c r="N27">
        <v>0.51477377700000004</v>
      </c>
      <c r="P27">
        <v>4241897</v>
      </c>
      <c r="Q27">
        <v>304.07802980000002</v>
      </c>
      <c r="R27">
        <v>3</v>
      </c>
      <c r="S27" t="s">
        <v>204</v>
      </c>
      <c r="T27" t="s">
        <v>141</v>
      </c>
      <c r="U27" t="s">
        <v>141</v>
      </c>
      <c r="V27" t="s">
        <v>141</v>
      </c>
      <c r="W27">
        <v>10135.93433</v>
      </c>
      <c r="X27">
        <v>10135.93433</v>
      </c>
      <c r="Y27">
        <v>1.1499999999999999</v>
      </c>
      <c r="Z27">
        <v>1.1100000000000001</v>
      </c>
      <c r="AA27">
        <v>0.9</v>
      </c>
      <c r="AB27">
        <v>72.330644590000006</v>
      </c>
    </row>
    <row r="28" spans="1:29" x14ac:dyDescent="0.25">
      <c r="A28">
        <v>27</v>
      </c>
      <c r="B28" t="s">
        <v>36</v>
      </c>
      <c r="D28" t="s">
        <v>350</v>
      </c>
      <c r="E28">
        <v>2</v>
      </c>
      <c r="F28" t="s">
        <v>400</v>
      </c>
      <c r="H28" t="s">
        <v>200</v>
      </c>
      <c r="I28" t="s">
        <v>141</v>
      </c>
      <c r="J28">
        <v>4.1159999999999997</v>
      </c>
      <c r="K28">
        <v>2.3620000000000001</v>
      </c>
      <c r="L28" t="s">
        <v>141</v>
      </c>
      <c r="N28">
        <v>0.426141885</v>
      </c>
      <c r="P28">
        <v>1584677</v>
      </c>
      <c r="Q28">
        <v>113.5966904</v>
      </c>
      <c r="R28">
        <v>5</v>
      </c>
      <c r="S28" t="s">
        <v>204</v>
      </c>
      <c r="T28" t="s">
        <v>141</v>
      </c>
      <c r="U28" t="s">
        <v>141</v>
      </c>
      <c r="V28" t="s">
        <v>141</v>
      </c>
      <c r="W28">
        <v>2271.9338069999999</v>
      </c>
      <c r="X28">
        <v>2271.9338069999999</v>
      </c>
      <c r="Y28">
        <v>0.32</v>
      </c>
      <c r="Z28">
        <v>0.31</v>
      </c>
      <c r="AA28">
        <v>0.4</v>
      </c>
      <c r="AB28">
        <v>48.093433689999998</v>
      </c>
    </row>
    <row r="29" spans="1:29" x14ac:dyDescent="0.25">
      <c r="A29">
        <v>28</v>
      </c>
      <c r="B29" t="s">
        <v>37</v>
      </c>
      <c r="D29" t="s">
        <v>357</v>
      </c>
      <c r="E29">
        <v>1</v>
      </c>
      <c r="F29" t="s">
        <v>337</v>
      </c>
      <c r="H29" t="s">
        <v>200</v>
      </c>
      <c r="I29" t="s">
        <v>141</v>
      </c>
      <c r="J29">
        <v>13.834</v>
      </c>
      <c r="K29">
        <v>6.86</v>
      </c>
      <c r="L29" t="s">
        <v>141</v>
      </c>
      <c r="N29">
        <v>0.504120283</v>
      </c>
      <c r="P29">
        <v>4009355</v>
      </c>
      <c r="Q29">
        <v>287.40838580000002</v>
      </c>
      <c r="R29">
        <v>3</v>
      </c>
      <c r="S29" t="s">
        <v>204</v>
      </c>
      <c r="T29" t="s">
        <v>141</v>
      </c>
      <c r="U29" t="s">
        <v>141</v>
      </c>
      <c r="V29" t="s">
        <v>141</v>
      </c>
      <c r="W29">
        <v>9580.2795249999999</v>
      </c>
      <c r="X29">
        <v>9580.2795249999999</v>
      </c>
      <c r="Y29">
        <v>0.48</v>
      </c>
      <c r="Z29">
        <v>0.41</v>
      </c>
      <c r="AA29">
        <v>0.52</v>
      </c>
      <c r="AB29">
        <v>41.896266150000002</v>
      </c>
    </row>
    <row r="30" spans="1:29" x14ac:dyDescent="0.25">
      <c r="A30">
        <v>29</v>
      </c>
      <c r="B30" t="s">
        <v>484</v>
      </c>
      <c r="C30" t="s">
        <v>38</v>
      </c>
      <c r="D30" t="s">
        <v>393</v>
      </c>
      <c r="E30">
        <v>1</v>
      </c>
      <c r="F30" t="s">
        <v>261</v>
      </c>
      <c r="H30" t="s">
        <v>200</v>
      </c>
      <c r="I30" t="s">
        <v>141</v>
      </c>
      <c r="J30">
        <v>10.013</v>
      </c>
      <c r="K30">
        <v>4.4649999999999999</v>
      </c>
      <c r="L30" t="s">
        <v>141</v>
      </c>
      <c r="N30">
        <v>0.55407969599999995</v>
      </c>
      <c r="P30">
        <v>4067146</v>
      </c>
      <c r="Q30">
        <v>291.55110150000002</v>
      </c>
      <c r="R30">
        <v>5</v>
      </c>
      <c r="S30" t="s">
        <v>204</v>
      </c>
      <c r="T30" t="s">
        <v>141</v>
      </c>
      <c r="U30" t="s">
        <v>141</v>
      </c>
      <c r="V30" t="s">
        <v>141</v>
      </c>
      <c r="W30">
        <v>5831.0220300000001</v>
      </c>
      <c r="X30">
        <v>5831.0220300000001</v>
      </c>
      <c r="Y30">
        <v>0.34</v>
      </c>
      <c r="Z30">
        <v>0.31</v>
      </c>
      <c r="AA30">
        <v>0.33</v>
      </c>
      <c r="AB30">
        <v>65.296999209999996</v>
      </c>
    </row>
    <row r="31" spans="1:29" x14ac:dyDescent="0.25">
      <c r="A31">
        <v>30</v>
      </c>
      <c r="B31" t="s">
        <v>1206</v>
      </c>
      <c r="C31" t="s">
        <v>39</v>
      </c>
      <c r="D31" t="s">
        <v>393</v>
      </c>
      <c r="E31">
        <v>3</v>
      </c>
      <c r="F31" t="s">
        <v>261</v>
      </c>
      <c r="H31" t="s">
        <v>200</v>
      </c>
      <c r="I31" t="s">
        <v>141</v>
      </c>
      <c r="J31">
        <v>7.5</v>
      </c>
      <c r="K31">
        <v>3.2360000000000002</v>
      </c>
      <c r="L31" t="s">
        <v>141</v>
      </c>
      <c r="N31">
        <v>0.56853333299999997</v>
      </c>
      <c r="P31">
        <v>3073723</v>
      </c>
      <c r="Q31">
        <v>220.33812560000001</v>
      </c>
      <c r="R31">
        <v>5</v>
      </c>
      <c r="S31" t="s">
        <v>204</v>
      </c>
      <c r="T31" t="s">
        <v>141</v>
      </c>
      <c r="U31" t="s">
        <v>141</v>
      </c>
      <c r="V31" t="s">
        <v>141</v>
      </c>
      <c r="W31">
        <v>4406.7625129999997</v>
      </c>
      <c r="X31">
        <v>4406.7625129999997</v>
      </c>
      <c r="Y31">
        <v>0.35</v>
      </c>
      <c r="Z31">
        <v>0.35</v>
      </c>
      <c r="AA31">
        <v>0.36</v>
      </c>
      <c r="AB31">
        <v>68.089655629999996</v>
      </c>
    </row>
    <row r="32" spans="1:29" x14ac:dyDescent="0.25">
      <c r="A32">
        <v>31</v>
      </c>
      <c r="B32" t="s">
        <v>1207</v>
      </c>
      <c r="C32" t="s">
        <v>40</v>
      </c>
      <c r="D32" t="s">
        <v>393</v>
      </c>
      <c r="E32">
        <v>2</v>
      </c>
      <c r="F32" t="s">
        <v>261</v>
      </c>
      <c r="H32" t="s">
        <v>200</v>
      </c>
      <c r="I32" t="s">
        <v>141</v>
      </c>
      <c r="J32">
        <v>6.6050000000000004</v>
      </c>
      <c r="K32">
        <v>2.8580000000000001</v>
      </c>
      <c r="L32" t="s">
        <v>141</v>
      </c>
      <c r="N32">
        <v>0.56729750199999995</v>
      </c>
      <c r="P32">
        <v>3011132</v>
      </c>
      <c r="Q32">
        <v>215.8513246</v>
      </c>
      <c r="R32">
        <v>5</v>
      </c>
      <c r="S32" t="s">
        <v>204</v>
      </c>
      <c r="T32" t="s">
        <v>141</v>
      </c>
      <c r="U32" t="s">
        <v>141</v>
      </c>
      <c r="V32" t="s">
        <v>141</v>
      </c>
      <c r="W32">
        <v>4317.0264909999996</v>
      </c>
      <c r="X32">
        <v>4317.0264909999996</v>
      </c>
      <c r="Y32">
        <v>0.32</v>
      </c>
      <c r="Z32">
        <v>0.33</v>
      </c>
      <c r="AA32">
        <v>0.35</v>
      </c>
      <c r="AB32">
        <v>75.525306009999994</v>
      </c>
    </row>
    <row r="33" spans="1:29" x14ac:dyDescent="0.25">
      <c r="A33">
        <v>32</v>
      </c>
      <c r="B33" t="s">
        <v>41</v>
      </c>
      <c r="D33" t="s">
        <v>360</v>
      </c>
      <c r="E33">
        <v>1</v>
      </c>
      <c r="F33" t="s">
        <v>228</v>
      </c>
      <c r="H33" t="s">
        <v>200</v>
      </c>
      <c r="I33" t="s">
        <v>141</v>
      </c>
      <c r="J33">
        <v>3.37</v>
      </c>
      <c r="K33">
        <v>1.409</v>
      </c>
      <c r="L33" t="s">
        <v>141</v>
      </c>
      <c r="N33">
        <v>0.58189911000000005</v>
      </c>
      <c r="P33">
        <v>1768120</v>
      </c>
      <c r="Q33">
        <v>126.7466999</v>
      </c>
      <c r="R33">
        <v>4</v>
      </c>
      <c r="S33" t="s">
        <v>210</v>
      </c>
      <c r="T33">
        <v>31</v>
      </c>
      <c r="U33" t="s">
        <v>141</v>
      </c>
      <c r="V33" t="s">
        <v>141</v>
      </c>
      <c r="W33">
        <v>408.86032230000001</v>
      </c>
      <c r="X33">
        <v>3168.6674979999998</v>
      </c>
      <c r="Y33">
        <v>0.24</v>
      </c>
      <c r="Z33">
        <v>0.27</v>
      </c>
      <c r="AA33">
        <v>0.28000000000000003</v>
      </c>
      <c r="AB33">
        <v>89.955074460000006</v>
      </c>
    </row>
    <row r="34" spans="1:29" x14ac:dyDescent="0.25">
      <c r="A34">
        <v>33</v>
      </c>
      <c r="B34" t="s">
        <v>75</v>
      </c>
      <c r="D34" t="s">
        <v>355</v>
      </c>
      <c r="E34">
        <v>3</v>
      </c>
      <c r="F34" t="s">
        <v>381</v>
      </c>
      <c r="H34" t="s">
        <v>200</v>
      </c>
      <c r="I34" t="s">
        <v>141</v>
      </c>
      <c r="J34">
        <v>8.9039999999999999</v>
      </c>
      <c r="K34">
        <v>4.3479999999999999</v>
      </c>
      <c r="L34" t="s">
        <v>141</v>
      </c>
      <c r="N34" t="s">
        <v>141</v>
      </c>
      <c r="O34" t="s">
        <v>169</v>
      </c>
      <c r="P34">
        <v>5318167</v>
      </c>
      <c r="Q34">
        <v>381.22984689999998</v>
      </c>
      <c r="R34">
        <v>2</v>
      </c>
      <c r="S34" t="s">
        <v>210</v>
      </c>
      <c r="T34">
        <v>30</v>
      </c>
      <c r="U34" t="s">
        <v>141</v>
      </c>
      <c r="V34" t="s">
        <v>141</v>
      </c>
      <c r="W34">
        <v>1270.7661559999999</v>
      </c>
      <c r="X34">
        <v>19061.492340000001</v>
      </c>
      <c r="Y34">
        <v>0.22</v>
      </c>
      <c r="Z34">
        <v>0.21</v>
      </c>
      <c r="AA34">
        <v>0.21</v>
      </c>
      <c r="AB34">
        <v>87.679357600000003</v>
      </c>
    </row>
    <row r="35" spans="1:29" x14ac:dyDescent="0.25">
      <c r="A35">
        <v>34</v>
      </c>
      <c r="B35" t="s">
        <v>76</v>
      </c>
      <c r="D35" t="s">
        <v>361</v>
      </c>
      <c r="E35">
        <v>3</v>
      </c>
      <c r="F35" t="s">
        <v>218</v>
      </c>
      <c r="H35" t="s">
        <v>200</v>
      </c>
      <c r="I35" t="s">
        <v>141</v>
      </c>
      <c r="J35">
        <v>1.0760000000000001</v>
      </c>
      <c r="K35">
        <v>0.61799999999999999</v>
      </c>
      <c r="L35" t="s">
        <v>141</v>
      </c>
      <c r="N35">
        <v>0.42565055800000001</v>
      </c>
      <c r="P35">
        <v>594170</v>
      </c>
      <c r="Q35">
        <v>42.59274636</v>
      </c>
      <c r="R35">
        <v>5</v>
      </c>
      <c r="S35" t="s">
        <v>204</v>
      </c>
      <c r="T35" t="s">
        <v>141</v>
      </c>
      <c r="U35" t="s">
        <v>141</v>
      </c>
      <c r="V35" t="s">
        <v>141</v>
      </c>
      <c r="W35">
        <v>851.85492710000005</v>
      </c>
      <c r="X35">
        <v>851.85492710000005</v>
      </c>
      <c r="Y35">
        <v>0.26</v>
      </c>
      <c r="Z35">
        <v>0.24</v>
      </c>
      <c r="AA35">
        <v>0.23</v>
      </c>
      <c r="AB35">
        <v>68.920301550000005</v>
      </c>
    </row>
    <row r="36" spans="1:29" x14ac:dyDescent="0.25">
      <c r="A36">
        <v>35</v>
      </c>
      <c r="B36" t="s">
        <v>138</v>
      </c>
      <c r="D36" t="s">
        <v>362</v>
      </c>
      <c r="E36">
        <v>5</v>
      </c>
      <c r="F36" t="s">
        <v>363</v>
      </c>
      <c r="H36" t="s">
        <v>200</v>
      </c>
      <c r="I36" t="s">
        <v>141</v>
      </c>
      <c r="J36">
        <v>2.25</v>
      </c>
      <c r="K36">
        <v>0.85799999999999998</v>
      </c>
      <c r="L36" t="s">
        <v>141</v>
      </c>
      <c r="N36">
        <v>0.61866666699999995</v>
      </c>
      <c r="P36">
        <v>1256063</v>
      </c>
      <c r="Q36">
        <v>90.040178339999997</v>
      </c>
      <c r="R36">
        <v>5</v>
      </c>
      <c r="S36" t="s">
        <v>204</v>
      </c>
      <c r="T36" t="s">
        <v>141</v>
      </c>
      <c r="U36" t="s">
        <v>141</v>
      </c>
      <c r="V36" t="s">
        <v>141</v>
      </c>
      <c r="W36">
        <v>1800.8035669999999</v>
      </c>
      <c r="X36">
        <v>1800.8035669999999</v>
      </c>
      <c r="Y36">
        <v>0.26</v>
      </c>
      <c r="Z36">
        <v>0.23</v>
      </c>
      <c r="AA36">
        <v>0.25</v>
      </c>
      <c r="AB36">
        <v>104.9419328</v>
      </c>
      <c r="AC36" t="s">
        <v>47</v>
      </c>
    </row>
    <row r="37" spans="1:29" x14ac:dyDescent="0.25">
      <c r="A37">
        <v>36</v>
      </c>
      <c r="B37" t="s">
        <v>78</v>
      </c>
      <c r="D37" t="s">
        <v>362</v>
      </c>
      <c r="E37">
        <v>4</v>
      </c>
      <c r="F37" t="s">
        <v>363</v>
      </c>
      <c r="H37" t="s">
        <v>200</v>
      </c>
      <c r="I37" t="s">
        <v>141</v>
      </c>
      <c r="J37">
        <v>1.23</v>
      </c>
      <c r="K37">
        <v>0.36199999999999999</v>
      </c>
      <c r="L37" t="s">
        <v>141</v>
      </c>
      <c r="N37">
        <v>0.70569105700000001</v>
      </c>
      <c r="P37">
        <v>599050</v>
      </c>
      <c r="Q37">
        <v>42.94256644</v>
      </c>
      <c r="R37">
        <v>5</v>
      </c>
      <c r="S37" t="s">
        <v>204</v>
      </c>
      <c r="T37" t="s">
        <v>141</v>
      </c>
      <c r="U37" t="s">
        <v>141</v>
      </c>
      <c r="V37" t="s">
        <v>141</v>
      </c>
      <c r="W37">
        <v>858.8513289</v>
      </c>
      <c r="X37">
        <v>858.8513289</v>
      </c>
      <c r="Y37">
        <v>0.33</v>
      </c>
      <c r="Z37">
        <v>0.27</v>
      </c>
      <c r="AA37">
        <v>0.27</v>
      </c>
      <c r="AB37">
        <v>118.6258742</v>
      </c>
      <c r="AC37" t="s">
        <v>47</v>
      </c>
    </row>
    <row r="38" spans="1:29" x14ac:dyDescent="0.25">
      <c r="A38">
        <v>37</v>
      </c>
      <c r="B38" t="s">
        <v>79</v>
      </c>
      <c r="D38" t="s">
        <v>364</v>
      </c>
      <c r="E38">
        <v>3</v>
      </c>
      <c r="F38" t="s">
        <v>314</v>
      </c>
      <c r="H38" t="s">
        <v>200</v>
      </c>
      <c r="I38" t="s">
        <v>141</v>
      </c>
      <c r="J38">
        <v>0.73899999999999999</v>
      </c>
      <c r="K38">
        <v>0.38400000000000001</v>
      </c>
      <c r="L38" t="s">
        <v>141</v>
      </c>
      <c r="N38">
        <v>0.48037889</v>
      </c>
      <c r="O38" t="s">
        <v>179</v>
      </c>
      <c r="P38">
        <v>446363</v>
      </c>
      <c r="Q38">
        <v>31.997283679999999</v>
      </c>
      <c r="R38">
        <v>29</v>
      </c>
      <c r="T38" t="s">
        <v>141</v>
      </c>
      <c r="U38" t="s">
        <v>141</v>
      </c>
      <c r="V38" t="s">
        <v>141</v>
      </c>
      <c r="W38">
        <v>110.335461</v>
      </c>
      <c r="X38">
        <v>110.335461</v>
      </c>
      <c r="Y38">
        <v>0.34</v>
      </c>
      <c r="Z38">
        <v>0.24</v>
      </c>
      <c r="AA38">
        <v>0.2</v>
      </c>
      <c r="AB38">
        <v>83.326259570000005</v>
      </c>
    </row>
    <row r="39" spans="1:29" x14ac:dyDescent="0.25">
      <c r="A39">
        <v>38</v>
      </c>
      <c r="B39" t="s">
        <v>80</v>
      </c>
      <c r="D39" t="s">
        <v>361</v>
      </c>
      <c r="E39">
        <v>2</v>
      </c>
      <c r="F39" t="s">
        <v>218</v>
      </c>
      <c r="H39" t="s">
        <v>200</v>
      </c>
      <c r="I39" t="s">
        <v>141</v>
      </c>
      <c r="J39">
        <v>1.9330000000000001</v>
      </c>
      <c r="K39">
        <v>1.0880000000000001</v>
      </c>
      <c r="L39" t="s">
        <v>141</v>
      </c>
      <c r="N39">
        <v>0.43714433499999999</v>
      </c>
      <c r="P39">
        <v>1020875</v>
      </c>
      <c r="Q39">
        <v>73.180857219999993</v>
      </c>
      <c r="R39">
        <v>5</v>
      </c>
      <c r="S39" t="s">
        <v>204</v>
      </c>
      <c r="T39" t="s">
        <v>141</v>
      </c>
      <c r="U39" t="s">
        <v>141</v>
      </c>
      <c r="V39" t="s">
        <v>141</v>
      </c>
      <c r="W39">
        <v>1463.6171440000001</v>
      </c>
      <c r="X39">
        <v>1463.6171440000001</v>
      </c>
      <c r="Y39">
        <v>0.25</v>
      </c>
      <c r="Z39">
        <v>0.24</v>
      </c>
      <c r="AA39">
        <v>0.26</v>
      </c>
      <c r="AB39">
        <v>67.261817300000004</v>
      </c>
    </row>
    <row r="40" spans="1:29" x14ac:dyDescent="0.25">
      <c r="A40">
        <v>39</v>
      </c>
      <c r="B40" t="s">
        <v>1238</v>
      </c>
      <c r="C40" t="s">
        <v>106</v>
      </c>
      <c r="D40" t="s">
        <v>346</v>
      </c>
      <c r="F40" t="s">
        <v>15</v>
      </c>
      <c r="H40" t="s">
        <v>200</v>
      </c>
      <c r="I40" t="s">
        <v>141</v>
      </c>
      <c r="J40">
        <v>4.3250000000000002</v>
      </c>
      <c r="K40">
        <v>2.036</v>
      </c>
      <c r="L40" t="s">
        <v>141</v>
      </c>
      <c r="N40">
        <v>0.52924855500000001</v>
      </c>
      <c r="O40" t="s">
        <v>175</v>
      </c>
      <c r="P40">
        <v>1757077</v>
      </c>
      <c r="Q40">
        <v>125.9550886</v>
      </c>
      <c r="R40">
        <v>5</v>
      </c>
      <c r="S40" t="s">
        <v>204</v>
      </c>
      <c r="T40" t="s">
        <v>141</v>
      </c>
      <c r="U40" t="s">
        <v>141</v>
      </c>
      <c r="V40" t="s">
        <v>141</v>
      </c>
      <c r="W40">
        <v>2519.101772</v>
      </c>
      <c r="X40">
        <v>2519.101772</v>
      </c>
      <c r="Y40">
        <v>0.36</v>
      </c>
      <c r="Z40">
        <v>0.35</v>
      </c>
      <c r="AA40">
        <v>0.3</v>
      </c>
      <c r="AB40">
        <v>61.863992430000003</v>
      </c>
      <c r="AC40" t="s">
        <v>127</v>
      </c>
    </row>
    <row r="41" spans="1:29" x14ac:dyDescent="0.25">
      <c r="A41">
        <v>40</v>
      </c>
      <c r="B41" t="s">
        <v>802</v>
      </c>
      <c r="C41" t="s">
        <v>81</v>
      </c>
      <c r="D41" t="s">
        <v>636</v>
      </c>
      <c r="E41">
        <v>1</v>
      </c>
      <c r="F41" t="s">
        <v>637</v>
      </c>
      <c r="H41" t="s">
        <v>200</v>
      </c>
      <c r="I41" t="s">
        <v>141</v>
      </c>
      <c r="J41">
        <v>5.0389999999999997</v>
      </c>
      <c r="K41">
        <v>2.093</v>
      </c>
      <c r="L41" t="s">
        <v>141</v>
      </c>
      <c r="N41">
        <v>0.58463980900000001</v>
      </c>
      <c r="O41" t="s">
        <v>173</v>
      </c>
      <c r="P41">
        <v>3552513</v>
      </c>
      <c r="Q41">
        <v>254.65992080000001</v>
      </c>
      <c r="R41">
        <v>2</v>
      </c>
      <c r="S41" t="s">
        <v>210</v>
      </c>
      <c r="T41">
        <v>234</v>
      </c>
      <c r="U41" t="s">
        <v>141</v>
      </c>
      <c r="V41" t="s">
        <v>141</v>
      </c>
      <c r="W41">
        <v>108.829026</v>
      </c>
      <c r="X41">
        <v>12732.99604</v>
      </c>
      <c r="Y41">
        <v>0.2</v>
      </c>
      <c r="Z41">
        <v>0.16</v>
      </c>
      <c r="AA41">
        <v>0.16</v>
      </c>
      <c r="AB41">
        <v>121.672203</v>
      </c>
    </row>
    <row r="42" spans="1:29" x14ac:dyDescent="0.25">
      <c r="A42">
        <v>41</v>
      </c>
      <c r="B42" t="s">
        <v>82</v>
      </c>
      <c r="D42" t="s">
        <v>365</v>
      </c>
      <c r="E42">
        <v>1</v>
      </c>
      <c r="F42" t="s">
        <v>369</v>
      </c>
      <c r="H42" t="s">
        <v>200</v>
      </c>
      <c r="I42" t="s">
        <v>141</v>
      </c>
      <c r="J42">
        <v>2.6819999999999999</v>
      </c>
      <c r="K42">
        <v>1.286</v>
      </c>
      <c r="L42" t="s">
        <v>141</v>
      </c>
      <c r="N42">
        <v>0.52050708400000001</v>
      </c>
      <c r="O42" t="s">
        <v>170</v>
      </c>
      <c r="P42">
        <v>1543821</v>
      </c>
      <c r="Q42">
        <v>110.66795070000001</v>
      </c>
      <c r="R42">
        <v>4</v>
      </c>
      <c r="S42" t="s">
        <v>210</v>
      </c>
      <c r="T42">
        <v>53</v>
      </c>
      <c r="U42" t="s">
        <v>141</v>
      </c>
      <c r="V42" t="s">
        <v>141</v>
      </c>
      <c r="W42">
        <v>208.8074542</v>
      </c>
      <c r="X42">
        <v>2766.6987680000002</v>
      </c>
      <c r="Y42">
        <v>0.16</v>
      </c>
      <c r="Z42">
        <v>0.22</v>
      </c>
      <c r="AA42">
        <v>0.21</v>
      </c>
      <c r="AB42">
        <v>86.055949229999996</v>
      </c>
    </row>
    <row r="43" spans="1:29" x14ac:dyDescent="0.25">
      <c r="A43">
        <v>42</v>
      </c>
      <c r="B43" t="s">
        <v>83</v>
      </c>
      <c r="D43" t="s">
        <v>347</v>
      </c>
      <c r="E43">
        <v>3</v>
      </c>
      <c r="F43" t="s">
        <v>19</v>
      </c>
      <c r="H43" t="s">
        <v>200</v>
      </c>
      <c r="I43" t="s">
        <v>141</v>
      </c>
      <c r="J43">
        <v>13.606999999999999</v>
      </c>
      <c r="K43">
        <v>5.44</v>
      </c>
      <c r="L43" t="s">
        <v>141</v>
      </c>
      <c r="N43">
        <v>0.60020577600000002</v>
      </c>
      <c r="O43" t="s">
        <v>172</v>
      </c>
      <c r="P43">
        <v>5556527</v>
      </c>
      <c r="Q43">
        <v>398.316551</v>
      </c>
      <c r="R43">
        <v>2</v>
      </c>
      <c r="S43" t="s">
        <v>210</v>
      </c>
      <c r="T43">
        <v>480</v>
      </c>
      <c r="U43" t="s">
        <v>141</v>
      </c>
      <c r="V43" t="s">
        <v>141</v>
      </c>
      <c r="W43">
        <v>82.982614799999993</v>
      </c>
      <c r="X43">
        <v>19915.827550000002</v>
      </c>
      <c r="Y43">
        <v>0.14000000000000001</v>
      </c>
      <c r="Z43">
        <v>0.14000000000000001</v>
      </c>
      <c r="AA43">
        <v>0.15</v>
      </c>
      <c r="AB43">
        <v>73.219954229999999</v>
      </c>
      <c r="AC43" t="s">
        <v>407</v>
      </c>
    </row>
    <row r="44" spans="1:29" x14ac:dyDescent="0.25">
      <c r="A44">
        <v>43</v>
      </c>
      <c r="B44" t="s">
        <v>84</v>
      </c>
      <c r="D44" t="s">
        <v>366</v>
      </c>
      <c r="E44">
        <v>3</v>
      </c>
      <c r="F44" t="s">
        <v>281</v>
      </c>
      <c r="H44" t="s">
        <v>200</v>
      </c>
      <c r="I44" t="s">
        <v>141</v>
      </c>
      <c r="J44">
        <v>10.1</v>
      </c>
      <c r="K44">
        <v>3.5680000000000001</v>
      </c>
      <c r="L44" t="s">
        <v>141</v>
      </c>
      <c r="N44">
        <v>0.64673267300000004</v>
      </c>
      <c r="P44">
        <v>3937831</v>
      </c>
      <c r="Q44">
        <v>282.28122760000002</v>
      </c>
      <c r="R44">
        <v>7</v>
      </c>
      <c r="S44" t="s">
        <v>204</v>
      </c>
      <c r="T44" t="s">
        <v>141</v>
      </c>
      <c r="U44" t="s">
        <v>141</v>
      </c>
      <c r="V44" t="s">
        <v>141</v>
      </c>
      <c r="W44">
        <v>4032.5889649999999</v>
      </c>
      <c r="X44">
        <v>4032.5889649999999</v>
      </c>
      <c r="Y44">
        <v>0.26</v>
      </c>
      <c r="Z44">
        <v>0.34</v>
      </c>
      <c r="AA44">
        <v>0.28000000000000003</v>
      </c>
      <c r="AB44">
        <v>79.114693819999999</v>
      </c>
    </row>
    <row r="45" spans="1:29" x14ac:dyDescent="0.25">
      <c r="A45">
        <v>44</v>
      </c>
      <c r="B45" t="s">
        <v>85</v>
      </c>
      <c r="D45" t="s">
        <v>355</v>
      </c>
      <c r="E45">
        <v>4</v>
      </c>
      <c r="F45" t="s">
        <v>381</v>
      </c>
      <c r="H45" t="s">
        <v>200</v>
      </c>
      <c r="I45" t="s">
        <v>141</v>
      </c>
      <c r="J45">
        <v>4.6479999999999997</v>
      </c>
      <c r="K45">
        <v>2.3199999999999998</v>
      </c>
      <c r="L45" t="s">
        <v>141</v>
      </c>
      <c r="N45">
        <v>0.50086058499999997</v>
      </c>
      <c r="O45" t="s">
        <v>166</v>
      </c>
      <c r="P45">
        <v>2839769</v>
      </c>
      <c r="Q45">
        <v>203.56726309999999</v>
      </c>
      <c r="R45">
        <v>2</v>
      </c>
      <c r="S45" t="s">
        <v>210</v>
      </c>
      <c r="T45">
        <v>30</v>
      </c>
      <c r="U45" t="s">
        <v>141</v>
      </c>
      <c r="V45" t="s">
        <v>141</v>
      </c>
      <c r="W45">
        <v>678.5575437</v>
      </c>
      <c r="X45">
        <v>10178.363160000001</v>
      </c>
      <c r="Y45">
        <v>0.19</v>
      </c>
      <c r="Z45">
        <v>0.19</v>
      </c>
      <c r="AA45">
        <v>0.22</v>
      </c>
      <c r="AB45">
        <v>87.744509960000002</v>
      </c>
    </row>
    <row r="46" spans="1:29" x14ac:dyDescent="0.25">
      <c r="A46">
        <v>45</v>
      </c>
      <c r="B46" t="s">
        <v>796</v>
      </c>
      <c r="C46" t="s">
        <v>86</v>
      </c>
      <c r="D46" t="s">
        <v>636</v>
      </c>
      <c r="E46">
        <v>2</v>
      </c>
      <c r="F46" t="s">
        <v>637</v>
      </c>
      <c r="H46" t="s">
        <v>200</v>
      </c>
      <c r="I46" t="s">
        <v>141</v>
      </c>
      <c r="J46">
        <v>3.7280000000000002</v>
      </c>
      <c r="K46">
        <v>1.675</v>
      </c>
      <c r="L46" t="s">
        <v>141</v>
      </c>
      <c r="N46">
        <v>0.55069742499999996</v>
      </c>
      <c r="O46" t="s">
        <v>171</v>
      </c>
      <c r="P46">
        <v>2603951</v>
      </c>
      <c r="Q46">
        <v>186.66278080000001</v>
      </c>
      <c r="R46">
        <v>1</v>
      </c>
      <c r="T46">
        <v>198</v>
      </c>
      <c r="U46" t="s">
        <v>141</v>
      </c>
      <c r="V46" t="s">
        <v>141</v>
      </c>
      <c r="W46">
        <v>94.274131710000006</v>
      </c>
      <c r="X46">
        <v>18666.27808</v>
      </c>
      <c r="Y46">
        <v>0.16</v>
      </c>
      <c r="Z46">
        <v>0.12</v>
      </c>
      <c r="AA46">
        <v>0.13</v>
      </c>
      <c r="AB46">
        <v>111.44046609999999</v>
      </c>
    </row>
    <row r="47" spans="1:29" x14ac:dyDescent="0.25">
      <c r="A47">
        <v>46</v>
      </c>
      <c r="B47" t="s">
        <v>87</v>
      </c>
      <c r="D47" t="s">
        <v>367</v>
      </c>
      <c r="E47">
        <v>1</v>
      </c>
      <c r="F47" t="s">
        <v>266</v>
      </c>
      <c r="H47" t="s">
        <v>200</v>
      </c>
      <c r="I47" t="s">
        <v>141</v>
      </c>
      <c r="J47">
        <v>3.3620000000000001</v>
      </c>
      <c r="K47">
        <v>2.06</v>
      </c>
      <c r="L47" t="s">
        <v>141</v>
      </c>
      <c r="N47">
        <v>0.387269482</v>
      </c>
      <c r="O47" t="s">
        <v>167</v>
      </c>
      <c r="P47">
        <v>2334389</v>
      </c>
      <c r="Q47">
        <v>167.3393786</v>
      </c>
      <c r="R47">
        <v>75</v>
      </c>
      <c r="T47" t="s">
        <v>141</v>
      </c>
      <c r="U47" t="s">
        <v>141</v>
      </c>
      <c r="V47" t="s">
        <v>141</v>
      </c>
      <c r="W47">
        <v>223.1191714</v>
      </c>
      <c r="X47">
        <v>223.1191714</v>
      </c>
      <c r="Y47">
        <v>0.26</v>
      </c>
      <c r="Z47">
        <v>0.23</v>
      </c>
      <c r="AA47">
        <v>0.24</v>
      </c>
      <c r="AB47">
        <v>81.232708049999999</v>
      </c>
    </row>
    <row r="48" spans="1:29" x14ac:dyDescent="0.25">
      <c r="A48">
        <v>47</v>
      </c>
      <c r="B48" t="s">
        <v>88</v>
      </c>
      <c r="D48" t="s">
        <v>368</v>
      </c>
      <c r="E48">
        <v>1</v>
      </c>
      <c r="F48" t="s">
        <v>379</v>
      </c>
      <c r="H48" t="s">
        <v>200</v>
      </c>
      <c r="I48" t="s">
        <v>141</v>
      </c>
      <c r="J48">
        <v>2.6059999999999999</v>
      </c>
      <c r="K48">
        <v>1.06</v>
      </c>
      <c r="L48" t="s">
        <v>141</v>
      </c>
      <c r="N48">
        <v>0.593246355</v>
      </c>
      <c r="P48">
        <v>1492268</v>
      </c>
      <c r="Q48">
        <v>106.9724025</v>
      </c>
      <c r="R48">
        <v>14</v>
      </c>
      <c r="S48" t="s">
        <v>204</v>
      </c>
      <c r="T48" t="s">
        <v>141</v>
      </c>
      <c r="U48" t="s">
        <v>141</v>
      </c>
      <c r="V48" t="s">
        <v>141</v>
      </c>
      <c r="W48">
        <v>764.08858959999998</v>
      </c>
      <c r="X48">
        <v>764.08858959999998</v>
      </c>
      <c r="Y48">
        <v>0.16</v>
      </c>
      <c r="Z48">
        <v>0.17</v>
      </c>
      <c r="AA48">
        <v>0.21</v>
      </c>
      <c r="AB48">
        <v>100.91736090000001</v>
      </c>
    </row>
    <row r="49" spans="1:29" x14ac:dyDescent="0.25">
      <c r="A49">
        <v>48</v>
      </c>
      <c r="B49" t="s">
        <v>89</v>
      </c>
      <c r="D49" t="s">
        <v>355</v>
      </c>
      <c r="E49">
        <v>2</v>
      </c>
      <c r="F49" t="s">
        <v>62</v>
      </c>
      <c r="H49" t="s">
        <v>200</v>
      </c>
      <c r="I49" t="s">
        <v>141</v>
      </c>
      <c r="J49">
        <v>3.7469999999999999</v>
      </c>
      <c r="K49">
        <v>1.919</v>
      </c>
      <c r="L49" t="s">
        <v>141</v>
      </c>
      <c r="N49">
        <v>0.48785695200000001</v>
      </c>
      <c r="P49">
        <v>2402723</v>
      </c>
      <c r="Q49">
        <v>172.23786340000001</v>
      </c>
      <c r="R49">
        <v>2</v>
      </c>
      <c r="S49" t="s">
        <v>210</v>
      </c>
      <c r="T49">
        <v>19</v>
      </c>
      <c r="U49" t="s">
        <v>141</v>
      </c>
      <c r="V49" t="s">
        <v>141</v>
      </c>
      <c r="W49">
        <v>906.51507059999994</v>
      </c>
      <c r="X49">
        <v>8611.8931699999994</v>
      </c>
      <c r="Y49">
        <v>0.21</v>
      </c>
      <c r="Z49">
        <v>0.23</v>
      </c>
      <c r="AA49">
        <v>0.24</v>
      </c>
      <c r="AB49">
        <v>89.753967380000006</v>
      </c>
    </row>
    <row r="50" spans="1:29" x14ac:dyDescent="0.25">
      <c r="A50">
        <v>49</v>
      </c>
      <c r="B50" t="s">
        <v>90</v>
      </c>
      <c r="D50" t="s">
        <v>375</v>
      </c>
      <c r="E50">
        <v>2</v>
      </c>
      <c r="F50" t="s">
        <v>278</v>
      </c>
      <c r="H50" t="s">
        <v>200</v>
      </c>
      <c r="I50" t="s">
        <v>141</v>
      </c>
      <c r="J50">
        <v>12.606</v>
      </c>
      <c r="K50">
        <v>5.7480000000000002</v>
      </c>
      <c r="L50" t="s">
        <v>141</v>
      </c>
      <c r="N50">
        <v>0.54402665400000005</v>
      </c>
      <c r="O50" t="s">
        <v>154</v>
      </c>
      <c r="P50">
        <v>5040091</v>
      </c>
      <c r="Q50">
        <v>361.29612329999998</v>
      </c>
      <c r="R50">
        <v>2</v>
      </c>
      <c r="S50" t="s">
        <v>210</v>
      </c>
      <c r="T50">
        <v>25</v>
      </c>
      <c r="U50" t="s">
        <v>141</v>
      </c>
      <c r="V50" t="s">
        <v>141</v>
      </c>
      <c r="W50">
        <v>1445.184493</v>
      </c>
      <c r="X50">
        <v>18064.80616</v>
      </c>
      <c r="Y50">
        <v>0.28000000000000003</v>
      </c>
      <c r="Z50">
        <v>0.31</v>
      </c>
      <c r="AA50">
        <v>0.33</v>
      </c>
      <c r="AB50">
        <v>62.855971340000004</v>
      </c>
    </row>
    <row r="51" spans="1:29" x14ac:dyDescent="0.25">
      <c r="A51">
        <v>50</v>
      </c>
      <c r="B51" t="s">
        <v>1215</v>
      </c>
      <c r="C51" t="s">
        <v>91</v>
      </c>
      <c r="D51" t="s">
        <v>344</v>
      </c>
      <c r="E51">
        <v>4</v>
      </c>
      <c r="F51" t="s">
        <v>487</v>
      </c>
      <c r="H51" t="s">
        <v>200</v>
      </c>
      <c r="I51" t="s">
        <v>141</v>
      </c>
      <c r="J51">
        <v>0.89300000000000002</v>
      </c>
      <c r="K51">
        <v>0.46800000000000003</v>
      </c>
      <c r="L51" t="s">
        <v>141</v>
      </c>
      <c r="N51">
        <v>0.47592385199999998</v>
      </c>
      <c r="P51">
        <v>529271</v>
      </c>
      <c r="Q51">
        <v>37.9404976</v>
      </c>
      <c r="R51">
        <v>5</v>
      </c>
      <c r="S51" t="s">
        <v>204</v>
      </c>
      <c r="T51" t="s">
        <v>141</v>
      </c>
      <c r="U51" t="s">
        <v>141</v>
      </c>
      <c r="V51" t="s">
        <v>141</v>
      </c>
      <c r="W51">
        <v>758.80995189999999</v>
      </c>
      <c r="X51">
        <v>758.80995189999999</v>
      </c>
      <c r="Y51">
        <v>0.25</v>
      </c>
      <c r="Z51">
        <v>0.23</v>
      </c>
      <c r="AA51">
        <v>0.22</v>
      </c>
      <c r="AB51">
        <v>81.069439310000007</v>
      </c>
    </row>
    <row r="52" spans="1:29" x14ac:dyDescent="0.25">
      <c r="A52">
        <v>51</v>
      </c>
      <c r="B52" t="s">
        <v>1212</v>
      </c>
      <c r="C52" t="s">
        <v>92</v>
      </c>
      <c r="D52" t="s">
        <v>434</v>
      </c>
      <c r="E52">
        <v>1</v>
      </c>
      <c r="F52" t="s">
        <v>481</v>
      </c>
      <c r="H52" t="s">
        <v>200</v>
      </c>
      <c r="I52" t="s">
        <v>141</v>
      </c>
      <c r="J52">
        <v>8.6530000000000005</v>
      </c>
      <c r="K52">
        <v>2.9129999999999998</v>
      </c>
      <c r="L52" t="s">
        <v>141</v>
      </c>
      <c r="N52">
        <v>0.66335374999999996</v>
      </c>
      <c r="P52">
        <v>2437307</v>
      </c>
      <c r="Q52">
        <v>174.71699820000001</v>
      </c>
      <c r="R52">
        <v>5</v>
      </c>
      <c r="S52" t="s">
        <v>204</v>
      </c>
      <c r="T52" t="s">
        <v>141</v>
      </c>
      <c r="U52" t="s">
        <v>141</v>
      </c>
      <c r="V52" t="s">
        <v>141</v>
      </c>
      <c r="W52">
        <v>3494.3399650000001</v>
      </c>
      <c r="X52">
        <v>3494.3399650000001</v>
      </c>
      <c r="Y52">
        <v>0.48</v>
      </c>
      <c r="Z52">
        <v>0.5</v>
      </c>
      <c r="AA52">
        <v>0.51</v>
      </c>
      <c r="AB52">
        <v>59.978372210000003</v>
      </c>
    </row>
    <row r="53" spans="1:29" x14ac:dyDescent="0.25">
      <c r="A53">
        <v>52</v>
      </c>
      <c r="B53" t="s">
        <v>93</v>
      </c>
      <c r="D53" t="s">
        <v>366</v>
      </c>
      <c r="E53">
        <v>1</v>
      </c>
      <c r="F53" t="s">
        <v>281</v>
      </c>
      <c r="H53" t="s">
        <v>200</v>
      </c>
      <c r="I53" t="s">
        <v>141</v>
      </c>
      <c r="J53" t="s">
        <v>141</v>
      </c>
      <c r="K53">
        <v>5.25</v>
      </c>
      <c r="L53" t="s">
        <v>141</v>
      </c>
      <c r="N53" t="s">
        <v>141</v>
      </c>
      <c r="O53" t="s">
        <v>190</v>
      </c>
      <c r="P53">
        <v>4506815</v>
      </c>
      <c r="Q53">
        <v>323.06852950000001</v>
      </c>
      <c r="R53">
        <v>10</v>
      </c>
      <c r="S53" t="s">
        <v>204</v>
      </c>
      <c r="T53" t="s">
        <v>141</v>
      </c>
      <c r="U53" t="s">
        <v>141</v>
      </c>
      <c r="V53" t="s">
        <v>141</v>
      </c>
      <c r="W53">
        <v>3230.6852950000002</v>
      </c>
      <c r="X53">
        <v>3230.6852950000002</v>
      </c>
      <c r="Y53">
        <v>0.28000000000000003</v>
      </c>
      <c r="Z53">
        <v>0.36</v>
      </c>
      <c r="AA53">
        <v>0.37</v>
      </c>
      <c r="AB53">
        <v>61.536862759999998</v>
      </c>
    </row>
    <row r="54" spans="1:29" x14ac:dyDescent="0.25">
      <c r="A54">
        <v>53</v>
      </c>
      <c r="B54" t="s">
        <v>94</v>
      </c>
      <c r="D54" t="s">
        <v>350</v>
      </c>
      <c r="E54">
        <v>3</v>
      </c>
      <c r="F54" t="s">
        <v>400</v>
      </c>
      <c r="H54" t="s">
        <v>200</v>
      </c>
      <c r="I54" t="s">
        <v>141</v>
      </c>
      <c r="J54">
        <v>6.3680000000000003</v>
      </c>
      <c r="K54">
        <v>3.09</v>
      </c>
      <c r="L54" t="s">
        <v>141</v>
      </c>
      <c r="N54">
        <v>0.514761307</v>
      </c>
      <c r="O54" t="s">
        <v>184</v>
      </c>
      <c r="P54">
        <v>2296294</v>
      </c>
      <c r="Q54">
        <v>164.6085597</v>
      </c>
      <c r="R54">
        <v>5</v>
      </c>
      <c r="T54" t="s">
        <v>141</v>
      </c>
      <c r="U54" t="s">
        <v>141</v>
      </c>
      <c r="V54" t="s">
        <v>141</v>
      </c>
      <c r="W54">
        <v>3292.1711930000001</v>
      </c>
      <c r="X54">
        <v>3292.1711930000001</v>
      </c>
      <c r="Y54">
        <v>0.35</v>
      </c>
      <c r="Z54">
        <v>0.33</v>
      </c>
      <c r="AA54">
        <v>0.31</v>
      </c>
      <c r="AB54">
        <v>53.27137853</v>
      </c>
    </row>
    <row r="55" spans="1:29" x14ac:dyDescent="0.25">
      <c r="A55">
        <v>54</v>
      </c>
      <c r="B55" t="s">
        <v>1228</v>
      </c>
      <c r="C55" t="s">
        <v>95</v>
      </c>
      <c r="D55" t="s">
        <v>391</v>
      </c>
      <c r="E55">
        <v>3</v>
      </c>
      <c r="F55" t="s">
        <v>255</v>
      </c>
      <c r="H55" t="s">
        <v>200</v>
      </c>
      <c r="I55" t="s">
        <v>141</v>
      </c>
      <c r="J55">
        <v>3.077</v>
      </c>
      <c r="K55">
        <v>1.04</v>
      </c>
      <c r="L55" t="s">
        <v>141</v>
      </c>
      <c r="N55">
        <v>0.66200844999999997</v>
      </c>
      <c r="O55" t="s">
        <v>182</v>
      </c>
      <c r="P55">
        <v>1647568</v>
      </c>
      <c r="Q55">
        <v>118.1049968</v>
      </c>
      <c r="R55">
        <v>5</v>
      </c>
      <c r="S55" t="s">
        <v>204</v>
      </c>
      <c r="T55" t="s">
        <v>141</v>
      </c>
      <c r="U55" t="s">
        <v>141</v>
      </c>
      <c r="V55" t="s">
        <v>141</v>
      </c>
      <c r="W55">
        <v>2362.0999350000002</v>
      </c>
      <c r="X55">
        <v>2362.0999350000002</v>
      </c>
      <c r="Y55">
        <v>0.25</v>
      </c>
      <c r="Z55">
        <v>0.24</v>
      </c>
      <c r="AA55">
        <v>0.26</v>
      </c>
      <c r="AB55">
        <v>113.5624969</v>
      </c>
      <c r="AC55" t="s">
        <v>742</v>
      </c>
    </row>
    <row r="56" spans="1:29" x14ac:dyDescent="0.25">
      <c r="A56">
        <v>55</v>
      </c>
      <c r="B56" t="s">
        <v>96</v>
      </c>
      <c r="D56" t="s">
        <v>376</v>
      </c>
      <c r="E56">
        <v>1</v>
      </c>
      <c r="F56" t="s">
        <v>380</v>
      </c>
      <c r="H56" t="s">
        <v>200</v>
      </c>
      <c r="I56" t="s">
        <v>141</v>
      </c>
      <c r="J56">
        <v>0.30299999999999999</v>
      </c>
      <c r="K56">
        <v>0.09</v>
      </c>
      <c r="L56" t="s">
        <v>141</v>
      </c>
      <c r="N56">
        <v>0.70297029700000002</v>
      </c>
      <c r="O56" t="s">
        <v>183</v>
      </c>
      <c r="P56">
        <v>257690</v>
      </c>
      <c r="Q56">
        <v>18.47236449</v>
      </c>
      <c r="R56">
        <v>43</v>
      </c>
      <c r="S56" t="s">
        <v>204</v>
      </c>
      <c r="T56" t="s">
        <v>141</v>
      </c>
      <c r="U56" t="s">
        <v>141</v>
      </c>
      <c r="V56" t="s">
        <v>141</v>
      </c>
      <c r="W56">
        <v>42.958987180000001</v>
      </c>
      <c r="X56">
        <v>42.958987180000001</v>
      </c>
      <c r="Y56">
        <v>0.16</v>
      </c>
      <c r="Z56">
        <v>0.15</v>
      </c>
      <c r="AA56">
        <v>0.14000000000000001</v>
      </c>
      <c r="AB56">
        <v>205.2484943</v>
      </c>
    </row>
    <row r="57" spans="1:29" x14ac:dyDescent="0.25">
      <c r="A57">
        <v>56</v>
      </c>
      <c r="B57" t="s">
        <v>6</v>
      </c>
      <c r="D57" t="s">
        <v>377</v>
      </c>
      <c r="E57">
        <v>1</v>
      </c>
      <c r="F57" t="s">
        <v>331</v>
      </c>
      <c r="H57" t="s">
        <v>200</v>
      </c>
      <c r="I57" t="s">
        <v>141</v>
      </c>
      <c r="J57">
        <v>2.948</v>
      </c>
      <c r="K57">
        <v>1.427</v>
      </c>
      <c r="L57" t="s">
        <v>141</v>
      </c>
      <c r="N57">
        <v>0.51594301200000003</v>
      </c>
      <c r="O57" t="s">
        <v>168</v>
      </c>
      <c r="P57">
        <v>5006121</v>
      </c>
      <c r="Q57">
        <v>358.86100269999997</v>
      </c>
      <c r="R57">
        <v>2</v>
      </c>
      <c r="S57" t="s">
        <v>210</v>
      </c>
      <c r="T57">
        <v>17</v>
      </c>
      <c r="U57" t="s">
        <v>141</v>
      </c>
      <c r="V57" t="s">
        <v>141</v>
      </c>
      <c r="W57">
        <v>2110.947075</v>
      </c>
      <c r="X57">
        <v>17943.050139999999</v>
      </c>
      <c r="Y57">
        <v>0.19</v>
      </c>
      <c r="Z57">
        <v>0.18</v>
      </c>
      <c r="AA57">
        <v>0.21</v>
      </c>
      <c r="AB57">
        <v>251.4793292</v>
      </c>
    </row>
    <row r="58" spans="1:29" x14ac:dyDescent="0.25">
      <c r="A58">
        <v>57</v>
      </c>
      <c r="B58" t="s">
        <v>97</v>
      </c>
      <c r="D58" t="s">
        <v>378</v>
      </c>
      <c r="E58">
        <v>1</v>
      </c>
      <c r="F58" t="s">
        <v>99</v>
      </c>
      <c r="H58" t="s">
        <v>200</v>
      </c>
      <c r="I58" t="s">
        <v>141</v>
      </c>
      <c r="J58">
        <v>1.335</v>
      </c>
      <c r="K58">
        <v>0.58799999999999997</v>
      </c>
      <c r="L58" t="s">
        <v>141</v>
      </c>
      <c r="N58">
        <v>0.55955056199999997</v>
      </c>
      <c r="P58">
        <v>671407</v>
      </c>
      <c r="Q58">
        <v>48.129437789999997</v>
      </c>
      <c r="R58">
        <v>5</v>
      </c>
      <c r="S58" t="s">
        <v>204</v>
      </c>
      <c r="T58" t="s">
        <v>141</v>
      </c>
      <c r="U58" t="s">
        <v>141</v>
      </c>
      <c r="V58" t="s">
        <v>141</v>
      </c>
      <c r="W58">
        <v>962.58875579999994</v>
      </c>
      <c r="X58">
        <v>962.58875579999994</v>
      </c>
      <c r="Y58">
        <v>0.25</v>
      </c>
      <c r="Z58">
        <v>0.26</v>
      </c>
      <c r="AA58">
        <v>0.28999999999999998</v>
      </c>
      <c r="AB58">
        <v>81.852785359999999</v>
      </c>
      <c r="AC58" t="s">
        <v>98</v>
      </c>
    </row>
    <row r="59" spans="1:29" x14ac:dyDescent="0.25">
      <c r="A59">
        <v>58</v>
      </c>
      <c r="B59" t="s">
        <v>1197</v>
      </c>
      <c r="D59" t="s">
        <v>638</v>
      </c>
      <c r="E59">
        <v>2</v>
      </c>
      <c r="F59" t="s">
        <v>639</v>
      </c>
      <c r="H59" t="s">
        <v>200</v>
      </c>
      <c r="I59" t="s">
        <v>141</v>
      </c>
      <c r="J59">
        <v>1.083</v>
      </c>
      <c r="K59">
        <v>0.26400000000000001</v>
      </c>
      <c r="L59" t="s">
        <v>141</v>
      </c>
      <c r="N59">
        <v>0.75623268700000001</v>
      </c>
      <c r="O59" t="s">
        <v>178</v>
      </c>
      <c r="P59">
        <v>711777</v>
      </c>
      <c r="Q59">
        <v>51.023338809999998</v>
      </c>
      <c r="R59">
        <v>5</v>
      </c>
      <c r="S59" t="s">
        <v>204</v>
      </c>
      <c r="T59" t="s">
        <v>141</v>
      </c>
      <c r="U59" t="s">
        <v>141</v>
      </c>
      <c r="V59" t="s">
        <v>141</v>
      </c>
      <c r="W59">
        <v>1020.466776</v>
      </c>
      <c r="X59">
        <v>1020.466776</v>
      </c>
      <c r="Y59">
        <v>0.15</v>
      </c>
      <c r="Z59">
        <v>0.12</v>
      </c>
      <c r="AA59">
        <v>0.14000000000000001</v>
      </c>
      <c r="AB59">
        <v>193.2702228</v>
      </c>
    </row>
    <row r="60" spans="1:29" x14ac:dyDescent="0.25">
      <c r="A60">
        <v>59</v>
      </c>
      <c r="B60" t="s">
        <v>100</v>
      </c>
      <c r="D60" t="s">
        <v>378</v>
      </c>
      <c r="E60">
        <v>4</v>
      </c>
      <c r="F60" t="s">
        <v>99</v>
      </c>
      <c r="H60" t="s">
        <v>200</v>
      </c>
      <c r="I60" t="s">
        <v>141</v>
      </c>
      <c r="J60">
        <v>3.2919999999999998</v>
      </c>
      <c r="K60">
        <v>1.4850000000000001</v>
      </c>
      <c r="L60" t="s">
        <v>141</v>
      </c>
      <c r="N60">
        <v>0.54890644</v>
      </c>
      <c r="O60" t="s">
        <v>176</v>
      </c>
      <c r="P60">
        <v>1512675</v>
      </c>
      <c r="Q60">
        <v>108.435267</v>
      </c>
      <c r="R60">
        <v>5</v>
      </c>
      <c r="T60" t="s">
        <v>141</v>
      </c>
      <c r="U60" t="s">
        <v>141</v>
      </c>
      <c r="V60" t="s">
        <v>141</v>
      </c>
      <c r="W60">
        <v>2168.70534</v>
      </c>
      <c r="X60">
        <v>2168.70534</v>
      </c>
      <c r="Y60">
        <v>0.19</v>
      </c>
      <c r="Z60">
        <v>0.26</v>
      </c>
      <c r="AA60">
        <v>0.2</v>
      </c>
      <c r="AB60">
        <v>73.020381819999997</v>
      </c>
      <c r="AC60" t="s">
        <v>101</v>
      </c>
    </row>
    <row r="61" spans="1:29" x14ac:dyDescent="0.25">
      <c r="A61">
        <v>60</v>
      </c>
      <c r="B61" t="s">
        <v>656</v>
      </c>
      <c r="C61" t="s">
        <v>102</v>
      </c>
      <c r="D61" t="s">
        <v>391</v>
      </c>
      <c r="E61">
        <v>1</v>
      </c>
      <c r="F61" t="s">
        <v>255</v>
      </c>
      <c r="H61" t="s">
        <v>200</v>
      </c>
      <c r="I61" t="s">
        <v>141</v>
      </c>
      <c r="J61">
        <v>1.96</v>
      </c>
      <c r="K61">
        <v>0.72499999999999998</v>
      </c>
      <c r="L61" t="s">
        <v>141</v>
      </c>
      <c r="N61">
        <v>0.630102041</v>
      </c>
      <c r="P61">
        <v>1129559</v>
      </c>
      <c r="Q61">
        <v>80.971809379999996</v>
      </c>
      <c r="R61">
        <v>5</v>
      </c>
      <c r="T61" t="s">
        <v>141</v>
      </c>
      <c r="U61" t="s">
        <v>141</v>
      </c>
      <c r="V61" t="s">
        <v>141</v>
      </c>
      <c r="W61">
        <v>1619.4361879999999</v>
      </c>
      <c r="X61">
        <v>1619.4361879999999</v>
      </c>
      <c r="Y61">
        <v>0.22</v>
      </c>
      <c r="Z61">
        <v>0.23</v>
      </c>
      <c r="AA61">
        <v>0.17</v>
      </c>
      <c r="AB61">
        <v>111.6852543</v>
      </c>
    </row>
    <row r="62" spans="1:29" x14ac:dyDescent="0.25">
      <c r="A62">
        <v>61</v>
      </c>
      <c r="B62" t="s">
        <v>1208</v>
      </c>
      <c r="C62" t="s">
        <v>103</v>
      </c>
      <c r="D62" t="s">
        <v>393</v>
      </c>
      <c r="E62">
        <v>6</v>
      </c>
      <c r="F62" t="s">
        <v>261</v>
      </c>
      <c r="H62" t="s">
        <v>200</v>
      </c>
      <c r="I62" t="s">
        <v>141</v>
      </c>
      <c r="J62">
        <v>6.9539999999999997</v>
      </c>
      <c r="K62">
        <v>3.004</v>
      </c>
      <c r="L62" t="s">
        <v>141</v>
      </c>
      <c r="N62">
        <v>0.56801840699999995</v>
      </c>
      <c r="O62" t="s">
        <v>103</v>
      </c>
      <c r="P62">
        <v>2523737</v>
      </c>
      <c r="Q62">
        <v>180.91268479999999</v>
      </c>
      <c r="R62">
        <v>7</v>
      </c>
      <c r="S62" t="s">
        <v>204</v>
      </c>
      <c r="T62" t="s">
        <v>141</v>
      </c>
      <c r="U62" t="s">
        <v>141</v>
      </c>
      <c r="V62" t="s">
        <v>141</v>
      </c>
      <c r="W62">
        <v>2584.4669250000002</v>
      </c>
      <c r="X62">
        <v>2584.4669250000002</v>
      </c>
      <c r="Y62">
        <v>0.36</v>
      </c>
      <c r="Z62">
        <v>0.39</v>
      </c>
      <c r="AA62">
        <v>0.34</v>
      </c>
      <c r="AB62">
        <v>60.223929679999998</v>
      </c>
    </row>
    <row r="63" spans="1:29" x14ac:dyDescent="0.25">
      <c r="A63">
        <v>62</v>
      </c>
      <c r="B63" t="s">
        <v>1214</v>
      </c>
      <c r="C63" t="s">
        <v>104</v>
      </c>
      <c r="D63" t="s">
        <v>544</v>
      </c>
      <c r="E63">
        <v>2</v>
      </c>
      <c r="F63" t="s">
        <v>545</v>
      </c>
      <c r="H63" t="s">
        <v>200</v>
      </c>
      <c r="I63" t="s">
        <v>141</v>
      </c>
      <c r="J63">
        <v>11.929</v>
      </c>
      <c r="K63">
        <v>4.2919999999999998</v>
      </c>
      <c r="L63" t="s">
        <v>141</v>
      </c>
      <c r="N63">
        <v>0.64020454400000004</v>
      </c>
      <c r="O63" t="s">
        <v>104</v>
      </c>
      <c r="P63">
        <v>5563556</v>
      </c>
      <c r="Q63">
        <v>398.82042100000001</v>
      </c>
      <c r="R63">
        <v>4</v>
      </c>
      <c r="S63" t="s">
        <v>204</v>
      </c>
      <c r="T63" t="s">
        <v>141</v>
      </c>
      <c r="U63" t="s">
        <v>141</v>
      </c>
      <c r="V63" t="s">
        <v>141</v>
      </c>
      <c r="W63">
        <v>9970.5105249999997</v>
      </c>
      <c r="X63">
        <v>9970.5105249999997</v>
      </c>
      <c r="Y63">
        <v>0.54</v>
      </c>
      <c r="Z63">
        <v>0.54</v>
      </c>
      <c r="AA63">
        <v>0.49</v>
      </c>
      <c r="AB63">
        <v>92.92181291</v>
      </c>
    </row>
    <row r="64" spans="1:29" x14ac:dyDescent="0.25">
      <c r="A64">
        <v>63</v>
      </c>
      <c r="B64" t="s">
        <v>105</v>
      </c>
      <c r="D64" t="s">
        <v>361</v>
      </c>
      <c r="E64">
        <v>1</v>
      </c>
      <c r="F64" t="s">
        <v>218</v>
      </c>
      <c r="H64" t="s">
        <v>200</v>
      </c>
      <c r="I64" t="s">
        <v>141</v>
      </c>
      <c r="J64">
        <v>1.3819999999999999</v>
      </c>
      <c r="K64">
        <v>0.66500000000000004</v>
      </c>
      <c r="L64" t="s">
        <v>141</v>
      </c>
      <c r="N64">
        <v>0.51881331399999997</v>
      </c>
      <c r="P64">
        <v>670325</v>
      </c>
      <c r="Q64">
        <v>48.051875219999999</v>
      </c>
      <c r="R64">
        <v>5</v>
      </c>
      <c r="T64" t="s">
        <v>141</v>
      </c>
      <c r="U64" t="s">
        <v>141</v>
      </c>
      <c r="V64" t="s">
        <v>141</v>
      </c>
      <c r="W64">
        <v>961.03750439999999</v>
      </c>
      <c r="X64">
        <v>961.03750439999999</v>
      </c>
      <c r="Y64">
        <v>0.22</v>
      </c>
      <c r="Z64">
        <v>0.23</v>
      </c>
      <c r="AA64">
        <v>0.21</v>
      </c>
      <c r="AB64">
        <v>72.25845898</v>
      </c>
    </row>
    <row r="65" spans="1:29" x14ac:dyDescent="0.25">
      <c r="A65">
        <v>64</v>
      </c>
      <c r="B65" t="s">
        <v>1222</v>
      </c>
      <c r="C65" t="s">
        <v>9</v>
      </c>
      <c r="D65" t="s">
        <v>342</v>
      </c>
      <c r="F65" t="s">
        <v>373</v>
      </c>
      <c r="H65" t="s">
        <v>200</v>
      </c>
      <c r="I65" t="s">
        <v>141</v>
      </c>
      <c r="J65">
        <v>11.45</v>
      </c>
      <c r="K65">
        <v>5.7830000000000004</v>
      </c>
      <c r="L65" t="s">
        <v>141</v>
      </c>
      <c r="N65">
        <v>0.494934498</v>
      </c>
      <c r="P65">
        <v>3637993</v>
      </c>
      <c r="Q65">
        <v>260.78750710000003</v>
      </c>
      <c r="R65">
        <v>3</v>
      </c>
      <c r="S65" t="s">
        <v>210</v>
      </c>
      <c r="T65">
        <v>9</v>
      </c>
      <c r="U65" t="s">
        <v>141</v>
      </c>
      <c r="V65" t="s">
        <v>141</v>
      </c>
      <c r="W65">
        <v>2897.6389680000002</v>
      </c>
      <c r="X65">
        <v>8692.9169029999994</v>
      </c>
      <c r="Y65">
        <v>0.47</v>
      </c>
      <c r="Z65">
        <v>0.35</v>
      </c>
      <c r="AA65">
        <v>0.37</v>
      </c>
      <c r="AB65">
        <v>45.095539879999997</v>
      </c>
      <c r="AC65" t="s">
        <v>998</v>
      </c>
    </row>
    <row r="66" spans="1:29" x14ac:dyDescent="0.25">
      <c r="A66">
        <v>65</v>
      </c>
      <c r="B66" t="s">
        <v>106</v>
      </c>
      <c r="D66" t="s">
        <v>346</v>
      </c>
      <c r="E66">
        <v>5</v>
      </c>
      <c r="F66" t="s">
        <v>15</v>
      </c>
      <c r="H66" t="s">
        <v>200</v>
      </c>
      <c r="I66" t="s">
        <v>141</v>
      </c>
      <c r="J66">
        <v>3.79</v>
      </c>
      <c r="K66">
        <v>1.7450000000000001</v>
      </c>
      <c r="L66" t="s">
        <v>141</v>
      </c>
      <c r="N66">
        <v>0.53957783599999998</v>
      </c>
      <c r="O66" t="s">
        <v>159</v>
      </c>
      <c r="P66">
        <v>1625872</v>
      </c>
      <c r="Q66">
        <v>116.5497311</v>
      </c>
      <c r="R66">
        <v>5</v>
      </c>
      <c r="T66" t="s">
        <v>141</v>
      </c>
      <c r="U66" t="s">
        <v>141</v>
      </c>
      <c r="V66" t="s">
        <v>141</v>
      </c>
      <c r="W66">
        <v>2330.9946209999998</v>
      </c>
      <c r="X66">
        <v>2330.9946209999998</v>
      </c>
      <c r="Y66">
        <v>0.33</v>
      </c>
      <c r="Z66">
        <v>0.31</v>
      </c>
      <c r="AA66">
        <v>0.33</v>
      </c>
      <c r="AB66">
        <v>66.790676820000002</v>
      </c>
      <c r="AC66" t="s">
        <v>158</v>
      </c>
    </row>
    <row r="67" spans="1:29" x14ac:dyDescent="0.25">
      <c r="A67">
        <v>66</v>
      </c>
      <c r="B67" t="s">
        <v>108</v>
      </c>
      <c r="D67" t="s">
        <v>366</v>
      </c>
      <c r="E67">
        <v>2</v>
      </c>
      <c r="F67" t="s">
        <v>281</v>
      </c>
      <c r="H67" t="s">
        <v>200</v>
      </c>
      <c r="I67" t="s">
        <v>141</v>
      </c>
      <c r="J67">
        <v>7.351</v>
      </c>
      <c r="K67">
        <v>2.1619999999999999</v>
      </c>
      <c r="L67" t="s">
        <v>141</v>
      </c>
      <c r="N67">
        <v>0.70589035499999997</v>
      </c>
      <c r="O67" t="s">
        <v>160</v>
      </c>
      <c r="P67">
        <v>2842828</v>
      </c>
      <c r="Q67">
        <v>203.7865458</v>
      </c>
      <c r="R67">
        <v>5</v>
      </c>
      <c r="T67" t="s">
        <v>141</v>
      </c>
      <c r="U67" t="s">
        <v>141</v>
      </c>
      <c r="V67" t="s">
        <v>141</v>
      </c>
      <c r="W67">
        <v>4075.7309169999999</v>
      </c>
      <c r="X67">
        <v>4075.7309169999999</v>
      </c>
      <c r="Y67">
        <v>0.34</v>
      </c>
      <c r="Z67">
        <v>0.36</v>
      </c>
      <c r="AA67">
        <v>0.4</v>
      </c>
      <c r="AB67">
        <v>94.25834682</v>
      </c>
    </row>
    <row r="68" spans="1:29" x14ac:dyDescent="0.25">
      <c r="A68">
        <v>67</v>
      </c>
      <c r="B68" t="s">
        <v>109</v>
      </c>
      <c r="D68" t="s">
        <v>362</v>
      </c>
      <c r="E68">
        <v>1</v>
      </c>
      <c r="F68" t="s">
        <v>363</v>
      </c>
      <c r="H68" t="s">
        <v>200</v>
      </c>
      <c r="I68" t="s">
        <v>141</v>
      </c>
      <c r="J68">
        <v>2.2519999999999998</v>
      </c>
      <c r="K68">
        <v>0.74299999999999999</v>
      </c>
      <c r="L68" t="s">
        <v>141</v>
      </c>
      <c r="N68">
        <v>0.67007104799999995</v>
      </c>
      <c r="P68">
        <v>1019055</v>
      </c>
      <c r="Q68">
        <v>73.050391529999999</v>
      </c>
      <c r="R68">
        <v>5</v>
      </c>
      <c r="S68" t="s">
        <v>204</v>
      </c>
      <c r="T68" t="s">
        <v>141</v>
      </c>
      <c r="U68" t="s">
        <v>141</v>
      </c>
      <c r="V68" t="s">
        <v>141</v>
      </c>
      <c r="W68">
        <v>1461.0078309999999</v>
      </c>
      <c r="X68">
        <v>1461.0078309999999</v>
      </c>
      <c r="Y68">
        <v>0.21</v>
      </c>
      <c r="Z68">
        <v>0.2</v>
      </c>
      <c r="AA68">
        <v>0.21</v>
      </c>
      <c r="AB68">
        <v>98.318158190000005</v>
      </c>
    </row>
    <row r="69" spans="1:29" x14ac:dyDescent="0.25">
      <c r="A69">
        <v>68</v>
      </c>
      <c r="B69" t="s">
        <v>495</v>
      </c>
      <c r="C69" t="s">
        <v>110</v>
      </c>
      <c r="D69" t="s">
        <v>344</v>
      </c>
      <c r="E69">
        <v>2</v>
      </c>
      <c r="F69" t="s">
        <v>384</v>
      </c>
      <c r="H69" t="s">
        <v>200</v>
      </c>
      <c r="I69" t="s">
        <v>141</v>
      </c>
      <c r="J69">
        <v>2.5649999999999999</v>
      </c>
      <c r="K69">
        <v>1.212</v>
      </c>
      <c r="L69" t="s">
        <v>141</v>
      </c>
      <c r="N69">
        <v>0.52748538</v>
      </c>
      <c r="O69" t="s">
        <v>165</v>
      </c>
      <c r="P69">
        <v>1223585</v>
      </c>
      <c r="Q69">
        <v>87.712010960000001</v>
      </c>
      <c r="R69">
        <v>5</v>
      </c>
      <c r="S69" t="s">
        <v>204</v>
      </c>
      <c r="T69" t="s">
        <v>141</v>
      </c>
      <c r="U69" t="s">
        <v>141</v>
      </c>
      <c r="V69" t="s">
        <v>141</v>
      </c>
      <c r="W69">
        <v>1754.240219</v>
      </c>
      <c r="X69">
        <v>1754.240219</v>
      </c>
      <c r="Y69">
        <v>0.22</v>
      </c>
      <c r="Z69">
        <v>0.28000000000000003</v>
      </c>
      <c r="AA69">
        <v>0.22</v>
      </c>
      <c r="AB69">
        <v>72.369646000000003</v>
      </c>
    </row>
    <row r="70" spans="1:29" x14ac:dyDescent="0.25">
      <c r="A70">
        <v>69</v>
      </c>
      <c r="B70" t="s">
        <v>111</v>
      </c>
      <c r="D70" t="s">
        <v>364</v>
      </c>
      <c r="E70">
        <v>1</v>
      </c>
      <c r="F70" t="s">
        <v>314</v>
      </c>
      <c r="H70" t="s">
        <v>200</v>
      </c>
      <c r="I70" t="s">
        <v>141</v>
      </c>
      <c r="J70">
        <v>0.435</v>
      </c>
      <c r="K70">
        <v>0.182</v>
      </c>
      <c r="L70" t="s">
        <v>141</v>
      </c>
      <c r="N70">
        <v>0.58160919499999997</v>
      </c>
      <c r="O70" t="s">
        <v>161</v>
      </c>
      <c r="P70">
        <v>303119</v>
      </c>
      <c r="Q70">
        <v>21.728917119999998</v>
      </c>
      <c r="R70">
        <v>23</v>
      </c>
      <c r="S70" t="s">
        <v>204</v>
      </c>
      <c r="T70" t="s">
        <v>141</v>
      </c>
      <c r="U70" t="s">
        <v>141</v>
      </c>
      <c r="V70" t="s">
        <v>141</v>
      </c>
      <c r="W70">
        <v>94.473552679999997</v>
      </c>
      <c r="X70">
        <v>94.473552679999997</v>
      </c>
      <c r="Y70">
        <v>0.2</v>
      </c>
      <c r="Z70">
        <v>0.2</v>
      </c>
      <c r="AA70">
        <v>0.18</v>
      </c>
      <c r="AB70">
        <v>119.38965450000001</v>
      </c>
    </row>
    <row r="71" spans="1:29" x14ac:dyDescent="0.25">
      <c r="A71">
        <v>70</v>
      </c>
      <c r="B71" t="s">
        <v>112</v>
      </c>
      <c r="D71" t="s">
        <v>340</v>
      </c>
      <c r="E71">
        <v>2</v>
      </c>
      <c r="F71" t="s">
        <v>5</v>
      </c>
      <c r="H71" t="s">
        <v>200</v>
      </c>
      <c r="I71" t="s">
        <v>141</v>
      </c>
      <c r="J71">
        <v>1.4610000000000001</v>
      </c>
      <c r="K71">
        <v>0.61899999999999999</v>
      </c>
      <c r="L71" t="s">
        <v>141</v>
      </c>
      <c r="N71">
        <v>0.57631759100000002</v>
      </c>
      <c r="O71" t="s">
        <v>162</v>
      </c>
      <c r="P71">
        <v>785658</v>
      </c>
      <c r="Q71">
        <v>56.319457249999999</v>
      </c>
      <c r="R71">
        <v>5</v>
      </c>
      <c r="T71" t="s">
        <v>141</v>
      </c>
      <c r="U71" t="s">
        <v>141</v>
      </c>
      <c r="V71" t="s">
        <v>141</v>
      </c>
      <c r="W71">
        <v>1126.3891450000001</v>
      </c>
      <c r="X71">
        <v>1126.3891450000001</v>
      </c>
      <c r="Y71">
        <v>0.25</v>
      </c>
      <c r="Z71">
        <v>0.22</v>
      </c>
      <c r="AA71">
        <v>0.22</v>
      </c>
      <c r="AB71">
        <v>90.984583610000001</v>
      </c>
    </row>
    <row r="72" spans="1:29" x14ac:dyDescent="0.25">
      <c r="A72">
        <v>71</v>
      </c>
      <c r="B72" t="s">
        <v>113</v>
      </c>
      <c r="D72" t="s">
        <v>382</v>
      </c>
      <c r="E72">
        <v>1</v>
      </c>
      <c r="F72" t="s">
        <v>213</v>
      </c>
      <c r="H72" t="s">
        <v>200</v>
      </c>
      <c r="I72" t="s">
        <v>141</v>
      </c>
      <c r="J72">
        <v>1.8660000000000001</v>
      </c>
      <c r="K72">
        <v>0.97</v>
      </c>
      <c r="L72" t="s">
        <v>141</v>
      </c>
      <c r="N72">
        <v>0.48017148999999998</v>
      </c>
      <c r="O72" t="s">
        <v>163</v>
      </c>
      <c r="P72">
        <v>721954</v>
      </c>
      <c r="Q72">
        <v>51.752871399999997</v>
      </c>
      <c r="R72">
        <v>5</v>
      </c>
      <c r="S72" t="s">
        <v>204</v>
      </c>
      <c r="T72" t="s">
        <v>141</v>
      </c>
      <c r="U72" t="s">
        <v>141</v>
      </c>
      <c r="V72" t="s">
        <v>141</v>
      </c>
      <c r="W72">
        <v>1035.0574280000001</v>
      </c>
      <c r="X72">
        <v>1035.0574280000001</v>
      </c>
      <c r="Y72">
        <v>0.35</v>
      </c>
      <c r="Z72">
        <v>0.39</v>
      </c>
      <c r="AA72">
        <v>0.33</v>
      </c>
      <c r="AB72">
        <v>53.353475670000002</v>
      </c>
    </row>
    <row r="73" spans="1:29" x14ac:dyDescent="0.25">
      <c r="A73">
        <v>72</v>
      </c>
      <c r="B73" t="s">
        <v>114</v>
      </c>
      <c r="D73" t="s">
        <v>347</v>
      </c>
      <c r="E73">
        <v>2</v>
      </c>
      <c r="F73" t="s">
        <v>19</v>
      </c>
      <c r="H73" t="s">
        <v>200</v>
      </c>
      <c r="I73" t="s">
        <v>141</v>
      </c>
      <c r="J73">
        <v>7.7220000000000004</v>
      </c>
      <c r="K73">
        <v>2.778</v>
      </c>
      <c r="L73" t="s">
        <v>141</v>
      </c>
      <c r="N73">
        <v>0.64024864000000004</v>
      </c>
      <c r="P73">
        <v>3143247</v>
      </c>
      <c r="Q73">
        <v>225.3219149</v>
      </c>
      <c r="R73">
        <v>1</v>
      </c>
      <c r="S73" t="s">
        <v>210</v>
      </c>
      <c r="T73">
        <v>232</v>
      </c>
      <c r="U73" t="s">
        <v>141</v>
      </c>
      <c r="V73" t="s">
        <v>141</v>
      </c>
      <c r="W73">
        <v>97.121515059999993</v>
      </c>
      <c r="X73">
        <v>22532.191490000001</v>
      </c>
      <c r="Y73">
        <v>0.25</v>
      </c>
      <c r="Z73">
        <v>0.22</v>
      </c>
      <c r="AA73">
        <v>0.19</v>
      </c>
      <c r="AB73">
        <v>81.109400629999996</v>
      </c>
    </row>
    <row r="74" spans="1:29" x14ac:dyDescent="0.25">
      <c r="A74">
        <v>73</v>
      </c>
      <c r="B74" t="s">
        <v>115</v>
      </c>
      <c r="D74" t="s">
        <v>375</v>
      </c>
      <c r="E74">
        <v>1</v>
      </c>
      <c r="F74" t="s">
        <v>278</v>
      </c>
      <c r="H74" t="s">
        <v>200</v>
      </c>
      <c r="I74" t="s">
        <v>141</v>
      </c>
      <c r="J74">
        <v>6.6449999999999996</v>
      </c>
      <c r="K74">
        <v>2.8439999999999999</v>
      </c>
      <c r="L74" t="s">
        <v>141</v>
      </c>
      <c r="N74">
        <v>0.57200902899999995</v>
      </c>
      <c r="O74" t="s">
        <v>115</v>
      </c>
      <c r="P74">
        <v>3435595</v>
      </c>
      <c r="Q74">
        <v>246.2787189</v>
      </c>
      <c r="R74">
        <v>2</v>
      </c>
      <c r="S74" t="s">
        <v>210</v>
      </c>
      <c r="T74">
        <v>21</v>
      </c>
      <c r="U74" t="s">
        <v>141</v>
      </c>
      <c r="V74" t="s">
        <v>141</v>
      </c>
      <c r="W74">
        <v>1172.7558039999999</v>
      </c>
      <c r="X74">
        <v>12313.935949999999</v>
      </c>
      <c r="Y74">
        <v>0.17</v>
      </c>
      <c r="Z74">
        <v>0.19</v>
      </c>
      <c r="AA74">
        <v>0.18</v>
      </c>
      <c r="AB74">
        <v>86.595892730000003</v>
      </c>
    </row>
    <row r="75" spans="1:29" x14ac:dyDescent="0.25">
      <c r="A75">
        <v>74</v>
      </c>
      <c r="B75" t="s">
        <v>116</v>
      </c>
      <c r="D75" t="s">
        <v>347</v>
      </c>
      <c r="E75">
        <v>4</v>
      </c>
      <c r="F75" t="s">
        <v>19</v>
      </c>
      <c r="H75" t="s">
        <v>200</v>
      </c>
      <c r="I75" t="s">
        <v>141</v>
      </c>
      <c r="J75">
        <v>8.0329999999999995</v>
      </c>
      <c r="K75">
        <v>3.548</v>
      </c>
      <c r="L75" t="s">
        <v>141</v>
      </c>
      <c r="N75">
        <v>0.55832192199999997</v>
      </c>
      <c r="O75" t="s">
        <v>185</v>
      </c>
      <c r="P75">
        <v>4202848</v>
      </c>
      <c r="Q75">
        <v>301.27882399999999</v>
      </c>
      <c r="R75">
        <v>2</v>
      </c>
      <c r="S75" t="s">
        <v>210</v>
      </c>
      <c r="T75">
        <v>314</v>
      </c>
      <c r="U75" t="s">
        <v>141</v>
      </c>
      <c r="V75" t="s">
        <v>141</v>
      </c>
      <c r="W75">
        <v>95.948670050000004</v>
      </c>
      <c r="X75">
        <v>15063.941199999999</v>
      </c>
      <c r="Y75">
        <v>0.18</v>
      </c>
      <c r="Z75">
        <v>0.18</v>
      </c>
      <c r="AA75">
        <v>0.16</v>
      </c>
      <c r="AB75">
        <v>84.915113860000005</v>
      </c>
    </row>
    <row r="76" spans="1:29" x14ac:dyDescent="0.25">
      <c r="A76">
        <v>75</v>
      </c>
      <c r="B76" t="s">
        <v>117</v>
      </c>
      <c r="D76" t="s">
        <v>383</v>
      </c>
      <c r="E76">
        <v>1</v>
      </c>
      <c r="F76" t="s">
        <v>194</v>
      </c>
      <c r="H76" t="s">
        <v>200</v>
      </c>
      <c r="I76" t="s">
        <v>141</v>
      </c>
      <c r="J76">
        <v>11.63</v>
      </c>
      <c r="K76">
        <v>4.0229999999999997</v>
      </c>
      <c r="L76" t="s">
        <v>141</v>
      </c>
      <c r="N76">
        <v>0.65408426500000005</v>
      </c>
      <c r="O76" t="s">
        <v>177</v>
      </c>
      <c r="P76">
        <v>3779584</v>
      </c>
      <c r="Q76">
        <v>270.93737929999998</v>
      </c>
      <c r="R76">
        <v>1</v>
      </c>
      <c r="S76" t="s">
        <v>210</v>
      </c>
      <c r="T76">
        <v>3</v>
      </c>
      <c r="U76" t="s">
        <v>141</v>
      </c>
      <c r="V76" t="s">
        <v>141</v>
      </c>
      <c r="W76">
        <v>9031.2459760000002</v>
      </c>
      <c r="X76">
        <v>27093.737929999999</v>
      </c>
      <c r="Y76">
        <v>0.48</v>
      </c>
      <c r="Z76">
        <v>0.37</v>
      </c>
      <c r="AA76">
        <v>0.48</v>
      </c>
      <c r="AB76">
        <v>67.347099</v>
      </c>
    </row>
    <row r="77" spans="1:29" x14ac:dyDescent="0.25">
      <c r="A77">
        <v>76</v>
      </c>
      <c r="B77" t="s">
        <v>118</v>
      </c>
      <c r="D77" t="s">
        <v>378</v>
      </c>
      <c r="E77">
        <v>3</v>
      </c>
      <c r="F77" t="s">
        <v>99</v>
      </c>
      <c r="H77" t="s">
        <v>200</v>
      </c>
      <c r="I77" t="s">
        <v>141</v>
      </c>
      <c r="J77">
        <v>3.7690000000000001</v>
      </c>
      <c r="K77">
        <v>1.62</v>
      </c>
      <c r="L77" t="s">
        <v>141</v>
      </c>
      <c r="N77">
        <v>0.57017776600000003</v>
      </c>
      <c r="O77" t="s">
        <v>174</v>
      </c>
      <c r="P77">
        <v>1669634</v>
      </c>
      <c r="Q77">
        <v>119.6867857</v>
      </c>
      <c r="R77">
        <v>5</v>
      </c>
      <c r="S77" t="s">
        <v>204</v>
      </c>
      <c r="T77" t="s">
        <v>141</v>
      </c>
      <c r="U77" t="s">
        <v>141</v>
      </c>
      <c r="V77" t="s">
        <v>141</v>
      </c>
      <c r="W77">
        <v>2393.7357139999999</v>
      </c>
      <c r="X77">
        <v>2393.7357139999999</v>
      </c>
      <c r="Y77">
        <v>0.32</v>
      </c>
      <c r="Z77">
        <v>0.28000000000000003</v>
      </c>
      <c r="AA77">
        <v>0.24</v>
      </c>
      <c r="AB77">
        <v>73.880731920000002</v>
      </c>
      <c r="AC77" t="s">
        <v>119</v>
      </c>
    </row>
    <row r="78" spans="1:29" x14ac:dyDescent="0.25">
      <c r="A78">
        <v>77</v>
      </c>
      <c r="B78" t="s">
        <v>120</v>
      </c>
      <c r="D78" t="s">
        <v>362</v>
      </c>
      <c r="E78">
        <v>2</v>
      </c>
      <c r="F78" t="s">
        <v>363</v>
      </c>
      <c r="H78" t="s">
        <v>200</v>
      </c>
      <c r="I78" t="s">
        <v>141</v>
      </c>
      <c r="J78">
        <v>3.0990000000000002</v>
      </c>
      <c r="K78">
        <v>1.038</v>
      </c>
      <c r="L78" t="s">
        <v>141</v>
      </c>
      <c r="N78">
        <v>0.66505324300000002</v>
      </c>
      <c r="P78">
        <v>1465883</v>
      </c>
      <c r="Q78">
        <v>105.0810085</v>
      </c>
      <c r="R78">
        <v>5</v>
      </c>
      <c r="S78" t="s">
        <v>204</v>
      </c>
      <c r="T78" t="s">
        <v>141</v>
      </c>
      <c r="U78" t="s">
        <v>141</v>
      </c>
      <c r="V78" t="s">
        <v>141</v>
      </c>
      <c r="W78">
        <v>2101.6201700000001</v>
      </c>
      <c r="X78">
        <v>2101.6201700000001</v>
      </c>
      <c r="Y78">
        <v>0.21</v>
      </c>
      <c r="Z78">
        <v>0.15</v>
      </c>
      <c r="AA78">
        <v>0.21</v>
      </c>
      <c r="AB78">
        <v>101.2341122</v>
      </c>
    </row>
    <row r="79" spans="1:29" x14ac:dyDescent="0.25">
      <c r="A79">
        <v>78</v>
      </c>
      <c r="B79" t="s">
        <v>121</v>
      </c>
      <c r="D79" t="s">
        <v>340</v>
      </c>
      <c r="E79">
        <v>3</v>
      </c>
      <c r="F79" t="s">
        <v>5</v>
      </c>
      <c r="H79" t="s">
        <v>200</v>
      </c>
      <c r="I79" t="s">
        <v>141</v>
      </c>
      <c r="J79">
        <v>4.0220000000000002</v>
      </c>
      <c r="K79">
        <v>1.7490000000000001</v>
      </c>
      <c r="L79" t="s">
        <v>141</v>
      </c>
      <c r="N79">
        <v>0.56514172100000004</v>
      </c>
      <c r="O79" t="s">
        <v>164</v>
      </c>
      <c r="P79">
        <v>1872299</v>
      </c>
      <c r="Q79">
        <v>134.21471360000001</v>
      </c>
      <c r="R79">
        <v>5</v>
      </c>
      <c r="S79" t="s">
        <v>204</v>
      </c>
      <c r="T79" t="s">
        <v>141</v>
      </c>
      <c r="U79" t="s">
        <v>141</v>
      </c>
      <c r="V79" t="s">
        <v>141</v>
      </c>
      <c r="W79">
        <v>2684.294273</v>
      </c>
      <c r="X79">
        <v>2684.294273</v>
      </c>
      <c r="Y79">
        <v>0.25</v>
      </c>
      <c r="Z79">
        <v>0.26</v>
      </c>
      <c r="AA79">
        <v>0.3</v>
      </c>
      <c r="AB79">
        <v>76.737972350000007</v>
      </c>
    </row>
    <row r="80" spans="1:29" x14ac:dyDescent="0.25">
      <c r="A80">
        <v>79</v>
      </c>
      <c r="B80" t="s">
        <v>1209</v>
      </c>
      <c r="C80" t="s">
        <v>122</v>
      </c>
      <c r="D80" t="s">
        <v>393</v>
      </c>
      <c r="E80">
        <v>7</v>
      </c>
      <c r="F80" t="s">
        <v>261</v>
      </c>
      <c r="H80" t="s">
        <v>200</v>
      </c>
      <c r="I80" t="s">
        <v>141</v>
      </c>
      <c r="J80">
        <v>17.971</v>
      </c>
      <c r="K80">
        <v>6.8979999999999997</v>
      </c>
      <c r="L80" t="s">
        <v>141</v>
      </c>
      <c r="N80">
        <v>0.61615936800000004</v>
      </c>
      <c r="O80" t="s">
        <v>188</v>
      </c>
      <c r="P80">
        <v>6113830</v>
      </c>
      <c r="Q80">
        <v>438.26650699999999</v>
      </c>
      <c r="R80">
        <v>5</v>
      </c>
      <c r="S80" t="s">
        <v>204</v>
      </c>
      <c r="T80" t="s">
        <v>141</v>
      </c>
      <c r="U80" t="s">
        <v>141</v>
      </c>
      <c r="V80" t="s">
        <v>141</v>
      </c>
      <c r="W80">
        <v>8765.33014</v>
      </c>
      <c r="X80">
        <v>8765.33014</v>
      </c>
      <c r="Y80">
        <v>0.35</v>
      </c>
      <c r="Z80">
        <v>0.35</v>
      </c>
      <c r="AA80">
        <v>0.35</v>
      </c>
      <c r="AB80">
        <v>63.535301099999998</v>
      </c>
    </row>
    <row r="81" spans="1:29" x14ac:dyDescent="0.25">
      <c r="A81">
        <v>80</v>
      </c>
      <c r="B81" t="s">
        <v>123</v>
      </c>
      <c r="D81" t="s">
        <v>349</v>
      </c>
      <c r="E81">
        <v>3</v>
      </c>
      <c r="F81" t="s">
        <v>61</v>
      </c>
      <c r="H81" t="s">
        <v>200</v>
      </c>
      <c r="I81" t="s">
        <v>141</v>
      </c>
      <c r="J81">
        <v>16.07</v>
      </c>
      <c r="K81">
        <v>5.61</v>
      </c>
      <c r="L81" t="s">
        <v>141</v>
      </c>
      <c r="N81">
        <v>0.65090230199999999</v>
      </c>
      <c r="O81" t="s">
        <v>189</v>
      </c>
      <c r="P81">
        <v>5988538</v>
      </c>
      <c r="Q81">
        <v>429.2850196</v>
      </c>
      <c r="R81">
        <v>1</v>
      </c>
      <c r="S81" t="s">
        <v>210</v>
      </c>
      <c r="T81">
        <v>877</v>
      </c>
      <c r="U81" t="s">
        <v>141</v>
      </c>
      <c r="V81" t="s">
        <v>141</v>
      </c>
      <c r="W81">
        <v>48.949261069999999</v>
      </c>
      <c r="X81">
        <v>42928.501960000001</v>
      </c>
      <c r="Y81">
        <v>0.2</v>
      </c>
      <c r="Z81">
        <v>0.17</v>
      </c>
      <c r="AA81">
        <v>0.18</v>
      </c>
      <c r="AB81">
        <v>76.521393860000003</v>
      </c>
    </row>
    <row r="82" spans="1:29" x14ac:dyDescent="0.25">
      <c r="A82">
        <v>81</v>
      </c>
      <c r="B82" t="s">
        <v>124</v>
      </c>
      <c r="D82" t="s">
        <v>378</v>
      </c>
      <c r="E82">
        <v>2</v>
      </c>
      <c r="F82" t="s">
        <v>99</v>
      </c>
      <c r="H82" t="s">
        <v>200</v>
      </c>
      <c r="I82" t="s">
        <v>141</v>
      </c>
      <c r="J82">
        <v>4.4240000000000004</v>
      </c>
      <c r="K82">
        <v>2.1269999999999998</v>
      </c>
      <c r="L82" t="s">
        <v>141</v>
      </c>
      <c r="N82">
        <v>0.519213382</v>
      </c>
      <c r="P82">
        <v>2117079</v>
      </c>
      <c r="Q82">
        <v>151.76163199999999</v>
      </c>
      <c r="R82">
        <v>5</v>
      </c>
      <c r="S82" t="s">
        <v>204</v>
      </c>
      <c r="T82" t="s">
        <v>141</v>
      </c>
      <c r="U82" t="s">
        <v>141</v>
      </c>
      <c r="V82" t="s">
        <v>141</v>
      </c>
      <c r="W82">
        <v>3035.2326389999998</v>
      </c>
      <c r="X82">
        <v>3035.2326389999998</v>
      </c>
      <c r="Y82">
        <v>0.25</v>
      </c>
      <c r="Z82">
        <v>0.28999999999999998</v>
      </c>
      <c r="AA82">
        <v>0.28000000000000003</v>
      </c>
      <c r="AB82">
        <v>71.350085550000003</v>
      </c>
      <c r="AC82" t="s">
        <v>125</v>
      </c>
    </row>
    <row r="83" spans="1:29" x14ac:dyDescent="0.25">
      <c r="A83">
        <v>82</v>
      </c>
      <c r="B83" t="s">
        <v>107</v>
      </c>
      <c r="D83" t="s">
        <v>346</v>
      </c>
      <c r="E83">
        <v>4</v>
      </c>
      <c r="F83" t="s">
        <v>15</v>
      </c>
      <c r="H83" t="s">
        <v>200</v>
      </c>
      <c r="I83" t="s">
        <v>141</v>
      </c>
      <c r="J83">
        <v>4.7160000000000002</v>
      </c>
      <c r="K83">
        <v>1.79</v>
      </c>
      <c r="L83" t="s">
        <v>141</v>
      </c>
      <c r="N83">
        <v>0.62044105199999999</v>
      </c>
      <c r="O83" t="s">
        <v>180</v>
      </c>
      <c r="P83">
        <v>1921518</v>
      </c>
      <c r="Q83">
        <v>137.74295029999999</v>
      </c>
      <c r="R83">
        <v>5</v>
      </c>
      <c r="S83" t="s">
        <v>204</v>
      </c>
      <c r="T83" t="s">
        <v>141</v>
      </c>
      <c r="U83" t="s">
        <v>141</v>
      </c>
      <c r="V83" t="s">
        <v>141</v>
      </c>
      <c r="W83">
        <v>2754.8590060000001</v>
      </c>
      <c r="X83">
        <v>2754.8590060000001</v>
      </c>
      <c r="Y83">
        <v>0.28999999999999998</v>
      </c>
      <c r="Z83">
        <v>0.28999999999999998</v>
      </c>
      <c r="AA83">
        <v>0.27</v>
      </c>
      <c r="AB83">
        <v>76.951368889999998</v>
      </c>
      <c r="AC83" t="s">
        <v>126</v>
      </c>
    </row>
    <row r="84" spans="1:29" x14ac:dyDescent="0.25">
      <c r="A84">
        <v>83</v>
      </c>
      <c r="B84" t="s">
        <v>77</v>
      </c>
      <c r="D84" t="s">
        <v>362</v>
      </c>
      <c r="E84">
        <v>3</v>
      </c>
      <c r="F84" t="s">
        <v>363</v>
      </c>
      <c r="H84" t="s">
        <v>200</v>
      </c>
      <c r="I84" t="s">
        <v>141</v>
      </c>
      <c r="J84">
        <v>1.2729999999999999</v>
      </c>
      <c r="K84">
        <v>0.42399999999999999</v>
      </c>
      <c r="L84" t="s">
        <v>141</v>
      </c>
      <c r="N84">
        <v>0.66692851500000006</v>
      </c>
      <c r="P84">
        <v>627174</v>
      </c>
      <c r="Q84">
        <v>44.958619759999998</v>
      </c>
      <c r="R84">
        <v>5</v>
      </c>
      <c r="S84" t="s">
        <v>204</v>
      </c>
      <c r="T84" t="s">
        <v>141</v>
      </c>
      <c r="U84" t="s">
        <v>141</v>
      </c>
      <c r="V84" t="s">
        <v>141</v>
      </c>
      <c r="W84">
        <v>899.17239519999998</v>
      </c>
      <c r="X84">
        <v>899.17239519999998</v>
      </c>
      <c r="Y84">
        <v>0.16</v>
      </c>
      <c r="Z84">
        <v>0.19</v>
      </c>
      <c r="AA84">
        <v>0.17</v>
      </c>
      <c r="AB84">
        <v>106.03448059999999</v>
      </c>
      <c r="AC84" t="s">
        <v>47</v>
      </c>
    </row>
    <row r="85" spans="1:29" x14ac:dyDescent="0.25">
      <c r="A85">
        <v>84</v>
      </c>
      <c r="B85" t="s">
        <v>128</v>
      </c>
      <c r="D85" t="s">
        <v>353</v>
      </c>
      <c r="E85">
        <v>2</v>
      </c>
      <c r="F85" t="s">
        <v>287</v>
      </c>
      <c r="H85" t="s">
        <v>200</v>
      </c>
      <c r="I85" t="s">
        <v>141</v>
      </c>
      <c r="J85">
        <v>5.851</v>
      </c>
      <c r="K85">
        <v>2.0750000000000002</v>
      </c>
      <c r="L85" t="s">
        <v>141</v>
      </c>
      <c r="N85">
        <v>0.64535976799999994</v>
      </c>
      <c r="O85" t="s">
        <v>128</v>
      </c>
      <c r="P85">
        <v>2108728</v>
      </c>
      <c r="Q85">
        <v>151.16299520000001</v>
      </c>
      <c r="R85">
        <v>5</v>
      </c>
      <c r="S85" t="s">
        <v>204</v>
      </c>
      <c r="T85" t="s">
        <v>141</v>
      </c>
      <c r="U85" t="s">
        <v>141</v>
      </c>
      <c r="V85" t="s">
        <v>141</v>
      </c>
      <c r="W85">
        <v>3023.2599030000001</v>
      </c>
      <c r="X85">
        <v>3023.2599030000001</v>
      </c>
      <c r="Y85">
        <v>0.35</v>
      </c>
      <c r="Z85">
        <v>0.32</v>
      </c>
      <c r="AA85">
        <v>0.37</v>
      </c>
      <c r="AB85">
        <v>72.849636219999994</v>
      </c>
    </row>
    <row r="86" spans="1:29" x14ac:dyDescent="0.25">
      <c r="A86">
        <v>85</v>
      </c>
      <c r="B86" t="s">
        <v>129</v>
      </c>
      <c r="D86" t="s">
        <v>364</v>
      </c>
      <c r="E86">
        <v>2</v>
      </c>
      <c r="F86" t="s">
        <v>314</v>
      </c>
      <c r="H86" t="s">
        <v>200</v>
      </c>
      <c r="I86" t="s">
        <v>141</v>
      </c>
      <c r="J86">
        <v>0.27800000000000002</v>
      </c>
      <c r="K86">
        <v>0.10299999999999999</v>
      </c>
      <c r="L86" t="s">
        <v>141</v>
      </c>
      <c r="N86">
        <v>0.62949640299999998</v>
      </c>
      <c r="O86" t="s">
        <v>181</v>
      </c>
      <c r="P86">
        <v>184133</v>
      </c>
      <c r="Q86">
        <v>13.19947181</v>
      </c>
      <c r="R86">
        <v>28</v>
      </c>
      <c r="S86" t="s">
        <v>204</v>
      </c>
      <c r="T86" t="s">
        <v>141</v>
      </c>
      <c r="U86" t="s">
        <v>141</v>
      </c>
      <c r="V86" t="s">
        <v>141</v>
      </c>
      <c r="W86">
        <v>47.140970750000001</v>
      </c>
      <c r="X86">
        <v>47.140970750000001</v>
      </c>
      <c r="Y86">
        <v>0.25</v>
      </c>
      <c r="Z86">
        <v>0.2</v>
      </c>
      <c r="AA86">
        <v>0.22</v>
      </c>
      <c r="AB86">
        <v>128.1502117</v>
      </c>
    </row>
    <row r="87" spans="1:29" x14ac:dyDescent="0.25">
      <c r="A87">
        <v>86</v>
      </c>
      <c r="B87" t="s">
        <v>130</v>
      </c>
      <c r="D87" t="s">
        <v>348</v>
      </c>
      <c r="E87">
        <v>2</v>
      </c>
      <c r="F87" t="s">
        <v>335</v>
      </c>
      <c r="H87" t="s">
        <v>200</v>
      </c>
      <c r="I87" t="s">
        <v>141</v>
      </c>
      <c r="J87">
        <v>5.9320000000000004</v>
      </c>
      <c r="K87">
        <v>2.54</v>
      </c>
      <c r="L87" t="s">
        <v>141</v>
      </c>
      <c r="N87">
        <v>0.57181389100000002</v>
      </c>
      <c r="O87" t="s">
        <v>187</v>
      </c>
      <c r="P87">
        <v>3170246</v>
      </c>
      <c r="Q87">
        <v>227.2573233</v>
      </c>
      <c r="R87">
        <v>5</v>
      </c>
      <c r="S87" t="s">
        <v>204</v>
      </c>
      <c r="T87" t="s">
        <v>141</v>
      </c>
      <c r="U87" t="s">
        <v>141</v>
      </c>
      <c r="V87" t="s">
        <v>141</v>
      </c>
      <c r="W87">
        <v>4545.1464649999998</v>
      </c>
      <c r="X87">
        <v>4545.1464649999998</v>
      </c>
      <c r="Y87">
        <v>0.48</v>
      </c>
      <c r="Z87">
        <v>0.53</v>
      </c>
      <c r="AA87">
        <v>0.45</v>
      </c>
      <c r="AB87">
        <v>89.471387109999995</v>
      </c>
    </row>
    <row r="88" spans="1:29" x14ac:dyDescent="0.25">
      <c r="A88">
        <v>87</v>
      </c>
      <c r="B88" t="s">
        <v>131</v>
      </c>
      <c r="D88" t="s">
        <v>345</v>
      </c>
      <c r="E88">
        <v>3</v>
      </c>
      <c r="F88" t="s">
        <v>60</v>
      </c>
      <c r="H88" t="s">
        <v>200</v>
      </c>
      <c r="I88" t="s">
        <v>141</v>
      </c>
      <c r="J88">
        <v>20.841000000000001</v>
      </c>
      <c r="K88">
        <v>8.7219999999999995</v>
      </c>
      <c r="L88" t="s">
        <v>141</v>
      </c>
      <c r="N88">
        <v>0.58149800900000004</v>
      </c>
      <c r="O88" t="s">
        <v>186</v>
      </c>
      <c r="P88">
        <v>6446908</v>
      </c>
      <c r="Q88">
        <v>462.14301840000002</v>
      </c>
      <c r="R88">
        <v>4</v>
      </c>
      <c r="T88" t="s">
        <v>141</v>
      </c>
      <c r="U88" t="s">
        <v>141</v>
      </c>
      <c r="V88" t="s">
        <v>141</v>
      </c>
      <c r="W88">
        <v>11553.57546</v>
      </c>
      <c r="X88">
        <v>11553.57546</v>
      </c>
      <c r="Y88">
        <v>0.49</v>
      </c>
      <c r="Z88">
        <v>0.48</v>
      </c>
      <c r="AA88">
        <v>0.47</v>
      </c>
      <c r="AB88">
        <v>52.985899840000002</v>
      </c>
      <c r="AC88" t="s">
        <v>132</v>
      </c>
    </row>
    <row r="89" spans="1:29" x14ac:dyDescent="0.25">
      <c r="A89">
        <v>88</v>
      </c>
      <c r="B89" t="s">
        <v>191</v>
      </c>
      <c r="D89" t="s">
        <v>357</v>
      </c>
      <c r="E89">
        <v>2</v>
      </c>
      <c r="F89" t="s">
        <v>337</v>
      </c>
      <c r="H89" t="s">
        <v>200</v>
      </c>
      <c r="I89" t="s">
        <v>141</v>
      </c>
      <c r="J89" t="s">
        <v>141</v>
      </c>
      <c r="K89">
        <v>5.1020000000000003</v>
      </c>
      <c r="L89" t="s">
        <v>141</v>
      </c>
      <c r="N89" t="s">
        <v>141</v>
      </c>
      <c r="O89" t="s">
        <v>192</v>
      </c>
      <c r="P89">
        <v>4567774</v>
      </c>
      <c r="Q89">
        <v>327.43834149999998</v>
      </c>
      <c r="R89">
        <v>5</v>
      </c>
      <c r="T89" t="s">
        <v>141</v>
      </c>
      <c r="U89" t="s">
        <v>141</v>
      </c>
      <c r="V89" t="s">
        <v>141</v>
      </c>
      <c r="W89">
        <v>6548.7668309999999</v>
      </c>
      <c r="X89">
        <v>6548.7668309999999</v>
      </c>
      <c r="Y89">
        <v>0.23</v>
      </c>
      <c r="Z89">
        <v>0.28999999999999998</v>
      </c>
      <c r="AA89">
        <v>0.32</v>
      </c>
      <c r="AB89">
        <v>64.178428370000006</v>
      </c>
    </row>
    <row r="90" spans="1:29" x14ac:dyDescent="0.25">
      <c r="A90">
        <v>89</v>
      </c>
      <c r="B90" t="s">
        <v>193</v>
      </c>
      <c r="D90" t="s">
        <v>383</v>
      </c>
      <c r="E90">
        <v>2</v>
      </c>
      <c r="F90" t="s">
        <v>194</v>
      </c>
      <c r="H90" t="s">
        <v>200</v>
      </c>
      <c r="I90" t="s">
        <v>141</v>
      </c>
      <c r="J90" t="s">
        <v>141</v>
      </c>
      <c r="K90">
        <v>4.4329999999999998</v>
      </c>
      <c r="L90" t="s">
        <v>141</v>
      </c>
      <c r="N90" t="s">
        <v>141</v>
      </c>
      <c r="O90" t="s">
        <v>195</v>
      </c>
      <c r="P90">
        <v>3449869</v>
      </c>
      <c r="Q90">
        <v>247.30194270000001</v>
      </c>
      <c r="R90">
        <v>1</v>
      </c>
      <c r="S90" t="s">
        <v>210</v>
      </c>
      <c r="T90">
        <v>3</v>
      </c>
      <c r="U90" t="s">
        <v>141</v>
      </c>
      <c r="V90" t="s">
        <v>141</v>
      </c>
      <c r="W90">
        <v>8243.3980890000003</v>
      </c>
      <c r="X90">
        <v>24730.19427</v>
      </c>
      <c r="Y90">
        <v>0.45</v>
      </c>
      <c r="Z90">
        <v>0.43</v>
      </c>
      <c r="AA90">
        <v>0.49</v>
      </c>
      <c r="AB90">
        <v>55.786587560000001</v>
      </c>
    </row>
    <row r="91" spans="1:29" x14ac:dyDescent="0.25">
      <c r="A91">
        <v>90</v>
      </c>
      <c r="B91" t="s">
        <v>1232</v>
      </c>
      <c r="C91" t="s">
        <v>198</v>
      </c>
      <c r="D91" t="s">
        <v>1066</v>
      </c>
      <c r="E91">
        <v>1</v>
      </c>
      <c r="F91" t="s">
        <v>197</v>
      </c>
      <c r="H91" t="s">
        <v>201</v>
      </c>
      <c r="I91">
        <v>7.1</v>
      </c>
      <c r="J91" t="s">
        <v>141</v>
      </c>
      <c r="K91">
        <v>5.8999999999999997E-2</v>
      </c>
      <c r="L91">
        <v>13</v>
      </c>
      <c r="M91">
        <v>5.1469497840000002</v>
      </c>
      <c r="N91" t="s">
        <v>141</v>
      </c>
      <c r="O91" t="s">
        <v>141</v>
      </c>
      <c r="Q91">
        <v>0</v>
      </c>
      <c r="R91" t="s">
        <v>141</v>
      </c>
      <c r="S91" t="s">
        <v>204</v>
      </c>
      <c r="T91" t="s">
        <v>141</v>
      </c>
      <c r="U91">
        <v>79</v>
      </c>
      <c r="V91">
        <v>18.5</v>
      </c>
      <c r="W91">
        <v>1147.859416</v>
      </c>
      <c r="X91">
        <v>1147.859416</v>
      </c>
      <c r="Y91">
        <v>0.27</v>
      </c>
      <c r="Z91">
        <v>0.28999999999999998</v>
      </c>
      <c r="AA91">
        <v>0.2</v>
      </c>
      <c r="AB91">
        <v>87.236437019999997</v>
      </c>
      <c r="AC91" t="s">
        <v>196</v>
      </c>
    </row>
    <row r="92" spans="1:29" x14ac:dyDescent="0.25">
      <c r="A92">
        <v>91</v>
      </c>
      <c r="B92" t="s">
        <v>1240</v>
      </c>
      <c r="C92" t="s">
        <v>205</v>
      </c>
      <c r="D92" t="s">
        <v>341</v>
      </c>
      <c r="E92">
        <v>4</v>
      </c>
      <c r="F92" t="s">
        <v>206</v>
      </c>
      <c r="H92" t="s">
        <v>201</v>
      </c>
      <c r="I92">
        <v>7.1</v>
      </c>
      <c r="J92" t="s">
        <v>141</v>
      </c>
      <c r="K92">
        <v>6.3E-2</v>
      </c>
      <c r="L92">
        <v>12</v>
      </c>
      <c r="M92">
        <v>4.7510305700000002</v>
      </c>
      <c r="N92" t="s">
        <v>141</v>
      </c>
      <c r="O92" t="s">
        <v>141</v>
      </c>
      <c r="Q92">
        <v>0</v>
      </c>
      <c r="R92" t="s">
        <v>141</v>
      </c>
      <c r="S92" t="s">
        <v>204</v>
      </c>
      <c r="T92" t="s">
        <v>141</v>
      </c>
      <c r="U92">
        <v>62.69</v>
      </c>
      <c r="V92">
        <v>41.3</v>
      </c>
      <c r="W92">
        <v>2033.472029</v>
      </c>
      <c r="X92">
        <v>2033.472029</v>
      </c>
      <c r="Y92">
        <v>0.41</v>
      </c>
      <c r="Z92">
        <v>0.43</v>
      </c>
      <c r="AA92">
        <v>0.36</v>
      </c>
      <c r="AB92">
        <v>75.413183649999993</v>
      </c>
      <c r="AC92" t="s">
        <v>207</v>
      </c>
    </row>
    <row r="93" spans="1:29" x14ac:dyDescent="0.25">
      <c r="A93">
        <v>92</v>
      </c>
      <c r="B93" t="s">
        <v>1268</v>
      </c>
      <c r="C93" t="s">
        <v>208</v>
      </c>
      <c r="D93" t="s">
        <v>385</v>
      </c>
      <c r="E93">
        <v>1</v>
      </c>
      <c r="F93" t="s">
        <v>209</v>
      </c>
      <c r="H93" t="s">
        <v>201</v>
      </c>
      <c r="I93">
        <v>7.1</v>
      </c>
      <c r="J93" t="s">
        <v>141</v>
      </c>
      <c r="K93">
        <v>5.1999999999999998E-2</v>
      </c>
      <c r="L93">
        <v>12</v>
      </c>
      <c r="M93">
        <v>4.7510305700000002</v>
      </c>
      <c r="N93" t="s">
        <v>141</v>
      </c>
      <c r="O93" t="s">
        <v>141</v>
      </c>
      <c r="Q93">
        <v>0</v>
      </c>
      <c r="R93" t="s">
        <v>141</v>
      </c>
      <c r="S93" t="s">
        <v>210</v>
      </c>
      <c r="T93">
        <v>7.5</v>
      </c>
      <c r="U93">
        <v>111.08</v>
      </c>
      <c r="V93">
        <v>40.9</v>
      </c>
      <c r="W93">
        <v>3568.1989450000001</v>
      </c>
      <c r="X93">
        <v>26761.49209</v>
      </c>
      <c r="Y93">
        <v>0.24</v>
      </c>
      <c r="Z93">
        <v>0.24</v>
      </c>
      <c r="AA93">
        <v>0.24</v>
      </c>
      <c r="AB93">
        <v>91.365972499999998</v>
      </c>
      <c r="AC93" t="s">
        <v>211</v>
      </c>
    </row>
    <row r="94" spans="1:29" x14ac:dyDescent="0.25">
      <c r="A94">
        <v>93</v>
      </c>
      <c r="B94" t="s">
        <v>1230</v>
      </c>
      <c r="C94" t="s">
        <v>212</v>
      </c>
      <c r="D94" t="s">
        <v>382</v>
      </c>
      <c r="E94">
        <v>2</v>
      </c>
      <c r="F94" t="s">
        <v>213</v>
      </c>
      <c r="H94" t="s">
        <v>201</v>
      </c>
      <c r="I94">
        <v>7.1</v>
      </c>
      <c r="J94" t="s">
        <v>141</v>
      </c>
      <c r="K94">
        <v>0.08</v>
      </c>
      <c r="L94">
        <v>13</v>
      </c>
      <c r="M94">
        <v>5.1469497840000002</v>
      </c>
      <c r="N94" t="s">
        <v>141</v>
      </c>
      <c r="O94" t="s">
        <v>141</v>
      </c>
      <c r="Q94">
        <v>0</v>
      </c>
      <c r="R94" t="s">
        <v>141</v>
      </c>
      <c r="S94" t="s">
        <v>204</v>
      </c>
      <c r="T94" t="s">
        <v>141</v>
      </c>
      <c r="U94">
        <v>52.94</v>
      </c>
      <c r="V94">
        <v>19.850000000000001</v>
      </c>
      <c r="W94">
        <v>825.34272859999999</v>
      </c>
      <c r="X94">
        <v>825.34272859999999</v>
      </c>
      <c r="Y94">
        <v>0.22</v>
      </c>
      <c r="Z94">
        <v>0.23</v>
      </c>
      <c r="AA94">
        <v>0.23</v>
      </c>
      <c r="AB94">
        <v>64.336872299999996</v>
      </c>
      <c r="AC94" t="s">
        <v>214</v>
      </c>
    </row>
    <row r="95" spans="1:29" x14ac:dyDescent="0.25">
      <c r="A95">
        <v>94</v>
      </c>
      <c r="B95" t="s">
        <v>1244</v>
      </c>
      <c r="C95" t="s">
        <v>215</v>
      </c>
      <c r="D95" t="s">
        <v>355</v>
      </c>
      <c r="E95">
        <v>5</v>
      </c>
      <c r="F95" t="s">
        <v>62</v>
      </c>
      <c r="H95" t="s">
        <v>201</v>
      </c>
      <c r="I95">
        <v>7.1</v>
      </c>
      <c r="J95" t="s">
        <v>141</v>
      </c>
      <c r="K95">
        <v>5.6000000000000001E-2</v>
      </c>
      <c r="L95">
        <v>15</v>
      </c>
      <c r="M95">
        <v>5.9387882129999996</v>
      </c>
      <c r="N95" t="s">
        <v>141</v>
      </c>
      <c r="O95" t="s">
        <v>141</v>
      </c>
      <c r="Q95">
        <v>0</v>
      </c>
      <c r="R95" t="s">
        <v>141</v>
      </c>
      <c r="S95" t="s">
        <v>210</v>
      </c>
      <c r="T95">
        <v>15</v>
      </c>
      <c r="U95">
        <v>88.6</v>
      </c>
      <c r="V95">
        <v>35.5</v>
      </c>
      <c r="W95">
        <v>2470.3128430000002</v>
      </c>
      <c r="X95">
        <v>37054.692649999997</v>
      </c>
      <c r="Y95">
        <v>0.23</v>
      </c>
      <c r="Z95">
        <v>0.23</v>
      </c>
      <c r="AA95">
        <v>0.22</v>
      </c>
      <c r="AB95">
        <v>106.0497895</v>
      </c>
      <c r="AC95" t="s">
        <v>216</v>
      </c>
    </row>
    <row r="96" spans="1:29" x14ac:dyDescent="0.25">
      <c r="A96">
        <v>95</v>
      </c>
      <c r="B96" t="s">
        <v>1248</v>
      </c>
      <c r="C96" t="s">
        <v>217</v>
      </c>
      <c r="D96" t="s">
        <v>361</v>
      </c>
      <c r="E96">
        <v>4</v>
      </c>
      <c r="F96" t="s">
        <v>218</v>
      </c>
      <c r="H96" t="s">
        <v>201</v>
      </c>
      <c r="I96">
        <v>7.1</v>
      </c>
      <c r="J96" t="s">
        <v>141</v>
      </c>
      <c r="K96">
        <v>6.8000000000000005E-2</v>
      </c>
      <c r="L96">
        <v>13</v>
      </c>
      <c r="M96">
        <v>5.1469497840000002</v>
      </c>
      <c r="N96" t="s">
        <v>141</v>
      </c>
      <c r="O96" t="s">
        <v>141</v>
      </c>
      <c r="Q96">
        <v>0</v>
      </c>
      <c r="R96" t="s">
        <v>141</v>
      </c>
      <c r="S96" t="s">
        <v>204</v>
      </c>
      <c r="T96" t="s">
        <v>141</v>
      </c>
      <c r="U96">
        <v>61.5</v>
      </c>
      <c r="V96">
        <v>36.5</v>
      </c>
      <c r="W96">
        <v>1763.0225270000001</v>
      </c>
      <c r="X96">
        <v>1763.0225270000001</v>
      </c>
      <c r="Y96">
        <v>0.34</v>
      </c>
      <c r="Z96">
        <v>0.28999999999999998</v>
      </c>
      <c r="AA96">
        <v>0.25</v>
      </c>
      <c r="AB96">
        <v>75.690438</v>
      </c>
      <c r="AC96" t="s">
        <v>219</v>
      </c>
    </row>
    <row r="97" spans="1:29" x14ac:dyDescent="0.25">
      <c r="A97">
        <v>96</v>
      </c>
      <c r="B97" t="s">
        <v>1249</v>
      </c>
      <c r="C97" t="s">
        <v>220</v>
      </c>
      <c r="D97" t="s">
        <v>361</v>
      </c>
      <c r="E97">
        <v>5</v>
      </c>
      <c r="F97" t="s">
        <v>218</v>
      </c>
      <c r="H97" t="s">
        <v>201</v>
      </c>
      <c r="I97">
        <v>7.1</v>
      </c>
      <c r="J97" t="s">
        <v>141</v>
      </c>
      <c r="K97">
        <v>7.8E-2</v>
      </c>
      <c r="L97">
        <v>15</v>
      </c>
      <c r="M97">
        <v>5.9387882129999996</v>
      </c>
      <c r="N97" t="s">
        <v>141</v>
      </c>
      <c r="O97" t="s">
        <v>141</v>
      </c>
      <c r="Q97">
        <v>0</v>
      </c>
      <c r="R97" t="s">
        <v>141</v>
      </c>
      <c r="S97" t="s">
        <v>204</v>
      </c>
      <c r="T97" t="s">
        <v>141</v>
      </c>
      <c r="U97">
        <v>77.3</v>
      </c>
      <c r="V97">
        <v>24.36</v>
      </c>
      <c r="W97">
        <v>1478.926733</v>
      </c>
      <c r="X97">
        <v>1478.926733</v>
      </c>
      <c r="Y97">
        <v>0.25</v>
      </c>
      <c r="Z97">
        <v>0.27</v>
      </c>
      <c r="AA97">
        <v>0.28000000000000003</v>
      </c>
      <c r="AB97">
        <v>76.138310419999996</v>
      </c>
      <c r="AC97" t="s">
        <v>221</v>
      </c>
    </row>
    <row r="98" spans="1:29" x14ac:dyDescent="0.25">
      <c r="A98">
        <v>97</v>
      </c>
      <c r="B98" t="s">
        <v>1223</v>
      </c>
      <c r="C98" t="s">
        <v>222</v>
      </c>
      <c r="D98" t="s">
        <v>351</v>
      </c>
      <c r="E98">
        <v>3</v>
      </c>
      <c r="F98" t="s">
        <v>223</v>
      </c>
      <c r="H98" t="s">
        <v>201</v>
      </c>
      <c r="I98">
        <v>7.1</v>
      </c>
      <c r="J98" t="s">
        <v>141</v>
      </c>
      <c r="K98">
        <v>8.2000000000000003E-2</v>
      </c>
      <c r="L98">
        <v>12</v>
      </c>
      <c r="M98">
        <v>4.7510305700000002</v>
      </c>
      <c r="N98" t="s">
        <v>141</v>
      </c>
      <c r="O98" t="s">
        <v>141</v>
      </c>
      <c r="Q98">
        <v>0</v>
      </c>
      <c r="R98" t="s">
        <v>141</v>
      </c>
      <c r="S98" t="s">
        <v>204</v>
      </c>
      <c r="T98" t="s">
        <v>141</v>
      </c>
      <c r="U98">
        <v>181.5</v>
      </c>
      <c r="V98">
        <v>81.510000000000005</v>
      </c>
      <c r="W98">
        <v>11619.23148</v>
      </c>
      <c r="X98">
        <v>11619.23148</v>
      </c>
      <c r="Y98">
        <v>0.65</v>
      </c>
      <c r="Z98">
        <v>0.48</v>
      </c>
      <c r="AA98">
        <v>0.56000000000000005</v>
      </c>
      <c r="AB98">
        <v>57.939397200000002</v>
      </c>
      <c r="AC98" t="s">
        <v>224</v>
      </c>
    </row>
    <row r="99" spans="1:29" x14ac:dyDescent="0.25">
      <c r="A99">
        <v>98</v>
      </c>
      <c r="B99" t="s">
        <v>1224</v>
      </c>
      <c r="C99" t="s">
        <v>225</v>
      </c>
      <c r="D99" t="s">
        <v>351</v>
      </c>
      <c r="E99">
        <v>4</v>
      </c>
      <c r="F99" t="s">
        <v>223</v>
      </c>
      <c r="H99" t="s">
        <v>201</v>
      </c>
      <c r="I99">
        <v>7.1</v>
      </c>
      <c r="J99" t="s">
        <v>141</v>
      </c>
      <c r="K99">
        <v>8.6999999999999994E-2</v>
      </c>
      <c r="L99">
        <v>13</v>
      </c>
      <c r="M99">
        <v>5.1469497840000002</v>
      </c>
      <c r="N99" t="s">
        <v>141</v>
      </c>
      <c r="O99" t="s">
        <v>141</v>
      </c>
      <c r="Q99">
        <v>0</v>
      </c>
      <c r="R99" t="s">
        <v>141</v>
      </c>
      <c r="S99" t="s">
        <v>204</v>
      </c>
      <c r="T99" t="s">
        <v>141</v>
      </c>
      <c r="U99">
        <v>110.8</v>
      </c>
      <c r="V99">
        <v>53.54</v>
      </c>
      <c r="W99">
        <v>4659.1641179999997</v>
      </c>
      <c r="X99">
        <v>4659.1641179999997</v>
      </c>
      <c r="Y99">
        <v>0.37</v>
      </c>
      <c r="Z99">
        <v>0.39</v>
      </c>
      <c r="AA99">
        <v>0.47</v>
      </c>
      <c r="AB99">
        <v>59.160342350000001</v>
      </c>
      <c r="AC99" t="s">
        <v>226</v>
      </c>
    </row>
    <row r="100" spans="1:29" x14ac:dyDescent="0.25">
      <c r="A100">
        <v>99</v>
      </c>
      <c r="B100" t="s">
        <v>1241</v>
      </c>
      <c r="C100" t="s">
        <v>227</v>
      </c>
      <c r="D100" t="s">
        <v>360</v>
      </c>
      <c r="E100">
        <v>2</v>
      </c>
      <c r="F100" t="s">
        <v>228</v>
      </c>
      <c r="H100" t="s">
        <v>201</v>
      </c>
      <c r="I100">
        <v>7.1</v>
      </c>
      <c r="J100" t="s">
        <v>141</v>
      </c>
      <c r="K100">
        <v>7.3999999999999996E-2</v>
      </c>
      <c r="L100">
        <v>16</v>
      </c>
      <c r="M100">
        <v>6.3347074269999997</v>
      </c>
      <c r="N100" t="s">
        <v>141</v>
      </c>
      <c r="O100" t="s">
        <v>141</v>
      </c>
      <c r="Q100">
        <v>0</v>
      </c>
      <c r="R100" t="s">
        <v>141</v>
      </c>
      <c r="S100" t="s">
        <v>210</v>
      </c>
      <c r="T100">
        <v>9</v>
      </c>
      <c r="U100">
        <v>54.92</v>
      </c>
      <c r="V100">
        <v>23.98</v>
      </c>
      <c r="W100">
        <v>1034.35493</v>
      </c>
      <c r="X100">
        <v>9309.1943690000007</v>
      </c>
      <c r="Y100">
        <v>0.28999999999999998</v>
      </c>
      <c r="Z100">
        <v>0.28000000000000003</v>
      </c>
      <c r="AA100">
        <v>0.33</v>
      </c>
      <c r="AB100">
        <v>85.604154410000007</v>
      </c>
      <c r="AC100" t="s">
        <v>229</v>
      </c>
    </row>
    <row r="101" spans="1:29" x14ac:dyDescent="0.25">
      <c r="A101">
        <v>100</v>
      </c>
      <c r="B101" t="s">
        <v>1252</v>
      </c>
      <c r="C101" t="s">
        <v>230</v>
      </c>
      <c r="D101" t="s">
        <v>386</v>
      </c>
      <c r="E101">
        <v>1</v>
      </c>
      <c r="F101" t="s">
        <v>231</v>
      </c>
      <c r="H101" t="s">
        <v>201</v>
      </c>
      <c r="I101">
        <v>7.1</v>
      </c>
      <c r="J101" t="s">
        <v>141</v>
      </c>
      <c r="K101">
        <v>7.6999999999999999E-2</v>
      </c>
      <c r="L101">
        <v>16</v>
      </c>
      <c r="M101">
        <v>6.3347074269999997</v>
      </c>
      <c r="N101" t="s">
        <v>141</v>
      </c>
      <c r="O101" t="s">
        <v>141</v>
      </c>
      <c r="Q101">
        <v>0</v>
      </c>
      <c r="R101" t="s">
        <v>141</v>
      </c>
      <c r="S101" t="s">
        <v>204</v>
      </c>
      <c r="T101" t="s">
        <v>141</v>
      </c>
      <c r="U101">
        <v>99.56</v>
      </c>
      <c r="V101">
        <v>67.069999999999993</v>
      </c>
      <c r="W101">
        <v>5244.4877539999998</v>
      </c>
      <c r="X101">
        <v>5244.4877539999998</v>
      </c>
      <c r="Y101">
        <v>0.26</v>
      </c>
      <c r="Z101">
        <v>0.22</v>
      </c>
      <c r="AA101">
        <v>0.25</v>
      </c>
      <c r="AB101">
        <v>82.268927619999999</v>
      </c>
      <c r="AC101" t="s">
        <v>232</v>
      </c>
    </row>
    <row r="102" spans="1:29" x14ac:dyDescent="0.25">
      <c r="A102">
        <v>101</v>
      </c>
      <c r="B102" t="s">
        <v>1269</v>
      </c>
      <c r="C102" t="s">
        <v>233</v>
      </c>
      <c r="D102" t="s">
        <v>385</v>
      </c>
      <c r="E102">
        <v>2</v>
      </c>
      <c r="F102" t="s">
        <v>209</v>
      </c>
      <c r="H102" t="s">
        <v>201</v>
      </c>
      <c r="I102">
        <v>7.1</v>
      </c>
      <c r="J102" t="s">
        <v>141</v>
      </c>
      <c r="K102">
        <v>6.6000000000000003E-2</v>
      </c>
      <c r="L102">
        <v>18</v>
      </c>
      <c r="M102">
        <v>7.1265458549999998</v>
      </c>
      <c r="N102" t="s">
        <v>141</v>
      </c>
      <c r="O102" t="s">
        <v>141</v>
      </c>
      <c r="Q102">
        <v>0</v>
      </c>
      <c r="R102" t="s">
        <v>141</v>
      </c>
      <c r="S102" t="s">
        <v>210</v>
      </c>
      <c r="T102">
        <v>8</v>
      </c>
      <c r="U102">
        <v>86.4</v>
      </c>
      <c r="V102">
        <v>32.049999999999997</v>
      </c>
      <c r="W102">
        <v>2174.861762</v>
      </c>
      <c r="X102">
        <v>17398.894100000001</v>
      </c>
      <c r="Y102">
        <v>0.25</v>
      </c>
      <c r="Z102">
        <v>0.21</v>
      </c>
      <c r="AA102">
        <v>0.22</v>
      </c>
      <c r="AB102">
        <v>107.97796750000001</v>
      </c>
      <c r="AC102" t="s">
        <v>234</v>
      </c>
    </row>
    <row r="103" spans="1:29" x14ac:dyDescent="0.25">
      <c r="A103">
        <v>102</v>
      </c>
      <c r="B103" t="s">
        <v>1251</v>
      </c>
      <c r="C103" t="s">
        <v>235</v>
      </c>
      <c r="D103" t="s">
        <v>387</v>
      </c>
      <c r="E103">
        <v>4</v>
      </c>
      <c r="F103" t="s">
        <v>236</v>
      </c>
      <c r="H103" t="s">
        <v>201</v>
      </c>
      <c r="I103">
        <v>7.1</v>
      </c>
      <c r="J103" t="s">
        <v>141</v>
      </c>
      <c r="K103">
        <v>7.9000000000000001E-2</v>
      </c>
      <c r="L103">
        <v>14</v>
      </c>
      <c r="M103">
        <v>5.5428689980000003</v>
      </c>
      <c r="N103" t="s">
        <v>141</v>
      </c>
      <c r="O103" t="s">
        <v>141</v>
      </c>
      <c r="Q103">
        <v>0</v>
      </c>
      <c r="R103" t="s">
        <v>141</v>
      </c>
      <c r="S103" t="s">
        <v>204</v>
      </c>
      <c r="T103" t="s">
        <v>141</v>
      </c>
      <c r="U103">
        <v>53</v>
      </c>
      <c r="V103">
        <v>25</v>
      </c>
      <c r="W103">
        <v>1040.6525670000001</v>
      </c>
      <c r="X103">
        <v>1040.6525670000001</v>
      </c>
      <c r="Y103">
        <v>0.24</v>
      </c>
      <c r="Z103">
        <v>0.24</v>
      </c>
      <c r="AA103">
        <v>0.25</v>
      </c>
      <c r="AB103">
        <v>70.162898709999993</v>
      </c>
      <c r="AC103" t="s">
        <v>237</v>
      </c>
    </row>
    <row r="104" spans="1:29" x14ac:dyDescent="0.25">
      <c r="A104">
        <v>103</v>
      </c>
      <c r="B104" t="s">
        <v>1242</v>
      </c>
      <c r="C104" t="s">
        <v>238</v>
      </c>
      <c r="D104" t="s">
        <v>360</v>
      </c>
      <c r="E104">
        <v>3</v>
      </c>
      <c r="F104" t="s">
        <v>228</v>
      </c>
      <c r="H104" t="s">
        <v>201</v>
      </c>
      <c r="I104">
        <v>7.1</v>
      </c>
      <c r="J104" t="s">
        <v>141</v>
      </c>
      <c r="K104">
        <v>6.8000000000000005E-2</v>
      </c>
      <c r="L104">
        <v>16</v>
      </c>
      <c r="M104">
        <v>6.3347074269999997</v>
      </c>
      <c r="N104" t="s">
        <v>141</v>
      </c>
      <c r="O104" t="s">
        <v>141</v>
      </c>
      <c r="Q104">
        <v>0</v>
      </c>
      <c r="R104" t="s">
        <v>141</v>
      </c>
      <c r="S104" t="s">
        <v>210</v>
      </c>
      <c r="T104">
        <v>9</v>
      </c>
      <c r="U104">
        <v>48.8</v>
      </c>
      <c r="V104">
        <v>23.17</v>
      </c>
      <c r="W104">
        <v>888.04656179999995</v>
      </c>
      <c r="X104">
        <v>7992.4190559999997</v>
      </c>
      <c r="Y104">
        <v>0.24</v>
      </c>
      <c r="Z104">
        <v>0.25</v>
      </c>
      <c r="AA104">
        <v>0.24</v>
      </c>
      <c r="AB104">
        <v>93.157462159999994</v>
      </c>
      <c r="AC104" t="s">
        <v>239</v>
      </c>
    </row>
    <row r="105" spans="1:29" x14ac:dyDescent="0.25">
      <c r="A105">
        <v>104</v>
      </c>
      <c r="B105" t="s">
        <v>1246</v>
      </c>
      <c r="C105" t="s">
        <v>242</v>
      </c>
      <c r="D105" t="s">
        <v>388</v>
      </c>
      <c r="E105">
        <v>1</v>
      </c>
      <c r="F105" t="s">
        <v>243</v>
      </c>
      <c r="H105" t="s">
        <v>201</v>
      </c>
      <c r="I105">
        <v>7.1</v>
      </c>
      <c r="J105" t="s">
        <v>141</v>
      </c>
      <c r="K105">
        <v>5.8999999999999997E-2</v>
      </c>
      <c r="L105">
        <v>15</v>
      </c>
      <c r="M105">
        <v>5.9387882129999996</v>
      </c>
      <c r="N105" t="s">
        <v>141</v>
      </c>
      <c r="O105" t="s">
        <v>141</v>
      </c>
      <c r="Q105">
        <v>0</v>
      </c>
      <c r="R105" t="s">
        <v>141</v>
      </c>
      <c r="S105" t="s">
        <v>204</v>
      </c>
      <c r="T105" t="s">
        <v>141</v>
      </c>
      <c r="U105">
        <v>63.85</v>
      </c>
      <c r="V105">
        <v>24.09</v>
      </c>
      <c r="W105">
        <v>1208.0574360000001</v>
      </c>
      <c r="X105">
        <v>1208.0574360000001</v>
      </c>
      <c r="Y105">
        <v>0.2</v>
      </c>
      <c r="Z105">
        <v>0.25</v>
      </c>
      <c r="AA105">
        <v>0.25</v>
      </c>
      <c r="AB105">
        <v>100.65742729999999</v>
      </c>
      <c r="AC105" t="s">
        <v>244</v>
      </c>
    </row>
    <row r="106" spans="1:29" x14ac:dyDescent="0.25">
      <c r="A106">
        <v>105</v>
      </c>
      <c r="B106" t="s">
        <v>1247</v>
      </c>
      <c r="C106" t="s">
        <v>245</v>
      </c>
      <c r="D106" t="s">
        <v>388</v>
      </c>
      <c r="E106">
        <v>2</v>
      </c>
      <c r="F106" t="s">
        <v>243</v>
      </c>
      <c r="H106" t="s">
        <v>201</v>
      </c>
      <c r="I106">
        <v>7.1</v>
      </c>
      <c r="J106" t="s">
        <v>141</v>
      </c>
      <c r="K106">
        <v>6.3E-2</v>
      </c>
      <c r="L106">
        <v>14</v>
      </c>
      <c r="M106">
        <v>5.5428689980000003</v>
      </c>
      <c r="N106" t="s">
        <v>141</v>
      </c>
      <c r="O106" t="s">
        <v>141</v>
      </c>
      <c r="Q106">
        <v>0</v>
      </c>
      <c r="R106" t="s">
        <v>141</v>
      </c>
      <c r="S106" t="s">
        <v>204</v>
      </c>
      <c r="T106" t="s">
        <v>141</v>
      </c>
      <c r="U106">
        <v>68.069999999999993</v>
      </c>
      <c r="V106">
        <v>31.84</v>
      </c>
      <c r="W106">
        <v>1702.231767</v>
      </c>
      <c r="X106">
        <v>1702.231767</v>
      </c>
      <c r="Y106">
        <v>0.34</v>
      </c>
      <c r="Z106">
        <v>0.32</v>
      </c>
      <c r="AA106">
        <v>0.28999999999999998</v>
      </c>
      <c r="AB106">
        <v>87.982047589999993</v>
      </c>
      <c r="AC106" t="s">
        <v>246</v>
      </c>
    </row>
    <row r="107" spans="1:29" x14ac:dyDescent="0.25">
      <c r="A107">
        <v>106</v>
      </c>
      <c r="B107" t="s">
        <v>1234</v>
      </c>
      <c r="C107" t="s">
        <v>247</v>
      </c>
      <c r="D107" t="s">
        <v>389</v>
      </c>
      <c r="E107">
        <v>1</v>
      </c>
      <c r="F107" t="s">
        <v>248</v>
      </c>
      <c r="H107" t="s">
        <v>201</v>
      </c>
      <c r="I107">
        <v>7.1</v>
      </c>
      <c r="J107" t="s">
        <v>141</v>
      </c>
      <c r="K107">
        <v>8.5999999999999993E-2</v>
      </c>
      <c r="L107">
        <v>14</v>
      </c>
      <c r="M107">
        <v>5.5428689980000003</v>
      </c>
      <c r="N107" t="s">
        <v>141</v>
      </c>
      <c r="O107" t="s">
        <v>141</v>
      </c>
      <c r="Q107">
        <v>0</v>
      </c>
      <c r="R107" t="s">
        <v>141</v>
      </c>
      <c r="S107" t="s">
        <v>204</v>
      </c>
      <c r="T107" t="s">
        <v>141</v>
      </c>
      <c r="U107">
        <v>182.82</v>
      </c>
      <c r="V107">
        <v>97.4</v>
      </c>
      <c r="W107">
        <v>13985.324339999999</v>
      </c>
      <c r="X107">
        <v>13985.324339999999</v>
      </c>
      <c r="Y107">
        <v>0.5</v>
      </c>
      <c r="Z107">
        <v>0.48</v>
      </c>
      <c r="AA107">
        <v>0.5</v>
      </c>
      <c r="AB107">
        <v>64.451965099999995</v>
      </c>
      <c r="AC107" t="s">
        <v>249</v>
      </c>
    </row>
    <row r="108" spans="1:29" x14ac:dyDescent="0.25">
      <c r="A108">
        <v>107</v>
      </c>
      <c r="B108" t="s">
        <v>482</v>
      </c>
      <c r="D108" t="s">
        <v>353</v>
      </c>
      <c r="E108">
        <v>3</v>
      </c>
      <c r="F108" t="s">
        <v>287</v>
      </c>
      <c r="H108" t="s">
        <v>201</v>
      </c>
      <c r="I108">
        <v>7.1</v>
      </c>
      <c r="J108" t="s">
        <v>141</v>
      </c>
      <c r="K108">
        <v>4.9000000000000002E-2</v>
      </c>
      <c r="L108">
        <v>13</v>
      </c>
      <c r="M108">
        <v>5.1469497840000002</v>
      </c>
      <c r="N108" t="s">
        <v>141</v>
      </c>
      <c r="O108" t="s">
        <v>141</v>
      </c>
      <c r="Q108">
        <v>0</v>
      </c>
      <c r="R108" t="s">
        <v>141</v>
      </c>
      <c r="S108" t="s">
        <v>204</v>
      </c>
      <c r="T108" t="s">
        <v>141</v>
      </c>
      <c r="U108">
        <v>80.5</v>
      </c>
      <c r="V108">
        <v>43.58</v>
      </c>
      <c r="W108">
        <v>2755.3259830000002</v>
      </c>
      <c r="X108">
        <v>2755.3259830000002</v>
      </c>
      <c r="Y108">
        <v>0.23</v>
      </c>
      <c r="Z108">
        <v>0.28999999999999998</v>
      </c>
      <c r="AA108">
        <v>0.28000000000000003</v>
      </c>
      <c r="AB108">
        <v>105.03979150000001</v>
      </c>
      <c r="AC108" t="s">
        <v>483</v>
      </c>
    </row>
    <row r="109" spans="1:29" x14ac:dyDescent="0.25">
      <c r="A109">
        <v>108</v>
      </c>
      <c r="B109" t="s">
        <v>1257</v>
      </c>
      <c r="C109" t="s">
        <v>240</v>
      </c>
      <c r="D109" t="s">
        <v>390</v>
      </c>
      <c r="E109">
        <v>1</v>
      </c>
      <c r="F109" t="s">
        <v>241</v>
      </c>
      <c r="H109" t="s">
        <v>201</v>
      </c>
      <c r="I109">
        <v>7.1</v>
      </c>
      <c r="J109" t="s">
        <v>141</v>
      </c>
      <c r="K109">
        <v>0.06</v>
      </c>
      <c r="L109">
        <v>13</v>
      </c>
      <c r="M109">
        <v>5.1469497840000002</v>
      </c>
      <c r="N109" t="s">
        <v>141</v>
      </c>
      <c r="O109" t="s">
        <v>141</v>
      </c>
      <c r="Q109">
        <v>0</v>
      </c>
      <c r="R109" t="s">
        <v>141</v>
      </c>
      <c r="S109" t="s">
        <v>210</v>
      </c>
      <c r="T109">
        <v>7</v>
      </c>
      <c r="U109">
        <v>115.08</v>
      </c>
      <c r="V109">
        <v>24.84</v>
      </c>
      <c r="W109">
        <v>2245.1291369999999</v>
      </c>
      <c r="X109">
        <v>15715.90396</v>
      </c>
      <c r="Y109">
        <v>0.35</v>
      </c>
      <c r="Z109">
        <v>0.35</v>
      </c>
      <c r="AA109">
        <v>0.34</v>
      </c>
      <c r="AB109">
        <v>85.782496399999999</v>
      </c>
      <c r="AC109" t="s">
        <v>250</v>
      </c>
    </row>
    <row r="110" spans="1:29" x14ac:dyDescent="0.25">
      <c r="A110">
        <v>109</v>
      </c>
      <c r="B110" t="s">
        <v>1243</v>
      </c>
      <c r="C110" t="s">
        <v>251</v>
      </c>
      <c r="D110" t="s">
        <v>360</v>
      </c>
      <c r="E110">
        <v>4</v>
      </c>
      <c r="F110" t="s">
        <v>228</v>
      </c>
      <c r="H110" t="s">
        <v>201</v>
      </c>
      <c r="I110">
        <v>7.1</v>
      </c>
      <c r="J110" t="s">
        <v>141</v>
      </c>
      <c r="K110">
        <v>5.3999999999999999E-2</v>
      </c>
      <c r="L110">
        <v>11</v>
      </c>
      <c r="M110">
        <v>4.3551113560000001</v>
      </c>
      <c r="N110" t="s">
        <v>141</v>
      </c>
      <c r="O110" t="s">
        <v>141</v>
      </c>
      <c r="Q110">
        <v>0</v>
      </c>
      <c r="R110" t="s">
        <v>141</v>
      </c>
      <c r="S110" t="s">
        <v>210</v>
      </c>
      <c r="T110">
        <v>9</v>
      </c>
      <c r="U110">
        <v>58.69</v>
      </c>
      <c r="V110">
        <v>25.94</v>
      </c>
      <c r="W110">
        <v>1195.704772</v>
      </c>
      <c r="X110">
        <v>10761.34295</v>
      </c>
      <c r="Y110">
        <v>0.28999999999999998</v>
      </c>
      <c r="Z110">
        <v>0.3</v>
      </c>
      <c r="AA110">
        <v>0.33</v>
      </c>
      <c r="AB110">
        <v>80.650210290000004</v>
      </c>
      <c r="AC110" t="s">
        <v>252</v>
      </c>
    </row>
    <row r="111" spans="1:29" x14ac:dyDescent="0.25">
      <c r="A111">
        <v>110</v>
      </c>
      <c r="B111" t="s">
        <v>1253</v>
      </c>
      <c r="C111" t="s">
        <v>288</v>
      </c>
      <c r="D111" t="s">
        <v>386</v>
      </c>
      <c r="E111">
        <v>2</v>
      </c>
      <c r="F111" t="s">
        <v>231</v>
      </c>
      <c r="H111" t="s">
        <v>201</v>
      </c>
      <c r="I111">
        <v>7.1</v>
      </c>
      <c r="J111" t="s">
        <v>141</v>
      </c>
      <c r="K111">
        <v>4.2000000000000003E-2</v>
      </c>
      <c r="L111">
        <v>9</v>
      </c>
      <c r="M111">
        <v>3.563272928</v>
      </c>
      <c r="N111" t="s">
        <v>141</v>
      </c>
      <c r="O111" t="s">
        <v>141</v>
      </c>
      <c r="Q111">
        <v>0</v>
      </c>
      <c r="R111" t="s">
        <v>141</v>
      </c>
      <c r="S111" t="s">
        <v>204</v>
      </c>
      <c r="T111" t="s">
        <v>141</v>
      </c>
      <c r="U111">
        <v>66.17</v>
      </c>
      <c r="V111">
        <v>52.17</v>
      </c>
      <c r="W111">
        <v>2711.2642820000001</v>
      </c>
      <c r="X111">
        <v>2711.2642820000001</v>
      </c>
      <c r="Y111">
        <v>0.25</v>
      </c>
      <c r="Z111">
        <v>0.24</v>
      </c>
      <c r="AA111">
        <v>0.26</v>
      </c>
      <c r="AB111">
        <v>84.839831610000005</v>
      </c>
      <c r="AC111" t="s">
        <v>253</v>
      </c>
    </row>
    <row r="112" spans="1:29" x14ac:dyDescent="0.25">
      <c r="A112">
        <v>111</v>
      </c>
      <c r="B112" t="s">
        <v>1226</v>
      </c>
      <c r="C112" t="s">
        <v>254</v>
      </c>
      <c r="D112" t="s">
        <v>391</v>
      </c>
      <c r="E112">
        <v>2</v>
      </c>
      <c r="F112" t="s">
        <v>255</v>
      </c>
      <c r="H112" t="s">
        <v>201</v>
      </c>
      <c r="I112">
        <v>7.1</v>
      </c>
      <c r="J112" t="s">
        <v>141</v>
      </c>
      <c r="K112">
        <v>4.5999999999999999E-2</v>
      </c>
      <c r="L112">
        <v>17</v>
      </c>
      <c r="M112">
        <v>6.7306266409999997</v>
      </c>
      <c r="N112" t="s">
        <v>141</v>
      </c>
      <c r="O112" t="s">
        <v>141</v>
      </c>
      <c r="Q112">
        <v>0</v>
      </c>
      <c r="R112" t="s">
        <v>141</v>
      </c>
      <c r="S112" t="s">
        <v>204</v>
      </c>
      <c r="T112" t="s">
        <v>141</v>
      </c>
      <c r="U112">
        <v>82.46</v>
      </c>
      <c r="V112">
        <v>19.32</v>
      </c>
      <c r="W112">
        <v>1251.2391769999999</v>
      </c>
      <c r="X112">
        <v>1251.2391769999999</v>
      </c>
      <c r="Y112">
        <v>0.21</v>
      </c>
      <c r="Z112">
        <v>0.2</v>
      </c>
      <c r="AA112">
        <v>0.19</v>
      </c>
      <c r="AB112">
        <v>146.3179705</v>
      </c>
      <c r="AC112" t="s">
        <v>256</v>
      </c>
    </row>
    <row r="113" spans="1:29" x14ac:dyDescent="0.25">
      <c r="A113">
        <v>112</v>
      </c>
      <c r="B113" t="s">
        <v>1255</v>
      </c>
      <c r="C113" t="s">
        <v>257</v>
      </c>
      <c r="D113" t="s">
        <v>392</v>
      </c>
      <c r="E113">
        <v>1</v>
      </c>
      <c r="F113" t="s">
        <v>258</v>
      </c>
      <c r="H113" t="s">
        <v>201</v>
      </c>
      <c r="I113">
        <v>7.1</v>
      </c>
      <c r="J113" t="s">
        <v>141</v>
      </c>
      <c r="K113">
        <v>0.126</v>
      </c>
      <c r="L113">
        <v>21</v>
      </c>
      <c r="M113">
        <v>8.3143034979999992</v>
      </c>
      <c r="N113" t="s">
        <v>141</v>
      </c>
      <c r="O113" t="s">
        <v>141</v>
      </c>
      <c r="Q113">
        <v>0</v>
      </c>
      <c r="R113" t="s">
        <v>141</v>
      </c>
      <c r="S113" t="s">
        <v>204</v>
      </c>
      <c r="T113" t="s">
        <v>141</v>
      </c>
      <c r="U113">
        <v>120.7</v>
      </c>
      <c r="V113">
        <v>47.5</v>
      </c>
      <c r="W113">
        <v>4502.8840200000004</v>
      </c>
      <c r="X113">
        <v>4502.8840200000004</v>
      </c>
      <c r="Y113">
        <v>0.4</v>
      </c>
      <c r="Z113">
        <v>0.37</v>
      </c>
      <c r="AA113">
        <v>0.39</v>
      </c>
      <c r="AB113">
        <v>65.986535689999997</v>
      </c>
      <c r="AC113" t="s">
        <v>259</v>
      </c>
    </row>
    <row r="114" spans="1:29" x14ac:dyDescent="0.25">
      <c r="A114">
        <v>113</v>
      </c>
      <c r="B114" t="s">
        <v>1210</v>
      </c>
      <c r="C114" t="s">
        <v>260</v>
      </c>
      <c r="D114" t="s">
        <v>393</v>
      </c>
      <c r="E114">
        <v>5</v>
      </c>
      <c r="F114" t="s">
        <v>261</v>
      </c>
      <c r="H114" t="s">
        <v>201</v>
      </c>
      <c r="I114">
        <v>7.1</v>
      </c>
      <c r="J114" t="s">
        <v>141</v>
      </c>
      <c r="K114">
        <v>5.6000000000000001E-2</v>
      </c>
      <c r="L114">
        <v>13</v>
      </c>
      <c r="M114">
        <v>5.1469497840000002</v>
      </c>
      <c r="N114" t="s">
        <v>141</v>
      </c>
      <c r="O114" t="s">
        <v>141</v>
      </c>
      <c r="Q114">
        <v>0</v>
      </c>
      <c r="R114" t="s">
        <v>141</v>
      </c>
      <c r="S114" t="s">
        <v>204</v>
      </c>
      <c r="T114" t="s">
        <v>141</v>
      </c>
      <c r="U114">
        <v>69.349999999999994</v>
      </c>
      <c r="V114">
        <v>55.86</v>
      </c>
      <c r="W114">
        <v>3042.5468770000002</v>
      </c>
      <c r="X114">
        <v>3042.5468770000002</v>
      </c>
      <c r="Y114">
        <v>0.36</v>
      </c>
      <c r="Z114">
        <v>0.39</v>
      </c>
      <c r="AA114">
        <v>0.38</v>
      </c>
      <c r="AB114">
        <v>91.909817570000001</v>
      </c>
      <c r="AC114" t="s">
        <v>276</v>
      </c>
    </row>
    <row r="115" spans="1:29" x14ac:dyDescent="0.25">
      <c r="A115">
        <v>114</v>
      </c>
      <c r="B115" t="s">
        <v>1256</v>
      </c>
      <c r="C115" t="s">
        <v>262</v>
      </c>
      <c r="D115" t="s">
        <v>392</v>
      </c>
      <c r="E115">
        <v>2</v>
      </c>
      <c r="F115" t="s">
        <v>258</v>
      </c>
      <c r="H115" t="s">
        <v>201</v>
      </c>
      <c r="I115">
        <v>7.1</v>
      </c>
      <c r="J115" t="s">
        <v>141</v>
      </c>
      <c r="K115">
        <v>0.115</v>
      </c>
      <c r="L115">
        <v>17</v>
      </c>
      <c r="M115">
        <v>6.7306266409999997</v>
      </c>
      <c r="N115" t="s">
        <v>141</v>
      </c>
      <c r="O115" t="s">
        <v>141</v>
      </c>
      <c r="Q115">
        <v>0</v>
      </c>
      <c r="R115" t="s">
        <v>141</v>
      </c>
      <c r="S115" t="s">
        <v>204</v>
      </c>
      <c r="T115" t="s">
        <v>141</v>
      </c>
      <c r="U115">
        <v>61.74</v>
      </c>
      <c r="V115">
        <v>18.75</v>
      </c>
      <c r="W115">
        <v>909.19654890000004</v>
      </c>
      <c r="X115">
        <v>909.19654890000004</v>
      </c>
      <c r="Y115">
        <v>0.43</v>
      </c>
      <c r="Z115">
        <v>0.44</v>
      </c>
      <c r="AA115">
        <v>0.42</v>
      </c>
      <c r="AB115">
        <v>58.527188180000003</v>
      </c>
      <c r="AC115" t="s">
        <v>275</v>
      </c>
    </row>
    <row r="116" spans="1:29" x14ac:dyDescent="0.25">
      <c r="A116">
        <v>115</v>
      </c>
      <c r="B116" t="s">
        <v>1272</v>
      </c>
      <c r="C116" t="s">
        <v>286</v>
      </c>
      <c r="D116" t="s">
        <v>353</v>
      </c>
      <c r="E116">
        <v>4</v>
      </c>
      <c r="F116" t="s">
        <v>287</v>
      </c>
      <c r="H116" t="s">
        <v>201</v>
      </c>
      <c r="I116">
        <v>7.1</v>
      </c>
      <c r="J116" t="s">
        <v>141</v>
      </c>
      <c r="K116">
        <v>3.7999999999999999E-2</v>
      </c>
      <c r="L116">
        <v>12</v>
      </c>
      <c r="M116">
        <v>4.7510305700000002</v>
      </c>
      <c r="N116" t="s">
        <v>141</v>
      </c>
      <c r="O116" t="s">
        <v>141</v>
      </c>
      <c r="Q116">
        <v>0</v>
      </c>
      <c r="R116" t="s">
        <v>141</v>
      </c>
      <c r="S116" t="s">
        <v>204</v>
      </c>
      <c r="T116" t="s">
        <v>141</v>
      </c>
      <c r="U116">
        <v>78.91</v>
      </c>
      <c r="V116">
        <v>34</v>
      </c>
      <c r="W116">
        <v>2107.1761489999999</v>
      </c>
      <c r="X116">
        <v>2107.1761489999999</v>
      </c>
      <c r="Y116">
        <v>0.31</v>
      </c>
      <c r="Z116">
        <v>0.26</v>
      </c>
      <c r="AA116">
        <v>0.28999999999999998</v>
      </c>
      <c r="AB116">
        <v>125.02712030000001</v>
      </c>
      <c r="AC116" t="s">
        <v>274</v>
      </c>
    </row>
    <row r="117" spans="1:29" x14ac:dyDescent="0.25">
      <c r="A117">
        <v>116</v>
      </c>
      <c r="B117" t="s">
        <v>1273</v>
      </c>
      <c r="C117" t="s">
        <v>263</v>
      </c>
      <c r="D117" t="s">
        <v>394</v>
      </c>
      <c r="E117">
        <v>1</v>
      </c>
      <c r="F117" t="s">
        <v>264</v>
      </c>
      <c r="H117" t="s">
        <v>201</v>
      </c>
      <c r="I117">
        <v>7.1</v>
      </c>
      <c r="J117" t="s">
        <v>141</v>
      </c>
      <c r="K117">
        <v>7.8E-2</v>
      </c>
      <c r="L117">
        <v>21</v>
      </c>
      <c r="M117">
        <v>8.3143034979999992</v>
      </c>
      <c r="N117" t="s">
        <v>141</v>
      </c>
      <c r="O117" t="s">
        <v>141</v>
      </c>
      <c r="Q117">
        <v>0</v>
      </c>
      <c r="R117" t="s">
        <v>141</v>
      </c>
      <c r="S117" t="s">
        <v>210</v>
      </c>
      <c r="T117">
        <v>5</v>
      </c>
      <c r="U117">
        <v>115.87</v>
      </c>
      <c r="V117">
        <v>40.86</v>
      </c>
      <c r="W117">
        <v>3718.4269210000002</v>
      </c>
      <c r="X117">
        <v>18592.134600000001</v>
      </c>
      <c r="Y117">
        <v>0.43</v>
      </c>
      <c r="Z117">
        <v>0.44</v>
      </c>
      <c r="AA117">
        <v>0.4</v>
      </c>
      <c r="AB117">
        <v>106.5936346</v>
      </c>
      <c r="AC117" t="s">
        <v>273</v>
      </c>
    </row>
    <row r="118" spans="1:29" x14ac:dyDescent="0.25">
      <c r="A118">
        <v>117</v>
      </c>
      <c r="B118" t="s">
        <v>1216</v>
      </c>
      <c r="C118" t="s">
        <v>265</v>
      </c>
      <c r="D118" t="s">
        <v>367</v>
      </c>
      <c r="E118">
        <v>2</v>
      </c>
      <c r="F118" t="s">
        <v>266</v>
      </c>
      <c r="H118" t="s">
        <v>201</v>
      </c>
      <c r="I118">
        <v>7.1</v>
      </c>
      <c r="J118" t="s">
        <v>141</v>
      </c>
      <c r="K118">
        <v>4.5999999999999999E-2</v>
      </c>
      <c r="L118">
        <v>12</v>
      </c>
      <c r="M118">
        <v>4.7510305700000002</v>
      </c>
      <c r="N118" t="s">
        <v>141</v>
      </c>
      <c r="O118" t="s">
        <v>141</v>
      </c>
      <c r="Q118">
        <v>0</v>
      </c>
      <c r="R118" t="s">
        <v>141</v>
      </c>
      <c r="S118" t="s">
        <v>204</v>
      </c>
      <c r="T118" t="s">
        <v>141</v>
      </c>
      <c r="U118">
        <v>27.9</v>
      </c>
      <c r="V118">
        <v>11.12</v>
      </c>
      <c r="W118">
        <v>243.66820939999999</v>
      </c>
      <c r="X118">
        <v>243.66820939999999</v>
      </c>
      <c r="Y118">
        <v>0.26</v>
      </c>
      <c r="Z118">
        <v>0.26</v>
      </c>
      <c r="AA118">
        <v>0.24</v>
      </c>
      <c r="AB118">
        <v>103.2832733</v>
      </c>
      <c r="AC118" t="s">
        <v>272</v>
      </c>
    </row>
    <row r="119" spans="1:29" x14ac:dyDescent="0.25">
      <c r="A119">
        <v>118</v>
      </c>
      <c r="B119" t="s">
        <v>1250</v>
      </c>
      <c r="C119" t="s">
        <v>267</v>
      </c>
      <c r="D119" t="s">
        <v>361</v>
      </c>
      <c r="E119">
        <v>6</v>
      </c>
      <c r="F119" t="s">
        <v>218</v>
      </c>
      <c r="H119" t="s">
        <v>201</v>
      </c>
      <c r="I119">
        <v>7.1</v>
      </c>
      <c r="J119" t="s">
        <v>141</v>
      </c>
      <c r="K119">
        <v>8.2000000000000003E-2</v>
      </c>
      <c r="L119">
        <v>17</v>
      </c>
      <c r="M119">
        <v>6.7306266409999997</v>
      </c>
      <c r="N119" t="s">
        <v>141</v>
      </c>
      <c r="O119" t="s">
        <v>141</v>
      </c>
      <c r="Q119">
        <v>0</v>
      </c>
      <c r="R119" t="s">
        <v>141</v>
      </c>
      <c r="S119" t="s">
        <v>204</v>
      </c>
      <c r="T119" t="s">
        <v>141</v>
      </c>
      <c r="U119">
        <v>81.290000000000006</v>
      </c>
      <c r="V119">
        <v>30.49</v>
      </c>
      <c r="W119">
        <v>1946.6345590000001</v>
      </c>
      <c r="X119">
        <v>1946.6345590000001</v>
      </c>
      <c r="Y119">
        <v>0.28000000000000003</v>
      </c>
      <c r="Z119">
        <v>0.26</v>
      </c>
      <c r="AA119">
        <v>0.26</v>
      </c>
      <c r="AB119">
        <v>82.080812690000002</v>
      </c>
      <c r="AC119" t="s">
        <v>271</v>
      </c>
    </row>
    <row r="120" spans="1:29" x14ac:dyDescent="0.25">
      <c r="A120">
        <v>119</v>
      </c>
      <c r="B120" t="s">
        <v>1235</v>
      </c>
      <c r="C120" t="s">
        <v>268</v>
      </c>
      <c r="D120" t="s">
        <v>395</v>
      </c>
      <c r="E120">
        <v>1</v>
      </c>
      <c r="F120" t="s">
        <v>269</v>
      </c>
      <c r="H120" t="s">
        <v>201</v>
      </c>
      <c r="I120">
        <v>7.1</v>
      </c>
      <c r="J120" t="s">
        <v>141</v>
      </c>
      <c r="K120">
        <v>7.0000000000000007E-2</v>
      </c>
      <c r="L120">
        <v>11</v>
      </c>
      <c r="M120">
        <v>4.3551113560000001</v>
      </c>
      <c r="N120" t="s">
        <v>141</v>
      </c>
      <c r="O120" t="s">
        <v>141</v>
      </c>
      <c r="Q120">
        <v>0</v>
      </c>
      <c r="R120" t="s">
        <v>141</v>
      </c>
      <c r="S120" t="s">
        <v>204</v>
      </c>
      <c r="T120" t="s">
        <v>141</v>
      </c>
      <c r="U120">
        <v>63.88</v>
      </c>
      <c r="V120">
        <v>27.02</v>
      </c>
      <c r="W120">
        <v>1355.626761</v>
      </c>
      <c r="X120">
        <v>1355.626761</v>
      </c>
      <c r="Y120">
        <v>0.45</v>
      </c>
      <c r="Z120">
        <v>0.38</v>
      </c>
      <c r="AA120">
        <v>0.4</v>
      </c>
      <c r="AB120">
        <v>62.215876510000001</v>
      </c>
      <c r="AC120" t="s">
        <v>270</v>
      </c>
    </row>
    <row r="121" spans="1:29" x14ac:dyDescent="0.25">
      <c r="A121">
        <v>120</v>
      </c>
      <c r="B121" t="s">
        <v>1245</v>
      </c>
      <c r="C121" t="s">
        <v>277</v>
      </c>
      <c r="D121" t="s">
        <v>375</v>
      </c>
      <c r="E121">
        <v>3</v>
      </c>
      <c r="F121" t="s">
        <v>278</v>
      </c>
      <c r="H121" t="s">
        <v>201</v>
      </c>
      <c r="I121">
        <v>7.1</v>
      </c>
      <c r="J121" t="s">
        <v>141</v>
      </c>
      <c r="K121">
        <v>3.6999999999999998E-2</v>
      </c>
      <c r="L121">
        <v>10</v>
      </c>
      <c r="M121">
        <v>3.959192142</v>
      </c>
      <c r="N121" t="s">
        <v>141</v>
      </c>
      <c r="O121" t="s">
        <v>141</v>
      </c>
      <c r="Q121">
        <v>0</v>
      </c>
      <c r="R121" t="s">
        <v>141</v>
      </c>
      <c r="S121" t="s">
        <v>210</v>
      </c>
      <c r="T121">
        <v>7</v>
      </c>
      <c r="U121">
        <v>89.7</v>
      </c>
      <c r="V121">
        <v>32</v>
      </c>
      <c r="W121">
        <v>2254.406888</v>
      </c>
      <c r="X121">
        <v>15780.84822</v>
      </c>
      <c r="Y121">
        <v>0.34</v>
      </c>
      <c r="Z121">
        <v>0.32</v>
      </c>
      <c r="AA121">
        <v>0.34</v>
      </c>
      <c r="AB121">
        <v>107.00519300000001</v>
      </c>
      <c r="AC121" t="s">
        <v>279</v>
      </c>
    </row>
    <row r="122" spans="1:29" x14ac:dyDescent="0.25">
      <c r="A122">
        <v>121</v>
      </c>
      <c r="B122" t="s">
        <v>1233</v>
      </c>
      <c r="C122" t="s">
        <v>280</v>
      </c>
      <c r="D122" t="s">
        <v>366</v>
      </c>
      <c r="E122">
        <v>4</v>
      </c>
      <c r="F122" t="s">
        <v>281</v>
      </c>
      <c r="H122" t="s">
        <v>201</v>
      </c>
      <c r="I122">
        <v>7.1</v>
      </c>
      <c r="J122" t="s">
        <v>141</v>
      </c>
      <c r="K122">
        <v>3.6999999999999998E-2</v>
      </c>
      <c r="L122">
        <v>11</v>
      </c>
      <c r="M122">
        <v>4.3551113560000001</v>
      </c>
      <c r="N122" t="s">
        <v>141</v>
      </c>
      <c r="O122" t="s">
        <v>141</v>
      </c>
      <c r="Q122">
        <v>0</v>
      </c>
      <c r="R122" t="s">
        <v>141</v>
      </c>
      <c r="S122" t="s">
        <v>204</v>
      </c>
      <c r="T122" t="s">
        <v>141</v>
      </c>
      <c r="U122">
        <v>135.05000000000001</v>
      </c>
      <c r="V122">
        <v>52</v>
      </c>
      <c r="W122">
        <v>5515.5371420000001</v>
      </c>
      <c r="X122">
        <v>5515.5371420000001</v>
      </c>
      <c r="Y122">
        <v>0.35</v>
      </c>
      <c r="Z122">
        <v>0.33</v>
      </c>
      <c r="AA122">
        <v>0.27</v>
      </c>
      <c r="AB122">
        <v>117.7057123</v>
      </c>
      <c r="AC122" t="s">
        <v>282</v>
      </c>
    </row>
    <row r="123" spans="1:29" x14ac:dyDescent="0.25">
      <c r="A123">
        <v>122</v>
      </c>
      <c r="B123" t="s">
        <v>283</v>
      </c>
      <c r="D123" t="s">
        <v>388</v>
      </c>
      <c r="E123">
        <v>3</v>
      </c>
      <c r="F123" t="s">
        <v>243</v>
      </c>
      <c r="H123" t="s">
        <v>201</v>
      </c>
      <c r="I123">
        <v>7.1</v>
      </c>
      <c r="J123" t="s">
        <v>141</v>
      </c>
      <c r="K123">
        <v>5.5E-2</v>
      </c>
      <c r="L123">
        <v>14</v>
      </c>
      <c r="M123">
        <v>5.5428689980000003</v>
      </c>
      <c r="N123" t="s">
        <v>141</v>
      </c>
      <c r="O123" t="s">
        <v>141</v>
      </c>
      <c r="Q123">
        <v>0</v>
      </c>
      <c r="R123" t="s">
        <v>141</v>
      </c>
      <c r="S123" t="s">
        <v>204</v>
      </c>
      <c r="T123" t="s">
        <v>141</v>
      </c>
      <c r="U123">
        <v>56.03</v>
      </c>
      <c r="V123">
        <v>29</v>
      </c>
      <c r="W123">
        <v>1276.1699140000001</v>
      </c>
      <c r="X123">
        <v>1276.1699140000001</v>
      </c>
      <c r="Y123">
        <v>0.2</v>
      </c>
      <c r="Z123">
        <v>0.19</v>
      </c>
      <c r="AA123">
        <v>0.19</v>
      </c>
      <c r="AB123">
        <v>100.7794363</v>
      </c>
    </row>
    <row r="124" spans="1:29" x14ac:dyDescent="0.25">
      <c r="A124">
        <v>123</v>
      </c>
      <c r="B124" t="s">
        <v>291</v>
      </c>
      <c r="C124" t="s">
        <v>284</v>
      </c>
      <c r="D124" t="s">
        <v>385</v>
      </c>
      <c r="E124">
        <v>3</v>
      </c>
      <c r="F124" t="s">
        <v>209</v>
      </c>
      <c r="H124" t="s">
        <v>201</v>
      </c>
      <c r="I124">
        <v>7.1</v>
      </c>
      <c r="J124" t="s">
        <v>141</v>
      </c>
      <c r="K124">
        <v>0.114</v>
      </c>
      <c r="L124">
        <v>20</v>
      </c>
      <c r="M124">
        <v>7.918384283</v>
      </c>
      <c r="N124" t="s">
        <v>141</v>
      </c>
      <c r="O124" t="s">
        <v>141</v>
      </c>
      <c r="Q124">
        <v>0</v>
      </c>
      <c r="R124" t="s">
        <v>141</v>
      </c>
      <c r="S124" t="s">
        <v>210</v>
      </c>
      <c r="T124">
        <v>9</v>
      </c>
      <c r="U124">
        <v>76.34</v>
      </c>
      <c r="V124">
        <v>26.9</v>
      </c>
      <c r="W124">
        <v>1612.851257</v>
      </c>
      <c r="X124">
        <v>14515.66131</v>
      </c>
      <c r="Y124">
        <v>0.28000000000000003</v>
      </c>
      <c r="Z124">
        <v>0.27</v>
      </c>
      <c r="AA124">
        <v>0.27</v>
      </c>
      <c r="AB124">
        <v>69.459511259999999</v>
      </c>
      <c r="AC124" t="s">
        <v>285</v>
      </c>
    </row>
    <row r="125" spans="1:29" x14ac:dyDescent="0.25">
      <c r="A125">
        <v>124</v>
      </c>
      <c r="B125" t="s">
        <v>289</v>
      </c>
      <c r="D125" t="s">
        <v>396</v>
      </c>
      <c r="E125">
        <v>1</v>
      </c>
      <c r="F125" t="s">
        <v>290</v>
      </c>
      <c r="H125" t="s">
        <v>201</v>
      </c>
      <c r="I125">
        <v>7.1</v>
      </c>
      <c r="J125" t="s">
        <v>141</v>
      </c>
      <c r="K125">
        <v>0.03</v>
      </c>
      <c r="L125">
        <v>11</v>
      </c>
      <c r="M125">
        <v>4.3551113560000001</v>
      </c>
      <c r="N125" t="s">
        <v>141</v>
      </c>
      <c r="O125" t="s">
        <v>141</v>
      </c>
      <c r="Q125">
        <v>0</v>
      </c>
      <c r="R125" t="s">
        <v>141</v>
      </c>
      <c r="S125" t="s">
        <v>204</v>
      </c>
      <c r="T125" t="s">
        <v>141</v>
      </c>
      <c r="U125">
        <v>29.15</v>
      </c>
      <c r="V125">
        <v>15.78</v>
      </c>
      <c r="W125">
        <v>361.27294499999999</v>
      </c>
      <c r="X125">
        <v>361.27294499999999</v>
      </c>
      <c r="Y125">
        <v>0.17</v>
      </c>
      <c r="Z125">
        <v>0.18</v>
      </c>
      <c r="AA125">
        <v>0.18</v>
      </c>
      <c r="AB125">
        <v>145.1703785</v>
      </c>
    </row>
    <row r="126" spans="1:29" x14ac:dyDescent="0.25">
      <c r="A126">
        <v>125</v>
      </c>
      <c r="B126" t="s">
        <v>291</v>
      </c>
      <c r="D126" t="s">
        <v>385</v>
      </c>
      <c r="E126">
        <v>3</v>
      </c>
      <c r="F126" t="s">
        <v>209</v>
      </c>
      <c r="H126" t="s">
        <v>201</v>
      </c>
      <c r="I126">
        <v>7.1</v>
      </c>
      <c r="J126" t="s">
        <v>141</v>
      </c>
      <c r="K126">
        <v>5.7000000000000002E-2</v>
      </c>
      <c r="L126">
        <v>14</v>
      </c>
      <c r="M126">
        <v>5.5428689980000003</v>
      </c>
      <c r="N126" t="s">
        <v>141</v>
      </c>
      <c r="O126" t="s">
        <v>141</v>
      </c>
      <c r="Q126">
        <v>0</v>
      </c>
      <c r="R126" t="s">
        <v>141</v>
      </c>
      <c r="S126" t="s">
        <v>210</v>
      </c>
      <c r="T126">
        <v>5</v>
      </c>
      <c r="U126">
        <v>77.819999999999993</v>
      </c>
      <c r="V126">
        <v>17.79</v>
      </c>
      <c r="W126">
        <v>1087.319197</v>
      </c>
      <c r="X126">
        <v>5436.5959869999997</v>
      </c>
      <c r="Y126">
        <v>0.2</v>
      </c>
      <c r="Z126">
        <v>0.21</v>
      </c>
      <c r="AA126">
        <v>0.19</v>
      </c>
      <c r="AB126">
        <v>97.243315760000002</v>
      </c>
    </row>
    <row r="127" spans="1:29" x14ac:dyDescent="0.25">
      <c r="A127">
        <v>126</v>
      </c>
      <c r="B127" t="s">
        <v>292</v>
      </c>
      <c r="D127" t="s">
        <v>397</v>
      </c>
      <c r="E127">
        <v>2</v>
      </c>
      <c r="F127" t="s">
        <v>293</v>
      </c>
      <c r="H127" t="s">
        <v>201</v>
      </c>
      <c r="I127">
        <v>7.1</v>
      </c>
      <c r="J127" t="s">
        <v>141</v>
      </c>
      <c r="K127">
        <v>5.5E-2</v>
      </c>
      <c r="L127">
        <v>11</v>
      </c>
      <c r="M127">
        <v>4.3551113560000001</v>
      </c>
      <c r="N127" t="s">
        <v>141</v>
      </c>
      <c r="O127" t="s">
        <v>141</v>
      </c>
      <c r="Q127">
        <v>0</v>
      </c>
      <c r="R127" t="s">
        <v>141</v>
      </c>
      <c r="S127" t="s">
        <v>204</v>
      </c>
      <c r="T127" t="s">
        <v>141</v>
      </c>
      <c r="U127">
        <v>79.23</v>
      </c>
      <c r="V127">
        <v>25.92</v>
      </c>
      <c r="W127">
        <v>1612.9263410000001</v>
      </c>
      <c r="X127">
        <v>1612.9263410000001</v>
      </c>
      <c r="Y127">
        <v>0.36</v>
      </c>
      <c r="Z127">
        <v>0.38</v>
      </c>
      <c r="AA127">
        <v>0.31</v>
      </c>
      <c r="AB127">
        <v>79.183842830000003</v>
      </c>
    </row>
    <row r="128" spans="1:29" x14ac:dyDescent="0.25">
      <c r="A128">
        <v>127</v>
      </c>
      <c r="B128" t="s">
        <v>294</v>
      </c>
      <c r="D128" t="s">
        <v>397</v>
      </c>
      <c r="E128">
        <v>3</v>
      </c>
      <c r="F128" t="s">
        <v>293</v>
      </c>
      <c r="H128" t="s">
        <v>201</v>
      </c>
      <c r="I128">
        <v>7.1</v>
      </c>
      <c r="J128" t="s">
        <v>141</v>
      </c>
      <c r="K128">
        <v>7.5999999999999998E-2</v>
      </c>
      <c r="L128">
        <v>12</v>
      </c>
      <c r="M128">
        <v>4.7510305700000002</v>
      </c>
      <c r="N128" t="s">
        <v>141</v>
      </c>
      <c r="O128" t="s">
        <v>141</v>
      </c>
      <c r="Q128">
        <v>0</v>
      </c>
      <c r="R128" t="s">
        <v>141</v>
      </c>
      <c r="S128" t="s">
        <v>204</v>
      </c>
      <c r="T128" t="s">
        <v>141</v>
      </c>
      <c r="U128">
        <v>86.21</v>
      </c>
      <c r="V128">
        <v>24.76</v>
      </c>
      <c r="W128">
        <v>1676.47919</v>
      </c>
      <c r="X128">
        <v>1676.47919</v>
      </c>
      <c r="Y128">
        <v>0.37</v>
      </c>
      <c r="Z128">
        <v>0.34</v>
      </c>
      <c r="AA128">
        <v>0.37</v>
      </c>
      <c r="AB128">
        <v>62.513560130000002</v>
      </c>
    </row>
    <row r="129" spans="1:29" x14ac:dyDescent="0.25">
      <c r="A129">
        <v>128</v>
      </c>
      <c r="B129" t="s">
        <v>295</v>
      </c>
      <c r="D129" t="s">
        <v>387</v>
      </c>
      <c r="E129">
        <v>2</v>
      </c>
      <c r="F129" t="s">
        <v>236</v>
      </c>
      <c r="H129" t="s">
        <v>201</v>
      </c>
      <c r="I129">
        <v>7.1</v>
      </c>
      <c r="J129" t="s">
        <v>141</v>
      </c>
      <c r="K129">
        <v>0.09</v>
      </c>
      <c r="L129">
        <v>12</v>
      </c>
      <c r="M129">
        <v>4.7510305700000002</v>
      </c>
      <c r="N129" t="s">
        <v>141</v>
      </c>
      <c r="O129" t="s">
        <v>141</v>
      </c>
      <c r="Q129">
        <v>0</v>
      </c>
      <c r="R129" t="s">
        <v>141</v>
      </c>
      <c r="S129" t="s">
        <v>204</v>
      </c>
      <c r="T129" t="s">
        <v>141</v>
      </c>
      <c r="U129">
        <v>40.75</v>
      </c>
      <c r="V129">
        <v>21.14</v>
      </c>
      <c r="W129">
        <v>676.5851748</v>
      </c>
      <c r="X129">
        <v>676.5851748</v>
      </c>
      <c r="Y129">
        <v>0.34</v>
      </c>
      <c r="Z129">
        <v>0.35</v>
      </c>
      <c r="AA129">
        <v>0.35</v>
      </c>
      <c r="AB129">
        <v>52.789228559999998</v>
      </c>
    </row>
    <row r="130" spans="1:29" x14ac:dyDescent="0.25">
      <c r="A130">
        <v>129</v>
      </c>
      <c r="B130" t="s">
        <v>1227</v>
      </c>
      <c r="C130" t="s">
        <v>102</v>
      </c>
      <c r="D130" t="s">
        <v>391</v>
      </c>
      <c r="E130">
        <v>6</v>
      </c>
      <c r="F130" t="s">
        <v>255</v>
      </c>
      <c r="H130" t="s">
        <v>201</v>
      </c>
      <c r="I130">
        <v>7.1</v>
      </c>
      <c r="J130" t="s">
        <v>141</v>
      </c>
      <c r="K130">
        <v>4.2000000000000003E-2</v>
      </c>
      <c r="L130">
        <v>15</v>
      </c>
      <c r="M130">
        <v>5.9387882129999996</v>
      </c>
      <c r="N130" t="s">
        <v>141</v>
      </c>
      <c r="O130" t="s">
        <v>141</v>
      </c>
      <c r="Q130">
        <v>0</v>
      </c>
      <c r="R130" t="s">
        <v>141</v>
      </c>
      <c r="S130" t="s">
        <v>204</v>
      </c>
      <c r="T130" t="s">
        <v>141</v>
      </c>
      <c r="U130">
        <v>106.55</v>
      </c>
      <c r="V130">
        <v>29.24</v>
      </c>
      <c r="W130">
        <v>2446.9252569999999</v>
      </c>
      <c r="X130">
        <v>2446.9252569999999</v>
      </c>
      <c r="Y130">
        <v>0.26</v>
      </c>
      <c r="Z130">
        <v>0.24</v>
      </c>
      <c r="AA130">
        <v>0.22</v>
      </c>
      <c r="AB130">
        <v>141.39971929999999</v>
      </c>
      <c r="AC130" t="s">
        <v>741</v>
      </c>
    </row>
    <row r="131" spans="1:29" x14ac:dyDescent="0.25">
      <c r="A131">
        <v>130</v>
      </c>
      <c r="B131" t="s">
        <v>296</v>
      </c>
      <c r="D131" t="s">
        <v>397</v>
      </c>
      <c r="E131">
        <v>1</v>
      </c>
      <c r="F131" t="s">
        <v>293</v>
      </c>
      <c r="H131" t="s">
        <v>201</v>
      </c>
      <c r="I131">
        <v>7.1</v>
      </c>
      <c r="J131" t="s">
        <v>141</v>
      </c>
      <c r="K131">
        <v>7.2999999999999995E-2</v>
      </c>
      <c r="L131">
        <v>13</v>
      </c>
      <c r="M131">
        <v>5.1469497840000002</v>
      </c>
      <c r="N131" t="s">
        <v>141</v>
      </c>
      <c r="O131" t="s">
        <v>141</v>
      </c>
      <c r="Q131">
        <v>0</v>
      </c>
      <c r="R131" t="s">
        <v>141</v>
      </c>
      <c r="S131" t="s">
        <v>204</v>
      </c>
      <c r="T131" t="s">
        <v>141</v>
      </c>
      <c r="U131">
        <v>90.13</v>
      </c>
      <c r="V131">
        <v>45.33</v>
      </c>
      <c r="W131">
        <v>3208.8171600000001</v>
      </c>
      <c r="X131">
        <v>3208.8171600000001</v>
      </c>
      <c r="Y131">
        <v>0.35</v>
      </c>
      <c r="Z131">
        <v>0.32</v>
      </c>
      <c r="AA131">
        <v>0.35</v>
      </c>
      <c r="AB131">
        <v>70.506161430000006</v>
      </c>
    </row>
    <row r="132" spans="1:29" x14ac:dyDescent="0.25">
      <c r="A132">
        <v>131</v>
      </c>
      <c r="B132" t="s">
        <v>297</v>
      </c>
      <c r="D132" t="s">
        <v>387</v>
      </c>
      <c r="E132">
        <v>3</v>
      </c>
      <c r="F132" t="s">
        <v>236</v>
      </c>
      <c r="H132" t="s">
        <v>201</v>
      </c>
      <c r="I132">
        <v>7.1</v>
      </c>
      <c r="J132" t="s">
        <v>141</v>
      </c>
      <c r="K132">
        <v>0.113</v>
      </c>
      <c r="L132">
        <v>16</v>
      </c>
      <c r="M132">
        <v>6.3347074269999997</v>
      </c>
      <c r="N132" t="s">
        <v>141</v>
      </c>
      <c r="O132" t="s">
        <v>141</v>
      </c>
      <c r="Q132">
        <v>0</v>
      </c>
      <c r="R132" t="s">
        <v>141</v>
      </c>
      <c r="S132" t="s">
        <v>204</v>
      </c>
      <c r="T132" t="s">
        <v>141</v>
      </c>
      <c r="U132">
        <v>52.17</v>
      </c>
      <c r="V132">
        <v>22.43</v>
      </c>
      <c r="W132">
        <v>919.05180359999997</v>
      </c>
      <c r="X132">
        <v>919.05180359999997</v>
      </c>
      <c r="Y132">
        <v>0.33</v>
      </c>
      <c r="Z132">
        <v>0.31</v>
      </c>
      <c r="AA132">
        <v>0.27</v>
      </c>
      <c r="AB132">
        <v>56.059357759999997</v>
      </c>
    </row>
    <row r="133" spans="1:29" x14ac:dyDescent="0.25">
      <c r="A133">
        <v>132</v>
      </c>
      <c r="B133" t="s">
        <v>298</v>
      </c>
      <c r="D133" t="s">
        <v>398</v>
      </c>
      <c r="E133">
        <v>1</v>
      </c>
      <c r="F133" t="s">
        <v>299</v>
      </c>
      <c r="H133" t="s">
        <v>201</v>
      </c>
      <c r="I133">
        <v>7.1</v>
      </c>
      <c r="J133" t="s">
        <v>141</v>
      </c>
      <c r="K133">
        <v>5.1999999999999998E-2</v>
      </c>
      <c r="L133">
        <v>14</v>
      </c>
      <c r="M133">
        <v>5.5428689980000003</v>
      </c>
      <c r="N133" t="s">
        <v>141</v>
      </c>
      <c r="O133" t="s">
        <v>141</v>
      </c>
      <c r="Q133">
        <v>0</v>
      </c>
      <c r="R133" t="s">
        <v>141</v>
      </c>
      <c r="S133" t="s">
        <v>210</v>
      </c>
      <c r="T133">
        <v>7</v>
      </c>
      <c r="U133">
        <v>54.32</v>
      </c>
      <c r="V133">
        <v>23.5</v>
      </c>
      <c r="W133">
        <v>1002.576464</v>
      </c>
      <c r="X133">
        <v>7018.035245</v>
      </c>
      <c r="Y133">
        <v>0.16</v>
      </c>
      <c r="Z133">
        <v>0.14000000000000001</v>
      </c>
      <c r="AA133">
        <v>0.15</v>
      </c>
      <c r="AB133">
        <v>106.5936346</v>
      </c>
    </row>
    <row r="134" spans="1:29" x14ac:dyDescent="0.25">
      <c r="A134">
        <v>133</v>
      </c>
      <c r="B134" t="s">
        <v>300</v>
      </c>
      <c r="D134" t="s">
        <v>390</v>
      </c>
      <c r="E134">
        <v>2</v>
      </c>
      <c r="F134" t="s">
        <v>241</v>
      </c>
      <c r="H134" t="s">
        <v>201</v>
      </c>
      <c r="I134">
        <v>7.1</v>
      </c>
      <c r="J134" t="s">
        <v>141</v>
      </c>
      <c r="K134">
        <v>0.122</v>
      </c>
      <c r="L134">
        <v>22</v>
      </c>
      <c r="M134">
        <v>8.7102227120000002</v>
      </c>
      <c r="N134" t="s">
        <v>141</v>
      </c>
      <c r="O134" t="s">
        <v>141</v>
      </c>
      <c r="Q134">
        <v>0</v>
      </c>
      <c r="R134" t="s">
        <v>141</v>
      </c>
      <c r="S134" t="s">
        <v>210</v>
      </c>
      <c r="T134">
        <v>7</v>
      </c>
      <c r="U134">
        <v>91.67</v>
      </c>
      <c r="V134">
        <v>25.01</v>
      </c>
      <c r="W134">
        <v>1800.656215</v>
      </c>
      <c r="X134">
        <v>12604.593510000001</v>
      </c>
      <c r="Y134">
        <v>0.35</v>
      </c>
      <c r="Z134">
        <v>0.35</v>
      </c>
      <c r="AA134">
        <v>0.35</v>
      </c>
      <c r="AB134">
        <v>71.395268130000005</v>
      </c>
    </row>
    <row r="135" spans="1:29" x14ac:dyDescent="0.25">
      <c r="A135">
        <v>134</v>
      </c>
      <c r="B135" t="s">
        <v>301</v>
      </c>
      <c r="D135" t="s">
        <v>396</v>
      </c>
      <c r="E135">
        <v>2</v>
      </c>
      <c r="F135" t="s">
        <v>290</v>
      </c>
      <c r="H135" t="s">
        <v>201</v>
      </c>
      <c r="I135">
        <v>7.1</v>
      </c>
      <c r="J135" t="s">
        <v>141</v>
      </c>
      <c r="K135">
        <v>6.0999999999999999E-2</v>
      </c>
      <c r="L135">
        <v>15</v>
      </c>
      <c r="M135">
        <v>5.9387882129999996</v>
      </c>
      <c r="N135" t="s">
        <v>141</v>
      </c>
      <c r="O135" t="s">
        <v>141</v>
      </c>
      <c r="Q135">
        <v>0</v>
      </c>
      <c r="R135" t="s">
        <v>141</v>
      </c>
      <c r="S135" t="s">
        <v>204</v>
      </c>
      <c r="T135" t="s">
        <v>141</v>
      </c>
      <c r="U135">
        <v>21.95</v>
      </c>
      <c r="V135">
        <v>11.17</v>
      </c>
      <c r="W135">
        <v>192.56509980000001</v>
      </c>
      <c r="X135">
        <v>192.56509980000001</v>
      </c>
      <c r="Y135">
        <v>0.18</v>
      </c>
      <c r="Z135">
        <v>0.19</v>
      </c>
      <c r="AA135">
        <v>0.19</v>
      </c>
      <c r="AB135">
        <v>97.357183809999995</v>
      </c>
    </row>
    <row r="136" spans="1:29" x14ac:dyDescent="0.25">
      <c r="A136">
        <v>135</v>
      </c>
      <c r="B136" t="s">
        <v>1217</v>
      </c>
      <c r="C136" t="s">
        <v>302</v>
      </c>
      <c r="D136" t="s">
        <v>367</v>
      </c>
      <c r="E136">
        <v>3</v>
      </c>
      <c r="F136" t="s">
        <v>266</v>
      </c>
      <c r="H136" t="s">
        <v>201</v>
      </c>
      <c r="I136">
        <v>7.1</v>
      </c>
      <c r="J136" t="s">
        <v>141</v>
      </c>
      <c r="K136">
        <v>5.8000000000000003E-2</v>
      </c>
      <c r="L136">
        <v>11</v>
      </c>
      <c r="M136">
        <v>4.3551113560000001</v>
      </c>
      <c r="N136" t="s">
        <v>141</v>
      </c>
      <c r="O136" t="s">
        <v>141</v>
      </c>
      <c r="Q136">
        <v>0</v>
      </c>
      <c r="R136" t="s">
        <v>141</v>
      </c>
      <c r="S136" t="s">
        <v>204</v>
      </c>
      <c r="T136" t="s">
        <v>141</v>
      </c>
      <c r="U136">
        <v>34.43</v>
      </c>
      <c r="V136">
        <v>12.5</v>
      </c>
      <c r="W136">
        <v>338.01573459999997</v>
      </c>
      <c r="X136">
        <v>338.01573459999997</v>
      </c>
      <c r="Y136">
        <v>0.3</v>
      </c>
      <c r="Z136">
        <v>0.27</v>
      </c>
      <c r="AA136">
        <v>0.26</v>
      </c>
      <c r="AB136">
        <v>75.088126829999993</v>
      </c>
    </row>
    <row r="137" spans="1:29" x14ac:dyDescent="0.25">
      <c r="A137">
        <v>136</v>
      </c>
      <c r="B137" t="s">
        <v>303</v>
      </c>
      <c r="D137" t="s">
        <v>360</v>
      </c>
      <c r="E137">
        <v>5</v>
      </c>
      <c r="F137" t="s">
        <v>228</v>
      </c>
      <c r="H137" t="s">
        <v>201</v>
      </c>
      <c r="I137">
        <v>7.1</v>
      </c>
      <c r="J137" t="s">
        <v>141</v>
      </c>
      <c r="K137">
        <v>0.106</v>
      </c>
      <c r="L137">
        <v>16</v>
      </c>
      <c r="M137">
        <v>6.3347074269999997</v>
      </c>
      <c r="N137" t="s">
        <v>141</v>
      </c>
      <c r="O137" t="s">
        <v>141</v>
      </c>
      <c r="Q137">
        <v>0</v>
      </c>
      <c r="R137" t="s">
        <v>141</v>
      </c>
      <c r="S137" t="s">
        <v>210</v>
      </c>
      <c r="T137">
        <v>11</v>
      </c>
      <c r="U137">
        <v>45.93</v>
      </c>
      <c r="V137">
        <v>20.399999999999999</v>
      </c>
      <c r="W137">
        <v>735.89608799999996</v>
      </c>
      <c r="X137">
        <v>8094.8569680000001</v>
      </c>
      <c r="Y137">
        <v>0.33</v>
      </c>
      <c r="Z137">
        <v>0.34</v>
      </c>
      <c r="AA137">
        <v>0.34</v>
      </c>
      <c r="AB137">
        <v>59.761390820000003</v>
      </c>
    </row>
    <row r="138" spans="1:29" x14ac:dyDescent="0.25">
      <c r="A138">
        <v>137</v>
      </c>
      <c r="B138" t="s">
        <v>304</v>
      </c>
      <c r="D138" t="s">
        <v>383</v>
      </c>
      <c r="E138">
        <v>3</v>
      </c>
      <c r="F138" t="s">
        <v>194</v>
      </c>
      <c r="H138" t="s">
        <v>201</v>
      </c>
      <c r="I138">
        <v>9.6999999999999993</v>
      </c>
      <c r="J138" t="s">
        <v>141</v>
      </c>
      <c r="K138">
        <v>0.14499999999999999</v>
      </c>
      <c r="L138">
        <v>15</v>
      </c>
      <c r="M138">
        <v>11.08471698</v>
      </c>
      <c r="N138" t="s">
        <v>141</v>
      </c>
      <c r="O138" t="s">
        <v>141</v>
      </c>
      <c r="Q138">
        <v>0</v>
      </c>
      <c r="R138" t="s">
        <v>141</v>
      </c>
      <c r="S138" t="s">
        <v>210</v>
      </c>
      <c r="T138">
        <v>3</v>
      </c>
      <c r="U138">
        <v>95.78</v>
      </c>
      <c r="V138">
        <v>89.14</v>
      </c>
      <c r="W138">
        <v>6705.5953730000001</v>
      </c>
      <c r="X138">
        <v>20116.786120000001</v>
      </c>
      <c r="Y138">
        <v>0.49</v>
      </c>
      <c r="Z138">
        <v>0.43</v>
      </c>
      <c r="AA138">
        <v>0.42</v>
      </c>
      <c r="AB138">
        <v>76.446323989999996</v>
      </c>
      <c r="AC138" t="s">
        <v>305</v>
      </c>
    </row>
    <row r="139" spans="1:29" x14ac:dyDescent="0.25">
      <c r="A139">
        <v>138</v>
      </c>
      <c r="B139" t="s">
        <v>306</v>
      </c>
      <c r="D139" t="s">
        <v>399</v>
      </c>
      <c r="E139">
        <v>1</v>
      </c>
      <c r="F139" t="s">
        <v>307</v>
      </c>
      <c r="H139" t="s">
        <v>201</v>
      </c>
      <c r="I139">
        <v>9.6999999999999993</v>
      </c>
      <c r="J139" t="s">
        <v>141</v>
      </c>
      <c r="K139">
        <v>0.215</v>
      </c>
      <c r="L139">
        <v>18</v>
      </c>
      <c r="M139">
        <v>13.30166037</v>
      </c>
      <c r="N139" t="s">
        <v>141</v>
      </c>
      <c r="O139" t="s">
        <v>141</v>
      </c>
      <c r="Q139">
        <v>0</v>
      </c>
      <c r="R139" t="s">
        <v>141</v>
      </c>
      <c r="S139" t="s">
        <v>204</v>
      </c>
      <c r="T139" t="s">
        <v>141</v>
      </c>
      <c r="U139">
        <v>106.09</v>
      </c>
      <c r="V139">
        <v>41.25</v>
      </c>
      <c r="W139">
        <v>3437.0692600000002</v>
      </c>
      <c r="X139">
        <v>3437.0692600000002</v>
      </c>
      <c r="Y139">
        <v>0.5</v>
      </c>
      <c r="Z139">
        <v>0.47</v>
      </c>
      <c r="AA139">
        <v>0.45</v>
      </c>
      <c r="AB139">
        <v>61.86818779</v>
      </c>
    </row>
    <row r="140" spans="1:29" x14ac:dyDescent="0.25">
      <c r="A140">
        <v>139</v>
      </c>
      <c r="B140" t="s">
        <v>308</v>
      </c>
      <c r="D140" t="s">
        <v>392</v>
      </c>
      <c r="E140">
        <v>3</v>
      </c>
      <c r="F140" t="s">
        <v>258</v>
      </c>
      <c r="H140" t="s">
        <v>201</v>
      </c>
      <c r="I140">
        <v>7.1</v>
      </c>
      <c r="J140" t="s">
        <v>141</v>
      </c>
      <c r="K140">
        <v>9.0999999999999998E-2</v>
      </c>
      <c r="L140">
        <v>16</v>
      </c>
      <c r="M140">
        <v>6.3347074269999997</v>
      </c>
      <c r="N140" t="s">
        <v>141</v>
      </c>
      <c r="O140" t="s">
        <v>141</v>
      </c>
      <c r="Q140">
        <v>0</v>
      </c>
      <c r="R140" t="s">
        <v>141</v>
      </c>
      <c r="S140" t="s">
        <v>204</v>
      </c>
      <c r="T140" t="s">
        <v>141</v>
      </c>
      <c r="U140">
        <v>39.479999999999997</v>
      </c>
      <c r="V140">
        <v>19.059999999999999</v>
      </c>
      <c r="W140">
        <v>591.00332149999997</v>
      </c>
      <c r="X140">
        <v>591.00332149999997</v>
      </c>
      <c r="Y140">
        <v>0.31</v>
      </c>
      <c r="Z140">
        <v>0.31</v>
      </c>
      <c r="AA140">
        <v>0.31</v>
      </c>
      <c r="AB140">
        <v>69.612169519999995</v>
      </c>
      <c r="AC140" t="s">
        <v>310</v>
      </c>
    </row>
    <row r="141" spans="1:29" x14ac:dyDescent="0.25">
      <c r="A141">
        <v>140</v>
      </c>
      <c r="B141" t="s">
        <v>311</v>
      </c>
      <c r="D141" t="s">
        <v>397</v>
      </c>
      <c r="E141">
        <v>4</v>
      </c>
      <c r="F141" t="s">
        <v>293</v>
      </c>
      <c r="H141" t="s">
        <v>201</v>
      </c>
      <c r="I141">
        <v>9.6999999999999993</v>
      </c>
      <c r="J141" t="s">
        <v>141</v>
      </c>
      <c r="K141">
        <v>0.14899999999999999</v>
      </c>
      <c r="L141">
        <v>14</v>
      </c>
      <c r="M141">
        <v>10.345735850000001</v>
      </c>
      <c r="N141" t="s">
        <v>141</v>
      </c>
      <c r="O141" t="s">
        <v>141</v>
      </c>
      <c r="Q141">
        <v>0</v>
      </c>
      <c r="R141" t="s">
        <v>141</v>
      </c>
      <c r="S141" t="s">
        <v>204</v>
      </c>
      <c r="T141" t="s">
        <v>141</v>
      </c>
      <c r="U141">
        <v>124.11</v>
      </c>
      <c r="V141">
        <v>40.31</v>
      </c>
      <c r="W141">
        <v>3929.2481299999999</v>
      </c>
      <c r="X141">
        <v>3929.2481299999999</v>
      </c>
      <c r="Y141">
        <v>0.34</v>
      </c>
      <c r="Z141">
        <v>0.36</v>
      </c>
      <c r="AA141">
        <v>0.33</v>
      </c>
      <c r="AB141">
        <v>69.434468769999995</v>
      </c>
    </row>
    <row r="142" spans="1:29" x14ac:dyDescent="0.25">
      <c r="A142">
        <v>141</v>
      </c>
      <c r="B142" t="s">
        <v>312</v>
      </c>
      <c r="D142" t="s">
        <v>387</v>
      </c>
      <c r="E142">
        <v>1</v>
      </c>
      <c r="F142" t="s">
        <v>236</v>
      </c>
      <c r="H142" t="s">
        <v>201</v>
      </c>
      <c r="I142">
        <v>7.1</v>
      </c>
      <c r="J142" t="s">
        <v>141</v>
      </c>
      <c r="K142">
        <v>0.123</v>
      </c>
      <c r="L142">
        <v>21</v>
      </c>
      <c r="M142">
        <v>8.3143034979999992</v>
      </c>
      <c r="N142" t="s">
        <v>141</v>
      </c>
      <c r="O142" t="s">
        <v>141</v>
      </c>
      <c r="Q142">
        <v>0</v>
      </c>
      <c r="R142" t="s">
        <v>141</v>
      </c>
      <c r="S142" t="s">
        <v>204</v>
      </c>
      <c r="T142" t="s">
        <v>141</v>
      </c>
      <c r="U142">
        <v>54.25</v>
      </c>
      <c r="V142">
        <v>26.02</v>
      </c>
      <c r="W142">
        <v>1108.656266</v>
      </c>
      <c r="X142">
        <v>1108.656266</v>
      </c>
      <c r="Y142">
        <v>0.27</v>
      </c>
      <c r="Z142">
        <v>0.25</v>
      </c>
      <c r="AA142">
        <v>0.27</v>
      </c>
      <c r="AB142">
        <v>67.595963389999994</v>
      </c>
    </row>
    <row r="143" spans="1:29" x14ac:dyDescent="0.25">
      <c r="A143">
        <v>142</v>
      </c>
      <c r="B143" t="s">
        <v>313</v>
      </c>
      <c r="D143" t="s">
        <v>364</v>
      </c>
      <c r="E143">
        <v>4</v>
      </c>
      <c r="F143" t="s">
        <v>314</v>
      </c>
      <c r="H143" t="s">
        <v>201</v>
      </c>
      <c r="I143">
        <v>7.1</v>
      </c>
      <c r="J143" t="s">
        <v>141</v>
      </c>
      <c r="K143">
        <v>2.8000000000000001E-2</v>
      </c>
      <c r="L143">
        <v>7</v>
      </c>
      <c r="M143">
        <v>2.7714344990000002</v>
      </c>
      <c r="N143" t="s">
        <v>141</v>
      </c>
      <c r="O143" t="s">
        <v>141</v>
      </c>
      <c r="Q143">
        <v>0</v>
      </c>
      <c r="R143" t="s">
        <v>141</v>
      </c>
      <c r="S143" t="s">
        <v>204</v>
      </c>
      <c r="T143" t="s">
        <v>141</v>
      </c>
      <c r="U143">
        <v>18.93</v>
      </c>
      <c r="V143">
        <v>8.9</v>
      </c>
      <c r="W143">
        <v>132.32152640000001</v>
      </c>
      <c r="X143">
        <v>132.32152640000001</v>
      </c>
      <c r="Y143">
        <v>0.19</v>
      </c>
      <c r="Z143">
        <v>0.13</v>
      </c>
      <c r="AA143">
        <v>0.14000000000000001</v>
      </c>
      <c r="AB143">
        <v>98.979803540000006</v>
      </c>
      <c r="AC143" t="s">
        <v>315</v>
      </c>
    </row>
    <row r="144" spans="1:29" x14ac:dyDescent="0.25">
      <c r="A144">
        <v>143</v>
      </c>
      <c r="B144" t="s">
        <v>1225</v>
      </c>
      <c r="C144" t="s">
        <v>316</v>
      </c>
      <c r="D144" t="s">
        <v>351</v>
      </c>
      <c r="E144">
        <v>6</v>
      </c>
      <c r="F144" t="s">
        <v>223</v>
      </c>
      <c r="H144" t="s">
        <v>201</v>
      </c>
      <c r="I144">
        <v>9.6999999999999993</v>
      </c>
      <c r="J144" t="s">
        <v>141</v>
      </c>
      <c r="K144">
        <v>0.105</v>
      </c>
      <c r="L144">
        <v>11</v>
      </c>
      <c r="M144">
        <v>8.1287924510000007</v>
      </c>
      <c r="N144" t="s">
        <v>141</v>
      </c>
      <c r="O144" t="s">
        <v>141</v>
      </c>
      <c r="Q144">
        <v>0</v>
      </c>
      <c r="R144" t="s">
        <v>141</v>
      </c>
      <c r="S144" t="s">
        <v>204</v>
      </c>
      <c r="T144" t="s">
        <v>141</v>
      </c>
      <c r="U144">
        <v>106.97</v>
      </c>
      <c r="V144">
        <v>60.5</v>
      </c>
      <c r="W144">
        <v>5082.8495130000001</v>
      </c>
      <c r="X144">
        <v>5082.8495130000001</v>
      </c>
      <c r="Y144">
        <v>0.33</v>
      </c>
      <c r="Z144">
        <v>0.31</v>
      </c>
      <c r="AA144">
        <v>0.33</v>
      </c>
      <c r="AB144">
        <v>77.417070969999997</v>
      </c>
      <c r="AC144" t="s">
        <v>317</v>
      </c>
    </row>
    <row r="145" spans="1:29" x14ac:dyDescent="0.25">
      <c r="A145">
        <v>144</v>
      </c>
      <c r="B145" t="s">
        <v>412</v>
      </c>
      <c r="D145" t="s">
        <v>413</v>
      </c>
      <c r="E145">
        <v>1</v>
      </c>
      <c r="F145" t="s">
        <v>414</v>
      </c>
      <c r="H145" t="s">
        <v>201</v>
      </c>
      <c r="I145">
        <v>9.6999999999999993</v>
      </c>
      <c r="J145" t="s">
        <v>141</v>
      </c>
      <c r="K145">
        <v>8.2000000000000003E-2</v>
      </c>
      <c r="L145">
        <v>14</v>
      </c>
      <c r="M145">
        <v>10.345735850000001</v>
      </c>
      <c r="N145" t="s">
        <v>141</v>
      </c>
      <c r="O145" t="s">
        <v>141</v>
      </c>
      <c r="Q145">
        <v>0</v>
      </c>
      <c r="R145" t="s">
        <v>141</v>
      </c>
      <c r="S145" t="s">
        <v>204</v>
      </c>
      <c r="T145" t="s">
        <v>141</v>
      </c>
      <c r="U145">
        <v>198.56</v>
      </c>
      <c r="V145">
        <v>68.7</v>
      </c>
      <c r="W145">
        <v>10713.6729</v>
      </c>
      <c r="X145">
        <v>10713.6729</v>
      </c>
      <c r="Y145">
        <v>0.24</v>
      </c>
      <c r="Z145">
        <v>0.25</v>
      </c>
      <c r="AA145">
        <v>0.24</v>
      </c>
      <c r="AB145">
        <v>126.1675103</v>
      </c>
    </row>
    <row r="146" spans="1:29" x14ac:dyDescent="0.25">
      <c r="A146">
        <v>145</v>
      </c>
      <c r="B146" t="s">
        <v>1262</v>
      </c>
      <c r="C146" t="s">
        <v>415</v>
      </c>
      <c r="D146" t="s">
        <v>1048</v>
      </c>
      <c r="E146">
        <v>1</v>
      </c>
      <c r="F146" t="s">
        <v>1263</v>
      </c>
      <c r="H146" t="s">
        <v>201</v>
      </c>
      <c r="I146">
        <v>9.6999999999999993</v>
      </c>
      <c r="J146" t="s">
        <v>141</v>
      </c>
      <c r="K146">
        <v>5.1999999999999998E-2</v>
      </c>
      <c r="L146">
        <v>10</v>
      </c>
      <c r="M146">
        <v>7.3898113189999997</v>
      </c>
      <c r="N146" t="s">
        <v>141</v>
      </c>
      <c r="O146" t="s">
        <v>141</v>
      </c>
      <c r="Q146">
        <v>0</v>
      </c>
      <c r="R146" t="s">
        <v>141</v>
      </c>
      <c r="S146" t="s">
        <v>204</v>
      </c>
      <c r="T146" t="s">
        <v>141</v>
      </c>
      <c r="U146">
        <v>137.44999999999999</v>
      </c>
      <c r="V146">
        <v>49.82</v>
      </c>
      <c r="W146">
        <v>5378.2173419999999</v>
      </c>
      <c r="X146">
        <v>5378.2173419999999</v>
      </c>
      <c r="Y146">
        <v>0.25</v>
      </c>
      <c r="Z146">
        <v>0.23</v>
      </c>
      <c r="AA146">
        <v>0.25</v>
      </c>
      <c r="AB146">
        <v>142.11175610000001</v>
      </c>
    </row>
    <row r="147" spans="1:29" x14ac:dyDescent="0.25">
      <c r="A147">
        <v>146</v>
      </c>
      <c r="B147" t="s">
        <v>416</v>
      </c>
      <c r="D147" t="s">
        <v>354</v>
      </c>
      <c r="E147">
        <v>4</v>
      </c>
      <c r="F147" t="s">
        <v>359</v>
      </c>
      <c r="H147" t="s">
        <v>201</v>
      </c>
      <c r="I147">
        <v>9.6999999999999993</v>
      </c>
      <c r="J147" t="s">
        <v>141</v>
      </c>
      <c r="K147">
        <v>0.11700000000000001</v>
      </c>
      <c r="L147">
        <v>12</v>
      </c>
      <c r="M147">
        <v>8.867773583</v>
      </c>
      <c r="N147" t="s">
        <v>141</v>
      </c>
      <c r="O147" t="s">
        <v>141</v>
      </c>
      <c r="Q147">
        <v>0</v>
      </c>
      <c r="R147" t="s">
        <v>141</v>
      </c>
      <c r="S147" t="s">
        <v>204</v>
      </c>
      <c r="T147" t="s">
        <v>141</v>
      </c>
      <c r="U147">
        <v>145.96</v>
      </c>
      <c r="V147">
        <v>23.41</v>
      </c>
      <c r="W147">
        <v>2683.64552</v>
      </c>
      <c r="X147">
        <v>2683.64552</v>
      </c>
      <c r="Y147">
        <v>0.41</v>
      </c>
      <c r="Z147">
        <v>0.38</v>
      </c>
      <c r="AA147">
        <v>0.4</v>
      </c>
      <c r="AB147">
        <v>75.792936609999998</v>
      </c>
    </row>
    <row r="148" spans="1:29" x14ac:dyDescent="0.25">
      <c r="A148">
        <v>147</v>
      </c>
      <c r="B148" t="s">
        <v>417</v>
      </c>
      <c r="D148" t="s">
        <v>386</v>
      </c>
      <c r="E148">
        <v>3</v>
      </c>
      <c r="F148" t="s">
        <v>231</v>
      </c>
      <c r="H148" t="s">
        <v>201</v>
      </c>
      <c r="I148">
        <v>7.1</v>
      </c>
      <c r="J148" t="s">
        <v>141</v>
      </c>
      <c r="K148">
        <v>0.10199999999999999</v>
      </c>
      <c r="L148">
        <v>15</v>
      </c>
      <c r="M148">
        <v>5.9387882129999996</v>
      </c>
      <c r="N148" t="s">
        <v>141</v>
      </c>
      <c r="O148" t="s">
        <v>141</v>
      </c>
      <c r="Q148">
        <v>0</v>
      </c>
      <c r="R148" t="s">
        <v>141</v>
      </c>
      <c r="S148" t="s">
        <v>204</v>
      </c>
      <c r="T148" t="s">
        <v>141</v>
      </c>
      <c r="U148">
        <v>88.13</v>
      </c>
      <c r="V148">
        <v>54.29</v>
      </c>
      <c r="W148">
        <v>3757.798538</v>
      </c>
      <c r="X148">
        <v>3757.798538</v>
      </c>
      <c r="Y148">
        <v>0.31</v>
      </c>
      <c r="Z148">
        <v>0.28000000000000003</v>
      </c>
      <c r="AA148">
        <v>0.27</v>
      </c>
      <c r="AB148">
        <v>58.22341385</v>
      </c>
    </row>
    <row r="149" spans="1:29" x14ac:dyDescent="0.25">
      <c r="A149">
        <v>148</v>
      </c>
      <c r="B149" t="s">
        <v>418</v>
      </c>
      <c r="D149" t="s">
        <v>390</v>
      </c>
      <c r="E149">
        <v>4</v>
      </c>
      <c r="F149" t="s">
        <v>241</v>
      </c>
      <c r="H149" t="s">
        <v>201</v>
      </c>
      <c r="I149">
        <v>9.6999999999999993</v>
      </c>
      <c r="J149" t="s">
        <v>141</v>
      </c>
      <c r="K149">
        <v>9.9000000000000005E-2</v>
      </c>
      <c r="L149">
        <v>10</v>
      </c>
      <c r="M149">
        <v>7.3898113189999997</v>
      </c>
      <c r="N149" t="s">
        <v>141</v>
      </c>
      <c r="O149" t="s">
        <v>141</v>
      </c>
      <c r="Q149">
        <v>0</v>
      </c>
      <c r="R149" t="s">
        <v>141</v>
      </c>
      <c r="S149" t="s">
        <v>210</v>
      </c>
      <c r="T149">
        <v>7</v>
      </c>
      <c r="U149">
        <v>115.26</v>
      </c>
      <c r="V149">
        <v>34.85</v>
      </c>
      <c r="W149">
        <v>3154.7959820000001</v>
      </c>
      <c r="X149">
        <v>22083.57187</v>
      </c>
      <c r="Y149">
        <v>0.37</v>
      </c>
      <c r="Z149">
        <v>0.39</v>
      </c>
      <c r="AA149">
        <v>0.38</v>
      </c>
      <c r="AB149">
        <v>74.644558779999997</v>
      </c>
    </row>
    <row r="150" spans="1:29" x14ac:dyDescent="0.25">
      <c r="A150">
        <v>149</v>
      </c>
      <c r="B150" t="s">
        <v>419</v>
      </c>
      <c r="D150" t="s">
        <v>387</v>
      </c>
      <c r="E150">
        <v>5</v>
      </c>
      <c r="F150" t="s">
        <v>236</v>
      </c>
      <c r="H150" t="s">
        <v>201</v>
      </c>
      <c r="I150">
        <v>7.1</v>
      </c>
      <c r="J150" t="s">
        <v>141</v>
      </c>
      <c r="K150">
        <v>9.2999999999999999E-2</v>
      </c>
      <c r="L150">
        <v>15</v>
      </c>
      <c r="M150">
        <v>5.9387882129999996</v>
      </c>
      <c r="N150" t="s">
        <v>141</v>
      </c>
      <c r="O150" t="s">
        <v>141</v>
      </c>
      <c r="Q150">
        <v>0</v>
      </c>
      <c r="R150" t="s">
        <v>141</v>
      </c>
      <c r="S150" t="s">
        <v>204</v>
      </c>
      <c r="T150" t="s">
        <v>141</v>
      </c>
      <c r="U150">
        <v>41.75</v>
      </c>
      <c r="V150">
        <v>16.22</v>
      </c>
      <c r="W150">
        <v>531.85985530000005</v>
      </c>
      <c r="X150">
        <v>531.85985530000005</v>
      </c>
      <c r="Y150">
        <v>0.3</v>
      </c>
      <c r="Z150">
        <v>0.26</v>
      </c>
      <c r="AA150">
        <v>0.26</v>
      </c>
      <c r="AB150">
        <v>63.857937769999999</v>
      </c>
    </row>
    <row r="151" spans="1:29" x14ac:dyDescent="0.25">
      <c r="A151">
        <v>150</v>
      </c>
      <c r="B151" t="s">
        <v>420</v>
      </c>
      <c r="D151" t="s">
        <v>364</v>
      </c>
      <c r="E151">
        <v>5</v>
      </c>
      <c r="F151" t="s">
        <v>314</v>
      </c>
      <c r="H151" t="s">
        <v>201</v>
      </c>
      <c r="I151">
        <v>7.1</v>
      </c>
      <c r="J151" t="s">
        <v>141</v>
      </c>
      <c r="K151">
        <v>4.7E-2</v>
      </c>
      <c r="L151">
        <v>11</v>
      </c>
      <c r="M151">
        <v>4.3551113560000001</v>
      </c>
      <c r="N151" t="s">
        <v>141</v>
      </c>
      <c r="O151" t="s">
        <v>141</v>
      </c>
      <c r="Q151">
        <v>0</v>
      </c>
      <c r="R151" t="s">
        <v>141</v>
      </c>
      <c r="S151" t="s">
        <v>204</v>
      </c>
      <c r="T151" t="s">
        <v>141</v>
      </c>
      <c r="U151">
        <v>10.5</v>
      </c>
      <c r="V151">
        <v>3.96</v>
      </c>
      <c r="W151">
        <v>32.656855630000003</v>
      </c>
      <c r="X151">
        <v>32.656855630000003</v>
      </c>
      <c r="Y151">
        <v>0.19</v>
      </c>
      <c r="Z151">
        <v>0.18</v>
      </c>
      <c r="AA151">
        <v>0.16</v>
      </c>
      <c r="AB151">
        <v>92.661943739999998</v>
      </c>
    </row>
    <row r="152" spans="1:29" x14ac:dyDescent="0.25">
      <c r="A152">
        <v>151</v>
      </c>
      <c r="B152" t="s">
        <v>421</v>
      </c>
      <c r="D152" t="s">
        <v>388</v>
      </c>
      <c r="E152">
        <v>4</v>
      </c>
      <c r="F152" t="s">
        <v>243</v>
      </c>
      <c r="H152" t="s">
        <v>201</v>
      </c>
      <c r="I152">
        <v>7.1</v>
      </c>
      <c r="J152" t="s">
        <v>141</v>
      </c>
      <c r="K152">
        <v>0.1</v>
      </c>
      <c r="L152">
        <v>18</v>
      </c>
      <c r="M152">
        <v>7.1265458549999998</v>
      </c>
      <c r="N152" t="s">
        <v>141</v>
      </c>
      <c r="O152" t="s">
        <v>141</v>
      </c>
      <c r="Q152">
        <v>0</v>
      </c>
      <c r="R152" t="s">
        <v>141</v>
      </c>
      <c r="S152" t="s">
        <v>204</v>
      </c>
      <c r="T152" t="s">
        <v>141</v>
      </c>
      <c r="U152">
        <v>55.88</v>
      </c>
      <c r="V152">
        <v>26.31</v>
      </c>
      <c r="W152">
        <v>1154.694579</v>
      </c>
      <c r="X152">
        <v>1154.694579</v>
      </c>
      <c r="Y152">
        <v>0.27</v>
      </c>
      <c r="Z152">
        <v>0.32</v>
      </c>
      <c r="AA152">
        <v>0.23</v>
      </c>
      <c r="AB152">
        <v>71.265458550000005</v>
      </c>
    </row>
    <row r="153" spans="1:29" x14ac:dyDescent="0.25">
      <c r="A153">
        <v>152</v>
      </c>
      <c r="B153" t="s">
        <v>422</v>
      </c>
      <c r="D153" t="s">
        <v>383</v>
      </c>
      <c r="E153">
        <v>5</v>
      </c>
      <c r="F153" t="s">
        <v>194</v>
      </c>
      <c r="H153" t="s">
        <v>201</v>
      </c>
      <c r="I153">
        <v>9.6999999999999993</v>
      </c>
      <c r="J153" t="s">
        <v>141</v>
      </c>
      <c r="K153">
        <v>7.3999999999999996E-2</v>
      </c>
      <c r="L153">
        <v>10</v>
      </c>
      <c r="M153">
        <v>7.3898113189999997</v>
      </c>
      <c r="N153" t="s">
        <v>141</v>
      </c>
      <c r="O153" t="s">
        <v>141</v>
      </c>
      <c r="Q153">
        <v>0</v>
      </c>
      <c r="R153" t="s">
        <v>141</v>
      </c>
      <c r="S153" t="s">
        <v>210</v>
      </c>
      <c r="T153">
        <v>3</v>
      </c>
      <c r="U153">
        <v>88.4</v>
      </c>
      <c r="V153">
        <v>68.849999999999994</v>
      </c>
      <c r="W153">
        <v>4780.2002579999998</v>
      </c>
      <c r="X153">
        <v>14340.600769999999</v>
      </c>
      <c r="Y153">
        <v>0.42</v>
      </c>
      <c r="Z153">
        <v>0.4</v>
      </c>
      <c r="AA153">
        <v>0.42</v>
      </c>
      <c r="AB153">
        <v>99.862315129999999</v>
      </c>
    </row>
    <row r="154" spans="1:29" x14ac:dyDescent="0.25">
      <c r="A154">
        <v>153</v>
      </c>
      <c r="B154" t="s">
        <v>423</v>
      </c>
      <c r="D154" t="s">
        <v>356</v>
      </c>
      <c r="E154">
        <v>3</v>
      </c>
      <c r="F154" t="s">
        <v>370</v>
      </c>
      <c r="H154" t="s">
        <v>201</v>
      </c>
      <c r="I154">
        <v>9.6999999999999993</v>
      </c>
      <c r="J154" t="s">
        <v>141</v>
      </c>
      <c r="K154">
        <v>9.1999999999999998E-2</v>
      </c>
      <c r="L154">
        <v>12</v>
      </c>
      <c r="M154">
        <v>8.867773583</v>
      </c>
      <c r="N154" t="s">
        <v>141</v>
      </c>
      <c r="O154" t="s">
        <v>141</v>
      </c>
      <c r="Q154">
        <v>0</v>
      </c>
      <c r="R154" t="s">
        <v>141</v>
      </c>
      <c r="S154" t="s">
        <v>204</v>
      </c>
      <c r="T154" t="s">
        <v>141</v>
      </c>
      <c r="U154">
        <v>137.26</v>
      </c>
      <c r="V154">
        <v>73.47</v>
      </c>
      <c r="W154">
        <v>7920.3416530000004</v>
      </c>
      <c r="X154">
        <v>7920.3416530000004</v>
      </c>
      <c r="Y154">
        <v>0.56999999999999995</v>
      </c>
      <c r="Z154">
        <v>0.55000000000000004</v>
      </c>
      <c r="AA154">
        <v>0.63</v>
      </c>
      <c r="AB154">
        <v>96.388843300000005</v>
      </c>
    </row>
    <row r="155" spans="1:29" x14ac:dyDescent="0.25">
      <c r="A155">
        <v>154</v>
      </c>
      <c r="B155" t="s">
        <v>1202</v>
      </c>
      <c r="D155" t="s">
        <v>512</v>
      </c>
      <c r="E155">
        <v>4</v>
      </c>
      <c r="F155" t="s">
        <v>513</v>
      </c>
      <c r="H155" t="s">
        <v>201</v>
      </c>
      <c r="I155">
        <v>7.1</v>
      </c>
      <c r="J155" t="s">
        <v>141</v>
      </c>
      <c r="K155">
        <v>6.4000000000000001E-2</v>
      </c>
      <c r="L155">
        <v>13</v>
      </c>
      <c r="M155">
        <v>5.1469497840000002</v>
      </c>
      <c r="N155" t="s">
        <v>141</v>
      </c>
      <c r="O155" t="s">
        <v>141</v>
      </c>
      <c r="Q155">
        <v>0</v>
      </c>
      <c r="R155" t="s">
        <v>141</v>
      </c>
      <c r="S155" t="s">
        <v>204</v>
      </c>
      <c r="T155" t="s">
        <v>141</v>
      </c>
      <c r="U155">
        <v>84.81</v>
      </c>
      <c r="V155">
        <v>81.89</v>
      </c>
      <c r="W155">
        <v>5454.6616370000002</v>
      </c>
      <c r="X155">
        <v>5454.6616370000002</v>
      </c>
      <c r="Y155">
        <v>0.46</v>
      </c>
      <c r="Z155">
        <v>0.39</v>
      </c>
      <c r="AA155">
        <v>0.5</v>
      </c>
      <c r="AB155">
        <v>80.421090379999995</v>
      </c>
      <c r="AC155" t="s">
        <v>1116</v>
      </c>
    </row>
    <row r="156" spans="1:29" x14ac:dyDescent="0.25">
      <c r="A156">
        <v>155</v>
      </c>
      <c r="B156" t="s">
        <v>424</v>
      </c>
      <c r="D156" t="s">
        <v>425</v>
      </c>
      <c r="E156">
        <v>2</v>
      </c>
      <c r="F156" t="s">
        <v>426</v>
      </c>
      <c r="H156" t="s">
        <v>201</v>
      </c>
      <c r="I156">
        <v>9.6999999999999993</v>
      </c>
      <c r="J156" t="s">
        <v>141</v>
      </c>
      <c r="K156">
        <v>0.106</v>
      </c>
      <c r="L156">
        <v>13</v>
      </c>
      <c r="M156">
        <v>9.6067547149999992</v>
      </c>
      <c r="N156" t="s">
        <v>141</v>
      </c>
      <c r="O156" t="s">
        <v>141</v>
      </c>
      <c r="Q156">
        <v>0</v>
      </c>
      <c r="R156" t="s">
        <v>141</v>
      </c>
      <c r="S156" t="s">
        <v>210</v>
      </c>
      <c r="T156">
        <v>17</v>
      </c>
      <c r="U156">
        <v>60.96</v>
      </c>
      <c r="V156">
        <v>21.16</v>
      </c>
      <c r="W156">
        <v>1013.095772</v>
      </c>
      <c r="X156">
        <v>17222.628130000001</v>
      </c>
      <c r="Y156">
        <v>0.31</v>
      </c>
      <c r="Z156">
        <v>0.28000000000000003</v>
      </c>
      <c r="AA156">
        <v>0.27</v>
      </c>
      <c r="AB156">
        <v>90.629761459999997</v>
      </c>
    </row>
    <row r="157" spans="1:29" x14ac:dyDescent="0.25">
      <c r="A157">
        <v>156</v>
      </c>
      <c r="B157" t="s">
        <v>427</v>
      </c>
      <c r="D157" t="s">
        <v>343</v>
      </c>
      <c r="E157">
        <v>3</v>
      </c>
      <c r="F157" t="s">
        <v>374</v>
      </c>
      <c r="H157" t="s">
        <v>201</v>
      </c>
      <c r="I157">
        <v>9.6999999999999993</v>
      </c>
      <c r="J157" t="s">
        <v>141</v>
      </c>
      <c r="K157">
        <v>6.4000000000000001E-2</v>
      </c>
      <c r="L157">
        <v>12</v>
      </c>
      <c r="M157">
        <v>8.867773583</v>
      </c>
      <c r="N157" t="s">
        <v>141</v>
      </c>
      <c r="O157" t="s">
        <v>141</v>
      </c>
      <c r="Q157">
        <v>0</v>
      </c>
      <c r="R157" t="s">
        <v>141</v>
      </c>
      <c r="S157" t="s">
        <v>204</v>
      </c>
      <c r="T157" t="s">
        <v>141</v>
      </c>
      <c r="U157">
        <v>205.56</v>
      </c>
      <c r="V157">
        <v>76.88</v>
      </c>
      <c r="W157">
        <v>12412.0028</v>
      </c>
      <c r="X157">
        <v>12412.0028</v>
      </c>
      <c r="Y157">
        <v>0.46</v>
      </c>
      <c r="Z157">
        <v>0.49</v>
      </c>
      <c r="AA157">
        <v>0.48</v>
      </c>
      <c r="AB157">
        <v>138.5589622</v>
      </c>
    </row>
    <row r="158" spans="1:29" x14ac:dyDescent="0.25">
      <c r="A158">
        <v>157</v>
      </c>
      <c r="B158" t="s">
        <v>428</v>
      </c>
      <c r="D158" t="s">
        <v>343</v>
      </c>
      <c r="E158">
        <v>2</v>
      </c>
      <c r="F158" t="s">
        <v>374</v>
      </c>
      <c r="H158" t="s">
        <v>201</v>
      </c>
      <c r="I158">
        <v>9.6999999999999993</v>
      </c>
      <c r="J158" t="s">
        <v>141</v>
      </c>
      <c r="K158">
        <v>0.06</v>
      </c>
      <c r="L158">
        <v>12</v>
      </c>
      <c r="M158">
        <v>8.867773583</v>
      </c>
      <c r="N158" t="s">
        <v>141</v>
      </c>
      <c r="O158" t="s">
        <v>141</v>
      </c>
      <c r="Q158">
        <v>0</v>
      </c>
      <c r="R158" t="s">
        <v>141</v>
      </c>
      <c r="S158" t="s">
        <v>204</v>
      </c>
      <c r="T158" t="s">
        <v>141</v>
      </c>
      <c r="U158">
        <v>200.86</v>
      </c>
      <c r="V158">
        <v>88.84</v>
      </c>
      <c r="W158">
        <v>14014.960870000001</v>
      </c>
      <c r="X158">
        <v>14014.960870000001</v>
      </c>
      <c r="Y158">
        <v>0.49</v>
      </c>
      <c r="Z158">
        <v>0.48</v>
      </c>
      <c r="AA158">
        <v>0.48</v>
      </c>
      <c r="AB158">
        <v>147.79622639999999</v>
      </c>
    </row>
    <row r="159" spans="1:29" x14ac:dyDescent="0.25">
      <c r="A159">
        <v>158</v>
      </c>
      <c r="B159" t="s">
        <v>429</v>
      </c>
      <c r="C159" t="s">
        <v>554</v>
      </c>
      <c r="D159" t="s">
        <v>430</v>
      </c>
      <c r="E159">
        <v>3</v>
      </c>
      <c r="F159" t="s">
        <v>431</v>
      </c>
      <c r="H159" t="s">
        <v>201</v>
      </c>
      <c r="I159">
        <v>7.1</v>
      </c>
      <c r="J159" t="s">
        <v>141</v>
      </c>
      <c r="K159">
        <v>4.3999999999999997E-2</v>
      </c>
      <c r="L159">
        <v>12</v>
      </c>
      <c r="M159">
        <v>4.7510305700000002</v>
      </c>
      <c r="N159" t="s">
        <v>141</v>
      </c>
      <c r="O159" t="s">
        <v>141</v>
      </c>
      <c r="Q159">
        <v>0</v>
      </c>
      <c r="R159" t="s">
        <v>141</v>
      </c>
      <c r="S159" t="s">
        <v>204</v>
      </c>
      <c r="T159" t="s">
        <v>141</v>
      </c>
      <c r="U159">
        <v>125.88</v>
      </c>
      <c r="V159">
        <v>41.69</v>
      </c>
      <c r="W159">
        <v>4121.7202390000002</v>
      </c>
      <c r="X159">
        <v>4121.7202390000002</v>
      </c>
      <c r="Y159">
        <v>0.21</v>
      </c>
      <c r="Z159">
        <v>0.18</v>
      </c>
      <c r="AA159">
        <v>0.21</v>
      </c>
      <c r="AB159">
        <v>107.97796750000001</v>
      </c>
      <c r="AC159" t="s">
        <v>432</v>
      </c>
    </row>
    <row r="160" spans="1:29" x14ac:dyDescent="0.25">
      <c r="A160">
        <v>159</v>
      </c>
      <c r="B160" t="s">
        <v>433</v>
      </c>
      <c r="D160" t="s">
        <v>434</v>
      </c>
      <c r="E160">
        <v>3</v>
      </c>
      <c r="F160" t="s">
        <v>435</v>
      </c>
      <c r="H160" t="s">
        <v>201</v>
      </c>
      <c r="I160">
        <v>9.6999999999999993</v>
      </c>
      <c r="J160" t="s">
        <v>141</v>
      </c>
      <c r="K160">
        <v>9.1999999999999998E-2</v>
      </c>
      <c r="L160">
        <v>10</v>
      </c>
      <c r="M160">
        <v>7.3898113189999997</v>
      </c>
      <c r="N160" t="s">
        <v>141</v>
      </c>
      <c r="O160" t="s">
        <v>141</v>
      </c>
      <c r="Q160">
        <v>0</v>
      </c>
      <c r="R160" t="s">
        <v>141</v>
      </c>
      <c r="S160" t="s">
        <v>204</v>
      </c>
      <c r="T160" t="s">
        <v>141</v>
      </c>
      <c r="U160">
        <v>91.41</v>
      </c>
      <c r="V160">
        <v>63.9</v>
      </c>
      <c r="W160">
        <v>4587.5884269999997</v>
      </c>
      <c r="X160">
        <v>4587.5884269999997</v>
      </c>
      <c r="Y160">
        <v>0.41</v>
      </c>
      <c r="Z160">
        <v>0.42</v>
      </c>
      <c r="AA160">
        <v>0.43</v>
      </c>
      <c r="AB160">
        <v>80.324036079999999</v>
      </c>
    </row>
    <row r="161" spans="1:29" x14ac:dyDescent="0.25">
      <c r="A161">
        <v>160</v>
      </c>
      <c r="B161" t="s">
        <v>436</v>
      </c>
      <c r="D161" t="s">
        <v>399</v>
      </c>
      <c r="E161">
        <v>3</v>
      </c>
      <c r="F161" t="s">
        <v>307</v>
      </c>
      <c r="H161" t="s">
        <v>201</v>
      </c>
      <c r="I161">
        <v>7.1</v>
      </c>
      <c r="K161">
        <v>0.109</v>
      </c>
      <c r="L161">
        <v>15</v>
      </c>
      <c r="M161">
        <v>5.9387882129999996</v>
      </c>
      <c r="Q161">
        <v>0</v>
      </c>
      <c r="R161" t="s">
        <v>141</v>
      </c>
      <c r="S161" t="s">
        <v>204</v>
      </c>
      <c r="T161" t="s">
        <v>141</v>
      </c>
      <c r="U161">
        <v>90.05</v>
      </c>
      <c r="V161">
        <v>53.19</v>
      </c>
      <c r="W161">
        <v>3761.8683139999998</v>
      </c>
      <c r="X161">
        <v>3761.8683139999998</v>
      </c>
      <c r="Y161">
        <v>0.48</v>
      </c>
      <c r="Z161">
        <v>0.44</v>
      </c>
      <c r="AA161">
        <v>0.43</v>
      </c>
      <c r="AB161">
        <v>54.484295529999997</v>
      </c>
      <c r="AC161" t="s">
        <v>1113</v>
      </c>
    </row>
    <row r="162" spans="1:29" x14ac:dyDescent="0.25">
      <c r="A162">
        <v>161</v>
      </c>
      <c r="B162" t="s">
        <v>437</v>
      </c>
      <c r="D162" t="s">
        <v>399</v>
      </c>
      <c r="E162">
        <v>2</v>
      </c>
      <c r="F162" t="s">
        <v>307</v>
      </c>
      <c r="H162" t="s">
        <v>201</v>
      </c>
      <c r="I162">
        <v>7.1</v>
      </c>
      <c r="K162">
        <v>6.2E-2</v>
      </c>
      <c r="L162">
        <v>12</v>
      </c>
      <c r="M162">
        <v>4.7510305700000002</v>
      </c>
      <c r="Q162">
        <v>0</v>
      </c>
      <c r="R162" t="s">
        <v>141</v>
      </c>
      <c r="S162" t="s">
        <v>204</v>
      </c>
      <c r="T162" t="s">
        <v>141</v>
      </c>
      <c r="U162">
        <v>72.83</v>
      </c>
      <c r="V162">
        <v>37.020000000000003</v>
      </c>
      <c r="W162">
        <v>2117.564296</v>
      </c>
      <c r="X162">
        <v>2117.564296</v>
      </c>
      <c r="Y162">
        <v>0.42</v>
      </c>
      <c r="Z162">
        <v>0.4</v>
      </c>
      <c r="AA162">
        <v>0.39</v>
      </c>
      <c r="AB162">
        <v>76.629525319999999</v>
      </c>
    </row>
    <row r="163" spans="1:29" x14ac:dyDescent="0.25">
      <c r="A163">
        <v>162</v>
      </c>
      <c r="B163" t="s">
        <v>438</v>
      </c>
      <c r="D163" t="s">
        <v>368</v>
      </c>
      <c r="E163">
        <v>2</v>
      </c>
      <c r="F163" t="s">
        <v>379</v>
      </c>
      <c r="H163" t="s">
        <v>201</v>
      </c>
      <c r="I163">
        <v>9.6999999999999993</v>
      </c>
      <c r="K163">
        <v>9.4E-2</v>
      </c>
      <c r="L163">
        <v>14</v>
      </c>
      <c r="M163">
        <v>10.345735850000001</v>
      </c>
      <c r="Q163">
        <v>0</v>
      </c>
      <c r="R163" t="s">
        <v>141</v>
      </c>
      <c r="S163" t="s">
        <v>204</v>
      </c>
      <c r="T163" t="s">
        <v>141</v>
      </c>
      <c r="U163">
        <v>57.8</v>
      </c>
      <c r="V163">
        <v>23.06</v>
      </c>
      <c r="W163">
        <v>1046.832079</v>
      </c>
      <c r="X163">
        <v>1046.832079</v>
      </c>
      <c r="Y163">
        <v>0.23</v>
      </c>
      <c r="Z163">
        <v>0.23</v>
      </c>
      <c r="AA163">
        <v>0.23</v>
      </c>
      <c r="AB163">
        <v>110.0610197</v>
      </c>
    </row>
    <row r="164" spans="1:29" x14ac:dyDescent="0.25">
      <c r="A164">
        <v>163</v>
      </c>
      <c r="B164" t="s">
        <v>439</v>
      </c>
      <c r="D164" t="s">
        <v>440</v>
      </c>
      <c r="E164">
        <v>1</v>
      </c>
      <c r="F164" t="s">
        <v>441</v>
      </c>
      <c r="H164" t="s">
        <v>201</v>
      </c>
      <c r="I164">
        <v>9.6999999999999993</v>
      </c>
      <c r="K164">
        <v>5.3999999999999999E-2</v>
      </c>
      <c r="L164">
        <v>10</v>
      </c>
      <c r="M164">
        <v>7.3898113189999997</v>
      </c>
      <c r="Q164">
        <v>0</v>
      </c>
      <c r="R164" t="s">
        <v>141</v>
      </c>
      <c r="S164" t="s">
        <v>210</v>
      </c>
      <c r="T164">
        <v>11</v>
      </c>
      <c r="U164">
        <v>185.6</v>
      </c>
      <c r="V164">
        <v>45.65</v>
      </c>
      <c r="W164">
        <v>6654.3958949999997</v>
      </c>
      <c r="X164">
        <v>73198.354850000003</v>
      </c>
      <c r="Y164">
        <v>0.19</v>
      </c>
      <c r="Z164">
        <v>0.18</v>
      </c>
      <c r="AA164">
        <v>0.19</v>
      </c>
      <c r="AB164">
        <v>136.8483578</v>
      </c>
    </row>
    <row r="165" spans="1:29" x14ac:dyDescent="0.25">
      <c r="A165">
        <v>164</v>
      </c>
      <c r="B165" t="s">
        <v>442</v>
      </c>
      <c r="D165" t="s">
        <v>356</v>
      </c>
      <c r="E165">
        <v>2</v>
      </c>
      <c r="F165" t="s">
        <v>370</v>
      </c>
      <c r="H165" t="s">
        <v>201</v>
      </c>
      <c r="I165">
        <v>9.6999999999999993</v>
      </c>
      <c r="K165">
        <v>0.1222</v>
      </c>
      <c r="L165">
        <v>14</v>
      </c>
      <c r="M165">
        <v>10.345735850000001</v>
      </c>
      <c r="Q165">
        <v>0</v>
      </c>
      <c r="R165" t="s">
        <v>141</v>
      </c>
      <c r="S165" t="s">
        <v>204</v>
      </c>
      <c r="T165" t="s">
        <v>141</v>
      </c>
      <c r="U165">
        <v>129.91</v>
      </c>
      <c r="V165">
        <v>84.48</v>
      </c>
      <c r="W165">
        <v>8619.5852500000001</v>
      </c>
      <c r="X165">
        <v>8619.5852500000001</v>
      </c>
      <c r="Y165">
        <v>0.62</v>
      </c>
      <c r="Z165">
        <v>0.69</v>
      </c>
      <c r="AA165">
        <v>0.67</v>
      </c>
      <c r="AB165">
        <v>84.662322810000006</v>
      </c>
    </row>
    <row r="166" spans="1:29" x14ac:dyDescent="0.25">
      <c r="A166">
        <v>165</v>
      </c>
      <c r="B166" t="s">
        <v>443</v>
      </c>
      <c r="D166" t="s">
        <v>444</v>
      </c>
      <c r="E166">
        <v>1</v>
      </c>
      <c r="F166" t="s">
        <v>445</v>
      </c>
      <c r="H166" t="s">
        <v>201</v>
      </c>
      <c r="I166">
        <v>9.6999999999999993</v>
      </c>
      <c r="K166">
        <v>0.115</v>
      </c>
      <c r="L166">
        <v>12</v>
      </c>
      <c r="M166">
        <v>8.867773583</v>
      </c>
      <c r="Q166">
        <v>0</v>
      </c>
      <c r="R166" t="s">
        <v>141</v>
      </c>
      <c r="S166" t="s">
        <v>204</v>
      </c>
      <c r="T166" t="s">
        <v>141</v>
      </c>
      <c r="U166">
        <v>93.4</v>
      </c>
      <c r="V166">
        <v>42.9</v>
      </c>
      <c r="W166">
        <v>3146.980485</v>
      </c>
      <c r="X166">
        <v>3146.980485</v>
      </c>
      <c r="Y166">
        <v>0.37</v>
      </c>
      <c r="Z166">
        <v>0.38</v>
      </c>
      <c r="AA166">
        <v>0.39</v>
      </c>
      <c r="AB166">
        <v>77.111074639999998</v>
      </c>
    </row>
    <row r="167" spans="1:29" x14ac:dyDescent="0.25">
      <c r="A167">
        <v>166</v>
      </c>
      <c r="B167" t="s">
        <v>446</v>
      </c>
      <c r="D167" t="s">
        <v>425</v>
      </c>
      <c r="E167">
        <v>1</v>
      </c>
      <c r="F167" t="s">
        <v>426</v>
      </c>
      <c r="H167" t="s">
        <v>201</v>
      </c>
      <c r="I167">
        <v>9.6999999999999993</v>
      </c>
      <c r="K167">
        <v>0.125</v>
      </c>
      <c r="L167">
        <v>16</v>
      </c>
      <c r="M167">
        <v>11.82369811</v>
      </c>
      <c r="Q167">
        <v>0</v>
      </c>
      <c r="R167" t="s">
        <v>141</v>
      </c>
      <c r="S167" t="s">
        <v>210</v>
      </c>
      <c r="T167">
        <v>13</v>
      </c>
      <c r="U167">
        <v>73.400000000000006</v>
      </c>
      <c r="V167">
        <v>20.97</v>
      </c>
      <c r="W167">
        <v>1208.883282</v>
      </c>
      <c r="X167">
        <v>15715.482669999999</v>
      </c>
      <c r="Y167">
        <v>0.27</v>
      </c>
      <c r="Z167">
        <v>0.26</v>
      </c>
      <c r="AA167">
        <v>0.26</v>
      </c>
      <c r="AB167">
        <v>94.589584889999998</v>
      </c>
    </row>
    <row r="168" spans="1:29" x14ac:dyDescent="0.25">
      <c r="A168">
        <v>167</v>
      </c>
      <c r="B168" t="s">
        <v>447</v>
      </c>
      <c r="D168" t="s">
        <v>383</v>
      </c>
      <c r="E168">
        <v>4</v>
      </c>
      <c r="F168" t="s">
        <v>194</v>
      </c>
      <c r="H168" t="s">
        <v>201</v>
      </c>
      <c r="I168">
        <v>7.1</v>
      </c>
      <c r="K168">
        <v>0.104</v>
      </c>
      <c r="L168">
        <v>20</v>
      </c>
      <c r="M168">
        <v>7.918384283</v>
      </c>
      <c r="Q168">
        <v>0</v>
      </c>
      <c r="S168" t="s">
        <v>210</v>
      </c>
      <c r="T168">
        <v>3</v>
      </c>
      <c r="U168">
        <v>84.7</v>
      </c>
      <c r="V168">
        <v>71.650000000000006</v>
      </c>
      <c r="W168">
        <v>4766.3890309999997</v>
      </c>
      <c r="X168">
        <v>14299.167090000001</v>
      </c>
      <c r="Y168">
        <v>0.55000000000000004</v>
      </c>
      <c r="Z168">
        <v>0.54</v>
      </c>
      <c r="AA168">
        <v>0.45</v>
      </c>
      <c r="AB168">
        <v>76.138310419999996</v>
      </c>
    </row>
    <row r="169" spans="1:29" x14ac:dyDescent="0.25">
      <c r="A169">
        <v>168</v>
      </c>
      <c r="B169" t="s">
        <v>456</v>
      </c>
      <c r="C169" t="s">
        <v>11</v>
      </c>
      <c r="D169" t="s">
        <v>343</v>
      </c>
      <c r="E169">
        <v>5</v>
      </c>
      <c r="F169" t="s">
        <v>374</v>
      </c>
      <c r="H169" t="s">
        <v>201</v>
      </c>
      <c r="I169">
        <v>9.6999999999999993</v>
      </c>
      <c r="K169">
        <v>7.1999999999999995E-2</v>
      </c>
      <c r="L169">
        <v>11</v>
      </c>
      <c r="M169">
        <v>8.1287924510000007</v>
      </c>
      <c r="Q169">
        <v>0</v>
      </c>
      <c r="S169" t="s">
        <v>204</v>
      </c>
      <c r="T169" t="s">
        <v>141</v>
      </c>
      <c r="U169">
        <v>186.58</v>
      </c>
      <c r="V169">
        <v>67.27</v>
      </c>
      <c r="W169">
        <v>9857.7181739999996</v>
      </c>
      <c r="X169">
        <v>9857.7181739999996</v>
      </c>
      <c r="Y169">
        <v>0.52</v>
      </c>
      <c r="Z169">
        <v>0.48</v>
      </c>
      <c r="AA169">
        <v>0.51</v>
      </c>
      <c r="AB169">
        <v>112.8998952</v>
      </c>
      <c r="AC169" t="s">
        <v>1114</v>
      </c>
    </row>
    <row r="170" spans="1:29" x14ac:dyDescent="0.25">
      <c r="A170">
        <v>169</v>
      </c>
      <c r="B170" t="s">
        <v>449</v>
      </c>
      <c r="D170" t="s">
        <v>386</v>
      </c>
      <c r="E170">
        <v>4</v>
      </c>
      <c r="F170" t="s">
        <v>231</v>
      </c>
      <c r="H170" t="s">
        <v>201</v>
      </c>
      <c r="I170">
        <v>7.1</v>
      </c>
      <c r="K170">
        <v>0.10299999999999999</v>
      </c>
      <c r="L170">
        <v>17</v>
      </c>
      <c r="M170">
        <v>6.7306266409999997</v>
      </c>
      <c r="Q170">
        <v>0</v>
      </c>
      <c r="S170" t="s">
        <v>204</v>
      </c>
      <c r="T170" t="s">
        <v>141</v>
      </c>
      <c r="U170">
        <v>38.49</v>
      </c>
      <c r="V170">
        <v>19.78</v>
      </c>
      <c r="W170">
        <v>597.94891159999997</v>
      </c>
      <c r="X170">
        <v>597.94891159999997</v>
      </c>
      <c r="Y170">
        <v>0.24</v>
      </c>
      <c r="Z170">
        <v>0.32</v>
      </c>
      <c r="AA170">
        <v>0.19</v>
      </c>
      <c r="AB170">
        <v>65.345889720000002</v>
      </c>
    </row>
    <row r="171" spans="1:29" x14ac:dyDescent="0.25">
      <c r="A171">
        <v>170</v>
      </c>
      <c r="B171" t="s">
        <v>1258</v>
      </c>
      <c r="C171" t="s">
        <v>436</v>
      </c>
      <c r="D171" t="s">
        <v>399</v>
      </c>
      <c r="E171">
        <v>6</v>
      </c>
      <c r="F171" t="s">
        <v>307</v>
      </c>
      <c r="H171" t="s">
        <v>201</v>
      </c>
      <c r="I171">
        <v>7.1</v>
      </c>
      <c r="K171">
        <v>8.2000000000000003E-2</v>
      </c>
      <c r="L171">
        <v>15</v>
      </c>
      <c r="M171">
        <v>5.9387882129999996</v>
      </c>
      <c r="Q171">
        <v>0</v>
      </c>
      <c r="S171" t="s">
        <v>204</v>
      </c>
      <c r="T171" t="s">
        <v>141</v>
      </c>
      <c r="U171">
        <v>72.22</v>
      </c>
      <c r="V171">
        <v>38.28</v>
      </c>
      <c r="W171">
        <v>2171.2973109999998</v>
      </c>
      <c r="X171">
        <v>2171.2973109999998</v>
      </c>
      <c r="Y171">
        <v>0.56000000000000005</v>
      </c>
      <c r="Z171">
        <v>0.56000000000000005</v>
      </c>
      <c r="AA171">
        <v>0.55000000000000004</v>
      </c>
      <c r="AB171">
        <v>72.424246490000002</v>
      </c>
      <c r="AC171" t="s">
        <v>1261</v>
      </c>
    </row>
    <row r="172" spans="1:29" x14ac:dyDescent="0.25">
      <c r="A172">
        <v>171</v>
      </c>
      <c r="B172" t="s">
        <v>450</v>
      </c>
      <c r="D172" t="s">
        <v>399</v>
      </c>
      <c r="E172">
        <v>4</v>
      </c>
      <c r="F172" t="s">
        <v>307</v>
      </c>
      <c r="H172" t="s">
        <v>201</v>
      </c>
      <c r="I172">
        <v>7.1</v>
      </c>
      <c r="K172">
        <v>9.6000000000000002E-2</v>
      </c>
      <c r="L172">
        <v>13</v>
      </c>
      <c r="M172">
        <v>5.1469497840000002</v>
      </c>
      <c r="Q172">
        <v>0</v>
      </c>
      <c r="S172" t="s">
        <v>204</v>
      </c>
      <c r="T172" t="s">
        <v>141</v>
      </c>
      <c r="U172">
        <v>67.650000000000006</v>
      </c>
      <c r="V172">
        <v>49.94</v>
      </c>
      <c r="W172">
        <v>2653.4213570000002</v>
      </c>
      <c r="X172">
        <v>2653.4213570000002</v>
      </c>
      <c r="Y172">
        <v>0.56000000000000005</v>
      </c>
      <c r="Z172">
        <v>0.45</v>
      </c>
      <c r="AA172">
        <v>0.55000000000000004</v>
      </c>
      <c r="AB172">
        <v>53.614060250000001</v>
      </c>
    </row>
    <row r="173" spans="1:29" x14ac:dyDescent="0.25">
      <c r="A173">
        <v>172</v>
      </c>
      <c r="B173" t="s">
        <v>451</v>
      </c>
      <c r="D173" t="s">
        <v>367</v>
      </c>
      <c r="E173">
        <v>5</v>
      </c>
      <c r="F173" t="s">
        <v>266</v>
      </c>
      <c r="H173" t="s">
        <v>201</v>
      </c>
      <c r="I173">
        <v>7.1</v>
      </c>
      <c r="K173">
        <v>0.09</v>
      </c>
      <c r="L173">
        <v>12</v>
      </c>
      <c r="M173">
        <v>4.7510305700000002</v>
      </c>
      <c r="Q173">
        <v>0</v>
      </c>
      <c r="S173" t="s">
        <v>204</v>
      </c>
      <c r="T173" t="s">
        <v>141</v>
      </c>
      <c r="U173">
        <v>41.6</v>
      </c>
      <c r="V173">
        <v>8.17</v>
      </c>
      <c r="W173">
        <v>266.93484460000002</v>
      </c>
      <c r="X173">
        <v>266.93484460000002</v>
      </c>
      <c r="Y173">
        <v>0.27</v>
      </c>
      <c r="Z173">
        <v>0.28999999999999998</v>
      </c>
      <c r="AA173">
        <v>0.28000000000000003</v>
      </c>
      <c r="AB173">
        <v>52.789228559999998</v>
      </c>
    </row>
    <row r="174" spans="1:29" x14ac:dyDescent="0.25">
      <c r="A174">
        <v>173</v>
      </c>
      <c r="B174" t="s">
        <v>452</v>
      </c>
      <c r="D174" t="s">
        <v>396</v>
      </c>
      <c r="E174">
        <v>3</v>
      </c>
      <c r="F174" t="s">
        <v>290</v>
      </c>
      <c r="H174" t="s">
        <v>201</v>
      </c>
      <c r="I174">
        <v>7.1</v>
      </c>
      <c r="K174">
        <v>8.5999999999999993E-2</v>
      </c>
      <c r="L174">
        <v>18</v>
      </c>
      <c r="M174">
        <v>7.1265458549999998</v>
      </c>
      <c r="Q174">
        <v>0</v>
      </c>
      <c r="S174" t="s">
        <v>204</v>
      </c>
      <c r="T174" t="s">
        <v>141</v>
      </c>
      <c r="U174">
        <v>33.700000000000003</v>
      </c>
      <c r="V174">
        <v>19.28</v>
      </c>
      <c r="W174">
        <v>510.30146109999998</v>
      </c>
      <c r="X174">
        <v>510.30146109999998</v>
      </c>
      <c r="Y174">
        <v>0.25</v>
      </c>
      <c r="Z174">
        <v>0.22</v>
      </c>
      <c r="AA174">
        <v>0.22</v>
      </c>
      <c r="AB174">
        <v>82.866812269999997</v>
      </c>
    </row>
    <row r="175" spans="1:29" x14ac:dyDescent="0.25">
      <c r="A175">
        <v>174</v>
      </c>
      <c r="B175" t="s">
        <v>453</v>
      </c>
      <c r="D175" t="s">
        <v>430</v>
      </c>
      <c r="E175">
        <v>4</v>
      </c>
      <c r="F175" t="s">
        <v>431</v>
      </c>
      <c r="H175" t="s">
        <v>201</v>
      </c>
      <c r="I175">
        <v>9.6999999999999993</v>
      </c>
      <c r="K175">
        <v>9.0999999999999998E-2</v>
      </c>
      <c r="L175">
        <v>17</v>
      </c>
      <c r="M175">
        <v>12.56267924</v>
      </c>
      <c r="Q175">
        <v>0</v>
      </c>
      <c r="S175" t="s">
        <v>204</v>
      </c>
      <c r="T175" t="s">
        <v>141</v>
      </c>
      <c r="U175">
        <v>223.49</v>
      </c>
      <c r="V175">
        <v>71.95</v>
      </c>
      <c r="W175">
        <v>12629.285330000001</v>
      </c>
      <c r="X175">
        <v>12629.285330000001</v>
      </c>
      <c r="Y175">
        <v>0.2</v>
      </c>
      <c r="Z175">
        <v>0.21</v>
      </c>
      <c r="AA175">
        <v>0.22</v>
      </c>
      <c r="AB175">
        <v>138.05142029999999</v>
      </c>
    </row>
    <row r="176" spans="1:29" x14ac:dyDescent="0.25">
      <c r="A176">
        <v>175</v>
      </c>
      <c r="B176" t="s">
        <v>454</v>
      </c>
      <c r="D176" t="s">
        <v>390</v>
      </c>
      <c r="E176">
        <v>3</v>
      </c>
      <c r="F176" t="s">
        <v>241</v>
      </c>
      <c r="H176" t="s">
        <v>201</v>
      </c>
      <c r="I176">
        <v>7.1</v>
      </c>
      <c r="K176">
        <v>5.8000000000000003E-2</v>
      </c>
      <c r="L176">
        <v>14</v>
      </c>
      <c r="M176">
        <v>5.5428689980000003</v>
      </c>
      <c r="Q176">
        <v>0</v>
      </c>
      <c r="S176" t="s">
        <v>210</v>
      </c>
      <c r="T176">
        <v>7</v>
      </c>
      <c r="U176">
        <v>96.42</v>
      </c>
      <c r="V176">
        <v>26.32</v>
      </c>
      <c r="W176">
        <v>1993.1633529999999</v>
      </c>
      <c r="X176">
        <v>13952.143470000001</v>
      </c>
      <c r="Y176">
        <v>0.35</v>
      </c>
      <c r="Z176">
        <v>0.28999999999999998</v>
      </c>
      <c r="AA176">
        <v>0.28999999999999998</v>
      </c>
      <c r="AB176">
        <v>95.566706870000004</v>
      </c>
    </row>
    <row r="177" spans="1:29" x14ac:dyDescent="0.25">
      <c r="A177">
        <v>176</v>
      </c>
      <c r="B177" t="s">
        <v>302</v>
      </c>
      <c r="D177" t="s">
        <v>367</v>
      </c>
      <c r="E177">
        <v>4</v>
      </c>
      <c r="F177" t="s">
        <v>266</v>
      </c>
      <c r="H177" t="s">
        <v>201</v>
      </c>
      <c r="I177">
        <v>7.1</v>
      </c>
      <c r="K177">
        <v>7.6999999999999999E-2</v>
      </c>
      <c r="L177">
        <v>13</v>
      </c>
      <c r="M177">
        <v>5.1469497840000002</v>
      </c>
      <c r="Q177">
        <v>0</v>
      </c>
      <c r="S177" t="s">
        <v>204</v>
      </c>
      <c r="T177" t="s">
        <v>141</v>
      </c>
      <c r="U177">
        <v>19.190000000000001</v>
      </c>
      <c r="V177">
        <v>8.6300000000000008</v>
      </c>
      <c r="W177">
        <v>130.0695542</v>
      </c>
      <c r="X177">
        <v>130.0695542</v>
      </c>
      <c r="Y177">
        <v>0.19</v>
      </c>
      <c r="Z177">
        <v>0.21</v>
      </c>
      <c r="AA177">
        <v>0.2</v>
      </c>
      <c r="AB177">
        <v>66.843503690000006</v>
      </c>
    </row>
    <row r="178" spans="1:29" x14ac:dyDescent="0.25">
      <c r="A178">
        <v>177</v>
      </c>
      <c r="B178" t="s">
        <v>455</v>
      </c>
      <c r="D178" t="s">
        <v>354</v>
      </c>
      <c r="E178">
        <v>2</v>
      </c>
      <c r="F178" t="s">
        <v>359</v>
      </c>
      <c r="H178" t="s">
        <v>201</v>
      </c>
      <c r="I178">
        <v>9.6999999999999993</v>
      </c>
      <c r="K178">
        <v>0.156</v>
      </c>
      <c r="L178">
        <v>17</v>
      </c>
      <c r="M178">
        <v>12.56267924</v>
      </c>
      <c r="Q178">
        <v>0</v>
      </c>
      <c r="S178" t="s">
        <v>204</v>
      </c>
      <c r="T178" t="s">
        <v>141</v>
      </c>
      <c r="U178">
        <v>194.33</v>
      </c>
      <c r="V178">
        <v>49.93</v>
      </c>
      <c r="W178">
        <v>7620.6374050000004</v>
      </c>
      <c r="X178">
        <v>7620.6374050000004</v>
      </c>
      <c r="Y178">
        <v>0.36</v>
      </c>
      <c r="Z178">
        <v>0.37</v>
      </c>
      <c r="AA178">
        <v>0.37</v>
      </c>
      <c r="AB178">
        <v>80.529995150000005</v>
      </c>
    </row>
    <row r="179" spans="1:29" x14ac:dyDescent="0.25">
      <c r="A179">
        <v>178</v>
      </c>
      <c r="B179" t="s">
        <v>448</v>
      </c>
      <c r="D179" t="s">
        <v>343</v>
      </c>
      <c r="E179">
        <v>4</v>
      </c>
      <c r="F179" t="s">
        <v>374</v>
      </c>
      <c r="H179" t="s">
        <v>201</v>
      </c>
      <c r="I179">
        <v>9.6999999999999993</v>
      </c>
      <c r="K179">
        <v>0.09</v>
      </c>
      <c r="L179">
        <v>15</v>
      </c>
      <c r="M179">
        <v>11.08471698</v>
      </c>
      <c r="AB179">
        <v>123.163522</v>
      </c>
      <c r="AC179" t="s">
        <v>1274</v>
      </c>
    </row>
    <row r="180" spans="1:29" x14ac:dyDescent="0.25">
      <c r="A180">
        <v>179</v>
      </c>
      <c r="B180" t="s">
        <v>457</v>
      </c>
      <c r="D180" t="s">
        <v>354</v>
      </c>
      <c r="E180">
        <v>3</v>
      </c>
      <c r="F180" t="s">
        <v>359</v>
      </c>
      <c r="H180" t="s">
        <v>201</v>
      </c>
      <c r="I180">
        <v>9.6999999999999993</v>
      </c>
      <c r="K180">
        <v>9.1999999999999998E-2</v>
      </c>
      <c r="L180">
        <v>10</v>
      </c>
      <c r="M180">
        <v>7.3898113189999997</v>
      </c>
      <c r="Q180">
        <v>0</v>
      </c>
      <c r="S180" t="s">
        <v>204</v>
      </c>
      <c r="T180" t="s">
        <v>141</v>
      </c>
      <c r="U180">
        <v>129.87</v>
      </c>
      <c r="V180">
        <v>40.85</v>
      </c>
      <c r="W180">
        <v>4166.6860900000001</v>
      </c>
      <c r="X180">
        <v>4166.6860900000001</v>
      </c>
      <c r="Y180">
        <v>0.37</v>
      </c>
      <c r="Z180">
        <v>0.39</v>
      </c>
      <c r="AA180">
        <v>0.38</v>
      </c>
      <c r="AB180">
        <v>80.324036079999999</v>
      </c>
    </row>
    <row r="181" spans="1:29" x14ac:dyDescent="0.25">
      <c r="A181">
        <v>180</v>
      </c>
      <c r="B181" t="s">
        <v>458</v>
      </c>
      <c r="D181" t="s">
        <v>356</v>
      </c>
      <c r="E181">
        <v>4</v>
      </c>
      <c r="F181" t="s">
        <v>370</v>
      </c>
      <c r="H181" t="s">
        <v>201</v>
      </c>
      <c r="I181">
        <v>9.6999999999999993</v>
      </c>
      <c r="K181">
        <v>0.106</v>
      </c>
      <c r="L181">
        <v>12</v>
      </c>
      <c r="M181">
        <v>8.867773583</v>
      </c>
      <c r="Q181">
        <v>0</v>
      </c>
      <c r="S181" t="s">
        <v>204</v>
      </c>
      <c r="T181" t="s">
        <v>141</v>
      </c>
      <c r="U181">
        <v>112.91</v>
      </c>
      <c r="V181">
        <v>63.91</v>
      </c>
      <c r="W181">
        <v>5667.4944869999999</v>
      </c>
      <c r="X181">
        <v>5667.4944869999999</v>
      </c>
      <c r="Y181">
        <v>0.49</v>
      </c>
      <c r="Z181">
        <v>0.49</v>
      </c>
      <c r="AA181">
        <v>0.56000000000000005</v>
      </c>
      <c r="AB181">
        <v>83.658241349999997</v>
      </c>
    </row>
    <row r="182" spans="1:29" x14ac:dyDescent="0.25">
      <c r="A182">
        <v>181</v>
      </c>
      <c r="B182" t="s">
        <v>459</v>
      </c>
      <c r="D182" t="s">
        <v>460</v>
      </c>
      <c r="E182">
        <v>2</v>
      </c>
      <c r="F182" t="s">
        <v>461</v>
      </c>
      <c r="H182" t="s">
        <v>201</v>
      </c>
      <c r="I182">
        <v>7.1</v>
      </c>
      <c r="K182">
        <v>7.3999999999999996E-2</v>
      </c>
      <c r="L182">
        <v>14</v>
      </c>
      <c r="M182">
        <v>5.5428689980000003</v>
      </c>
      <c r="Q182">
        <v>0</v>
      </c>
      <c r="S182" t="s">
        <v>204</v>
      </c>
      <c r="T182" t="s">
        <v>141</v>
      </c>
      <c r="U182">
        <v>110.9</v>
      </c>
      <c r="V182">
        <v>32.94</v>
      </c>
      <c r="W182">
        <v>2869.0956190000002</v>
      </c>
      <c r="X182">
        <v>2869.0956190000002</v>
      </c>
      <c r="Y182">
        <v>0.4</v>
      </c>
      <c r="Z182">
        <v>0.39</v>
      </c>
      <c r="AA182">
        <v>0.33</v>
      </c>
      <c r="AB182">
        <v>74.903635109999996</v>
      </c>
    </row>
    <row r="183" spans="1:29" x14ac:dyDescent="0.25">
      <c r="A183">
        <v>182</v>
      </c>
      <c r="B183" t="s">
        <v>462</v>
      </c>
      <c r="D183" t="s">
        <v>463</v>
      </c>
      <c r="E183">
        <v>1</v>
      </c>
      <c r="F183" t="s">
        <v>464</v>
      </c>
      <c r="H183" t="s">
        <v>201</v>
      </c>
      <c r="I183">
        <v>9.6999999999999993</v>
      </c>
      <c r="K183">
        <v>0.16800000000000001</v>
      </c>
      <c r="L183">
        <v>18</v>
      </c>
      <c r="M183">
        <v>13.30166037</v>
      </c>
      <c r="Q183">
        <v>0</v>
      </c>
      <c r="S183" t="s">
        <v>204</v>
      </c>
      <c r="T183" t="s">
        <v>141</v>
      </c>
      <c r="U183">
        <v>142.4</v>
      </c>
      <c r="V183">
        <v>69.44</v>
      </c>
      <c r="W183">
        <v>7766.2181019999998</v>
      </c>
      <c r="X183">
        <v>7766.2181019999998</v>
      </c>
      <c r="Y183">
        <v>0.3</v>
      </c>
      <c r="Z183">
        <v>0.32</v>
      </c>
      <c r="AA183">
        <v>0.27</v>
      </c>
      <c r="AB183">
        <v>79.176549850000001</v>
      </c>
    </row>
    <row r="184" spans="1:29" x14ac:dyDescent="0.25">
      <c r="A184">
        <v>183</v>
      </c>
      <c r="B184" t="s">
        <v>1219</v>
      </c>
      <c r="C184" t="s">
        <v>465</v>
      </c>
      <c r="D184" t="s">
        <v>1220</v>
      </c>
      <c r="E184">
        <v>1</v>
      </c>
      <c r="F184" t="s">
        <v>1221</v>
      </c>
      <c r="H184" t="s">
        <v>201</v>
      </c>
      <c r="I184">
        <v>7.1</v>
      </c>
      <c r="K184">
        <v>8.7999999999999995E-2</v>
      </c>
      <c r="L184">
        <v>16</v>
      </c>
      <c r="M184">
        <v>6.3347074269999997</v>
      </c>
      <c r="Q184">
        <v>0</v>
      </c>
      <c r="S184" t="s">
        <v>204</v>
      </c>
      <c r="T184" t="s">
        <v>141</v>
      </c>
      <c r="U184">
        <v>115.65</v>
      </c>
      <c r="V184">
        <v>51.11</v>
      </c>
      <c r="W184">
        <v>4642.3876200000004</v>
      </c>
      <c r="X184">
        <v>4642.3876200000004</v>
      </c>
      <c r="Y184">
        <v>0.31</v>
      </c>
      <c r="Z184">
        <v>0.26</v>
      </c>
      <c r="AA184">
        <v>0.25</v>
      </c>
      <c r="AB184">
        <v>71.985311670000002</v>
      </c>
    </row>
    <row r="185" spans="1:29" x14ac:dyDescent="0.25">
      <c r="A185">
        <v>184</v>
      </c>
      <c r="B185" t="s">
        <v>478</v>
      </c>
      <c r="D185" t="s">
        <v>477</v>
      </c>
      <c r="E185">
        <v>1</v>
      </c>
      <c r="F185" t="s">
        <v>479</v>
      </c>
      <c r="H185" t="s">
        <v>201</v>
      </c>
      <c r="I185">
        <v>9.6999999999999993</v>
      </c>
      <c r="K185">
        <v>0.17699999999999999</v>
      </c>
      <c r="L185">
        <v>17</v>
      </c>
      <c r="M185">
        <v>12.56267924</v>
      </c>
      <c r="Q185">
        <v>0</v>
      </c>
      <c r="S185" t="s">
        <v>204</v>
      </c>
      <c r="T185" t="s">
        <v>141</v>
      </c>
      <c r="U185">
        <v>87.3</v>
      </c>
      <c r="V185">
        <v>43.27</v>
      </c>
      <c r="W185">
        <v>2966.8187859999998</v>
      </c>
      <c r="X185">
        <v>2966.8187859999998</v>
      </c>
      <c r="Y185">
        <v>0.47</v>
      </c>
      <c r="Z185">
        <v>0.42</v>
      </c>
      <c r="AA185">
        <v>0.44</v>
      </c>
      <c r="AB185">
        <v>70.975588939999994</v>
      </c>
      <c r="AC185" t="s">
        <v>559</v>
      </c>
    </row>
    <row r="186" spans="1:29" x14ac:dyDescent="0.25">
      <c r="A186">
        <v>185</v>
      </c>
      <c r="B186" t="s">
        <v>466</v>
      </c>
      <c r="D186" t="s">
        <v>399</v>
      </c>
      <c r="E186">
        <v>5</v>
      </c>
      <c r="F186" t="s">
        <v>307</v>
      </c>
      <c r="H186" t="s">
        <v>201</v>
      </c>
      <c r="I186">
        <v>7.1</v>
      </c>
      <c r="K186">
        <v>6.8000000000000005E-2</v>
      </c>
      <c r="L186">
        <v>11</v>
      </c>
      <c r="M186">
        <v>4.3551113560000001</v>
      </c>
      <c r="Q186">
        <v>0</v>
      </c>
      <c r="S186" t="s">
        <v>204</v>
      </c>
      <c r="T186" t="s">
        <v>141</v>
      </c>
      <c r="U186">
        <v>95.33</v>
      </c>
      <c r="V186">
        <v>44.23</v>
      </c>
      <c r="W186">
        <v>3311.5888660000001</v>
      </c>
      <c r="X186">
        <v>3311.5888660000001</v>
      </c>
      <c r="Y186">
        <v>0.53</v>
      </c>
      <c r="Z186">
        <v>0.41</v>
      </c>
      <c r="AA186">
        <v>0.5</v>
      </c>
      <c r="AB186">
        <v>64.045755229999997</v>
      </c>
    </row>
    <row r="187" spans="1:29" x14ac:dyDescent="0.25">
      <c r="A187">
        <v>186</v>
      </c>
      <c r="B187" t="s">
        <v>467</v>
      </c>
      <c r="D187" t="s">
        <v>463</v>
      </c>
      <c r="E187">
        <v>2</v>
      </c>
      <c r="F187" t="s">
        <v>464</v>
      </c>
      <c r="H187" t="s">
        <v>201</v>
      </c>
      <c r="I187">
        <v>7.1</v>
      </c>
      <c r="K187">
        <v>0.13100000000000001</v>
      </c>
      <c r="L187">
        <v>24</v>
      </c>
      <c r="M187">
        <v>9.5020611400000003</v>
      </c>
      <c r="Q187">
        <v>0</v>
      </c>
      <c r="S187" t="s">
        <v>204</v>
      </c>
      <c r="T187" t="s">
        <v>141</v>
      </c>
      <c r="U187">
        <v>98</v>
      </c>
      <c r="V187">
        <v>54</v>
      </c>
      <c r="W187">
        <v>4156.3270810000004</v>
      </c>
      <c r="X187">
        <v>4156.3270810000004</v>
      </c>
      <c r="Y187">
        <v>0.28000000000000003</v>
      </c>
      <c r="Z187">
        <v>0.3</v>
      </c>
      <c r="AA187">
        <v>0.27</v>
      </c>
      <c r="AB187">
        <v>72.534817860000004</v>
      </c>
    </row>
    <row r="188" spans="1:29" x14ac:dyDescent="0.25">
      <c r="A188">
        <v>187</v>
      </c>
      <c r="B188" t="s">
        <v>468</v>
      </c>
      <c r="D188" t="s">
        <v>444</v>
      </c>
      <c r="E188">
        <v>3</v>
      </c>
      <c r="F188" t="s">
        <v>445</v>
      </c>
      <c r="H188" t="s">
        <v>201</v>
      </c>
      <c r="I188">
        <v>9.6999999999999993</v>
      </c>
      <c r="K188">
        <v>0.154</v>
      </c>
      <c r="L188">
        <v>18</v>
      </c>
      <c r="M188">
        <v>13.30166037</v>
      </c>
      <c r="Q188">
        <v>0</v>
      </c>
      <c r="S188" t="s">
        <v>204</v>
      </c>
      <c r="T188" t="s">
        <v>141</v>
      </c>
      <c r="U188">
        <v>85.4</v>
      </c>
      <c r="V188">
        <v>38.869999999999997</v>
      </c>
      <c r="W188">
        <v>2607.1276330000001</v>
      </c>
      <c r="X188">
        <v>2607.1276330000001</v>
      </c>
      <c r="Y188">
        <v>0.31</v>
      </c>
      <c r="Z188">
        <v>0.3</v>
      </c>
      <c r="AA188">
        <v>0.33</v>
      </c>
      <c r="AB188">
        <v>86.374418019999993</v>
      </c>
    </row>
    <row r="189" spans="1:29" x14ac:dyDescent="0.25">
      <c r="A189">
        <v>188</v>
      </c>
      <c r="B189" t="s">
        <v>469</v>
      </c>
      <c r="D189" t="s">
        <v>444</v>
      </c>
      <c r="E189">
        <v>2</v>
      </c>
      <c r="F189" t="s">
        <v>445</v>
      </c>
      <c r="H189" t="s">
        <v>201</v>
      </c>
      <c r="I189">
        <v>7.1</v>
      </c>
      <c r="K189">
        <v>9.5000000000000001E-2</v>
      </c>
      <c r="L189">
        <v>14</v>
      </c>
      <c r="M189">
        <v>5.5428689980000003</v>
      </c>
      <c r="Q189">
        <v>0</v>
      </c>
      <c r="S189" t="s">
        <v>204</v>
      </c>
      <c r="T189" t="s">
        <v>141</v>
      </c>
      <c r="U189">
        <v>67.83</v>
      </c>
      <c r="V189">
        <v>24.64</v>
      </c>
      <c r="W189">
        <v>1312.660455</v>
      </c>
      <c r="X189">
        <v>1312.660455</v>
      </c>
      <c r="Y189">
        <v>0.37</v>
      </c>
      <c r="Z189">
        <v>0.39</v>
      </c>
      <c r="AA189">
        <v>0.4</v>
      </c>
      <c r="AB189">
        <v>58.345989459999998</v>
      </c>
    </row>
    <row r="190" spans="1:29" x14ac:dyDescent="0.25">
      <c r="A190">
        <v>189</v>
      </c>
      <c r="B190" t="s">
        <v>470</v>
      </c>
      <c r="D190" t="s">
        <v>351</v>
      </c>
      <c r="E190">
        <v>5</v>
      </c>
      <c r="F190" t="s">
        <v>223</v>
      </c>
      <c r="H190" t="s">
        <v>201</v>
      </c>
      <c r="I190">
        <v>9.6999999999999993</v>
      </c>
      <c r="K190">
        <v>0.17</v>
      </c>
      <c r="L190">
        <v>14</v>
      </c>
      <c r="M190">
        <v>10.345735850000001</v>
      </c>
      <c r="Q190">
        <v>0</v>
      </c>
      <c r="S190" t="s">
        <v>204</v>
      </c>
      <c r="T190" t="s">
        <v>141</v>
      </c>
      <c r="U190">
        <v>91.69</v>
      </c>
      <c r="V190">
        <v>34.799999999999997</v>
      </c>
      <c r="W190">
        <v>2506.0578850000002</v>
      </c>
      <c r="X190">
        <v>2506.0578850000002</v>
      </c>
      <c r="Y190">
        <v>0.44</v>
      </c>
      <c r="Z190">
        <v>0.45</v>
      </c>
      <c r="AA190">
        <v>0.38</v>
      </c>
      <c r="AB190">
        <v>60.857269690000003</v>
      </c>
    </row>
    <row r="191" spans="1:29" x14ac:dyDescent="0.25">
      <c r="A191">
        <v>190</v>
      </c>
      <c r="B191" t="s">
        <v>471</v>
      </c>
      <c r="D191" t="s">
        <v>430</v>
      </c>
      <c r="E191">
        <v>2</v>
      </c>
      <c r="F191" t="s">
        <v>431</v>
      </c>
      <c r="H191" t="s">
        <v>201</v>
      </c>
      <c r="I191">
        <v>9.6999999999999993</v>
      </c>
      <c r="K191">
        <v>9.5000000000000001E-2</v>
      </c>
      <c r="L191">
        <v>15</v>
      </c>
      <c r="M191">
        <v>11.08471698</v>
      </c>
      <c r="Q191">
        <v>0</v>
      </c>
      <c r="S191" t="s">
        <v>204</v>
      </c>
      <c r="T191" t="s">
        <v>141</v>
      </c>
      <c r="U191">
        <v>133.88999999999999</v>
      </c>
      <c r="V191">
        <v>44.92</v>
      </c>
      <c r="W191">
        <v>4723.6506479999998</v>
      </c>
      <c r="X191">
        <v>4723.6506479999998</v>
      </c>
      <c r="Y191">
        <v>0.34</v>
      </c>
      <c r="Z191">
        <v>0.23</v>
      </c>
      <c r="AA191">
        <v>0.2</v>
      </c>
      <c r="AB191">
        <v>116.6812314</v>
      </c>
    </row>
    <row r="192" spans="1:29" x14ac:dyDescent="0.25">
      <c r="A192">
        <v>191</v>
      </c>
      <c r="B192" t="s">
        <v>472</v>
      </c>
      <c r="D192" t="s">
        <v>430</v>
      </c>
      <c r="E192">
        <v>1</v>
      </c>
      <c r="F192" t="s">
        <v>431</v>
      </c>
      <c r="H192" t="s">
        <v>201</v>
      </c>
      <c r="I192">
        <v>9.6999999999999993</v>
      </c>
      <c r="K192">
        <v>7.0999999999999994E-2</v>
      </c>
      <c r="L192">
        <v>14</v>
      </c>
      <c r="M192">
        <v>10.345735850000001</v>
      </c>
      <c r="Q192">
        <v>0</v>
      </c>
      <c r="S192" t="s">
        <v>204</v>
      </c>
      <c r="T192" t="s">
        <v>141</v>
      </c>
      <c r="U192">
        <v>82.44</v>
      </c>
      <c r="V192">
        <v>37.39</v>
      </c>
      <c r="W192">
        <v>2420.9361170000002</v>
      </c>
      <c r="X192">
        <v>2420.9361170000002</v>
      </c>
      <c r="Y192">
        <v>0.34</v>
      </c>
      <c r="Z192">
        <v>0.24</v>
      </c>
      <c r="AA192">
        <v>0.28000000000000003</v>
      </c>
      <c r="AB192">
        <v>145.71458939999999</v>
      </c>
    </row>
    <row r="193" spans="1:29" x14ac:dyDescent="0.25">
      <c r="A193">
        <v>192</v>
      </c>
      <c r="B193" t="s">
        <v>473</v>
      </c>
      <c r="D193" t="s">
        <v>341</v>
      </c>
      <c r="E193">
        <v>5</v>
      </c>
      <c r="F193" t="s">
        <v>372</v>
      </c>
      <c r="H193" t="s">
        <v>201</v>
      </c>
      <c r="I193">
        <v>9.6999999999999993</v>
      </c>
      <c r="K193">
        <v>0.105</v>
      </c>
      <c r="L193">
        <v>10</v>
      </c>
      <c r="M193">
        <v>7.3898113189999997</v>
      </c>
      <c r="Q193">
        <v>0</v>
      </c>
      <c r="S193" t="s">
        <v>204</v>
      </c>
      <c r="T193" t="s">
        <v>141</v>
      </c>
      <c r="U193">
        <v>119.75</v>
      </c>
      <c r="V193">
        <v>58.59</v>
      </c>
      <c r="W193">
        <v>5510.4732880000001</v>
      </c>
      <c r="X193">
        <v>5510.4732880000001</v>
      </c>
      <c r="Y193">
        <v>0.35</v>
      </c>
      <c r="Z193">
        <v>0.39</v>
      </c>
      <c r="AA193">
        <v>0.42</v>
      </c>
      <c r="AB193">
        <v>70.379155420000004</v>
      </c>
    </row>
    <row r="194" spans="1:29" x14ac:dyDescent="0.25">
      <c r="A194">
        <v>193</v>
      </c>
      <c r="B194" t="s">
        <v>474</v>
      </c>
      <c r="D194" t="s">
        <v>357</v>
      </c>
      <c r="E194">
        <v>3</v>
      </c>
      <c r="F194" t="s">
        <v>337</v>
      </c>
      <c r="H194" t="s">
        <v>201</v>
      </c>
      <c r="I194">
        <v>7.1</v>
      </c>
      <c r="K194">
        <v>8.5000000000000006E-2</v>
      </c>
      <c r="L194">
        <v>16</v>
      </c>
      <c r="M194">
        <v>6.3347074269999997</v>
      </c>
      <c r="Q194">
        <v>0</v>
      </c>
      <c r="S194" t="s">
        <v>204</v>
      </c>
      <c r="T194" t="s">
        <v>141</v>
      </c>
      <c r="U194">
        <v>129.28</v>
      </c>
      <c r="V194">
        <v>52.58</v>
      </c>
      <c r="W194">
        <v>5338.777317</v>
      </c>
      <c r="X194">
        <v>5338.777317</v>
      </c>
      <c r="Y194">
        <v>0.5</v>
      </c>
      <c r="Z194">
        <v>0.43</v>
      </c>
      <c r="AA194">
        <v>0.55000000000000004</v>
      </c>
      <c r="AB194">
        <v>74.52596973</v>
      </c>
    </row>
    <row r="195" spans="1:29" x14ac:dyDescent="0.25">
      <c r="A195">
        <v>194</v>
      </c>
      <c r="B195" t="s">
        <v>475</v>
      </c>
      <c r="D195" t="s">
        <v>366</v>
      </c>
      <c r="E195">
        <v>5</v>
      </c>
      <c r="F195" t="s">
        <v>281</v>
      </c>
      <c r="H195" t="s">
        <v>201</v>
      </c>
      <c r="I195">
        <v>9.6999999999999993</v>
      </c>
      <c r="K195">
        <v>0.114</v>
      </c>
      <c r="L195">
        <v>16</v>
      </c>
      <c r="M195">
        <v>11.82369811</v>
      </c>
      <c r="Q195">
        <v>0</v>
      </c>
      <c r="S195" t="s">
        <v>204</v>
      </c>
      <c r="T195" t="s">
        <v>141</v>
      </c>
      <c r="U195">
        <v>116.63</v>
      </c>
      <c r="V195">
        <v>61.79</v>
      </c>
      <c r="W195">
        <v>5660.025036</v>
      </c>
      <c r="X195">
        <v>5660.025036</v>
      </c>
      <c r="Y195">
        <v>0.28999999999999998</v>
      </c>
      <c r="Z195">
        <v>0.34</v>
      </c>
      <c r="AA195">
        <v>0.33</v>
      </c>
      <c r="AB195">
        <v>103.7166501</v>
      </c>
    </row>
    <row r="196" spans="1:29" x14ac:dyDescent="0.25">
      <c r="A196">
        <v>195</v>
      </c>
      <c r="B196" t="s">
        <v>476</v>
      </c>
      <c r="D196" t="s">
        <v>460</v>
      </c>
      <c r="E196">
        <v>1</v>
      </c>
      <c r="F196" t="s">
        <v>461</v>
      </c>
      <c r="H196" t="s">
        <v>201</v>
      </c>
      <c r="I196">
        <v>7.1</v>
      </c>
      <c r="K196">
        <v>6.2E-2</v>
      </c>
      <c r="L196">
        <v>14</v>
      </c>
      <c r="M196">
        <v>5.5428689980000003</v>
      </c>
      <c r="Q196">
        <v>0</v>
      </c>
      <c r="S196" t="s">
        <v>204</v>
      </c>
      <c r="T196" t="s">
        <v>141</v>
      </c>
      <c r="U196">
        <v>116.55</v>
      </c>
      <c r="V196">
        <v>52.03</v>
      </c>
      <c r="W196">
        <v>4762.7302540000001</v>
      </c>
      <c r="X196">
        <v>4762.7302540000001</v>
      </c>
      <c r="Y196">
        <v>0.36</v>
      </c>
      <c r="Z196">
        <v>0.28000000000000003</v>
      </c>
      <c r="AA196">
        <v>0.28999999999999998</v>
      </c>
      <c r="AB196">
        <v>89.401112879999999</v>
      </c>
    </row>
    <row r="197" spans="1:29" x14ac:dyDescent="0.25">
      <c r="A197">
        <v>196</v>
      </c>
      <c r="B197" t="s">
        <v>501</v>
      </c>
      <c r="D197" t="s">
        <v>502</v>
      </c>
      <c r="E197">
        <v>1</v>
      </c>
      <c r="F197" t="s">
        <v>503</v>
      </c>
      <c r="H197" t="s">
        <v>201</v>
      </c>
      <c r="I197">
        <v>9.6999999999999993</v>
      </c>
      <c r="K197">
        <v>7.5999999999999998E-2</v>
      </c>
      <c r="L197">
        <v>10</v>
      </c>
      <c r="M197">
        <v>7.3898113189999997</v>
      </c>
      <c r="Q197">
        <v>0</v>
      </c>
      <c r="S197" t="s">
        <v>204</v>
      </c>
      <c r="T197" t="s">
        <v>141</v>
      </c>
      <c r="U197">
        <v>120.53</v>
      </c>
      <c r="V197">
        <v>53.56</v>
      </c>
      <c r="W197">
        <v>5070.2060160000001</v>
      </c>
      <c r="X197">
        <v>5070.2060160000001</v>
      </c>
      <c r="Y197">
        <v>0.27</v>
      </c>
      <c r="Z197">
        <v>0.28000000000000003</v>
      </c>
      <c r="AA197">
        <v>0.28999999999999998</v>
      </c>
      <c r="AB197">
        <v>97.234359470000001</v>
      </c>
    </row>
    <row r="198" spans="1:29" x14ac:dyDescent="0.25">
      <c r="A198">
        <v>197</v>
      </c>
      <c r="B198" t="s">
        <v>504</v>
      </c>
      <c r="D198" t="s">
        <v>505</v>
      </c>
      <c r="E198">
        <v>2</v>
      </c>
      <c r="F198" t="s">
        <v>506</v>
      </c>
      <c r="H198" t="s">
        <v>201</v>
      </c>
      <c r="I198">
        <v>9.6999999999999993</v>
      </c>
      <c r="K198">
        <v>0.13800000000000001</v>
      </c>
      <c r="L198">
        <v>10</v>
      </c>
      <c r="M198">
        <v>7.3898113189999997</v>
      </c>
      <c r="Q198">
        <v>0</v>
      </c>
      <c r="S198" t="s">
        <v>204</v>
      </c>
      <c r="T198" t="s">
        <v>141</v>
      </c>
      <c r="U198">
        <v>203.2</v>
      </c>
      <c r="V198">
        <v>88.1</v>
      </c>
      <c r="W198">
        <v>14060.13509</v>
      </c>
      <c r="X198">
        <v>14060.13509</v>
      </c>
      <c r="Y198">
        <v>0.36</v>
      </c>
      <c r="Z198">
        <v>0.4</v>
      </c>
      <c r="AA198">
        <v>0.35</v>
      </c>
      <c r="AB198">
        <v>53.549357389999997</v>
      </c>
    </row>
    <row r="199" spans="1:29" x14ac:dyDescent="0.25">
      <c r="A199">
        <v>198</v>
      </c>
      <c r="B199" t="s">
        <v>507</v>
      </c>
      <c r="D199" t="s">
        <v>508</v>
      </c>
      <c r="E199">
        <v>3</v>
      </c>
      <c r="F199" t="s">
        <v>509</v>
      </c>
      <c r="H199" t="s">
        <v>201</v>
      </c>
      <c r="I199">
        <v>7.1</v>
      </c>
      <c r="K199">
        <v>0.11899999999999999</v>
      </c>
      <c r="L199">
        <v>14</v>
      </c>
      <c r="M199">
        <v>5.5428689980000003</v>
      </c>
      <c r="Q199">
        <v>0</v>
      </c>
      <c r="S199" t="s">
        <v>204</v>
      </c>
      <c r="T199" t="s">
        <v>141</v>
      </c>
      <c r="U199">
        <v>86.15</v>
      </c>
      <c r="V199">
        <v>36.4</v>
      </c>
      <c r="W199">
        <v>2462.8986850000001</v>
      </c>
      <c r="X199">
        <v>2462.8986850000001</v>
      </c>
      <c r="Y199">
        <v>0.36</v>
      </c>
      <c r="Z199">
        <v>0.35</v>
      </c>
      <c r="AA199">
        <v>0.35</v>
      </c>
      <c r="AB199">
        <v>46.578731079999997</v>
      </c>
    </row>
    <row r="200" spans="1:29" x14ac:dyDescent="0.25">
      <c r="A200">
        <v>199</v>
      </c>
      <c r="B200" t="s">
        <v>510</v>
      </c>
      <c r="D200" t="s">
        <v>508</v>
      </c>
      <c r="E200">
        <v>4</v>
      </c>
      <c r="F200" t="s">
        <v>509</v>
      </c>
      <c r="H200" t="s">
        <v>201</v>
      </c>
      <c r="I200">
        <v>9.6999999999999993</v>
      </c>
      <c r="K200">
        <v>0.14000000000000001</v>
      </c>
      <c r="L200">
        <v>10</v>
      </c>
      <c r="M200">
        <v>7.3898113189999997</v>
      </c>
      <c r="Q200">
        <v>0</v>
      </c>
      <c r="S200" t="s">
        <v>204</v>
      </c>
      <c r="T200" t="s">
        <v>141</v>
      </c>
      <c r="U200">
        <v>135.63</v>
      </c>
      <c r="V200">
        <v>77.36</v>
      </c>
      <c r="W200">
        <v>8240.6620519999997</v>
      </c>
      <c r="X200">
        <v>8240.6620519999997</v>
      </c>
      <c r="Y200">
        <v>0.38</v>
      </c>
      <c r="Z200">
        <v>0.38</v>
      </c>
      <c r="AA200">
        <v>0.39</v>
      </c>
      <c r="AB200">
        <v>52.784366570000003</v>
      </c>
    </row>
    <row r="201" spans="1:29" x14ac:dyDescent="0.25">
      <c r="A201">
        <v>200</v>
      </c>
      <c r="B201" t="s">
        <v>511</v>
      </c>
      <c r="D201" t="s">
        <v>512</v>
      </c>
      <c r="E201">
        <v>1</v>
      </c>
      <c r="F201" t="s">
        <v>513</v>
      </c>
      <c r="H201" t="s">
        <v>201</v>
      </c>
      <c r="I201">
        <v>9.6999999999999993</v>
      </c>
      <c r="K201">
        <v>0.122</v>
      </c>
      <c r="L201">
        <v>13</v>
      </c>
      <c r="M201">
        <v>9.6067547149999992</v>
      </c>
      <c r="Q201">
        <v>0</v>
      </c>
      <c r="S201" t="s">
        <v>204</v>
      </c>
      <c r="T201" t="s">
        <v>141</v>
      </c>
      <c r="U201">
        <v>86.6</v>
      </c>
      <c r="V201">
        <v>77.400000000000006</v>
      </c>
      <c r="W201">
        <v>5264.3982260000002</v>
      </c>
      <c r="X201">
        <v>5264.3982260000002</v>
      </c>
      <c r="Y201">
        <v>0.48</v>
      </c>
      <c r="Z201">
        <v>0.51</v>
      </c>
      <c r="AA201">
        <v>0.5</v>
      </c>
      <c r="AB201">
        <v>78.743891110000007</v>
      </c>
      <c r="AC201" t="s">
        <v>1028</v>
      </c>
    </row>
    <row r="202" spans="1:29" x14ac:dyDescent="0.25">
      <c r="A202">
        <v>201</v>
      </c>
      <c r="B202" t="s">
        <v>530</v>
      </c>
      <c r="D202" t="s">
        <v>397</v>
      </c>
      <c r="E202">
        <v>5</v>
      </c>
      <c r="F202" t="s">
        <v>293</v>
      </c>
      <c r="H202" t="s">
        <v>201</v>
      </c>
      <c r="I202">
        <v>9.6999999999999993</v>
      </c>
      <c r="K202">
        <v>0.109</v>
      </c>
      <c r="L202">
        <v>10</v>
      </c>
      <c r="M202">
        <v>7.3898113189999997</v>
      </c>
      <c r="Q202">
        <v>0</v>
      </c>
      <c r="S202" t="s">
        <v>204</v>
      </c>
      <c r="T202" t="s">
        <v>141</v>
      </c>
      <c r="U202">
        <v>130</v>
      </c>
      <c r="V202">
        <v>35.72</v>
      </c>
      <c r="W202">
        <v>3647.074912</v>
      </c>
      <c r="X202">
        <v>3647.074912</v>
      </c>
      <c r="Y202">
        <v>0.37</v>
      </c>
      <c r="Z202">
        <v>0.37</v>
      </c>
      <c r="AA202">
        <v>0.43</v>
      </c>
      <c r="AB202">
        <v>67.796434120000001</v>
      </c>
    </row>
    <row r="203" spans="1:29" x14ac:dyDescent="0.25">
      <c r="A203">
        <v>202</v>
      </c>
      <c r="B203" t="s">
        <v>515</v>
      </c>
      <c r="D203" t="s">
        <v>516</v>
      </c>
      <c r="E203">
        <v>1</v>
      </c>
      <c r="F203" t="s">
        <v>517</v>
      </c>
      <c r="H203" t="s">
        <v>201</v>
      </c>
      <c r="I203">
        <v>7.1</v>
      </c>
      <c r="K203">
        <v>4.3999999999999997E-2</v>
      </c>
      <c r="L203">
        <v>13</v>
      </c>
      <c r="M203">
        <v>5.1469497840000002</v>
      </c>
      <c r="Q203">
        <v>0</v>
      </c>
      <c r="S203" t="s">
        <v>204</v>
      </c>
      <c r="T203" t="s">
        <v>141</v>
      </c>
      <c r="U203">
        <v>78.52</v>
      </c>
      <c r="V203">
        <v>28.46</v>
      </c>
      <c r="W203">
        <v>1755.1129390000001</v>
      </c>
      <c r="X203">
        <v>1755.1129390000001</v>
      </c>
      <c r="Y203">
        <v>0.28999999999999998</v>
      </c>
      <c r="Z203">
        <v>0.26</v>
      </c>
      <c r="AA203">
        <v>0.28000000000000003</v>
      </c>
      <c r="AB203">
        <v>116.97613149999999</v>
      </c>
    </row>
    <row r="204" spans="1:29" x14ac:dyDescent="0.25">
      <c r="A204">
        <v>203</v>
      </c>
      <c r="B204" t="s">
        <v>518</v>
      </c>
      <c r="D204" t="s">
        <v>434</v>
      </c>
      <c r="E204">
        <v>4</v>
      </c>
      <c r="F204" t="s">
        <v>481</v>
      </c>
      <c r="H204" t="s">
        <v>201</v>
      </c>
      <c r="I204">
        <v>9.6999999999999993</v>
      </c>
      <c r="K204">
        <v>7.8E-2</v>
      </c>
      <c r="L204">
        <v>9</v>
      </c>
      <c r="M204">
        <v>6.6508301870000004</v>
      </c>
      <c r="Q204">
        <v>0</v>
      </c>
      <c r="S204" t="s">
        <v>204</v>
      </c>
      <c r="T204" t="s">
        <v>141</v>
      </c>
      <c r="U204">
        <v>84.08</v>
      </c>
      <c r="V204">
        <v>70.150000000000006</v>
      </c>
      <c r="W204">
        <v>4632.444872</v>
      </c>
      <c r="X204">
        <v>4632.444872</v>
      </c>
      <c r="Y204">
        <v>0.5</v>
      </c>
      <c r="Z204">
        <v>0.51</v>
      </c>
      <c r="AA204">
        <v>0.45</v>
      </c>
      <c r="AB204">
        <v>85.267053689999997</v>
      </c>
    </row>
    <row r="205" spans="1:29" x14ac:dyDescent="0.25">
      <c r="A205">
        <v>204</v>
      </c>
      <c r="B205" t="s">
        <v>519</v>
      </c>
      <c r="D205" t="s">
        <v>368</v>
      </c>
      <c r="E205">
        <v>3</v>
      </c>
      <c r="F205" t="s">
        <v>379</v>
      </c>
      <c r="H205" t="s">
        <v>201</v>
      </c>
      <c r="I205">
        <v>7.1</v>
      </c>
      <c r="K205">
        <v>3.7999999999999999E-2</v>
      </c>
      <c r="L205">
        <v>10</v>
      </c>
      <c r="M205">
        <v>3.959192142</v>
      </c>
      <c r="Q205">
        <v>0</v>
      </c>
      <c r="S205" t="s">
        <v>204</v>
      </c>
      <c r="T205" t="s">
        <v>141</v>
      </c>
      <c r="U205">
        <v>53.78</v>
      </c>
      <c r="V205">
        <v>22.18</v>
      </c>
      <c r="W205">
        <v>936.85465939999995</v>
      </c>
      <c r="X205">
        <v>936.85465939999995</v>
      </c>
      <c r="Y205">
        <v>0.15</v>
      </c>
      <c r="Z205">
        <v>0.15</v>
      </c>
      <c r="AA205">
        <v>0.18</v>
      </c>
      <c r="AB205">
        <v>104.18926690000001</v>
      </c>
    </row>
    <row r="206" spans="1:29" x14ac:dyDescent="0.25">
      <c r="A206">
        <v>205</v>
      </c>
      <c r="B206" t="s">
        <v>520</v>
      </c>
      <c r="D206" t="s">
        <v>512</v>
      </c>
      <c r="E206">
        <v>3</v>
      </c>
      <c r="F206" t="s">
        <v>513</v>
      </c>
      <c r="H206" t="s">
        <v>201</v>
      </c>
      <c r="I206">
        <v>7.1</v>
      </c>
      <c r="K206">
        <v>5.0999999999999997E-2</v>
      </c>
      <c r="L206">
        <v>14</v>
      </c>
      <c r="M206">
        <v>5.5428689980000003</v>
      </c>
      <c r="Q206">
        <v>0</v>
      </c>
      <c r="S206" t="s">
        <v>204</v>
      </c>
      <c r="T206" t="s">
        <v>141</v>
      </c>
      <c r="U206">
        <v>59.92</v>
      </c>
      <c r="V206">
        <v>80.2</v>
      </c>
      <c r="W206">
        <v>3774.296848</v>
      </c>
      <c r="X206">
        <v>3774.296848</v>
      </c>
      <c r="Y206">
        <v>0.42</v>
      </c>
      <c r="Z206">
        <v>0.4</v>
      </c>
      <c r="AA206">
        <v>0.49</v>
      </c>
      <c r="AB206">
        <v>108.68370590000001</v>
      </c>
      <c r="AC206" t="s">
        <v>557</v>
      </c>
    </row>
    <row r="207" spans="1:29" x14ac:dyDescent="0.25">
      <c r="A207">
        <v>206</v>
      </c>
      <c r="B207" t="s">
        <v>521</v>
      </c>
      <c r="D207" t="s">
        <v>522</v>
      </c>
      <c r="E207">
        <v>1</v>
      </c>
      <c r="F207" t="s">
        <v>781</v>
      </c>
      <c r="H207" t="s">
        <v>201</v>
      </c>
      <c r="I207">
        <v>7.1</v>
      </c>
      <c r="K207">
        <v>7.9000000000000001E-2</v>
      </c>
      <c r="L207">
        <v>11</v>
      </c>
      <c r="M207">
        <v>4.3551113560000001</v>
      </c>
      <c r="Q207">
        <v>0</v>
      </c>
      <c r="S207" t="s">
        <v>204</v>
      </c>
      <c r="T207" t="s">
        <v>141</v>
      </c>
      <c r="U207">
        <v>92.08</v>
      </c>
      <c r="V207">
        <v>70.900000000000006</v>
      </c>
      <c r="W207">
        <v>5127.4499189999997</v>
      </c>
      <c r="X207">
        <v>5127.4499189999997</v>
      </c>
      <c r="Y207">
        <v>0.51</v>
      </c>
      <c r="Z207">
        <v>0.54</v>
      </c>
      <c r="AA207">
        <v>0.55000000000000004</v>
      </c>
      <c r="AB207">
        <v>55.127991850000001</v>
      </c>
    </row>
    <row r="208" spans="1:29" x14ac:dyDescent="0.25">
      <c r="A208">
        <v>207</v>
      </c>
      <c r="B208" t="s">
        <v>523</v>
      </c>
      <c r="D208" t="s">
        <v>524</v>
      </c>
      <c r="E208">
        <v>1</v>
      </c>
      <c r="F208" t="s">
        <v>525</v>
      </c>
      <c r="H208" t="s">
        <v>201</v>
      </c>
      <c r="I208">
        <v>9.6999999999999993</v>
      </c>
      <c r="K208">
        <v>8.6999999999999994E-2</v>
      </c>
      <c r="L208">
        <v>9</v>
      </c>
      <c r="M208">
        <v>6.6508301870000004</v>
      </c>
      <c r="Q208">
        <v>0</v>
      </c>
      <c r="S208" t="s">
        <v>210</v>
      </c>
      <c r="T208">
        <v>87</v>
      </c>
      <c r="U208">
        <v>25.67</v>
      </c>
      <c r="V208">
        <v>21.51</v>
      </c>
      <c r="W208">
        <v>433.66678510000003</v>
      </c>
      <c r="X208">
        <v>37729.010300000002</v>
      </c>
      <c r="Y208">
        <v>0.27</v>
      </c>
      <c r="Z208">
        <v>0.22</v>
      </c>
      <c r="AA208">
        <v>0.22</v>
      </c>
      <c r="AB208">
        <v>76.446323989999996</v>
      </c>
    </row>
    <row r="209" spans="1:29" x14ac:dyDescent="0.25">
      <c r="A209">
        <v>208</v>
      </c>
      <c r="B209" t="s">
        <v>526</v>
      </c>
      <c r="D209" t="s">
        <v>345</v>
      </c>
      <c r="E209">
        <v>4</v>
      </c>
      <c r="F209" t="s">
        <v>60</v>
      </c>
      <c r="H209" t="s">
        <v>201</v>
      </c>
      <c r="I209">
        <v>7.1</v>
      </c>
      <c r="K209">
        <v>6.0999999999999999E-2</v>
      </c>
      <c r="L209">
        <v>14</v>
      </c>
      <c r="M209">
        <v>5.5428689980000003</v>
      </c>
      <c r="Q209">
        <v>0</v>
      </c>
      <c r="S209" t="s">
        <v>204</v>
      </c>
      <c r="T209" t="s">
        <v>141</v>
      </c>
      <c r="U209">
        <v>140</v>
      </c>
      <c r="V209">
        <v>70.42</v>
      </c>
      <c r="W209">
        <v>7743.0834130000003</v>
      </c>
      <c r="X209">
        <v>7743.0834130000003</v>
      </c>
      <c r="Y209">
        <v>0.42</v>
      </c>
      <c r="Z209">
        <v>0.47</v>
      </c>
      <c r="AA209">
        <v>0.57999999999999996</v>
      </c>
      <c r="AB209">
        <v>90.866704889999994</v>
      </c>
    </row>
    <row r="210" spans="1:29" x14ac:dyDescent="0.25">
      <c r="A210">
        <v>209</v>
      </c>
      <c r="B210" t="s">
        <v>527</v>
      </c>
      <c r="D210" t="s">
        <v>528</v>
      </c>
      <c r="E210">
        <v>1</v>
      </c>
      <c r="F210" t="s">
        <v>546</v>
      </c>
      <c r="H210" t="s">
        <v>201</v>
      </c>
      <c r="I210">
        <v>7.1</v>
      </c>
      <c r="K210">
        <v>6.7000000000000004E-2</v>
      </c>
      <c r="L210">
        <v>10</v>
      </c>
      <c r="M210">
        <v>3.959192142</v>
      </c>
      <c r="Q210">
        <v>0</v>
      </c>
      <c r="S210" t="s">
        <v>210</v>
      </c>
      <c r="T210">
        <v>7</v>
      </c>
      <c r="U210">
        <v>59.81</v>
      </c>
      <c r="V210">
        <v>34.89</v>
      </c>
      <c r="W210">
        <v>1638.9460320000001</v>
      </c>
      <c r="X210">
        <v>11472.622230000001</v>
      </c>
      <c r="Y210">
        <v>0.35</v>
      </c>
      <c r="Z210">
        <v>0.33</v>
      </c>
      <c r="AA210">
        <v>0.39</v>
      </c>
      <c r="AB210">
        <v>59.09242003</v>
      </c>
    </row>
    <row r="211" spans="1:29" x14ac:dyDescent="0.25">
      <c r="A211">
        <v>210</v>
      </c>
      <c r="B211" t="s">
        <v>514</v>
      </c>
      <c r="D211" t="s">
        <v>388</v>
      </c>
      <c r="E211">
        <v>5</v>
      </c>
      <c r="F211" t="s">
        <v>243</v>
      </c>
      <c r="H211" t="s">
        <v>201</v>
      </c>
      <c r="I211">
        <v>7.1</v>
      </c>
      <c r="K211">
        <v>8.6999999999999994E-2</v>
      </c>
      <c r="L211">
        <v>23</v>
      </c>
      <c r="M211">
        <v>9.1061419259999994</v>
      </c>
      <c r="Q211">
        <v>0</v>
      </c>
      <c r="S211" t="s">
        <v>204</v>
      </c>
      <c r="T211" t="s">
        <v>141</v>
      </c>
      <c r="U211">
        <v>58.05</v>
      </c>
      <c r="V211">
        <v>26.4</v>
      </c>
      <c r="W211">
        <v>1203.638393</v>
      </c>
      <c r="X211">
        <v>1203.638393</v>
      </c>
      <c r="Y211">
        <v>0.21</v>
      </c>
      <c r="Z211">
        <v>0.24</v>
      </c>
      <c r="AA211">
        <v>0.27</v>
      </c>
      <c r="AB211">
        <v>104.66829799999999</v>
      </c>
    </row>
    <row r="212" spans="1:29" x14ac:dyDescent="0.25">
      <c r="A212">
        <v>211</v>
      </c>
      <c r="B212" t="s">
        <v>531</v>
      </c>
      <c r="D212" t="s">
        <v>365</v>
      </c>
      <c r="E212">
        <v>2</v>
      </c>
      <c r="F212" t="s">
        <v>369</v>
      </c>
      <c r="H212" t="s">
        <v>201</v>
      </c>
      <c r="I212">
        <v>7.1</v>
      </c>
      <c r="K212">
        <v>6.4000000000000001E-2</v>
      </c>
      <c r="L212">
        <v>16</v>
      </c>
      <c r="M212">
        <v>6.3347074269999997</v>
      </c>
      <c r="Q212">
        <v>0</v>
      </c>
      <c r="S212" t="s">
        <v>210</v>
      </c>
      <c r="T212">
        <v>15</v>
      </c>
      <c r="U212">
        <v>28.06</v>
      </c>
      <c r="V212">
        <v>9.01</v>
      </c>
      <c r="W212">
        <v>198.56483489999999</v>
      </c>
      <c r="X212">
        <v>2978.4725239999998</v>
      </c>
      <c r="Y212">
        <v>0.16</v>
      </c>
      <c r="Z212">
        <v>0.14000000000000001</v>
      </c>
      <c r="AA212">
        <v>0.18</v>
      </c>
      <c r="AB212">
        <v>98.979803540000006</v>
      </c>
    </row>
    <row r="213" spans="1:29" x14ac:dyDescent="0.25">
      <c r="A213">
        <v>212</v>
      </c>
      <c r="B213" t="s">
        <v>1027</v>
      </c>
      <c r="D213" t="s">
        <v>378</v>
      </c>
      <c r="E213">
        <v>6</v>
      </c>
      <c r="F213" t="s">
        <v>99</v>
      </c>
      <c r="H213" t="s">
        <v>201</v>
      </c>
      <c r="I213">
        <v>7.1</v>
      </c>
      <c r="K213">
        <v>6.0999999999999999E-2</v>
      </c>
      <c r="L213">
        <v>13</v>
      </c>
      <c r="M213">
        <v>5.1469497840000002</v>
      </c>
      <c r="Q213">
        <v>0</v>
      </c>
      <c r="S213" t="s">
        <v>204</v>
      </c>
      <c r="T213" t="s">
        <v>141</v>
      </c>
      <c r="U213">
        <v>81.03</v>
      </c>
      <c r="V213">
        <v>36.25</v>
      </c>
      <c r="W213">
        <v>2306.9794780000002</v>
      </c>
      <c r="X213">
        <v>2306.9794780000002</v>
      </c>
      <c r="Y213">
        <v>0.28999999999999998</v>
      </c>
      <c r="Z213">
        <v>0.3</v>
      </c>
      <c r="AA213">
        <v>0.28999999999999998</v>
      </c>
      <c r="AB213">
        <v>84.376225969999993</v>
      </c>
      <c r="AC213" t="s">
        <v>753</v>
      </c>
    </row>
    <row r="214" spans="1:29" x14ac:dyDescent="0.25">
      <c r="A214">
        <v>213</v>
      </c>
      <c r="B214" t="s">
        <v>532</v>
      </c>
      <c r="D214" t="s">
        <v>375</v>
      </c>
      <c r="E214">
        <v>5</v>
      </c>
      <c r="F214" t="s">
        <v>278</v>
      </c>
      <c r="H214" t="s">
        <v>201</v>
      </c>
      <c r="I214">
        <v>7.1</v>
      </c>
      <c r="K214">
        <v>7.0000000000000007E-2</v>
      </c>
      <c r="L214">
        <v>13</v>
      </c>
      <c r="M214">
        <v>5.1469497840000002</v>
      </c>
      <c r="Q214">
        <v>0</v>
      </c>
      <c r="S214" t="s">
        <v>210</v>
      </c>
      <c r="T214">
        <v>10</v>
      </c>
      <c r="U214">
        <v>47.26</v>
      </c>
      <c r="V214">
        <v>17.37</v>
      </c>
      <c r="W214">
        <v>644.73822180000002</v>
      </c>
      <c r="X214">
        <v>6447.3822179999997</v>
      </c>
      <c r="Y214">
        <v>0.28000000000000003</v>
      </c>
      <c r="Z214">
        <v>0.24</v>
      </c>
      <c r="AA214">
        <v>0.24</v>
      </c>
      <c r="AB214">
        <v>73.527854059999996</v>
      </c>
    </row>
    <row r="215" spans="1:29" x14ac:dyDescent="0.25">
      <c r="A215">
        <v>214</v>
      </c>
      <c r="B215" t="s">
        <v>533</v>
      </c>
      <c r="D215" t="s">
        <v>528</v>
      </c>
      <c r="E215">
        <v>2</v>
      </c>
      <c r="F215" t="s">
        <v>529</v>
      </c>
      <c r="H215" t="s">
        <v>201</v>
      </c>
      <c r="I215">
        <v>7.1</v>
      </c>
      <c r="K215">
        <v>9.6000000000000002E-2</v>
      </c>
      <c r="L215">
        <v>16</v>
      </c>
      <c r="M215">
        <v>6.3347074269999997</v>
      </c>
      <c r="Q215">
        <v>0</v>
      </c>
      <c r="S215" t="s">
        <v>210</v>
      </c>
      <c r="T215">
        <v>7</v>
      </c>
      <c r="U215">
        <v>54.24</v>
      </c>
      <c r="V215">
        <v>35.86</v>
      </c>
      <c r="W215">
        <v>1527.6358700000001</v>
      </c>
      <c r="X215">
        <v>10693.45109</v>
      </c>
      <c r="Y215">
        <v>0.38</v>
      </c>
      <c r="Z215">
        <v>0.37</v>
      </c>
      <c r="AA215">
        <v>0.4</v>
      </c>
      <c r="AB215">
        <v>65.986535689999997</v>
      </c>
    </row>
    <row r="216" spans="1:29" x14ac:dyDescent="0.25">
      <c r="A216">
        <v>215</v>
      </c>
      <c r="B216" t="s">
        <v>534</v>
      </c>
      <c r="D216" t="s">
        <v>535</v>
      </c>
      <c r="E216">
        <v>1</v>
      </c>
      <c r="F216" t="s">
        <v>780</v>
      </c>
      <c r="H216" t="s">
        <v>201</v>
      </c>
      <c r="I216">
        <v>7.1</v>
      </c>
      <c r="K216">
        <v>5.8000000000000003E-2</v>
      </c>
      <c r="L216">
        <v>13</v>
      </c>
      <c r="M216">
        <v>5.1469497840000002</v>
      </c>
      <c r="Q216">
        <v>0</v>
      </c>
      <c r="S216" t="s">
        <v>204</v>
      </c>
      <c r="T216" t="s">
        <v>141</v>
      </c>
      <c r="U216">
        <v>52.79</v>
      </c>
      <c r="V216">
        <v>17.82</v>
      </c>
      <c r="W216">
        <v>738.83803239999997</v>
      </c>
      <c r="X216">
        <v>738.83803239999997</v>
      </c>
      <c r="Y216">
        <v>0.33</v>
      </c>
      <c r="Z216">
        <v>0.32</v>
      </c>
      <c r="AA216">
        <v>0.34</v>
      </c>
      <c r="AB216">
        <v>88.740513519999993</v>
      </c>
    </row>
    <row r="217" spans="1:29" x14ac:dyDescent="0.25">
      <c r="A217">
        <v>216</v>
      </c>
      <c r="B217" t="s">
        <v>536</v>
      </c>
      <c r="D217" t="s">
        <v>505</v>
      </c>
      <c r="E217">
        <v>1</v>
      </c>
      <c r="F217" t="s">
        <v>506</v>
      </c>
      <c r="H217" t="s">
        <v>201</v>
      </c>
      <c r="I217">
        <v>7.1</v>
      </c>
      <c r="K217">
        <v>7.8E-2</v>
      </c>
      <c r="L217">
        <v>12</v>
      </c>
      <c r="M217">
        <v>4.7510305700000002</v>
      </c>
      <c r="Q217">
        <v>0</v>
      </c>
      <c r="S217" t="s">
        <v>204</v>
      </c>
      <c r="T217" t="s">
        <v>141</v>
      </c>
      <c r="U217">
        <v>143.81</v>
      </c>
      <c r="V217">
        <v>62.22</v>
      </c>
      <c r="W217">
        <v>7027.6313970000001</v>
      </c>
      <c r="X217">
        <v>7027.6313970000001</v>
      </c>
      <c r="Y217">
        <v>0.33</v>
      </c>
      <c r="Z217">
        <v>0.34</v>
      </c>
      <c r="AA217">
        <v>0.33</v>
      </c>
      <c r="AB217">
        <v>60.910648330000001</v>
      </c>
    </row>
    <row r="218" spans="1:29" x14ac:dyDescent="0.25">
      <c r="A218">
        <v>217</v>
      </c>
      <c r="B218" t="s">
        <v>537</v>
      </c>
      <c r="D218" t="s">
        <v>398</v>
      </c>
      <c r="E218">
        <v>2</v>
      </c>
      <c r="F218" t="s">
        <v>299</v>
      </c>
      <c r="H218" t="s">
        <v>201</v>
      </c>
      <c r="I218">
        <v>7.1</v>
      </c>
      <c r="K218">
        <v>7.2999999999999995E-2</v>
      </c>
      <c r="L218">
        <v>16</v>
      </c>
      <c r="M218">
        <v>6.3347074269999997</v>
      </c>
      <c r="Q218">
        <v>0</v>
      </c>
      <c r="S218" t="s">
        <v>210</v>
      </c>
      <c r="T218">
        <v>8</v>
      </c>
      <c r="U218">
        <v>46.27</v>
      </c>
      <c r="V218">
        <v>24.48</v>
      </c>
      <c r="W218">
        <v>889.61233149999998</v>
      </c>
      <c r="X218">
        <v>7116.8986519999999</v>
      </c>
      <c r="Y218">
        <v>0.2</v>
      </c>
      <c r="Z218">
        <v>0.22</v>
      </c>
      <c r="AA218">
        <v>0.2</v>
      </c>
      <c r="AB218">
        <v>86.776814060000007</v>
      </c>
    </row>
    <row r="219" spans="1:29" x14ac:dyDescent="0.25">
      <c r="A219">
        <v>218</v>
      </c>
      <c r="B219" t="s">
        <v>538</v>
      </c>
      <c r="D219" t="s">
        <v>508</v>
      </c>
      <c r="E219">
        <v>2</v>
      </c>
      <c r="F219" t="s">
        <v>509</v>
      </c>
      <c r="H219" t="s">
        <v>201</v>
      </c>
      <c r="I219">
        <v>7.1</v>
      </c>
      <c r="K219">
        <v>7.6999999999999999E-2</v>
      </c>
      <c r="L219">
        <v>12</v>
      </c>
      <c r="M219">
        <v>4.7510305700000002</v>
      </c>
      <c r="Q219">
        <v>0</v>
      </c>
      <c r="S219" t="s">
        <v>204</v>
      </c>
      <c r="T219" t="s">
        <v>141</v>
      </c>
      <c r="U219">
        <v>180</v>
      </c>
      <c r="V219">
        <v>85.78</v>
      </c>
      <c r="W219">
        <v>12126.861800000001</v>
      </c>
      <c r="X219">
        <v>12126.861800000001</v>
      </c>
      <c r="Y219">
        <v>0.34</v>
      </c>
      <c r="Z219">
        <v>0.35</v>
      </c>
      <c r="AA219">
        <v>0.37</v>
      </c>
      <c r="AB219">
        <v>61.701695710000003</v>
      </c>
    </row>
    <row r="220" spans="1:29" x14ac:dyDescent="0.25">
      <c r="A220">
        <v>219</v>
      </c>
      <c r="B220" t="s">
        <v>539</v>
      </c>
      <c r="D220" t="s">
        <v>375</v>
      </c>
      <c r="E220">
        <v>4</v>
      </c>
      <c r="F220" t="s">
        <v>278</v>
      </c>
      <c r="H220" t="s">
        <v>201</v>
      </c>
      <c r="I220">
        <v>7.1</v>
      </c>
      <c r="K220">
        <v>7.0000000000000007E-2</v>
      </c>
      <c r="L220">
        <v>13</v>
      </c>
      <c r="M220">
        <v>5.1469497840000002</v>
      </c>
      <c r="Q220">
        <v>0</v>
      </c>
      <c r="S220" t="s">
        <v>210</v>
      </c>
      <c r="T220">
        <v>8</v>
      </c>
      <c r="U220">
        <v>69.77</v>
      </c>
      <c r="V220">
        <v>23.88</v>
      </c>
      <c r="W220">
        <v>1308.557849</v>
      </c>
      <c r="X220">
        <v>10468.46279</v>
      </c>
      <c r="Y220">
        <v>0.24</v>
      </c>
      <c r="Z220">
        <v>0.25</v>
      </c>
      <c r="AA220">
        <v>0.24</v>
      </c>
      <c r="AB220">
        <v>73.527854059999996</v>
      </c>
    </row>
    <row r="221" spans="1:29" x14ac:dyDescent="0.25">
      <c r="A221">
        <v>220</v>
      </c>
      <c r="B221" t="s">
        <v>540</v>
      </c>
      <c r="D221" t="s">
        <v>434</v>
      </c>
      <c r="E221">
        <v>5</v>
      </c>
      <c r="F221" t="s">
        <v>481</v>
      </c>
      <c r="H221" t="s">
        <v>201</v>
      </c>
      <c r="I221">
        <v>7.1</v>
      </c>
      <c r="K221">
        <v>8.5000000000000006E-2</v>
      </c>
      <c r="L221">
        <v>13</v>
      </c>
      <c r="M221">
        <v>5.1469497840000002</v>
      </c>
      <c r="Q221">
        <v>0</v>
      </c>
      <c r="S221" t="s">
        <v>204</v>
      </c>
      <c r="T221" t="s">
        <v>141</v>
      </c>
      <c r="U221">
        <v>91.38</v>
      </c>
      <c r="V221">
        <v>69.319999999999993</v>
      </c>
      <c r="W221">
        <v>4975.0745070000003</v>
      </c>
      <c r="X221">
        <v>4975.0745070000003</v>
      </c>
      <c r="Y221">
        <v>0.46</v>
      </c>
      <c r="Z221">
        <v>0.54</v>
      </c>
      <c r="AA221">
        <v>0.56000000000000005</v>
      </c>
      <c r="AB221">
        <v>60.552350400000002</v>
      </c>
    </row>
    <row r="222" spans="1:29" x14ac:dyDescent="0.25">
      <c r="A222">
        <v>221</v>
      </c>
      <c r="B222" t="s">
        <v>541</v>
      </c>
      <c r="D222" t="s">
        <v>512</v>
      </c>
      <c r="E222">
        <v>2</v>
      </c>
      <c r="F222" t="s">
        <v>513</v>
      </c>
      <c r="H222" t="s">
        <v>201</v>
      </c>
      <c r="I222">
        <v>7.1</v>
      </c>
      <c r="K222">
        <v>8.5999999999999993E-2</v>
      </c>
      <c r="L222">
        <v>15</v>
      </c>
      <c r="M222">
        <v>5.9387882129999996</v>
      </c>
      <c r="Q222">
        <v>0</v>
      </c>
      <c r="S222" t="s">
        <v>204</v>
      </c>
      <c r="T222" t="s">
        <v>141</v>
      </c>
      <c r="U222">
        <v>117.89</v>
      </c>
      <c r="V222">
        <v>93.33</v>
      </c>
      <c r="W222">
        <v>8641.4797159999998</v>
      </c>
      <c r="X222">
        <v>8641.4797159999998</v>
      </c>
      <c r="Y222">
        <v>0.39</v>
      </c>
      <c r="Z222">
        <v>0.44</v>
      </c>
      <c r="AA222">
        <v>0.48</v>
      </c>
      <c r="AB222">
        <v>69.055676890000001</v>
      </c>
    </row>
    <row r="223" spans="1:29" x14ac:dyDescent="0.25">
      <c r="A223">
        <v>222</v>
      </c>
      <c r="B223" t="s">
        <v>542</v>
      </c>
      <c r="D223" t="s">
        <v>508</v>
      </c>
      <c r="E223">
        <v>1</v>
      </c>
      <c r="F223" t="s">
        <v>509</v>
      </c>
      <c r="H223" t="s">
        <v>201</v>
      </c>
      <c r="I223">
        <v>7.1</v>
      </c>
      <c r="K223">
        <v>9.9000000000000005E-2</v>
      </c>
      <c r="L223">
        <v>14</v>
      </c>
      <c r="M223">
        <v>5.5428689980000003</v>
      </c>
      <c r="Q223">
        <v>0</v>
      </c>
      <c r="S223" t="s">
        <v>204</v>
      </c>
      <c r="T223" t="s">
        <v>141</v>
      </c>
      <c r="U223">
        <v>116.94</v>
      </c>
      <c r="V223">
        <v>56.58</v>
      </c>
      <c r="W223">
        <v>5196.5596159999996</v>
      </c>
      <c r="X223">
        <v>5196.5596159999996</v>
      </c>
      <c r="Y223">
        <v>0.36</v>
      </c>
      <c r="Z223">
        <v>0.36</v>
      </c>
      <c r="AA223">
        <v>0.35</v>
      </c>
      <c r="AB223">
        <v>55.988575740000002</v>
      </c>
    </row>
    <row r="224" spans="1:29" x14ac:dyDescent="0.25">
      <c r="A224">
        <v>223</v>
      </c>
      <c r="B224" t="s">
        <v>543</v>
      </c>
      <c r="D224" t="s">
        <v>386</v>
      </c>
      <c r="E224">
        <v>5</v>
      </c>
      <c r="F224" t="s">
        <v>231</v>
      </c>
      <c r="H224" t="s">
        <v>201</v>
      </c>
      <c r="I224">
        <v>7.1</v>
      </c>
      <c r="K224">
        <v>6.2E-2</v>
      </c>
      <c r="L224">
        <v>15</v>
      </c>
      <c r="M224">
        <v>5.9387882129999996</v>
      </c>
      <c r="Q224">
        <v>0</v>
      </c>
      <c r="S224" t="s">
        <v>204</v>
      </c>
      <c r="T224" t="s">
        <v>141</v>
      </c>
      <c r="U224">
        <v>83.26</v>
      </c>
      <c r="V224">
        <v>39.840000000000003</v>
      </c>
      <c r="W224">
        <v>2605.2272830000002</v>
      </c>
      <c r="X224">
        <v>2605.2272830000002</v>
      </c>
      <c r="Y224">
        <v>0.2</v>
      </c>
      <c r="Z224">
        <v>0.32</v>
      </c>
      <c r="AA224">
        <v>0.24</v>
      </c>
      <c r="AB224">
        <v>95.786906650000006</v>
      </c>
    </row>
    <row r="225" spans="1:28" x14ac:dyDescent="0.25">
      <c r="A225">
        <v>224</v>
      </c>
      <c r="B225" t="s">
        <v>1222</v>
      </c>
      <c r="F225" t="s">
        <v>556</v>
      </c>
      <c r="I225">
        <v>9.6999999999999993</v>
      </c>
      <c r="K225">
        <v>8.4000000000000005E-2</v>
      </c>
      <c r="L225">
        <v>10</v>
      </c>
      <c r="M225">
        <v>7.3898113189999997</v>
      </c>
      <c r="Q225">
        <v>0</v>
      </c>
      <c r="AB225">
        <v>87.973944279999998</v>
      </c>
    </row>
    <row r="226" spans="1:28" x14ac:dyDescent="0.25">
      <c r="A226">
        <v>225</v>
      </c>
      <c r="B226" t="s">
        <v>586</v>
      </c>
      <c r="D226" t="s">
        <v>587</v>
      </c>
      <c r="E226">
        <v>3</v>
      </c>
      <c r="F226" t="s">
        <v>588</v>
      </c>
      <c r="H226" t="s">
        <v>201</v>
      </c>
      <c r="I226">
        <v>9.6999999999999993</v>
      </c>
      <c r="K226">
        <v>7.3999999999999996E-2</v>
      </c>
      <c r="L226">
        <v>10</v>
      </c>
      <c r="M226">
        <v>7.3898113189999997</v>
      </c>
      <c r="Q226">
        <v>0</v>
      </c>
      <c r="S226" t="s">
        <v>204</v>
      </c>
      <c r="T226" t="s">
        <v>141</v>
      </c>
      <c r="U226">
        <v>51.91</v>
      </c>
      <c r="V226">
        <v>22.09</v>
      </c>
      <c r="W226">
        <v>900.60971219999999</v>
      </c>
      <c r="X226">
        <v>900.60971219999999</v>
      </c>
      <c r="Y226">
        <v>0.21</v>
      </c>
      <c r="Z226">
        <v>0.24</v>
      </c>
      <c r="AA226">
        <v>0.24</v>
      </c>
      <c r="AB226">
        <v>99.862315129999999</v>
      </c>
    </row>
    <row r="227" spans="1:28" x14ac:dyDescent="0.25">
      <c r="A227">
        <v>226</v>
      </c>
      <c r="B227" t="s">
        <v>589</v>
      </c>
      <c r="D227" t="s">
        <v>587</v>
      </c>
      <c r="E227">
        <v>2</v>
      </c>
      <c r="F227" t="s">
        <v>588</v>
      </c>
      <c r="H227" t="s">
        <v>201</v>
      </c>
      <c r="I227">
        <v>9.6999999999999993</v>
      </c>
      <c r="K227">
        <v>5.8999999999999997E-2</v>
      </c>
      <c r="L227">
        <v>11</v>
      </c>
      <c r="M227">
        <v>8.1287924510000007</v>
      </c>
      <c r="Q227">
        <v>0</v>
      </c>
      <c r="S227" t="s">
        <v>204</v>
      </c>
      <c r="T227" t="s">
        <v>141</v>
      </c>
      <c r="U227">
        <v>72.97</v>
      </c>
      <c r="V227">
        <v>32.97</v>
      </c>
      <c r="W227">
        <v>1889.5273159999999</v>
      </c>
      <c r="X227">
        <v>1889.5273159999999</v>
      </c>
      <c r="Y227">
        <v>0.23</v>
      </c>
      <c r="Z227">
        <v>0.23</v>
      </c>
      <c r="AA227">
        <v>0.22</v>
      </c>
      <c r="AB227">
        <v>137.77614320000001</v>
      </c>
    </row>
    <row r="228" spans="1:28" x14ac:dyDescent="0.25">
      <c r="A228">
        <v>227</v>
      </c>
      <c r="B228" t="s">
        <v>590</v>
      </c>
      <c r="D228" t="s">
        <v>502</v>
      </c>
      <c r="E228">
        <v>2</v>
      </c>
      <c r="F228" t="s">
        <v>503</v>
      </c>
      <c r="H228" t="s">
        <v>201</v>
      </c>
      <c r="I228">
        <v>7.1</v>
      </c>
      <c r="K228">
        <v>0.05</v>
      </c>
      <c r="L228">
        <v>11</v>
      </c>
      <c r="M228">
        <v>4.3551113560000001</v>
      </c>
      <c r="Q228">
        <v>0</v>
      </c>
      <c r="S228" t="s">
        <v>204</v>
      </c>
      <c r="T228" t="s">
        <v>141</v>
      </c>
      <c r="U228">
        <v>73.849999999999994</v>
      </c>
      <c r="V228">
        <v>33.58</v>
      </c>
      <c r="W228">
        <v>1947.6955539999999</v>
      </c>
      <c r="X228">
        <v>1947.6955539999999</v>
      </c>
      <c r="Y228">
        <v>0.15</v>
      </c>
      <c r="Z228">
        <v>0.2</v>
      </c>
      <c r="AA228">
        <v>0.16</v>
      </c>
      <c r="AB228">
        <v>87.102227119999995</v>
      </c>
    </row>
    <row r="229" spans="1:28" x14ac:dyDescent="0.25">
      <c r="A229">
        <v>228</v>
      </c>
      <c r="B229" t="s">
        <v>591</v>
      </c>
      <c r="D229" t="s">
        <v>502</v>
      </c>
      <c r="E229">
        <v>3</v>
      </c>
      <c r="F229" t="s">
        <v>503</v>
      </c>
      <c r="H229" t="s">
        <v>201</v>
      </c>
      <c r="I229">
        <v>7.1</v>
      </c>
      <c r="K229">
        <v>0.05</v>
      </c>
      <c r="L229">
        <v>10</v>
      </c>
      <c r="M229">
        <v>3.959192142</v>
      </c>
      <c r="Q229">
        <v>0</v>
      </c>
      <c r="S229" t="s">
        <v>204</v>
      </c>
      <c r="T229" t="s">
        <v>141</v>
      </c>
      <c r="U229">
        <v>101.9</v>
      </c>
      <c r="V229">
        <v>41.42</v>
      </c>
      <c r="W229">
        <v>3314.928457</v>
      </c>
      <c r="X229">
        <v>3314.928457</v>
      </c>
      <c r="Y229">
        <v>0.27</v>
      </c>
      <c r="Z229">
        <v>0.22</v>
      </c>
      <c r="AA229">
        <v>0.26</v>
      </c>
      <c r="AB229">
        <v>79.183842830000003</v>
      </c>
    </row>
    <row r="230" spans="1:28" x14ac:dyDescent="0.25">
      <c r="A230">
        <v>229</v>
      </c>
      <c r="B230" t="s">
        <v>592</v>
      </c>
      <c r="D230" t="s">
        <v>593</v>
      </c>
      <c r="E230">
        <v>1</v>
      </c>
      <c r="F230" t="s">
        <v>594</v>
      </c>
      <c r="H230" t="s">
        <v>201</v>
      </c>
      <c r="I230">
        <v>7.1</v>
      </c>
      <c r="K230">
        <v>0.04</v>
      </c>
      <c r="L230">
        <v>10</v>
      </c>
      <c r="M230">
        <v>3.959192142</v>
      </c>
      <c r="Q230">
        <v>0</v>
      </c>
      <c r="S230" t="s">
        <v>210</v>
      </c>
      <c r="T230">
        <v>5</v>
      </c>
      <c r="U230">
        <v>73.849999999999994</v>
      </c>
      <c r="V230">
        <v>20.67</v>
      </c>
      <c r="W230">
        <v>1198.894196</v>
      </c>
      <c r="X230">
        <v>5994.4709789999997</v>
      </c>
      <c r="Y230">
        <v>0.2</v>
      </c>
      <c r="Z230">
        <v>0.17</v>
      </c>
      <c r="AA230">
        <v>0.2</v>
      </c>
      <c r="AB230">
        <v>98.979803540000006</v>
      </c>
    </row>
    <row r="231" spans="1:28" x14ac:dyDescent="0.25">
      <c r="A231">
        <v>230</v>
      </c>
      <c r="B231" t="s">
        <v>595</v>
      </c>
      <c r="D231" t="s">
        <v>502</v>
      </c>
      <c r="E231">
        <v>4</v>
      </c>
      <c r="F231" t="s">
        <v>503</v>
      </c>
      <c r="H231" t="s">
        <v>201</v>
      </c>
      <c r="I231">
        <v>7.1</v>
      </c>
      <c r="K231">
        <v>5.3999999999999999E-2</v>
      </c>
      <c r="L231">
        <v>10</v>
      </c>
      <c r="M231">
        <v>3.959192142</v>
      </c>
      <c r="Q231">
        <v>0</v>
      </c>
      <c r="S231" t="s">
        <v>204</v>
      </c>
      <c r="T231" t="s">
        <v>141</v>
      </c>
      <c r="U231">
        <v>90.52</v>
      </c>
      <c r="V231">
        <v>45.13</v>
      </c>
      <c r="W231">
        <v>3208.4831300000001</v>
      </c>
      <c r="X231">
        <v>3208.4831300000001</v>
      </c>
      <c r="Y231">
        <v>0.3</v>
      </c>
      <c r="Z231">
        <v>0.3</v>
      </c>
      <c r="AA231">
        <v>0.33</v>
      </c>
      <c r="AB231">
        <v>73.31837299</v>
      </c>
    </row>
    <row r="232" spans="1:28" x14ac:dyDescent="0.25">
      <c r="A232">
        <v>231</v>
      </c>
      <c r="B232" t="s">
        <v>596</v>
      </c>
      <c r="D232" t="s">
        <v>398</v>
      </c>
      <c r="E232">
        <v>4</v>
      </c>
      <c r="F232" t="s">
        <v>299</v>
      </c>
      <c r="H232" t="s">
        <v>201</v>
      </c>
      <c r="I232">
        <v>9.6999999999999993</v>
      </c>
      <c r="K232">
        <v>8.4000000000000005E-2</v>
      </c>
      <c r="L232">
        <v>12</v>
      </c>
      <c r="M232">
        <v>8.867773583</v>
      </c>
      <c r="Q232">
        <v>0</v>
      </c>
      <c r="S232" t="s">
        <v>210</v>
      </c>
      <c r="T232">
        <v>6</v>
      </c>
      <c r="U232">
        <v>48.77</v>
      </c>
      <c r="V232">
        <v>21.97</v>
      </c>
      <c r="W232">
        <v>841.53598939999995</v>
      </c>
      <c r="X232">
        <v>5049.2159359999996</v>
      </c>
      <c r="Y232">
        <v>0.17</v>
      </c>
      <c r="Z232">
        <v>0.17</v>
      </c>
      <c r="AA232">
        <v>0.18</v>
      </c>
      <c r="AB232">
        <v>105.5687331</v>
      </c>
    </row>
    <row r="233" spans="1:28" x14ac:dyDescent="0.25">
      <c r="A233">
        <v>232</v>
      </c>
      <c r="B233" t="s">
        <v>597</v>
      </c>
      <c r="D233" t="s">
        <v>593</v>
      </c>
      <c r="E233">
        <v>3</v>
      </c>
      <c r="F233" t="s">
        <v>594</v>
      </c>
      <c r="H233" t="s">
        <v>201</v>
      </c>
      <c r="I233">
        <v>9.6999999999999993</v>
      </c>
      <c r="K233">
        <v>7.3999999999999996E-2</v>
      </c>
      <c r="L233">
        <v>10</v>
      </c>
      <c r="M233">
        <v>7.3898113189999997</v>
      </c>
      <c r="Q233">
        <v>0</v>
      </c>
      <c r="S233" t="s">
        <v>210</v>
      </c>
      <c r="T233">
        <v>5</v>
      </c>
      <c r="U233">
        <v>80.709999999999994</v>
      </c>
      <c r="V233">
        <v>26.03</v>
      </c>
      <c r="W233">
        <v>1650.028315</v>
      </c>
      <c r="X233">
        <v>8250.1415730000008</v>
      </c>
      <c r="Y233">
        <v>0.26</v>
      </c>
      <c r="Z233">
        <v>0.24</v>
      </c>
      <c r="AA233">
        <v>0.22</v>
      </c>
      <c r="AB233">
        <v>99.862315129999999</v>
      </c>
    </row>
    <row r="234" spans="1:28" x14ac:dyDescent="0.25">
      <c r="A234">
        <v>233</v>
      </c>
      <c r="B234" t="s">
        <v>598</v>
      </c>
      <c r="D234" t="s">
        <v>593</v>
      </c>
      <c r="E234">
        <v>2</v>
      </c>
      <c r="F234" t="s">
        <v>594</v>
      </c>
      <c r="H234" t="s">
        <v>201</v>
      </c>
      <c r="I234">
        <v>9.6999999999999993</v>
      </c>
      <c r="K234">
        <v>0.09</v>
      </c>
      <c r="L234">
        <v>11</v>
      </c>
      <c r="M234">
        <v>8.1287924510000007</v>
      </c>
      <c r="Q234">
        <v>0</v>
      </c>
      <c r="S234" t="s">
        <v>210</v>
      </c>
      <c r="T234">
        <v>5</v>
      </c>
      <c r="U234">
        <v>72.7</v>
      </c>
      <c r="V234">
        <v>15.81</v>
      </c>
      <c r="W234">
        <v>902.72643879999998</v>
      </c>
      <c r="X234">
        <v>4513.6321939999998</v>
      </c>
      <c r="Y234">
        <v>0.25</v>
      </c>
      <c r="Z234">
        <v>0.23</v>
      </c>
      <c r="AA234">
        <v>0.25</v>
      </c>
      <c r="AB234">
        <v>90.319916129999996</v>
      </c>
    </row>
    <row r="235" spans="1:28" x14ac:dyDescent="0.25">
      <c r="A235">
        <v>234</v>
      </c>
      <c r="B235" t="s">
        <v>599</v>
      </c>
      <c r="D235" t="s">
        <v>365</v>
      </c>
      <c r="E235">
        <v>3</v>
      </c>
      <c r="F235" t="s">
        <v>369</v>
      </c>
      <c r="H235" t="s">
        <v>201</v>
      </c>
      <c r="I235">
        <v>7.1</v>
      </c>
      <c r="K235">
        <v>0.04</v>
      </c>
      <c r="L235">
        <v>10</v>
      </c>
      <c r="M235">
        <v>3.959192142</v>
      </c>
      <c r="Q235">
        <v>0</v>
      </c>
      <c r="S235" t="s">
        <v>210</v>
      </c>
      <c r="T235">
        <v>13</v>
      </c>
      <c r="U235">
        <v>24.31</v>
      </c>
      <c r="V235">
        <v>12.12</v>
      </c>
      <c r="W235">
        <v>231.4075157</v>
      </c>
      <c r="X235">
        <v>3008.297705</v>
      </c>
      <c r="Y235">
        <v>0.17</v>
      </c>
      <c r="Z235">
        <v>0.2</v>
      </c>
      <c r="AA235">
        <v>0.2</v>
      </c>
      <c r="AB235">
        <v>98.979803540000006</v>
      </c>
    </row>
    <row r="236" spans="1:28" x14ac:dyDescent="0.25">
      <c r="A236">
        <v>235</v>
      </c>
      <c r="B236" t="s">
        <v>600</v>
      </c>
      <c r="D236" t="s">
        <v>425</v>
      </c>
      <c r="E236">
        <v>3</v>
      </c>
      <c r="F236" t="s">
        <v>426</v>
      </c>
      <c r="H236" t="s">
        <v>201</v>
      </c>
      <c r="I236">
        <v>7.1</v>
      </c>
      <c r="K236">
        <v>5.3999999999999999E-2</v>
      </c>
      <c r="L236">
        <v>10</v>
      </c>
      <c r="M236">
        <v>3.959192142</v>
      </c>
      <c r="Q236">
        <v>0</v>
      </c>
      <c r="S236" t="s">
        <v>210</v>
      </c>
      <c r="T236">
        <v>13</v>
      </c>
      <c r="U236">
        <v>49.73</v>
      </c>
      <c r="V236">
        <v>15.94</v>
      </c>
      <c r="W236">
        <v>622.5821396</v>
      </c>
      <c r="X236">
        <v>8093.5678150000003</v>
      </c>
      <c r="Y236">
        <v>0.19</v>
      </c>
      <c r="Z236">
        <v>0.18</v>
      </c>
      <c r="AA236">
        <v>0.22</v>
      </c>
      <c r="AB236">
        <v>73.31837299</v>
      </c>
    </row>
    <row r="237" spans="1:28" x14ac:dyDescent="0.25">
      <c r="A237">
        <v>236</v>
      </c>
      <c r="B237" t="s">
        <v>601</v>
      </c>
      <c r="D237" t="s">
        <v>398</v>
      </c>
      <c r="E237">
        <v>5</v>
      </c>
      <c r="F237" t="s">
        <v>299</v>
      </c>
      <c r="H237" t="s">
        <v>201</v>
      </c>
      <c r="I237">
        <v>9.6999999999999993</v>
      </c>
      <c r="K237">
        <v>6.3E-2</v>
      </c>
      <c r="L237">
        <v>10</v>
      </c>
      <c r="M237">
        <v>7.3898113189999997</v>
      </c>
      <c r="Q237">
        <v>0</v>
      </c>
      <c r="S237" t="s">
        <v>210</v>
      </c>
      <c r="T237">
        <v>6</v>
      </c>
      <c r="U237">
        <v>56.9</v>
      </c>
      <c r="V237">
        <v>22.9</v>
      </c>
      <c r="W237">
        <v>1023.381661</v>
      </c>
      <c r="X237">
        <v>6140.2899649999999</v>
      </c>
      <c r="Y237">
        <v>0.14000000000000001</v>
      </c>
      <c r="Z237">
        <v>0.14000000000000001</v>
      </c>
      <c r="AA237">
        <v>0.13</v>
      </c>
      <c r="AB237">
        <v>117.2985924</v>
      </c>
    </row>
    <row r="238" spans="1:28" x14ac:dyDescent="0.25">
      <c r="A238">
        <v>237</v>
      </c>
      <c r="B238" t="s">
        <v>602</v>
      </c>
      <c r="D238" t="s">
        <v>425</v>
      </c>
      <c r="E238">
        <v>5</v>
      </c>
      <c r="F238" t="s">
        <v>426</v>
      </c>
      <c r="H238" t="s">
        <v>201</v>
      </c>
      <c r="I238">
        <v>7.1</v>
      </c>
      <c r="K238">
        <v>4.9000000000000002E-2</v>
      </c>
      <c r="L238">
        <v>9</v>
      </c>
      <c r="M238">
        <v>3.563272928</v>
      </c>
      <c r="Q238">
        <v>0</v>
      </c>
      <c r="S238" t="s">
        <v>210</v>
      </c>
      <c r="T238">
        <v>13</v>
      </c>
      <c r="U238">
        <v>45.05</v>
      </c>
      <c r="V238">
        <v>14.24</v>
      </c>
      <c r="W238">
        <v>503.84234659999998</v>
      </c>
      <c r="X238">
        <v>6549.9505060000001</v>
      </c>
      <c r="Y238">
        <v>0.24</v>
      </c>
      <c r="Z238">
        <v>0.26</v>
      </c>
      <c r="AA238">
        <v>0.26</v>
      </c>
      <c r="AB238">
        <v>72.719855659999993</v>
      </c>
    </row>
    <row r="239" spans="1:28" x14ac:dyDescent="0.25">
      <c r="A239">
        <v>238</v>
      </c>
      <c r="B239" t="s">
        <v>603</v>
      </c>
      <c r="D239" t="s">
        <v>524</v>
      </c>
      <c r="E239">
        <v>3</v>
      </c>
      <c r="F239" t="s">
        <v>525</v>
      </c>
      <c r="H239" t="s">
        <v>201</v>
      </c>
      <c r="I239">
        <v>7.1</v>
      </c>
      <c r="K239">
        <v>4.7E-2</v>
      </c>
      <c r="L239">
        <v>10</v>
      </c>
      <c r="M239">
        <v>3.959192142</v>
      </c>
      <c r="Q239">
        <v>0</v>
      </c>
      <c r="S239" t="s">
        <v>210</v>
      </c>
      <c r="T239">
        <v>120</v>
      </c>
      <c r="U239">
        <v>21.1</v>
      </c>
      <c r="V239">
        <v>15.75</v>
      </c>
      <c r="W239">
        <v>261.00744470000001</v>
      </c>
      <c r="X239">
        <v>31320.893359999998</v>
      </c>
      <c r="Y239">
        <v>0.17</v>
      </c>
      <c r="Z239">
        <v>0.19</v>
      </c>
      <c r="AA239">
        <v>0.17</v>
      </c>
      <c r="AB239">
        <v>84.238130670000004</v>
      </c>
    </row>
    <row r="240" spans="1:28" x14ac:dyDescent="0.25">
      <c r="A240">
        <v>239</v>
      </c>
      <c r="B240" t="s">
        <v>650</v>
      </c>
      <c r="C240" t="s">
        <v>600</v>
      </c>
      <c r="D240" t="s">
        <v>425</v>
      </c>
      <c r="E240">
        <v>4</v>
      </c>
      <c r="F240" t="s">
        <v>426</v>
      </c>
      <c r="H240" t="s">
        <v>201</v>
      </c>
      <c r="I240">
        <v>7.1</v>
      </c>
      <c r="K240">
        <v>3.9E-2</v>
      </c>
      <c r="L240">
        <v>10</v>
      </c>
      <c r="M240">
        <v>3.959192142</v>
      </c>
      <c r="Q240">
        <v>0</v>
      </c>
      <c r="S240" t="s">
        <v>210</v>
      </c>
      <c r="T240">
        <v>15</v>
      </c>
      <c r="U240">
        <v>59.96</v>
      </c>
      <c r="V240">
        <v>13.6</v>
      </c>
      <c r="W240">
        <v>640.45764469999995</v>
      </c>
      <c r="X240">
        <v>9606.8646709999994</v>
      </c>
      <c r="Y240">
        <v>0.25</v>
      </c>
      <c r="Z240">
        <v>0.22</v>
      </c>
      <c r="AA240">
        <v>0.24</v>
      </c>
      <c r="AB240">
        <v>101.5177472</v>
      </c>
    </row>
    <row r="241" spans="1:29" x14ac:dyDescent="0.25">
      <c r="A241">
        <v>240</v>
      </c>
      <c r="B241" t="s">
        <v>604</v>
      </c>
      <c r="D241" t="s">
        <v>605</v>
      </c>
      <c r="E241">
        <v>1</v>
      </c>
      <c r="F241" t="s">
        <v>739</v>
      </c>
      <c r="H241" t="s">
        <v>201</v>
      </c>
      <c r="I241">
        <v>9.6999999999999993</v>
      </c>
      <c r="K241">
        <v>9.9000000000000005E-2</v>
      </c>
      <c r="L241">
        <v>12</v>
      </c>
      <c r="M241">
        <v>8.867773583</v>
      </c>
      <c r="Q241">
        <v>0</v>
      </c>
      <c r="S241" t="s">
        <v>210</v>
      </c>
      <c r="T241">
        <v>3</v>
      </c>
      <c r="U241">
        <v>75.16</v>
      </c>
      <c r="V241">
        <v>35.619999999999997</v>
      </c>
      <c r="W241">
        <v>2102.6673350000001</v>
      </c>
      <c r="X241">
        <v>6308.0020039999999</v>
      </c>
      <c r="Y241">
        <v>0.35</v>
      </c>
      <c r="Z241">
        <v>0.4</v>
      </c>
      <c r="AA241">
        <v>0.39</v>
      </c>
      <c r="AB241">
        <v>89.573470540000002</v>
      </c>
    </row>
    <row r="242" spans="1:29" x14ac:dyDescent="0.25">
      <c r="A242">
        <v>241</v>
      </c>
      <c r="B242" t="s">
        <v>606</v>
      </c>
      <c r="D242" t="s">
        <v>382</v>
      </c>
      <c r="E242">
        <v>3</v>
      </c>
      <c r="F242" t="s">
        <v>213</v>
      </c>
      <c r="H242" t="s">
        <v>201</v>
      </c>
      <c r="I242">
        <v>7.1</v>
      </c>
      <c r="K242">
        <v>6.7000000000000004E-2</v>
      </c>
      <c r="L242">
        <v>10</v>
      </c>
      <c r="M242">
        <v>3.959192142</v>
      </c>
      <c r="Q242">
        <v>0</v>
      </c>
      <c r="S242" t="s">
        <v>204</v>
      </c>
      <c r="T242" t="s">
        <v>141</v>
      </c>
      <c r="U242">
        <v>69.63</v>
      </c>
      <c r="V242">
        <v>25.64</v>
      </c>
      <c r="W242">
        <v>1402.1817080000001</v>
      </c>
      <c r="X242">
        <v>1402.1817080000001</v>
      </c>
      <c r="Y242">
        <v>0.47</v>
      </c>
      <c r="Z242">
        <v>0.43</v>
      </c>
      <c r="AA242">
        <v>0.42</v>
      </c>
      <c r="AB242">
        <v>59.09242003</v>
      </c>
    </row>
    <row r="243" spans="1:29" x14ac:dyDescent="0.25">
      <c r="A243">
        <v>242</v>
      </c>
      <c r="B243" t="s">
        <v>607</v>
      </c>
      <c r="D243" t="s">
        <v>377</v>
      </c>
      <c r="E243">
        <v>2</v>
      </c>
      <c r="F243" t="s">
        <v>331</v>
      </c>
      <c r="H243" t="s">
        <v>201</v>
      </c>
      <c r="I243">
        <v>7.1</v>
      </c>
      <c r="K243">
        <v>3.7999999999999999E-2</v>
      </c>
      <c r="L243">
        <v>10</v>
      </c>
      <c r="M243">
        <v>3.959192142</v>
      </c>
      <c r="Q243">
        <v>0</v>
      </c>
      <c r="S243" t="s">
        <v>210</v>
      </c>
      <c r="T243">
        <v>9</v>
      </c>
      <c r="U243">
        <v>51.21</v>
      </c>
      <c r="V243">
        <v>15.36</v>
      </c>
      <c r="W243">
        <v>617.78288559999999</v>
      </c>
      <c r="X243">
        <v>5560.0459700000001</v>
      </c>
      <c r="Y243">
        <v>0.19</v>
      </c>
      <c r="Z243">
        <v>0.18</v>
      </c>
      <c r="AA243">
        <v>0.2</v>
      </c>
      <c r="AB243">
        <v>104.18926690000001</v>
      </c>
    </row>
    <row r="244" spans="1:29" x14ac:dyDescent="0.25">
      <c r="A244">
        <v>243</v>
      </c>
      <c r="B244" t="s">
        <v>608</v>
      </c>
      <c r="D244" t="s">
        <v>378</v>
      </c>
      <c r="E244">
        <v>5</v>
      </c>
      <c r="F244" t="s">
        <v>99</v>
      </c>
      <c r="H244" t="s">
        <v>201</v>
      </c>
      <c r="I244">
        <v>9.6999999999999993</v>
      </c>
      <c r="K244">
        <v>8.8999999999999996E-2</v>
      </c>
      <c r="L244">
        <v>10</v>
      </c>
      <c r="M244">
        <v>7.3898113189999997</v>
      </c>
      <c r="Q244">
        <v>0</v>
      </c>
      <c r="S244" t="s">
        <v>204</v>
      </c>
      <c r="T244" t="s">
        <v>141</v>
      </c>
      <c r="U244">
        <v>120.98</v>
      </c>
      <c r="V244">
        <v>57.75</v>
      </c>
      <c r="W244">
        <v>5487.2588809999997</v>
      </c>
      <c r="X244">
        <v>5487.2588809999997</v>
      </c>
      <c r="Y244">
        <v>0.38</v>
      </c>
      <c r="Z244">
        <v>0.37</v>
      </c>
      <c r="AA244">
        <v>0.36</v>
      </c>
      <c r="AB244">
        <v>83.031587860000002</v>
      </c>
    </row>
    <row r="245" spans="1:29" x14ac:dyDescent="0.25">
      <c r="A245">
        <v>244</v>
      </c>
      <c r="B245" t="s">
        <v>609</v>
      </c>
      <c r="D245" t="s">
        <v>524</v>
      </c>
      <c r="E245">
        <v>2</v>
      </c>
      <c r="F245" t="s">
        <v>525</v>
      </c>
      <c r="H245" t="s">
        <v>201</v>
      </c>
      <c r="I245">
        <v>7.1</v>
      </c>
      <c r="K245">
        <v>7.0000000000000007E-2</v>
      </c>
      <c r="L245">
        <v>14</v>
      </c>
      <c r="M245">
        <v>5.5428689980000003</v>
      </c>
      <c r="Q245">
        <v>0</v>
      </c>
      <c r="S245" t="s">
        <v>210</v>
      </c>
      <c r="T245">
        <v>130</v>
      </c>
      <c r="U245">
        <v>20.66</v>
      </c>
      <c r="V245">
        <v>16.62</v>
      </c>
      <c r="W245">
        <v>269.68153899999999</v>
      </c>
      <c r="X245">
        <v>35058.600079999997</v>
      </c>
      <c r="Y245">
        <v>0.28999999999999998</v>
      </c>
      <c r="Z245">
        <v>0.25</v>
      </c>
      <c r="AA245">
        <v>0.27</v>
      </c>
      <c r="AB245">
        <v>79.183842830000003</v>
      </c>
    </row>
    <row r="246" spans="1:29" x14ac:dyDescent="0.25">
      <c r="A246">
        <v>245</v>
      </c>
      <c r="B246" t="s">
        <v>610</v>
      </c>
      <c r="D246" t="s">
        <v>611</v>
      </c>
      <c r="E246">
        <v>2</v>
      </c>
      <c r="F246" t="s">
        <v>612</v>
      </c>
      <c r="H246" t="s">
        <v>201</v>
      </c>
      <c r="I246">
        <v>7.1</v>
      </c>
      <c r="K246">
        <v>2.4E-2</v>
      </c>
      <c r="L246">
        <v>9</v>
      </c>
      <c r="M246">
        <v>3.563272928</v>
      </c>
      <c r="Q246">
        <v>0</v>
      </c>
      <c r="S246" t="s">
        <v>204</v>
      </c>
      <c r="T246" t="s">
        <v>141</v>
      </c>
      <c r="U246">
        <v>87.49</v>
      </c>
      <c r="V246">
        <v>36.58</v>
      </c>
      <c r="W246">
        <v>2513.5758729999998</v>
      </c>
      <c r="X246">
        <v>2513.5758729999998</v>
      </c>
      <c r="Y246">
        <v>0.16</v>
      </c>
      <c r="Z246">
        <v>0.16</v>
      </c>
      <c r="AA246">
        <v>0.17</v>
      </c>
      <c r="AB246">
        <v>148.46970529999999</v>
      </c>
    </row>
    <row r="247" spans="1:29" x14ac:dyDescent="0.25">
      <c r="A247">
        <v>246</v>
      </c>
      <c r="B247" t="s">
        <v>613</v>
      </c>
      <c r="D247" t="s">
        <v>344</v>
      </c>
      <c r="E247">
        <v>3</v>
      </c>
      <c r="F247" t="s">
        <v>487</v>
      </c>
      <c r="H247" t="s">
        <v>201</v>
      </c>
      <c r="I247">
        <v>9.6999999999999993</v>
      </c>
      <c r="K247">
        <v>9.1999999999999998E-2</v>
      </c>
      <c r="L247">
        <v>10</v>
      </c>
      <c r="M247">
        <v>7.3898113189999997</v>
      </c>
      <c r="Q247">
        <v>0</v>
      </c>
      <c r="S247" t="s">
        <v>204</v>
      </c>
      <c r="T247" t="s">
        <v>141</v>
      </c>
      <c r="U247">
        <v>56.42</v>
      </c>
      <c r="V247">
        <v>29.8</v>
      </c>
      <c r="W247">
        <v>1320.5024980000001</v>
      </c>
      <c r="X247">
        <v>1320.5024980000001</v>
      </c>
      <c r="Y247">
        <v>0.24</v>
      </c>
      <c r="Z247">
        <v>0.25</v>
      </c>
      <c r="AA247">
        <v>0.28000000000000003</v>
      </c>
      <c r="AB247">
        <v>80.324036079999999</v>
      </c>
    </row>
    <row r="248" spans="1:29" x14ac:dyDescent="0.25">
      <c r="A248">
        <v>247</v>
      </c>
      <c r="B248" t="s">
        <v>614</v>
      </c>
      <c r="D248" t="s">
        <v>394</v>
      </c>
      <c r="E248">
        <v>3</v>
      </c>
      <c r="F248" t="s">
        <v>264</v>
      </c>
      <c r="H248" t="s">
        <v>201</v>
      </c>
      <c r="I248">
        <v>9.6999999999999993</v>
      </c>
      <c r="K248">
        <v>0.13400000000000001</v>
      </c>
      <c r="L248">
        <v>11</v>
      </c>
      <c r="M248">
        <v>8.1287924510000007</v>
      </c>
      <c r="Q248">
        <v>0</v>
      </c>
      <c r="S248" t="s">
        <v>210</v>
      </c>
      <c r="T248">
        <v>5</v>
      </c>
      <c r="U248">
        <v>141.52000000000001</v>
      </c>
      <c r="V248">
        <v>46.41</v>
      </c>
      <c r="W248">
        <v>5158.450527</v>
      </c>
      <c r="X248">
        <v>25792.252629999999</v>
      </c>
      <c r="Y248">
        <v>0.5</v>
      </c>
      <c r="Z248">
        <v>0.55000000000000004</v>
      </c>
      <c r="AA248">
        <v>0.56000000000000005</v>
      </c>
      <c r="AB248">
        <v>60.662630229999998</v>
      </c>
    </row>
    <row r="249" spans="1:29" x14ac:dyDescent="0.25">
      <c r="A249">
        <v>248</v>
      </c>
      <c r="B249" t="s">
        <v>615</v>
      </c>
      <c r="D249" t="s">
        <v>616</v>
      </c>
      <c r="E249">
        <v>1</v>
      </c>
      <c r="F249" t="s">
        <v>617</v>
      </c>
      <c r="H249" t="s">
        <v>201</v>
      </c>
      <c r="I249">
        <v>7.1</v>
      </c>
      <c r="K249">
        <v>4.8000000000000001E-2</v>
      </c>
      <c r="L249">
        <v>10</v>
      </c>
      <c r="M249">
        <v>3.959192142</v>
      </c>
      <c r="Q249">
        <v>0</v>
      </c>
      <c r="S249" t="s">
        <v>204</v>
      </c>
      <c r="T249" t="s">
        <v>141</v>
      </c>
      <c r="U249">
        <v>81.61</v>
      </c>
      <c r="V249">
        <v>36.619999999999997</v>
      </c>
      <c r="W249">
        <v>2347.2081210000001</v>
      </c>
      <c r="X249">
        <v>2347.2081210000001</v>
      </c>
      <c r="Y249">
        <v>0.35</v>
      </c>
      <c r="Z249">
        <v>0.37</v>
      </c>
      <c r="AA249">
        <v>0.36</v>
      </c>
      <c r="AB249">
        <v>82.483169619999998</v>
      </c>
    </row>
    <row r="250" spans="1:29" x14ac:dyDescent="0.25">
      <c r="A250">
        <v>249</v>
      </c>
      <c r="B250" t="s">
        <v>618</v>
      </c>
      <c r="D250" t="s">
        <v>611</v>
      </c>
      <c r="E250">
        <v>1</v>
      </c>
      <c r="F250" t="s">
        <v>612</v>
      </c>
      <c r="H250" t="s">
        <v>201</v>
      </c>
      <c r="I250">
        <v>7.1</v>
      </c>
      <c r="K250">
        <v>3.9E-2</v>
      </c>
      <c r="L250">
        <v>10</v>
      </c>
      <c r="M250">
        <v>3.959192142</v>
      </c>
      <c r="Q250">
        <v>0</v>
      </c>
      <c r="S250" t="s">
        <v>204</v>
      </c>
      <c r="T250" t="s">
        <v>141</v>
      </c>
      <c r="U250">
        <v>66.36</v>
      </c>
      <c r="V250">
        <v>42.55</v>
      </c>
      <c r="W250">
        <v>2217.6643909999998</v>
      </c>
      <c r="X250">
        <v>2217.6643909999998</v>
      </c>
      <c r="Y250">
        <v>0.28000000000000003</v>
      </c>
      <c r="Z250">
        <v>0.26</v>
      </c>
      <c r="AA250">
        <v>0.27</v>
      </c>
      <c r="AB250">
        <v>101.5177472</v>
      </c>
    </row>
    <row r="251" spans="1:29" x14ac:dyDescent="0.25">
      <c r="A251">
        <v>250</v>
      </c>
      <c r="B251" t="s">
        <v>619</v>
      </c>
      <c r="D251" t="s">
        <v>377</v>
      </c>
      <c r="E251">
        <v>4</v>
      </c>
      <c r="F251" t="s">
        <v>331</v>
      </c>
      <c r="H251" t="s">
        <v>201</v>
      </c>
      <c r="I251">
        <v>9.6999999999999993</v>
      </c>
      <c r="K251">
        <v>0.06</v>
      </c>
      <c r="L251">
        <v>9</v>
      </c>
      <c r="M251">
        <v>6.6508301870000004</v>
      </c>
      <c r="Q251">
        <v>0</v>
      </c>
      <c r="S251" t="s">
        <v>210</v>
      </c>
      <c r="T251">
        <v>7</v>
      </c>
      <c r="U251">
        <v>51.38</v>
      </c>
      <c r="V251">
        <v>16.440000000000001</v>
      </c>
      <c r="W251">
        <v>663.4157755</v>
      </c>
      <c r="X251">
        <v>4643.9104289999996</v>
      </c>
      <c r="Y251">
        <v>0.17</v>
      </c>
      <c r="Z251">
        <v>0.18</v>
      </c>
      <c r="AA251">
        <v>0.18</v>
      </c>
      <c r="AB251">
        <v>110.8471698</v>
      </c>
    </row>
    <row r="252" spans="1:29" x14ac:dyDescent="0.25">
      <c r="A252">
        <v>251</v>
      </c>
      <c r="B252" t="s">
        <v>620</v>
      </c>
      <c r="D252" t="s">
        <v>444</v>
      </c>
      <c r="E252">
        <v>4</v>
      </c>
      <c r="F252" t="s">
        <v>445</v>
      </c>
      <c r="H252" t="s">
        <v>201</v>
      </c>
      <c r="I252">
        <v>9.6999999999999993</v>
      </c>
      <c r="K252">
        <v>7.5999999999999998E-2</v>
      </c>
      <c r="L252">
        <v>9</v>
      </c>
      <c r="M252">
        <v>6.6508301870000004</v>
      </c>
      <c r="Q252">
        <v>0</v>
      </c>
      <c r="S252" t="s">
        <v>204</v>
      </c>
      <c r="T252" t="s">
        <v>141</v>
      </c>
      <c r="U252">
        <v>97.37</v>
      </c>
      <c r="V252">
        <v>58.27</v>
      </c>
      <c r="W252">
        <v>4456.1527509999996</v>
      </c>
      <c r="X252">
        <v>4456.1527509999996</v>
      </c>
      <c r="Y252">
        <v>0.33</v>
      </c>
      <c r="Z252">
        <v>0.36</v>
      </c>
      <c r="AA252">
        <v>0.33</v>
      </c>
      <c r="AB252">
        <v>87.510923520000006</v>
      </c>
    </row>
    <row r="253" spans="1:29" x14ac:dyDescent="0.25">
      <c r="A253">
        <v>252</v>
      </c>
      <c r="B253" t="s">
        <v>621</v>
      </c>
      <c r="D253" t="s">
        <v>377</v>
      </c>
      <c r="E253">
        <v>3</v>
      </c>
      <c r="F253" t="s">
        <v>331</v>
      </c>
      <c r="H253" t="s">
        <v>201</v>
      </c>
      <c r="I253">
        <v>7.1</v>
      </c>
      <c r="K253">
        <v>5.8999999999999997E-2</v>
      </c>
      <c r="L253">
        <v>16</v>
      </c>
      <c r="M253">
        <v>6.3347074269999997</v>
      </c>
      <c r="Q253">
        <v>0</v>
      </c>
      <c r="S253" t="s">
        <v>210</v>
      </c>
      <c r="T253">
        <v>5</v>
      </c>
      <c r="U253">
        <v>53.75</v>
      </c>
      <c r="V253">
        <v>16.579999999999998</v>
      </c>
      <c r="W253">
        <v>699.92720829999996</v>
      </c>
      <c r="X253">
        <v>3499.6360410000002</v>
      </c>
      <c r="Y253">
        <v>0.13</v>
      </c>
      <c r="Z253">
        <v>0.14000000000000001</v>
      </c>
      <c r="AA253">
        <v>0.13</v>
      </c>
      <c r="AB253">
        <v>107.36792250000001</v>
      </c>
    </row>
    <row r="254" spans="1:29" x14ac:dyDescent="0.25">
      <c r="A254">
        <v>253</v>
      </c>
      <c r="B254" t="s">
        <v>622</v>
      </c>
      <c r="D254" t="s">
        <v>345</v>
      </c>
      <c r="E254">
        <v>5</v>
      </c>
      <c r="F254" t="s">
        <v>60</v>
      </c>
      <c r="H254" t="s">
        <v>201</v>
      </c>
      <c r="I254">
        <v>9.6999999999999993</v>
      </c>
      <c r="K254">
        <v>0.11</v>
      </c>
      <c r="L254">
        <v>11</v>
      </c>
      <c r="M254">
        <v>8.1287924510000007</v>
      </c>
      <c r="Q254">
        <v>0</v>
      </c>
      <c r="S254" t="s">
        <v>204</v>
      </c>
      <c r="T254" t="s">
        <v>141</v>
      </c>
      <c r="U254">
        <v>154.5</v>
      </c>
      <c r="V254">
        <v>102.38</v>
      </c>
      <c r="W254">
        <v>12423.20038</v>
      </c>
      <c r="X254">
        <v>12423.20038</v>
      </c>
      <c r="Y254">
        <v>0.44</v>
      </c>
      <c r="Z254">
        <v>0.41</v>
      </c>
      <c r="AA254">
        <v>0.45</v>
      </c>
      <c r="AB254">
        <v>73.898113190000004</v>
      </c>
    </row>
    <row r="255" spans="1:29" x14ac:dyDescent="0.25">
      <c r="A255">
        <v>254</v>
      </c>
      <c r="B255" t="s">
        <v>623</v>
      </c>
      <c r="D255" t="s">
        <v>382</v>
      </c>
      <c r="E255">
        <v>5</v>
      </c>
      <c r="F255" t="s">
        <v>213</v>
      </c>
      <c r="H255" t="s">
        <v>201</v>
      </c>
      <c r="I255">
        <v>7.1</v>
      </c>
      <c r="K255">
        <v>4.9000000000000002E-2</v>
      </c>
      <c r="L255">
        <v>10</v>
      </c>
      <c r="M255">
        <v>3.959192142</v>
      </c>
      <c r="Q255">
        <v>0</v>
      </c>
      <c r="S255" t="s">
        <v>204</v>
      </c>
      <c r="T255" t="s">
        <v>141</v>
      </c>
      <c r="U255">
        <v>73.27</v>
      </c>
      <c r="V255">
        <v>25.11</v>
      </c>
      <c r="W255">
        <v>1444.9831589999999</v>
      </c>
      <c r="X255">
        <v>1444.9831589999999</v>
      </c>
      <c r="Y255">
        <v>0.22</v>
      </c>
      <c r="Z255">
        <v>0.27</v>
      </c>
      <c r="AA255">
        <v>0.26</v>
      </c>
      <c r="AB255">
        <v>80.799839629999994</v>
      </c>
    </row>
    <row r="256" spans="1:29" x14ac:dyDescent="0.25">
      <c r="A256">
        <v>255</v>
      </c>
      <c r="B256" t="s">
        <v>624</v>
      </c>
      <c r="D256" t="s">
        <v>625</v>
      </c>
      <c r="E256">
        <v>2</v>
      </c>
      <c r="F256" t="s">
        <v>617</v>
      </c>
      <c r="H256" t="s">
        <v>201</v>
      </c>
      <c r="I256">
        <v>7.1</v>
      </c>
      <c r="K256">
        <v>3.9E-2</v>
      </c>
      <c r="L256">
        <v>9</v>
      </c>
      <c r="M256">
        <v>3.563272928</v>
      </c>
      <c r="Q256">
        <v>0</v>
      </c>
      <c r="S256" t="s">
        <v>204</v>
      </c>
      <c r="T256" t="s">
        <v>141</v>
      </c>
      <c r="U256">
        <v>100.34</v>
      </c>
      <c r="V256">
        <v>39.79</v>
      </c>
      <c r="W256">
        <v>3135.7246300000002</v>
      </c>
      <c r="X256">
        <v>3135.7246300000002</v>
      </c>
      <c r="Y256">
        <v>0.36</v>
      </c>
      <c r="Z256">
        <v>0.3</v>
      </c>
      <c r="AA256">
        <v>0.28000000000000003</v>
      </c>
      <c r="AB256">
        <v>91.365972499999998</v>
      </c>
      <c r="AC256" t="s">
        <v>1112</v>
      </c>
    </row>
    <row r="257" spans="1:29" x14ac:dyDescent="0.25">
      <c r="A257">
        <v>256</v>
      </c>
      <c r="B257" t="s">
        <v>626</v>
      </c>
      <c r="D257" t="s">
        <v>398</v>
      </c>
      <c r="E257">
        <v>3</v>
      </c>
      <c r="F257" t="s">
        <v>299</v>
      </c>
      <c r="H257" t="s">
        <v>201</v>
      </c>
      <c r="I257">
        <v>7.1</v>
      </c>
      <c r="K257">
        <v>4.4999999999999998E-2</v>
      </c>
      <c r="L257">
        <v>10</v>
      </c>
      <c r="M257">
        <v>3.959192142</v>
      </c>
      <c r="Q257">
        <v>0</v>
      </c>
      <c r="S257" t="s">
        <v>210</v>
      </c>
      <c r="T257">
        <v>7</v>
      </c>
      <c r="U257">
        <v>54.48</v>
      </c>
      <c r="V257">
        <v>24.45</v>
      </c>
      <c r="W257">
        <v>1046.1786279999999</v>
      </c>
      <c r="X257">
        <v>7323.2503960000004</v>
      </c>
      <c r="Y257">
        <v>0.15</v>
      </c>
      <c r="Z257">
        <v>0.15</v>
      </c>
      <c r="AA257">
        <v>0.16</v>
      </c>
      <c r="AB257">
        <v>87.982047589999993</v>
      </c>
    </row>
    <row r="258" spans="1:29" x14ac:dyDescent="0.25">
      <c r="A258">
        <v>257</v>
      </c>
      <c r="B258" t="s">
        <v>627</v>
      </c>
      <c r="D258" t="s">
        <v>394</v>
      </c>
      <c r="E258">
        <v>2</v>
      </c>
      <c r="F258" t="s">
        <v>264</v>
      </c>
      <c r="H258" t="s">
        <v>201</v>
      </c>
      <c r="I258">
        <v>7.1</v>
      </c>
      <c r="K258">
        <v>5.2999999999999999E-2</v>
      </c>
      <c r="L258">
        <v>10</v>
      </c>
      <c r="M258">
        <v>3.959192142</v>
      </c>
      <c r="Q258">
        <v>0</v>
      </c>
      <c r="S258" t="s">
        <v>210</v>
      </c>
      <c r="T258">
        <v>5</v>
      </c>
      <c r="U258">
        <v>100.43</v>
      </c>
      <c r="V258">
        <v>32.56</v>
      </c>
      <c r="W258">
        <v>2568.2526229999999</v>
      </c>
      <c r="X258">
        <v>12841.26311</v>
      </c>
      <c r="Y258">
        <v>0.39</v>
      </c>
      <c r="Z258">
        <v>0.36</v>
      </c>
      <c r="AA258">
        <v>0.37</v>
      </c>
      <c r="AB258">
        <v>74.701738520000006</v>
      </c>
    </row>
    <row r="259" spans="1:29" x14ac:dyDescent="0.25">
      <c r="A259">
        <v>258</v>
      </c>
      <c r="B259" t="s">
        <v>628</v>
      </c>
      <c r="D259" t="s">
        <v>341</v>
      </c>
      <c r="E259">
        <v>4</v>
      </c>
      <c r="F259" t="s">
        <v>372</v>
      </c>
      <c r="H259" t="s">
        <v>201</v>
      </c>
      <c r="I259">
        <v>9.6999999999999993</v>
      </c>
      <c r="K259">
        <v>6.8000000000000005E-2</v>
      </c>
      <c r="L259">
        <v>7</v>
      </c>
      <c r="M259">
        <v>5.1728679240000002</v>
      </c>
      <c r="Q259">
        <v>0</v>
      </c>
      <c r="S259" t="s">
        <v>204</v>
      </c>
      <c r="T259" t="s">
        <v>141</v>
      </c>
      <c r="U259">
        <v>100.4</v>
      </c>
      <c r="V259">
        <v>37.58</v>
      </c>
      <c r="W259">
        <v>2963.3324029999999</v>
      </c>
      <c r="X259">
        <v>2963.3324029999999</v>
      </c>
      <c r="Y259">
        <v>0.41</v>
      </c>
      <c r="Z259">
        <v>0.4</v>
      </c>
      <c r="AA259">
        <v>0.39</v>
      </c>
      <c r="AB259">
        <v>76.071587109999996</v>
      </c>
    </row>
    <row r="260" spans="1:29" x14ac:dyDescent="0.25">
      <c r="A260">
        <v>259</v>
      </c>
      <c r="B260" t="s">
        <v>629</v>
      </c>
      <c r="D260" t="s">
        <v>341</v>
      </c>
      <c r="E260">
        <v>3</v>
      </c>
      <c r="F260" t="s">
        <v>372</v>
      </c>
      <c r="H260" t="s">
        <v>201</v>
      </c>
      <c r="I260">
        <v>9.6999999999999993</v>
      </c>
      <c r="K260">
        <v>0.104</v>
      </c>
      <c r="L260">
        <v>10</v>
      </c>
      <c r="M260">
        <v>7.3898113189999997</v>
      </c>
      <c r="Q260">
        <v>0</v>
      </c>
      <c r="S260" t="s">
        <v>204</v>
      </c>
      <c r="T260" t="s">
        <v>141</v>
      </c>
      <c r="U260">
        <v>114.35</v>
      </c>
      <c r="V260">
        <v>59.73</v>
      </c>
      <c r="W260">
        <v>5364.368023</v>
      </c>
      <c r="X260">
        <v>5364.368023</v>
      </c>
      <c r="Y260">
        <v>0.37</v>
      </c>
      <c r="Z260">
        <v>0.37</v>
      </c>
      <c r="AA260">
        <v>0.39</v>
      </c>
      <c r="AB260">
        <v>71.055878070000006</v>
      </c>
    </row>
    <row r="261" spans="1:29" x14ac:dyDescent="0.25">
      <c r="A261">
        <v>260</v>
      </c>
      <c r="B261" t="s">
        <v>630</v>
      </c>
      <c r="D261" t="s">
        <v>587</v>
      </c>
      <c r="E261">
        <v>1</v>
      </c>
      <c r="F261" t="s">
        <v>588</v>
      </c>
      <c r="H261" t="s">
        <v>201</v>
      </c>
      <c r="I261">
        <v>7.1</v>
      </c>
      <c r="K261">
        <v>0.05</v>
      </c>
      <c r="L261">
        <v>10</v>
      </c>
      <c r="M261">
        <v>3.959192142</v>
      </c>
      <c r="Q261">
        <v>0</v>
      </c>
      <c r="S261" t="s">
        <v>204</v>
      </c>
      <c r="T261" t="s">
        <v>141</v>
      </c>
      <c r="U261">
        <v>40.270000000000003</v>
      </c>
      <c r="V261">
        <v>16.149999999999999</v>
      </c>
      <c r="W261">
        <v>510.79194219999999</v>
      </c>
      <c r="X261">
        <v>510.79194219999999</v>
      </c>
      <c r="Y261">
        <v>0.23</v>
      </c>
      <c r="Z261">
        <v>0.28000000000000003</v>
      </c>
      <c r="AA261">
        <v>0.28000000000000003</v>
      </c>
      <c r="AB261">
        <v>79.183842830000003</v>
      </c>
    </row>
    <row r="262" spans="1:29" x14ac:dyDescent="0.25">
      <c r="A262">
        <v>261</v>
      </c>
      <c r="B262" t="s">
        <v>631</v>
      </c>
      <c r="D262" t="s">
        <v>390</v>
      </c>
      <c r="E262">
        <v>5</v>
      </c>
      <c r="F262" t="s">
        <v>241</v>
      </c>
      <c r="H262" t="s">
        <v>201</v>
      </c>
      <c r="I262">
        <v>7.1</v>
      </c>
      <c r="K262">
        <v>6.6000000000000003E-2</v>
      </c>
      <c r="L262">
        <v>11</v>
      </c>
      <c r="M262">
        <v>4.3551113560000001</v>
      </c>
      <c r="Q262">
        <v>0</v>
      </c>
      <c r="S262" t="s">
        <v>210</v>
      </c>
      <c r="T262">
        <v>7</v>
      </c>
      <c r="U262">
        <v>84.45</v>
      </c>
      <c r="V262">
        <v>19.649999999999999</v>
      </c>
      <c r="W262">
        <v>1303.3230920000001</v>
      </c>
      <c r="X262">
        <v>9123.2616419999995</v>
      </c>
      <c r="Y262">
        <v>0.42</v>
      </c>
      <c r="Z262">
        <v>0.38</v>
      </c>
      <c r="AA262">
        <v>0.37</v>
      </c>
      <c r="AB262">
        <v>65.986535689999997</v>
      </c>
    </row>
    <row r="263" spans="1:29" x14ac:dyDescent="0.25">
      <c r="A263">
        <v>262</v>
      </c>
      <c r="B263" t="s">
        <v>632</v>
      </c>
      <c r="D263" t="s">
        <v>434</v>
      </c>
      <c r="E263">
        <v>6</v>
      </c>
      <c r="F263" t="s">
        <v>481</v>
      </c>
      <c r="H263" t="s">
        <v>201</v>
      </c>
      <c r="I263">
        <v>9.6999999999999993</v>
      </c>
      <c r="K263">
        <v>8.6999999999999994E-2</v>
      </c>
      <c r="L263">
        <v>10</v>
      </c>
      <c r="M263">
        <v>7.3898113189999997</v>
      </c>
      <c r="Q263">
        <v>0</v>
      </c>
      <c r="S263" t="s">
        <v>204</v>
      </c>
      <c r="T263" t="s">
        <v>141</v>
      </c>
      <c r="U263">
        <v>90.24</v>
      </c>
      <c r="V263">
        <v>61.62</v>
      </c>
      <c r="W263">
        <v>4367.2762309999998</v>
      </c>
      <c r="X263">
        <v>4367.2762309999998</v>
      </c>
      <c r="Y263">
        <v>0.39</v>
      </c>
      <c r="Z263">
        <v>0.41</v>
      </c>
      <c r="AA263">
        <v>0.42</v>
      </c>
      <c r="AB263">
        <v>84.940359990000005</v>
      </c>
    </row>
    <row r="264" spans="1:29" x14ac:dyDescent="0.25">
      <c r="A264">
        <v>263</v>
      </c>
      <c r="B264" t="s">
        <v>633</v>
      </c>
      <c r="D264" t="s">
        <v>516</v>
      </c>
      <c r="E264">
        <v>2</v>
      </c>
      <c r="F264" t="s">
        <v>517</v>
      </c>
      <c r="H264" t="s">
        <v>201</v>
      </c>
      <c r="I264">
        <v>7.1</v>
      </c>
      <c r="K264">
        <v>2.9000000000000001E-2</v>
      </c>
      <c r="L264">
        <v>10</v>
      </c>
      <c r="M264">
        <v>3.959192142</v>
      </c>
      <c r="Q264">
        <v>0</v>
      </c>
      <c r="S264" t="s">
        <v>204</v>
      </c>
      <c r="T264" t="s">
        <v>141</v>
      </c>
      <c r="U264">
        <v>57.49</v>
      </c>
      <c r="V264">
        <v>24.37</v>
      </c>
      <c r="W264">
        <v>1100.3674100000001</v>
      </c>
      <c r="X264">
        <v>1100.3674100000001</v>
      </c>
      <c r="Y264">
        <v>0.21</v>
      </c>
      <c r="Z264">
        <v>0.21</v>
      </c>
      <c r="AA264">
        <v>0.21</v>
      </c>
      <c r="AB264">
        <v>136.523867</v>
      </c>
    </row>
    <row r="265" spans="1:29" x14ac:dyDescent="0.25">
      <c r="A265">
        <v>264</v>
      </c>
      <c r="B265" t="s">
        <v>634</v>
      </c>
      <c r="D265" t="s">
        <v>382</v>
      </c>
      <c r="E265">
        <v>4</v>
      </c>
      <c r="F265" t="s">
        <v>213</v>
      </c>
      <c r="H265" t="s">
        <v>201</v>
      </c>
      <c r="I265">
        <v>9.6999999999999993</v>
      </c>
      <c r="K265">
        <v>0.11</v>
      </c>
      <c r="L265">
        <v>12</v>
      </c>
      <c r="M265">
        <v>8.867773583</v>
      </c>
      <c r="Q265">
        <v>0</v>
      </c>
      <c r="S265" t="s">
        <v>204</v>
      </c>
      <c r="T265" t="s">
        <v>141</v>
      </c>
      <c r="U265">
        <v>74.680000000000007</v>
      </c>
      <c r="V265">
        <v>33.26</v>
      </c>
      <c r="W265">
        <v>1950.8165690000001</v>
      </c>
      <c r="X265">
        <v>1950.8165690000001</v>
      </c>
      <c r="Y265">
        <v>0.44</v>
      </c>
      <c r="Z265">
        <v>0.4</v>
      </c>
      <c r="AA265">
        <v>0.33</v>
      </c>
      <c r="AB265">
        <v>80.616123479999999</v>
      </c>
    </row>
    <row r="266" spans="1:29" x14ac:dyDescent="0.25">
      <c r="A266">
        <v>265</v>
      </c>
      <c r="B266" t="s">
        <v>635</v>
      </c>
      <c r="D266" t="s">
        <v>347</v>
      </c>
      <c r="E266">
        <v>5</v>
      </c>
      <c r="F266" t="s">
        <v>19</v>
      </c>
      <c r="H266" t="s">
        <v>201</v>
      </c>
      <c r="I266">
        <v>7.1</v>
      </c>
      <c r="K266">
        <v>5.7000000000000002E-2</v>
      </c>
      <c r="L266">
        <v>14</v>
      </c>
      <c r="M266">
        <v>5.5428689980000003</v>
      </c>
      <c r="Q266">
        <v>0</v>
      </c>
      <c r="S266" t="s">
        <v>210</v>
      </c>
      <c r="T266">
        <v>190</v>
      </c>
      <c r="U266">
        <v>11.08</v>
      </c>
      <c r="V266">
        <v>8.3699999999999992</v>
      </c>
      <c r="W266">
        <v>72.837511509999999</v>
      </c>
      <c r="X266">
        <v>13839.127189999999</v>
      </c>
      <c r="Y266">
        <v>0.18</v>
      </c>
      <c r="Z266">
        <v>0.19</v>
      </c>
      <c r="AA266">
        <v>0.2</v>
      </c>
      <c r="AB266">
        <v>97.243315760000002</v>
      </c>
    </row>
    <row r="267" spans="1:29" x14ac:dyDescent="0.25">
      <c r="A267">
        <v>266</v>
      </c>
      <c r="B267" t="s">
        <v>737</v>
      </c>
      <c r="D267" t="s">
        <v>625</v>
      </c>
      <c r="E267">
        <v>3</v>
      </c>
      <c r="F267" t="s">
        <v>617</v>
      </c>
      <c r="G267" s="2">
        <v>43286</v>
      </c>
      <c r="H267" t="s">
        <v>201</v>
      </c>
      <c r="I267">
        <v>7.1</v>
      </c>
      <c r="K267">
        <v>3.4000000000000002E-2</v>
      </c>
      <c r="L267">
        <v>10</v>
      </c>
      <c r="M267">
        <v>3.959192142</v>
      </c>
      <c r="Q267">
        <v>0</v>
      </c>
      <c r="S267" t="s">
        <v>204</v>
      </c>
      <c r="T267" t="s">
        <v>141</v>
      </c>
      <c r="U267">
        <v>103.21</v>
      </c>
      <c r="V267">
        <v>42.4</v>
      </c>
      <c r="W267">
        <v>3436.9840439999998</v>
      </c>
      <c r="X267">
        <v>3436.9840439999998</v>
      </c>
      <c r="Y267">
        <v>0.27</v>
      </c>
      <c r="Z267">
        <v>0.26</v>
      </c>
      <c r="AA267">
        <v>0.26</v>
      </c>
      <c r="AB267">
        <v>116.4468277</v>
      </c>
    </row>
    <row r="268" spans="1:29" x14ac:dyDescent="0.25">
      <c r="A268">
        <v>267</v>
      </c>
      <c r="B268" t="s">
        <v>738</v>
      </c>
      <c r="D268" t="s">
        <v>605</v>
      </c>
      <c r="E268">
        <v>3</v>
      </c>
      <c r="F268" t="s">
        <v>739</v>
      </c>
      <c r="G268" s="2">
        <v>43286</v>
      </c>
      <c r="H268" t="s">
        <v>201</v>
      </c>
      <c r="I268">
        <v>7.1</v>
      </c>
      <c r="K268">
        <v>0.05</v>
      </c>
      <c r="L268">
        <v>10</v>
      </c>
      <c r="M268">
        <v>3.959192142</v>
      </c>
      <c r="Q268">
        <v>0</v>
      </c>
      <c r="S268" t="s">
        <v>210</v>
      </c>
      <c r="T268">
        <v>5</v>
      </c>
      <c r="U268">
        <v>74.569999999999993</v>
      </c>
      <c r="V268">
        <v>29.82</v>
      </c>
      <c r="W268">
        <v>1746.4721460000001</v>
      </c>
      <c r="X268">
        <v>8732.3607300000003</v>
      </c>
      <c r="Y268">
        <v>0.42</v>
      </c>
      <c r="Z268">
        <v>0.44</v>
      </c>
      <c r="AA268">
        <v>0.41</v>
      </c>
      <c r="AB268">
        <v>79.183842830000003</v>
      </c>
    </row>
    <row r="269" spans="1:29" x14ac:dyDescent="0.25">
      <c r="A269">
        <v>268</v>
      </c>
      <c r="B269" t="s">
        <v>740</v>
      </c>
      <c r="D269" t="s">
        <v>463</v>
      </c>
      <c r="E269">
        <v>3</v>
      </c>
      <c r="F269" t="s">
        <v>464</v>
      </c>
      <c r="G269" s="2">
        <v>43286</v>
      </c>
      <c r="H269" t="s">
        <v>201</v>
      </c>
      <c r="I269">
        <v>9.6999999999999993</v>
      </c>
      <c r="K269">
        <v>9.7000000000000003E-2</v>
      </c>
      <c r="L269">
        <v>10</v>
      </c>
      <c r="M269">
        <v>7.3898113189999997</v>
      </c>
      <c r="Q269">
        <v>0</v>
      </c>
      <c r="S269" t="s">
        <v>204</v>
      </c>
      <c r="T269" t="s">
        <v>141</v>
      </c>
      <c r="U269">
        <v>91.48</v>
      </c>
      <c r="V269">
        <v>50.53</v>
      </c>
      <c r="W269">
        <v>3630.4907579999999</v>
      </c>
      <c r="X269">
        <v>3630.4907579999999</v>
      </c>
      <c r="Y269">
        <v>0.33</v>
      </c>
      <c r="Z269">
        <v>0.28000000000000003</v>
      </c>
      <c r="AA269">
        <v>0.28999999999999998</v>
      </c>
      <c r="AB269">
        <v>76.183621849999994</v>
      </c>
    </row>
    <row r="270" spans="1:29" x14ac:dyDescent="0.25">
      <c r="A270">
        <v>269</v>
      </c>
      <c r="B270" t="s">
        <v>1229</v>
      </c>
      <c r="C270" t="s">
        <v>743</v>
      </c>
      <c r="D270" t="s">
        <v>391</v>
      </c>
      <c r="E270">
        <v>5</v>
      </c>
      <c r="F270" t="s">
        <v>255</v>
      </c>
      <c r="G270" s="2">
        <v>43286</v>
      </c>
      <c r="H270" t="s">
        <v>201</v>
      </c>
      <c r="I270">
        <v>7.1</v>
      </c>
      <c r="K270">
        <v>0.04</v>
      </c>
      <c r="L270">
        <v>10</v>
      </c>
      <c r="M270">
        <v>3.959192142</v>
      </c>
      <c r="Q270">
        <v>0</v>
      </c>
      <c r="S270" t="s">
        <v>204</v>
      </c>
      <c r="T270" t="s">
        <v>141</v>
      </c>
      <c r="U270">
        <v>76.099999999999994</v>
      </c>
      <c r="V270">
        <v>18.7</v>
      </c>
      <c r="W270">
        <v>1117.6765640000001</v>
      </c>
      <c r="X270">
        <v>1117.6765640000001</v>
      </c>
      <c r="Y270">
        <v>0.22</v>
      </c>
      <c r="Z270">
        <v>0.24</v>
      </c>
      <c r="AA270">
        <v>0.23</v>
      </c>
      <c r="AB270">
        <v>98.979803540000006</v>
      </c>
      <c r="AC270" t="s">
        <v>1026</v>
      </c>
    </row>
    <row r="271" spans="1:29" x14ac:dyDescent="0.25">
      <c r="A271">
        <v>270</v>
      </c>
      <c r="B271" t="s">
        <v>744</v>
      </c>
      <c r="D271" t="s">
        <v>368</v>
      </c>
      <c r="E271">
        <v>4</v>
      </c>
      <c r="F271" t="s">
        <v>379</v>
      </c>
      <c r="G271" s="2">
        <v>43286</v>
      </c>
      <c r="H271" t="s">
        <v>201</v>
      </c>
      <c r="I271">
        <v>7.1</v>
      </c>
      <c r="K271">
        <v>3.5999999999999997E-2</v>
      </c>
      <c r="L271">
        <v>10</v>
      </c>
      <c r="M271">
        <v>3.959192142</v>
      </c>
      <c r="Q271">
        <v>0</v>
      </c>
      <c r="S271" t="s">
        <v>204</v>
      </c>
      <c r="T271" t="s">
        <v>141</v>
      </c>
      <c r="U271">
        <v>59.68</v>
      </c>
      <c r="V271">
        <v>22.19</v>
      </c>
      <c r="W271">
        <v>1040.102159</v>
      </c>
      <c r="X271">
        <v>1040.102159</v>
      </c>
      <c r="Y271">
        <v>0.22</v>
      </c>
      <c r="Z271">
        <v>0.19</v>
      </c>
      <c r="AA271">
        <v>0.17</v>
      </c>
      <c r="AB271">
        <v>109.9775595</v>
      </c>
    </row>
    <row r="272" spans="1:29" x14ac:dyDescent="0.25">
      <c r="A272">
        <v>271</v>
      </c>
      <c r="B272" t="s">
        <v>745</v>
      </c>
      <c r="D272" t="s">
        <v>746</v>
      </c>
      <c r="E272">
        <v>1</v>
      </c>
      <c r="F272" t="s">
        <v>1075</v>
      </c>
      <c r="G272" s="2">
        <v>43286</v>
      </c>
      <c r="H272" t="s">
        <v>201</v>
      </c>
      <c r="I272">
        <v>7.1</v>
      </c>
      <c r="K272">
        <v>5.5E-2</v>
      </c>
      <c r="L272">
        <v>10</v>
      </c>
      <c r="M272">
        <v>3.959192142</v>
      </c>
      <c r="Q272">
        <v>0</v>
      </c>
      <c r="S272" t="s">
        <v>204</v>
      </c>
      <c r="T272" t="s">
        <v>141</v>
      </c>
      <c r="U272">
        <v>48.65</v>
      </c>
      <c r="V272">
        <v>23.94</v>
      </c>
      <c r="W272">
        <v>914.73831829999995</v>
      </c>
      <c r="X272">
        <v>914.73831829999995</v>
      </c>
      <c r="Y272">
        <v>0.2</v>
      </c>
      <c r="Z272">
        <v>0.26</v>
      </c>
      <c r="AA272">
        <v>0.28000000000000003</v>
      </c>
      <c r="AB272">
        <v>71.985311670000002</v>
      </c>
    </row>
    <row r="273" spans="1:28" x14ac:dyDescent="0.25">
      <c r="A273">
        <v>272</v>
      </c>
      <c r="B273" t="s">
        <v>747</v>
      </c>
      <c r="D273" t="s">
        <v>357</v>
      </c>
      <c r="E273">
        <v>4</v>
      </c>
      <c r="F273" t="s">
        <v>337</v>
      </c>
      <c r="G273" s="2">
        <v>43286</v>
      </c>
      <c r="H273" t="s">
        <v>201</v>
      </c>
      <c r="I273">
        <v>7.1</v>
      </c>
      <c r="K273">
        <v>7.3999999999999996E-2</v>
      </c>
      <c r="L273">
        <v>10</v>
      </c>
      <c r="M273">
        <v>3.959192142</v>
      </c>
      <c r="Q273">
        <v>0</v>
      </c>
      <c r="S273" t="s">
        <v>204</v>
      </c>
      <c r="T273" t="s">
        <v>141</v>
      </c>
      <c r="U273">
        <v>124.91</v>
      </c>
      <c r="V273">
        <v>55.17</v>
      </c>
      <c r="W273">
        <v>5412.4023470000002</v>
      </c>
      <c r="X273">
        <v>5412.4023470000002</v>
      </c>
      <c r="Y273">
        <v>0.41</v>
      </c>
      <c r="Z273">
        <v>0.32</v>
      </c>
      <c r="AA273">
        <v>0.4</v>
      </c>
      <c r="AB273">
        <v>53.502596509999996</v>
      </c>
    </row>
    <row r="274" spans="1:28" x14ac:dyDescent="0.25">
      <c r="A274">
        <v>273</v>
      </c>
      <c r="B274" t="s">
        <v>748</v>
      </c>
      <c r="D274" t="s">
        <v>350</v>
      </c>
      <c r="E274">
        <v>4</v>
      </c>
      <c r="F274" t="s">
        <v>400</v>
      </c>
      <c r="G274" s="2">
        <v>43286</v>
      </c>
      <c r="H274" t="s">
        <v>201</v>
      </c>
      <c r="I274">
        <v>9.6999999999999993</v>
      </c>
      <c r="K274">
        <v>0.13300000000000001</v>
      </c>
      <c r="L274">
        <v>9</v>
      </c>
      <c r="M274">
        <v>6.6508301870000004</v>
      </c>
      <c r="Q274">
        <v>0</v>
      </c>
      <c r="S274" t="s">
        <v>204</v>
      </c>
      <c r="T274" t="s">
        <v>141</v>
      </c>
      <c r="U274">
        <v>108.65</v>
      </c>
      <c r="V274">
        <v>34.18</v>
      </c>
      <c r="W274">
        <v>2916.6993870000001</v>
      </c>
      <c r="X274">
        <v>2916.6993870000001</v>
      </c>
      <c r="Y274">
        <v>0.33</v>
      </c>
      <c r="Z274">
        <v>0.35</v>
      </c>
      <c r="AA274">
        <v>0.34</v>
      </c>
      <c r="AB274">
        <v>50.006242010000001</v>
      </c>
    </row>
    <row r="275" spans="1:28" x14ac:dyDescent="0.25">
      <c r="A275">
        <v>274</v>
      </c>
      <c r="B275" t="s">
        <v>749</v>
      </c>
      <c r="D275" t="s">
        <v>544</v>
      </c>
      <c r="E275">
        <v>3</v>
      </c>
      <c r="F275" t="s">
        <v>545</v>
      </c>
      <c r="G275" s="2">
        <v>43286</v>
      </c>
      <c r="H275" t="s">
        <v>201</v>
      </c>
      <c r="I275">
        <v>9.6999999999999993</v>
      </c>
      <c r="K275">
        <v>6.3E-2</v>
      </c>
      <c r="L275">
        <v>10</v>
      </c>
      <c r="M275">
        <v>7.3898113189999997</v>
      </c>
      <c r="Q275">
        <v>0</v>
      </c>
      <c r="S275" t="s">
        <v>204</v>
      </c>
      <c r="T275" t="s">
        <v>141</v>
      </c>
      <c r="U275">
        <v>147.56</v>
      </c>
      <c r="V275">
        <v>91.37</v>
      </c>
      <c r="W275">
        <v>10589.175660000001</v>
      </c>
      <c r="X275">
        <v>10589.175660000001</v>
      </c>
      <c r="Y275">
        <v>0.43</v>
      </c>
      <c r="Z275">
        <v>0.34</v>
      </c>
      <c r="AA275">
        <v>0.42</v>
      </c>
      <c r="AB275">
        <v>117.2985924</v>
      </c>
    </row>
    <row r="276" spans="1:28" x14ac:dyDescent="0.25">
      <c r="A276">
        <v>275</v>
      </c>
      <c r="B276" t="s">
        <v>750</v>
      </c>
      <c r="D276" t="s">
        <v>508</v>
      </c>
      <c r="E276">
        <v>5</v>
      </c>
      <c r="F276" t="s">
        <v>509</v>
      </c>
      <c r="G276" s="2">
        <v>43286</v>
      </c>
      <c r="H276" t="s">
        <v>201</v>
      </c>
      <c r="I276">
        <v>9.6999999999999993</v>
      </c>
      <c r="K276">
        <v>0.11600000000000001</v>
      </c>
      <c r="L276">
        <v>9</v>
      </c>
      <c r="M276">
        <v>6.6508301870000004</v>
      </c>
      <c r="Q276">
        <v>0</v>
      </c>
      <c r="S276" t="s">
        <v>204</v>
      </c>
      <c r="T276" t="s">
        <v>141</v>
      </c>
      <c r="U276">
        <v>147.09</v>
      </c>
      <c r="V276">
        <v>66.33</v>
      </c>
      <c r="W276">
        <v>7662.7212380000001</v>
      </c>
      <c r="X276">
        <v>7662.7212380000001</v>
      </c>
      <c r="Y276">
        <v>0.43</v>
      </c>
      <c r="Z276">
        <v>0.28999999999999998</v>
      </c>
      <c r="AA276">
        <v>0.31</v>
      </c>
      <c r="AB276">
        <v>57.334743000000003</v>
      </c>
    </row>
    <row r="277" spans="1:28" x14ac:dyDescent="0.25">
      <c r="A277">
        <v>276</v>
      </c>
      <c r="B277" t="s">
        <v>751</v>
      </c>
      <c r="D277" t="s">
        <v>605</v>
      </c>
      <c r="E277">
        <v>2</v>
      </c>
      <c r="F277" t="s">
        <v>739</v>
      </c>
      <c r="G277" s="2">
        <v>43286</v>
      </c>
      <c r="H277" t="s">
        <v>201</v>
      </c>
      <c r="I277">
        <v>9.6999999999999993</v>
      </c>
      <c r="K277">
        <v>0.109</v>
      </c>
      <c r="L277">
        <v>10</v>
      </c>
      <c r="M277">
        <v>7.3898113189999997</v>
      </c>
      <c r="Q277">
        <v>0</v>
      </c>
      <c r="S277" t="s">
        <v>210</v>
      </c>
      <c r="T277">
        <v>5</v>
      </c>
      <c r="U277">
        <v>87.23</v>
      </c>
      <c r="V277">
        <v>32.11</v>
      </c>
      <c r="W277">
        <v>2199.8651479999999</v>
      </c>
      <c r="X277">
        <v>10999.32574</v>
      </c>
      <c r="Y277">
        <v>0.36</v>
      </c>
      <c r="Z277">
        <v>0.39</v>
      </c>
      <c r="AA277">
        <v>0.43</v>
      </c>
      <c r="AB277">
        <v>67.796434120000001</v>
      </c>
    </row>
    <row r="278" spans="1:28" x14ac:dyDescent="0.25">
      <c r="A278">
        <v>277</v>
      </c>
      <c r="B278" t="s">
        <v>752</v>
      </c>
      <c r="D278" t="s">
        <v>356</v>
      </c>
      <c r="E278">
        <v>5</v>
      </c>
      <c r="F278" t="s">
        <v>370</v>
      </c>
      <c r="G278" s="2">
        <v>43286</v>
      </c>
      <c r="H278" t="s">
        <v>201</v>
      </c>
      <c r="I278">
        <v>9.6999999999999993</v>
      </c>
      <c r="K278">
        <v>8.4000000000000005E-2</v>
      </c>
      <c r="L278">
        <v>10</v>
      </c>
      <c r="M278">
        <v>7.3898113189999997</v>
      </c>
      <c r="Q278">
        <v>0</v>
      </c>
      <c r="S278" t="s">
        <v>204</v>
      </c>
      <c r="T278" t="s">
        <v>141</v>
      </c>
      <c r="U278">
        <v>158</v>
      </c>
      <c r="V278">
        <v>88.15</v>
      </c>
      <c r="W278">
        <v>10938.79</v>
      </c>
      <c r="X278">
        <v>10938.79</v>
      </c>
      <c r="Y278">
        <v>0.56999999999999995</v>
      </c>
      <c r="Z278">
        <v>0.66</v>
      </c>
      <c r="AA278">
        <v>0.67</v>
      </c>
      <c r="AB278">
        <v>87.973944279999998</v>
      </c>
    </row>
    <row r="279" spans="1:28" x14ac:dyDescent="0.25">
      <c r="A279">
        <v>278</v>
      </c>
      <c r="B279" t="s">
        <v>757</v>
      </c>
      <c r="D279" t="s">
        <v>625</v>
      </c>
      <c r="E279">
        <v>5</v>
      </c>
      <c r="F279" t="s">
        <v>617</v>
      </c>
      <c r="G279" s="2">
        <v>43288</v>
      </c>
      <c r="H279" t="s">
        <v>201</v>
      </c>
      <c r="I279">
        <v>7.1</v>
      </c>
      <c r="K279">
        <v>0.04</v>
      </c>
      <c r="L279">
        <v>10</v>
      </c>
      <c r="M279">
        <v>3.959192142</v>
      </c>
      <c r="Q279">
        <v>0</v>
      </c>
      <c r="S279" t="s">
        <v>204</v>
      </c>
      <c r="T279" t="s">
        <v>141</v>
      </c>
      <c r="U279">
        <v>116.13</v>
      </c>
      <c r="V279">
        <v>39.590000000000003</v>
      </c>
      <c r="W279">
        <v>3610.93615</v>
      </c>
      <c r="X279">
        <v>3610.93615</v>
      </c>
      <c r="Y279">
        <v>0.26</v>
      </c>
      <c r="Z279">
        <v>0.27</v>
      </c>
      <c r="AA279">
        <v>0.26</v>
      </c>
      <c r="AB279">
        <v>98.979803540000006</v>
      </c>
    </row>
    <row r="280" spans="1:28" x14ac:dyDescent="0.25">
      <c r="A280">
        <v>279</v>
      </c>
      <c r="B280" t="s">
        <v>758</v>
      </c>
      <c r="D280" t="s">
        <v>350</v>
      </c>
      <c r="E280">
        <v>5</v>
      </c>
      <c r="F280" t="s">
        <v>400</v>
      </c>
      <c r="G280" s="2">
        <v>43288</v>
      </c>
      <c r="H280" t="s">
        <v>201</v>
      </c>
      <c r="I280">
        <v>9.6999999999999993</v>
      </c>
      <c r="K280">
        <v>0.11899999999999999</v>
      </c>
      <c r="L280">
        <v>10</v>
      </c>
      <c r="M280">
        <v>7.3898113189999997</v>
      </c>
      <c r="Q280">
        <v>0</v>
      </c>
      <c r="S280" t="s">
        <v>204</v>
      </c>
      <c r="T280" t="s">
        <v>141</v>
      </c>
      <c r="U280">
        <v>123.51</v>
      </c>
      <c r="V280">
        <v>43.47</v>
      </c>
      <c r="W280">
        <v>4216.7867960000003</v>
      </c>
      <c r="X280">
        <v>4216.7867960000003</v>
      </c>
      <c r="Y280">
        <v>0.34</v>
      </c>
      <c r="Z280">
        <v>0.33</v>
      </c>
      <c r="AA280">
        <v>0.34</v>
      </c>
      <c r="AB280">
        <v>62.099254780000003</v>
      </c>
    </row>
    <row r="281" spans="1:28" x14ac:dyDescent="0.25">
      <c r="A281">
        <v>280</v>
      </c>
      <c r="B281" t="s">
        <v>759</v>
      </c>
      <c r="D281" t="s">
        <v>377</v>
      </c>
      <c r="E281">
        <v>5</v>
      </c>
      <c r="F281" t="s">
        <v>331</v>
      </c>
      <c r="G281" s="2">
        <v>43288</v>
      </c>
      <c r="H281" t="s">
        <v>201</v>
      </c>
      <c r="I281">
        <v>7.1</v>
      </c>
      <c r="K281">
        <v>4.3999999999999997E-2</v>
      </c>
      <c r="L281">
        <v>10</v>
      </c>
      <c r="M281">
        <v>3.959192142</v>
      </c>
      <c r="Q281">
        <v>0</v>
      </c>
      <c r="S281" t="s">
        <v>210</v>
      </c>
      <c r="T281">
        <v>7</v>
      </c>
      <c r="U281">
        <v>48.8</v>
      </c>
      <c r="V281">
        <v>19.04</v>
      </c>
      <c r="W281">
        <v>729.75427430000002</v>
      </c>
      <c r="X281">
        <v>5108.2799199999999</v>
      </c>
      <c r="Y281">
        <v>0.18</v>
      </c>
      <c r="Z281">
        <v>0.17</v>
      </c>
      <c r="AA281">
        <v>0.17</v>
      </c>
      <c r="AB281">
        <v>89.981639580000007</v>
      </c>
    </row>
    <row r="282" spans="1:28" x14ac:dyDescent="0.25">
      <c r="A282">
        <v>281</v>
      </c>
      <c r="B282" t="s">
        <v>760</v>
      </c>
      <c r="D282" t="s">
        <v>605</v>
      </c>
      <c r="E282">
        <v>5</v>
      </c>
      <c r="F282" t="s">
        <v>739</v>
      </c>
      <c r="G282" s="2">
        <v>43288</v>
      </c>
      <c r="H282" t="s">
        <v>201</v>
      </c>
      <c r="I282">
        <v>9.6999999999999993</v>
      </c>
      <c r="K282">
        <v>8.3000000000000004E-2</v>
      </c>
      <c r="L282">
        <v>10</v>
      </c>
      <c r="M282">
        <v>7.3898113189999997</v>
      </c>
      <c r="Q282">
        <v>0</v>
      </c>
      <c r="S282" t="s">
        <v>210</v>
      </c>
      <c r="T282">
        <v>5</v>
      </c>
      <c r="U282">
        <v>139.07</v>
      </c>
      <c r="V282">
        <v>57.38</v>
      </c>
      <c r="W282">
        <v>6267.3490099999999</v>
      </c>
      <c r="X282">
        <v>31336.745050000001</v>
      </c>
      <c r="Y282">
        <v>0.35</v>
      </c>
      <c r="Z282">
        <v>0.35</v>
      </c>
      <c r="AA282">
        <v>0.35</v>
      </c>
      <c r="AB282">
        <v>89.033871320000003</v>
      </c>
    </row>
    <row r="283" spans="1:28" x14ac:dyDescent="0.25">
      <c r="A283">
        <v>282</v>
      </c>
      <c r="B283" t="s">
        <v>761</v>
      </c>
      <c r="D283" t="s">
        <v>528</v>
      </c>
      <c r="E283">
        <v>3</v>
      </c>
      <c r="F283" t="s">
        <v>762</v>
      </c>
      <c r="G283" s="2">
        <v>43288</v>
      </c>
      <c r="H283" t="s">
        <v>201</v>
      </c>
      <c r="I283">
        <v>9.6999999999999993</v>
      </c>
      <c r="J283" t="s">
        <v>141</v>
      </c>
      <c r="K283">
        <v>0.14199999999999999</v>
      </c>
      <c r="L283">
        <v>10</v>
      </c>
      <c r="M283">
        <v>7.3898113189999997</v>
      </c>
      <c r="Q283">
        <v>0</v>
      </c>
      <c r="S283" t="s">
        <v>210</v>
      </c>
      <c r="T283">
        <v>6</v>
      </c>
      <c r="U283">
        <v>57.11</v>
      </c>
      <c r="V283">
        <v>37.14</v>
      </c>
      <c r="W283">
        <v>1665.88087</v>
      </c>
      <c r="X283">
        <v>9995.2852180000009</v>
      </c>
      <c r="Y283">
        <v>0.53</v>
      </c>
      <c r="Z283">
        <v>0.43</v>
      </c>
      <c r="AA283">
        <v>0.46</v>
      </c>
      <c r="AB283">
        <v>52.040924779999997</v>
      </c>
    </row>
    <row r="284" spans="1:28" x14ac:dyDescent="0.25">
      <c r="A284">
        <v>283</v>
      </c>
      <c r="B284" t="s">
        <v>763</v>
      </c>
      <c r="D284" t="s">
        <v>368</v>
      </c>
      <c r="E284">
        <v>5</v>
      </c>
      <c r="F284" t="s">
        <v>379</v>
      </c>
      <c r="G284" s="2">
        <v>43288</v>
      </c>
      <c r="H284" t="s">
        <v>201</v>
      </c>
      <c r="I284">
        <v>7.1</v>
      </c>
      <c r="J284" t="s">
        <v>141</v>
      </c>
      <c r="K284">
        <v>0.03</v>
      </c>
      <c r="L284">
        <v>10</v>
      </c>
      <c r="M284">
        <v>3.959192142</v>
      </c>
      <c r="Q284">
        <v>0</v>
      </c>
      <c r="S284" t="s">
        <v>204</v>
      </c>
      <c r="T284" t="s">
        <v>141</v>
      </c>
      <c r="U284">
        <v>56.95</v>
      </c>
      <c r="V284">
        <v>16.63</v>
      </c>
      <c r="W284">
        <v>743.83371450000004</v>
      </c>
      <c r="X284">
        <v>743.83371450000004</v>
      </c>
      <c r="Y284">
        <v>0.12</v>
      </c>
      <c r="Z284">
        <v>0.11</v>
      </c>
      <c r="AA284">
        <v>0.11</v>
      </c>
      <c r="AB284">
        <v>131.97307140000001</v>
      </c>
    </row>
    <row r="285" spans="1:28" x14ac:dyDescent="0.25">
      <c r="A285">
        <v>284</v>
      </c>
      <c r="B285" t="s">
        <v>764</v>
      </c>
      <c r="D285" t="s">
        <v>625</v>
      </c>
      <c r="E285">
        <v>4</v>
      </c>
      <c r="F285" t="s">
        <v>617</v>
      </c>
      <c r="G285" s="2">
        <v>43288</v>
      </c>
      <c r="H285" t="s">
        <v>201</v>
      </c>
      <c r="I285">
        <v>7.1</v>
      </c>
      <c r="K285">
        <v>5.2999999999999999E-2</v>
      </c>
      <c r="L285">
        <v>10</v>
      </c>
      <c r="M285">
        <v>3.959192142</v>
      </c>
      <c r="Q285">
        <v>0</v>
      </c>
      <c r="S285" t="s">
        <v>204</v>
      </c>
      <c r="T285" t="s">
        <v>141</v>
      </c>
      <c r="U285">
        <v>78.239999999999995</v>
      </c>
      <c r="V285">
        <v>27.24</v>
      </c>
      <c r="W285">
        <v>1673.8858049999999</v>
      </c>
      <c r="X285">
        <v>1673.8858049999999</v>
      </c>
      <c r="Y285">
        <v>0.35</v>
      </c>
      <c r="Z285">
        <v>0.32</v>
      </c>
      <c r="AA285">
        <v>0.36</v>
      </c>
      <c r="AB285">
        <v>74.701738520000006</v>
      </c>
    </row>
    <row r="286" spans="1:28" x14ac:dyDescent="0.25">
      <c r="A286">
        <v>285</v>
      </c>
      <c r="B286" t="s">
        <v>765</v>
      </c>
      <c r="D286" t="s">
        <v>444</v>
      </c>
      <c r="E286">
        <v>5</v>
      </c>
      <c r="F286" t="s">
        <v>445</v>
      </c>
      <c r="G286" s="2">
        <v>43288</v>
      </c>
      <c r="H286" t="s">
        <v>201</v>
      </c>
      <c r="I286">
        <v>9.6999999999999993</v>
      </c>
      <c r="K286">
        <v>9.9000000000000005E-2</v>
      </c>
      <c r="L286">
        <v>10</v>
      </c>
      <c r="M286">
        <v>7.3898113189999997</v>
      </c>
      <c r="Q286">
        <v>0</v>
      </c>
      <c r="S286" t="s">
        <v>204</v>
      </c>
      <c r="T286" t="s">
        <v>141</v>
      </c>
      <c r="U286">
        <v>70.27</v>
      </c>
      <c r="V286">
        <v>34.799999999999997</v>
      </c>
      <c r="W286">
        <v>1920.6095270000001</v>
      </c>
      <c r="X286">
        <v>1920.6095270000001</v>
      </c>
      <c r="Y286">
        <v>0.41</v>
      </c>
      <c r="Z286">
        <v>0.42</v>
      </c>
      <c r="AA286">
        <v>0.41</v>
      </c>
      <c r="AB286">
        <v>74.644558779999997</v>
      </c>
    </row>
    <row r="287" spans="1:28" x14ac:dyDescent="0.25">
      <c r="A287">
        <v>286</v>
      </c>
      <c r="B287" t="s">
        <v>766</v>
      </c>
      <c r="D287" t="s">
        <v>392</v>
      </c>
      <c r="E287">
        <v>4</v>
      </c>
      <c r="F287" t="s">
        <v>258</v>
      </c>
      <c r="G287" s="2">
        <v>43288</v>
      </c>
      <c r="H287" t="s">
        <v>201</v>
      </c>
      <c r="I287">
        <v>9.6999999999999993</v>
      </c>
      <c r="K287">
        <v>0.111</v>
      </c>
      <c r="L287">
        <v>10</v>
      </c>
      <c r="M287">
        <v>7.3898113189999997</v>
      </c>
      <c r="Q287">
        <v>0</v>
      </c>
      <c r="S287" t="s">
        <v>204</v>
      </c>
      <c r="T287" t="s">
        <v>141</v>
      </c>
      <c r="U287">
        <v>114.94</v>
      </c>
      <c r="V287">
        <v>40.78</v>
      </c>
      <c r="W287">
        <v>3681.3600550000001</v>
      </c>
      <c r="X287">
        <v>3681.3600550000001</v>
      </c>
      <c r="Y287">
        <v>0.5</v>
      </c>
      <c r="Z287">
        <v>0.45</v>
      </c>
      <c r="AA287">
        <v>0.42</v>
      </c>
      <c r="AB287">
        <v>66.574876750000001</v>
      </c>
    </row>
    <row r="288" spans="1:28" x14ac:dyDescent="0.25">
      <c r="A288">
        <v>287</v>
      </c>
      <c r="B288" t="s">
        <v>767</v>
      </c>
      <c r="D288" t="s">
        <v>340</v>
      </c>
      <c r="E288">
        <v>4</v>
      </c>
      <c r="F288" t="s">
        <v>5</v>
      </c>
      <c r="G288" s="2">
        <v>43288</v>
      </c>
      <c r="H288" t="s">
        <v>201</v>
      </c>
      <c r="I288">
        <v>9.6999999999999993</v>
      </c>
      <c r="K288">
        <v>0.09</v>
      </c>
      <c r="L288">
        <v>12</v>
      </c>
      <c r="M288">
        <v>8.867773583</v>
      </c>
      <c r="Q288">
        <v>0</v>
      </c>
      <c r="S288" t="s">
        <v>204</v>
      </c>
      <c r="T288" t="s">
        <v>141</v>
      </c>
      <c r="U288">
        <v>63.51</v>
      </c>
      <c r="V288">
        <v>38.53</v>
      </c>
      <c r="W288">
        <v>1921.9009570000001</v>
      </c>
      <c r="X288">
        <v>1921.9009570000001</v>
      </c>
      <c r="Y288">
        <v>0.28000000000000003</v>
      </c>
      <c r="Z288">
        <v>0.28000000000000003</v>
      </c>
      <c r="AA288">
        <v>0.22</v>
      </c>
      <c r="AB288">
        <v>98.530817589999998</v>
      </c>
    </row>
    <row r="289" spans="1:28" x14ac:dyDescent="0.25">
      <c r="A289">
        <v>288</v>
      </c>
      <c r="B289" t="s">
        <v>768</v>
      </c>
      <c r="D289" t="s">
        <v>605</v>
      </c>
      <c r="E289">
        <v>4</v>
      </c>
      <c r="F289" t="s">
        <v>739</v>
      </c>
      <c r="G289" s="2">
        <v>43288</v>
      </c>
      <c r="H289" t="s">
        <v>201</v>
      </c>
      <c r="I289">
        <v>7.1</v>
      </c>
      <c r="K289">
        <v>4.7E-2</v>
      </c>
      <c r="L289">
        <v>10</v>
      </c>
      <c r="M289">
        <v>3.959192142</v>
      </c>
      <c r="Q289">
        <v>0</v>
      </c>
      <c r="S289" t="s">
        <v>210</v>
      </c>
      <c r="T289">
        <v>5</v>
      </c>
      <c r="U289">
        <v>68.34</v>
      </c>
      <c r="V289">
        <v>31.61</v>
      </c>
      <c r="W289">
        <v>1696.6386319999999</v>
      </c>
      <c r="X289">
        <v>8483.1931619999996</v>
      </c>
      <c r="Y289">
        <v>0.35</v>
      </c>
      <c r="Z289">
        <v>0.31</v>
      </c>
      <c r="AA289">
        <v>0.35</v>
      </c>
      <c r="AB289">
        <v>84.238130670000004</v>
      </c>
    </row>
    <row r="290" spans="1:28" x14ac:dyDescent="0.25">
      <c r="A290">
        <v>289</v>
      </c>
      <c r="B290" t="s">
        <v>769</v>
      </c>
      <c r="D290" t="s">
        <v>396</v>
      </c>
      <c r="E290">
        <v>4</v>
      </c>
      <c r="F290" t="s">
        <v>290</v>
      </c>
      <c r="G290" s="2">
        <v>43288</v>
      </c>
      <c r="H290" t="s">
        <v>201</v>
      </c>
      <c r="I290">
        <v>7.1</v>
      </c>
      <c r="K290">
        <v>5.2999999999999999E-2</v>
      </c>
      <c r="L290">
        <v>11</v>
      </c>
      <c r="M290">
        <v>4.3551113560000001</v>
      </c>
      <c r="Q290">
        <v>0</v>
      </c>
      <c r="S290" t="s">
        <v>204</v>
      </c>
      <c r="T290" t="s">
        <v>141</v>
      </c>
      <c r="U290">
        <v>41.25</v>
      </c>
      <c r="V290">
        <v>18.059999999999999</v>
      </c>
      <c r="W290">
        <v>585.10199680000005</v>
      </c>
      <c r="X290">
        <v>585.10199680000005</v>
      </c>
      <c r="Y290">
        <v>0.24</v>
      </c>
      <c r="Z290">
        <v>0.3</v>
      </c>
      <c r="AA290">
        <v>0.24</v>
      </c>
      <c r="AB290">
        <v>82.171912370000001</v>
      </c>
    </row>
    <row r="291" spans="1:28" x14ac:dyDescent="0.25">
      <c r="A291">
        <v>290</v>
      </c>
      <c r="B291" t="s">
        <v>770</v>
      </c>
      <c r="D291" t="s">
        <v>357</v>
      </c>
      <c r="E291">
        <v>5</v>
      </c>
      <c r="F291" t="s">
        <v>337</v>
      </c>
      <c r="G291" s="2">
        <v>43288</v>
      </c>
      <c r="H291" t="s">
        <v>201</v>
      </c>
      <c r="I291">
        <v>7.1</v>
      </c>
      <c r="K291">
        <v>0.05</v>
      </c>
      <c r="L291">
        <v>10</v>
      </c>
      <c r="M291">
        <v>3.959192142</v>
      </c>
      <c r="Q291">
        <v>0</v>
      </c>
      <c r="S291" t="s">
        <v>204</v>
      </c>
      <c r="T291" t="s">
        <v>141</v>
      </c>
      <c r="U291">
        <v>140.41</v>
      </c>
      <c r="V291">
        <v>42.72</v>
      </c>
      <c r="W291">
        <v>4711.0657419999998</v>
      </c>
      <c r="X291">
        <v>4711.0657419999998</v>
      </c>
      <c r="Y291">
        <v>0.28999999999999998</v>
      </c>
      <c r="Z291">
        <v>0.28000000000000003</v>
      </c>
      <c r="AA291">
        <v>0.28000000000000003</v>
      </c>
      <c r="AB291">
        <v>79.183842830000003</v>
      </c>
    </row>
    <row r="292" spans="1:28" x14ac:dyDescent="0.25">
      <c r="A292">
        <v>291</v>
      </c>
      <c r="B292" t="s">
        <v>771</v>
      </c>
      <c r="D292" t="s">
        <v>342</v>
      </c>
      <c r="E292">
        <v>4</v>
      </c>
      <c r="F292" t="s">
        <v>373</v>
      </c>
      <c r="G292" s="2">
        <v>43288</v>
      </c>
      <c r="H292" t="s">
        <v>201</v>
      </c>
      <c r="I292">
        <v>7.1</v>
      </c>
      <c r="K292">
        <v>6.0999999999999999E-2</v>
      </c>
      <c r="L292">
        <v>10</v>
      </c>
      <c r="M292">
        <v>3.959192142</v>
      </c>
      <c r="Q292">
        <v>0</v>
      </c>
      <c r="S292" t="s">
        <v>210</v>
      </c>
      <c r="T292">
        <v>5</v>
      </c>
      <c r="U292">
        <v>76.040000000000006</v>
      </c>
      <c r="V292">
        <v>35.81</v>
      </c>
      <c r="W292">
        <v>2138.6332299999999</v>
      </c>
      <c r="X292">
        <v>10693.166149999999</v>
      </c>
      <c r="Y292">
        <v>0.41</v>
      </c>
      <c r="Z292">
        <v>0.42</v>
      </c>
      <c r="AA292">
        <v>0.39</v>
      </c>
      <c r="AB292">
        <v>64.904789210000004</v>
      </c>
    </row>
    <row r="293" spans="1:28" x14ac:dyDescent="0.25">
      <c r="A293">
        <v>292</v>
      </c>
      <c r="B293" t="s">
        <v>772</v>
      </c>
      <c r="D293" t="s">
        <v>344</v>
      </c>
      <c r="E293">
        <v>5</v>
      </c>
      <c r="F293" t="s">
        <v>487</v>
      </c>
      <c r="G293" s="2">
        <v>43288</v>
      </c>
      <c r="H293" t="s">
        <v>201</v>
      </c>
      <c r="I293">
        <v>7.1</v>
      </c>
      <c r="J293" t="s">
        <v>141</v>
      </c>
      <c r="K293">
        <v>4.5999999999999999E-2</v>
      </c>
      <c r="L293">
        <v>10</v>
      </c>
      <c r="M293">
        <v>3.959192142</v>
      </c>
      <c r="Q293">
        <v>0</v>
      </c>
      <c r="S293" t="s">
        <v>204</v>
      </c>
      <c r="T293" t="s">
        <v>141</v>
      </c>
      <c r="U293">
        <v>88.18</v>
      </c>
      <c r="V293">
        <v>44.13</v>
      </c>
      <c r="W293">
        <v>3056.2853749999999</v>
      </c>
      <c r="X293">
        <v>3056.2853749999999</v>
      </c>
      <c r="Y293">
        <v>0.21</v>
      </c>
      <c r="Z293">
        <v>0.22</v>
      </c>
      <c r="AA293">
        <v>0.24</v>
      </c>
      <c r="AB293">
        <v>86.069394380000006</v>
      </c>
    </row>
    <row r="294" spans="1:28" x14ac:dyDescent="0.25">
      <c r="A294">
        <v>293</v>
      </c>
      <c r="B294" t="s">
        <v>773</v>
      </c>
      <c r="D294" t="s">
        <v>774</v>
      </c>
      <c r="E294">
        <v>2</v>
      </c>
      <c r="F294" t="s">
        <v>775</v>
      </c>
      <c r="G294" s="2">
        <v>43288</v>
      </c>
      <c r="H294" t="s">
        <v>201</v>
      </c>
      <c r="I294">
        <v>7.1</v>
      </c>
      <c r="K294">
        <v>4.5999999999999999E-2</v>
      </c>
      <c r="L294">
        <v>10</v>
      </c>
      <c r="M294">
        <v>3.959192142</v>
      </c>
      <c r="Q294">
        <v>0</v>
      </c>
      <c r="S294" t="s">
        <v>204</v>
      </c>
      <c r="T294" t="s">
        <v>141</v>
      </c>
      <c r="U294">
        <v>59.6</v>
      </c>
      <c r="V294">
        <v>42.6</v>
      </c>
      <c r="W294">
        <v>1994.094521</v>
      </c>
      <c r="X294">
        <v>1994.094521</v>
      </c>
      <c r="Y294">
        <v>0.23</v>
      </c>
      <c r="Z294">
        <v>0.26</v>
      </c>
      <c r="AA294">
        <v>0.25</v>
      </c>
      <c r="AB294">
        <v>86.069394380000006</v>
      </c>
    </row>
    <row r="295" spans="1:28" x14ac:dyDescent="0.25">
      <c r="A295">
        <v>294</v>
      </c>
      <c r="B295" t="s">
        <v>776</v>
      </c>
      <c r="D295" t="s">
        <v>385</v>
      </c>
      <c r="E295">
        <v>5</v>
      </c>
      <c r="F295" t="s">
        <v>209</v>
      </c>
      <c r="G295" s="2">
        <v>43288</v>
      </c>
      <c r="H295" t="s">
        <v>201</v>
      </c>
      <c r="I295">
        <v>7.1</v>
      </c>
      <c r="K295">
        <v>4.5999999999999999E-2</v>
      </c>
      <c r="L295">
        <v>10</v>
      </c>
      <c r="M295">
        <v>3.959192142</v>
      </c>
      <c r="Q295">
        <v>0</v>
      </c>
      <c r="S295" t="s">
        <v>210</v>
      </c>
      <c r="T295">
        <v>9</v>
      </c>
      <c r="U295">
        <v>75.819999999999993</v>
      </c>
      <c r="V295">
        <v>25.15</v>
      </c>
      <c r="W295">
        <v>1497.654552</v>
      </c>
      <c r="X295">
        <v>13478.89097</v>
      </c>
      <c r="Y295">
        <v>0.2</v>
      </c>
      <c r="Z295">
        <v>0.23</v>
      </c>
      <c r="AA295">
        <v>0.23</v>
      </c>
      <c r="AB295">
        <v>86.069394380000006</v>
      </c>
    </row>
    <row r="296" spans="1:28" x14ac:dyDescent="0.25">
      <c r="A296">
        <v>295</v>
      </c>
      <c r="B296" t="s">
        <v>777</v>
      </c>
      <c r="D296" t="s">
        <v>636</v>
      </c>
      <c r="E296">
        <v>4</v>
      </c>
      <c r="F296" t="s">
        <v>637</v>
      </c>
      <c r="G296" s="2">
        <v>43288</v>
      </c>
      <c r="H296" t="s">
        <v>200</v>
      </c>
      <c r="I296" t="s">
        <v>141</v>
      </c>
      <c r="K296">
        <v>0.20300000000000001</v>
      </c>
      <c r="L296" t="s">
        <v>141</v>
      </c>
      <c r="M296" t="s">
        <v>141</v>
      </c>
      <c r="P296">
        <v>354596</v>
      </c>
      <c r="Q296">
        <v>10.00748711</v>
      </c>
      <c r="R296">
        <v>3</v>
      </c>
      <c r="S296" t="s">
        <v>210</v>
      </c>
      <c r="T296">
        <v>195</v>
      </c>
      <c r="U296">
        <v>20.45</v>
      </c>
      <c r="V296">
        <v>5.96</v>
      </c>
      <c r="W296">
        <v>95.725898950000001</v>
      </c>
      <c r="X296">
        <v>18666.550299999999</v>
      </c>
      <c r="Y296">
        <v>0.16</v>
      </c>
      <c r="Z296">
        <v>0.17</v>
      </c>
      <c r="AA296">
        <v>0.17</v>
      </c>
      <c r="AB296">
        <v>49.29796606</v>
      </c>
    </row>
    <row r="297" spans="1:28" x14ac:dyDescent="0.25">
      <c r="A297">
        <v>296</v>
      </c>
      <c r="B297" t="s">
        <v>778</v>
      </c>
      <c r="D297" t="s">
        <v>636</v>
      </c>
      <c r="E297">
        <v>3</v>
      </c>
      <c r="F297" t="s">
        <v>637</v>
      </c>
      <c r="G297" s="2">
        <v>43288</v>
      </c>
      <c r="H297" t="s">
        <v>200</v>
      </c>
      <c r="I297" t="s">
        <v>141</v>
      </c>
      <c r="J297" t="s">
        <v>141</v>
      </c>
      <c r="K297">
        <v>0.27200000000000002</v>
      </c>
      <c r="L297" t="s">
        <v>141</v>
      </c>
      <c r="M297" t="s">
        <v>141</v>
      </c>
      <c r="N297" t="s">
        <v>141</v>
      </c>
      <c r="O297" t="s">
        <v>141</v>
      </c>
      <c r="P297">
        <v>548731</v>
      </c>
      <c r="Q297">
        <v>15.48640822</v>
      </c>
      <c r="R297">
        <v>3</v>
      </c>
      <c r="S297" t="s">
        <v>210</v>
      </c>
      <c r="T297">
        <v>120</v>
      </c>
      <c r="U297">
        <v>30.48</v>
      </c>
      <c r="V297">
        <v>6.36</v>
      </c>
      <c r="W297">
        <v>152.25163309999999</v>
      </c>
      <c r="X297">
        <v>18270.195970000001</v>
      </c>
      <c r="Y297">
        <v>0.14000000000000001</v>
      </c>
      <c r="Z297">
        <v>0.15</v>
      </c>
      <c r="AA297">
        <v>0.15</v>
      </c>
      <c r="AB297">
        <v>56.935324350000002</v>
      </c>
    </row>
    <row r="298" spans="1:28" x14ac:dyDescent="0.25">
      <c r="A298">
        <v>297</v>
      </c>
      <c r="B298" t="s">
        <v>1266</v>
      </c>
      <c r="C298" t="s">
        <v>69</v>
      </c>
      <c r="D298" t="s">
        <v>347</v>
      </c>
      <c r="E298">
        <v>7</v>
      </c>
      <c r="F298" t="s">
        <v>19</v>
      </c>
      <c r="H298" t="s">
        <v>200</v>
      </c>
      <c r="K298">
        <v>2.6</v>
      </c>
      <c r="P298">
        <v>2455111</v>
      </c>
      <c r="Q298">
        <v>69.288688219999997</v>
      </c>
      <c r="R298">
        <v>1</v>
      </c>
      <c r="S298" t="s">
        <v>210</v>
      </c>
      <c r="T298">
        <v>151</v>
      </c>
      <c r="U298" t="s">
        <v>141</v>
      </c>
      <c r="V298" t="s">
        <v>141</v>
      </c>
      <c r="W298">
        <v>45.886548490000003</v>
      </c>
      <c r="X298">
        <v>6928.8688220000004</v>
      </c>
      <c r="Y298" t="s">
        <v>141</v>
      </c>
      <c r="Z298" t="s">
        <v>141</v>
      </c>
      <c r="AA298" t="s">
        <v>141</v>
      </c>
      <c r="AB298">
        <v>26.649495470000002</v>
      </c>
    </row>
    <row r="299" spans="1:28" x14ac:dyDescent="0.25">
      <c r="A299">
        <v>298</v>
      </c>
      <c r="B299" t="s">
        <v>1218</v>
      </c>
      <c r="C299" t="s">
        <v>70</v>
      </c>
      <c r="D299" t="s">
        <v>367</v>
      </c>
      <c r="E299">
        <v>6</v>
      </c>
      <c r="F299" t="s">
        <v>71</v>
      </c>
      <c r="H299" t="s">
        <v>200</v>
      </c>
      <c r="K299">
        <v>0.9</v>
      </c>
      <c r="P299">
        <v>1216143</v>
      </c>
      <c r="Q299">
        <v>34.322257999999998</v>
      </c>
      <c r="R299">
        <v>54</v>
      </c>
      <c r="S299" t="s">
        <v>204</v>
      </c>
      <c r="T299" t="s">
        <v>141</v>
      </c>
      <c r="U299" t="s">
        <v>141</v>
      </c>
      <c r="V299" t="s">
        <v>141</v>
      </c>
      <c r="W299">
        <v>63.559737040000002</v>
      </c>
      <c r="X299">
        <v>63.559737040000002</v>
      </c>
      <c r="Y299" t="s">
        <v>141</v>
      </c>
      <c r="Z299" t="s">
        <v>141</v>
      </c>
      <c r="AA299" t="s">
        <v>141</v>
      </c>
      <c r="AB299">
        <v>38.135842220000001</v>
      </c>
    </row>
    <row r="300" spans="1:28" x14ac:dyDescent="0.25">
      <c r="A300">
        <v>299</v>
      </c>
      <c r="B300" t="s">
        <v>1267</v>
      </c>
      <c r="C300" t="s">
        <v>72</v>
      </c>
      <c r="D300" t="s">
        <v>353</v>
      </c>
      <c r="E300">
        <v>6</v>
      </c>
      <c r="F300" t="s">
        <v>287</v>
      </c>
      <c r="H300" t="s">
        <v>200</v>
      </c>
      <c r="K300">
        <v>3.3</v>
      </c>
      <c r="P300">
        <v>3704521</v>
      </c>
      <c r="Q300">
        <v>104.5498149</v>
      </c>
      <c r="R300">
        <v>20</v>
      </c>
      <c r="S300" t="s">
        <v>204</v>
      </c>
      <c r="T300" t="s">
        <v>141</v>
      </c>
      <c r="U300" t="s">
        <v>141</v>
      </c>
      <c r="V300" t="s">
        <v>141</v>
      </c>
      <c r="W300">
        <v>522.74907440000004</v>
      </c>
      <c r="X300">
        <v>522.74907440000004</v>
      </c>
      <c r="Y300" t="s">
        <v>141</v>
      </c>
      <c r="Z300" t="s">
        <v>141</v>
      </c>
      <c r="AA300" t="s">
        <v>141</v>
      </c>
      <c r="AB300">
        <v>31.681762089999999</v>
      </c>
    </row>
    <row r="301" spans="1:28" x14ac:dyDescent="0.25">
      <c r="A301">
        <v>300</v>
      </c>
      <c r="B301" t="s">
        <v>1265</v>
      </c>
      <c r="C301" t="s">
        <v>73</v>
      </c>
      <c r="D301" t="s">
        <v>341</v>
      </c>
      <c r="E301">
        <v>6</v>
      </c>
      <c r="F301" t="s">
        <v>372</v>
      </c>
      <c r="H301" t="s">
        <v>200</v>
      </c>
      <c r="K301">
        <v>1.9</v>
      </c>
      <c r="P301">
        <v>2015400</v>
      </c>
      <c r="Q301">
        <v>56.87906667</v>
      </c>
      <c r="R301">
        <v>16</v>
      </c>
      <c r="S301" t="s">
        <v>204</v>
      </c>
      <c r="T301" t="s">
        <v>141</v>
      </c>
      <c r="U301" t="s">
        <v>141</v>
      </c>
      <c r="V301" t="s">
        <v>141</v>
      </c>
      <c r="W301">
        <v>355.49416669999999</v>
      </c>
      <c r="X301">
        <v>355.49416669999999</v>
      </c>
      <c r="Y301" t="s">
        <v>141</v>
      </c>
      <c r="Z301" t="s">
        <v>141</v>
      </c>
      <c r="AA301" t="s">
        <v>141</v>
      </c>
      <c r="AB301">
        <v>29.936350879999999</v>
      </c>
    </row>
    <row r="302" spans="1:28" x14ac:dyDescent="0.25">
      <c r="A302">
        <v>301</v>
      </c>
      <c r="B302" t="s">
        <v>805</v>
      </c>
      <c r="D302" t="s">
        <v>528</v>
      </c>
      <c r="E302">
        <v>5</v>
      </c>
      <c r="F302" t="s">
        <v>762</v>
      </c>
      <c r="G302" s="2">
        <v>43292</v>
      </c>
      <c r="H302" t="s">
        <v>201</v>
      </c>
      <c r="I302">
        <v>7.1</v>
      </c>
      <c r="J302" t="s">
        <v>141</v>
      </c>
      <c r="K302">
        <v>0.06</v>
      </c>
      <c r="L302">
        <v>10</v>
      </c>
      <c r="M302">
        <v>3.959192142</v>
      </c>
      <c r="N302" t="s">
        <v>141</v>
      </c>
      <c r="Q302">
        <v>0</v>
      </c>
      <c r="S302" t="s">
        <v>210</v>
      </c>
      <c r="T302">
        <v>7</v>
      </c>
      <c r="U302">
        <v>53.23</v>
      </c>
      <c r="V302">
        <v>39.450000000000003</v>
      </c>
      <c r="W302">
        <v>1649.2760599999999</v>
      </c>
      <c r="X302">
        <v>11544.932419999999</v>
      </c>
      <c r="Y302">
        <v>0.3</v>
      </c>
      <c r="Z302">
        <v>0.36</v>
      </c>
      <c r="AA302">
        <v>0.31</v>
      </c>
      <c r="AB302">
        <v>65.986535689999997</v>
      </c>
    </row>
    <row r="303" spans="1:28" x14ac:dyDescent="0.25">
      <c r="A303">
        <v>302</v>
      </c>
      <c r="B303" t="s">
        <v>806</v>
      </c>
      <c r="D303" t="s">
        <v>528</v>
      </c>
      <c r="E303">
        <v>4</v>
      </c>
      <c r="F303" t="s">
        <v>762</v>
      </c>
      <c r="G303" s="2">
        <v>43292</v>
      </c>
      <c r="H303" t="s">
        <v>201</v>
      </c>
      <c r="I303">
        <v>7.1</v>
      </c>
      <c r="K303">
        <v>5.8000000000000003E-2</v>
      </c>
      <c r="L303">
        <v>10</v>
      </c>
      <c r="M303">
        <v>3.959192142</v>
      </c>
      <c r="Q303">
        <v>0</v>
      </c>
      <c r="S303" t="s">
        <v>210</v>
      </c>
      <c r="T303">
        <v>7</v>
      </c>
      <c r="U303">
        <v>48.04</v>
      </c>
      <c r="V303">
        <v>27.87</v>
      </c>
      <c r="W303">
        <v>1051.5498090000001</v>
      </c>
      <c r="X303">
        <v>7360.8486629999998</v>
      </c>
      <c r="Y303">
        <v>0.27</v>
      </c>
      <c r="Z303">
        <v>0.28999999999999998</v>
      </c>
      <c r="AA303">
        <v>0.32</v>
      </c>
      <c r="AB303">
        <v>68.261933479999996</v>
      </c>
    </row>
    <row r="304" spans="1:28" x14ac:dyDescent="0.25">
      <c r="A304">
        <v>303</v>
      </c>
      <c r="B304" t="s">
        <v>807</v>
      </c>
      <c r="D304" t="s">
        <v>611</v>
      </c>
      <c r="E304">
        <v>5</v>
      </c>
      <c r="F304" t="s">
        <v>612</v>
      </c>
      <c r="G304" s="2">
        <v>43292</v>
      </c>
      <c r="H304" t="s">
        <v>201</v>
      </c>
      <c r="I304">
        <v>7.1</v>
      </c>
      <c r="K304">
        <v>4.1000000000000002E-2</v>
      </c>
      <c r="L304">
        <v>10</v>
      </c>
      <c r="M304">
        <v>3.959192142</v>
      </c>
      <c r="Q304">
        <v>0</v>
      </c>
      <c r="S304" t="s">
        <v>204</v>
      </c>
      <c r="T304" t="s">
        <v>141</v>
      </c>
      <c r="U304">
        <v>104.63</v>
      </c>
      <c r="V304">
        <v>48.87</v>
      </c>
      <c r="W304">
        <v>4015.9513750000001</v>
      </c>
      <c r="X304">
        <v>4015.9513750000001</v>
      </c>
      <c r="Y304">
        <v>0.26</v>
      </c>
      <c r="Z304">
        <v>0.2</v>
      </c>
      <c r="AA304">
        <v>0.24</v>
      </c>
      <c r="AB304">
        <v>96.565661989999995</v>
      </c>
    </row>
    <row r="305" spans="1:28" x14ac:dyDescent="0.25">
      <c r="A305">
        <v>304</v>
      </c>
      <c r="B305" t="s">
        <v>808</v>
      </c>
      <c r="D305" t="s">
        <v>505</v>
      </c>
      <c r="E305">
        <v>3</v>
      </c>
      <c r="F305" t="s">
        <v>506</v>
      </c>
      <c r="G305" s="2">
        <v>43292</v>
      </c>
      <c r="H305" t="s">
        <v>201</v>
      </c>
      <c r="I305">
        <v>7.1</v>
      </c>
      <c r="K305">
        <v>6.0999999999999999E-2</v>
      </c>
      <c r="L305">
        <v>11</v>
      </c>
      <c r="M305">
        <v>4.3551113560000001</v>
      </c>
      <c r="Q305">
        <v>0</v>
      </c>
      <c r="S305" t="s">
        <v>204</v>
      </c>
      <c r="T305" t="s">
        <v>141</v>
      </c>
      <c r="U305">
        <v>126.62</v>
      </c>
      <c r="V305">
        <v>74.02</v>
      </c>
      <c r="W305">
        <v>7361.0754859999997</v>
      </c>
      <c r="X305">
        <v>7361.0754859999997</v>
      </c>
      <c r="Y305">
        <v>0.23</v>
      </c>
      <c r="Z305">
        <v>0.25</v>
      </c>
      <c r="AA305">
        <v>0.27</v>
      </c>
      <c r="AB305">
        <v>71.395268130000005</v>
      </c>
    </row>
    <row r="306" spans="1:28" x14ac:dyDescent="0.25">
      <c r="A306">
        <v>305</v>
      </c>
      <c r="B306" t="s">
        <v>809</v>
      </c>
      <c r="D306" t="s">
        <v>774</v>
      </c>
      <c r="E306">
        <v>4</v>
      </c>
      <c r="F306" t="s">
        <v>775</v>
      </c>
      <c r="G306" s="2">
        <v>43292</v>
      </c>
      <c r="H306" t="s">
        <v>201</v>
      </c>
      <c r="I306">
        <v>7.1</v>
      </c>
      <c r="K306">
        <v>6.6000000000000003E-2</v>
      </c>
      <c r="L306">
        <v>11</v>
      </c>
      <c r="M306">
        <v>4.3551113560000001</v>
      </c>
      <c r="Q306">
        <v>0</v>
      </c>
      <c r="S306" t="s">
        <v>204</v>
      </c>
      <c r="T306" t="s">
        <v>141</v>
      </c>
      <c r="U306">
        <v>97.68</v>
      </c>
      <c r="V306">
        <v>46.5</v>
      </c>
      <c r="W306">
        <v>3567.3727060000001</v>
      </c>
      <c r="X306">
        <v>3567.3727060000001</v>
      </c>
      <c r="Y306">
        <v>0.32</v>
      </c>
      <c r="Z306">
        <v>0.3</v>
      </c>
      <c r="AA306">
        <v>0.31</v>
      </c>
      <c r="AB306">
        <v>65.986535689999997</v>
      </c>
    </row>
    <row r="307" spans="1:28" x14ac:dyDescent="0.25">
      <c r="A307">
        <v>306</v>
      </c>
      <c r="B307" t="s">
        <v>810</v>
      </c>
      <c r="D307" t="s">
        <v>811</v>
      </c>
      <c r="E307">
        <v>1</v>
      </c>
      <c r="F307" t="s">
        <v>812</v>
      </c>
      <c r="G307" s="2">
        <v>43292</v>
      </c>
      <c r="H307" t="s">
        <v>201</v>
      </c>
      <c r="I307">
        <v>9.6999999999999993</v>
      </c>
      <c r="K307">
        <v>0.08</v>
      </c>
      <c r="L307">
        <v>10</v>
      </c>
      <c r="M307">
        <v>7.3898113189999997</v>
      </c>
      <c r="Q307">
        <v>0</v>
      </c>
      <c r="S307" t="s">
        <v>204</v>
      </c>
      <c r="T307" t="s">
        <v>141</v>
      </c>
      <c r="U307">
        <v>100.58</v>
      </c>
      <c r="V307">
        <v>94.71</v>
      </c>
      <c r="W307">
        <v>7481.6493399999999</v>
      </c>
      <c r="X307">
        <v>7481.6493399999999</v>
      </c>
      <c r="Y307">
        <v>0.47</v>
      </c>
      <c r="Z307">
        <v>0.46</v>
      </c>
      <c r="AA307">
        <v>0.47</v>
      </c>
      <c r="AB307">
        <v>92.372641490000007</v>
      </c>
    </row>
    <row r="308" spans="1:28" x14ac:dyDescent="0.25">
      <c r="A308">
        <v>307</v>
      </c>
      <c r="B308" t="s">
        <v>813</v>
      </c>
      <c r="D308" t="s">
        <v>636</v>
      </c>
      <c r="E308">
        <v>5</v>
      </c>
      <c r="F308" t="s">
        <v>637</v>
      </c>
      <c r="G308" s="2">
        <v>43292</v>
      </c>
      <c r="H308" t="s">
        <v>200</v>
      </c>
      <c r="I308" t="s">
        <v>141</v>
      </c>
      <c r="J308" t="s">
        <v>141</v>
      </c>
      <c r="K308">
        <v>0.17199999999999999</v>
      </c>
      <c r="L308" t="s">
        <v>141</v>
      </c>
      <c r="M308" t="s">
        <v>141</v>
      </c>
      <c r="N308" t="s">
        <v>141</v>
      </c>
      <c r="O308" t="s">
        <v>141</v>
      </c>
      <c r="P308">
        <v>312880</v>
      </c>
      <c r="Q308">
        <v>8.8301688889999994</v>
      </c>
      <c r="R308">
        <v>4</v>
      </c>
      <c r="S308" t="s">
        <v>210</v>
      </c>
      <c r="T308">
        <v>75</v>
      </c>
      <c r="U308">
        <v>19.760000000000002</v>
      </c>
      <c r="V308">
        <v>5.12</v>
      </c>
      <c r="W308">
        <v>79.459674669999998</v>
      </c>
      <c r="X308">
        <v>5959.4755999999998</v>
      </c>
      <c r="Y308">
        <v>0.16</v>
      </c>
      <c r="Z308">
        <v>0.13</v>
      </c>
      <c r="AA308">
        <v>0.16</v>
      </c>
      <c r="AB308">
        <v>51.338191209999998</v>
      </c>
    </row>
    <row r="309" spans="1:28" x14ac:dyDescent="0.25">
      <c r="A309">
        <v>308</v>
      </c>
      <c r="B309" t="s">
        <v>814</v>
      </c>
      <c r="D309" t="s">
        <v>391</v>
      </c>
      <c r="E309">
        <v>4</v>
      </c>
      <c r="F309" t="s">
        <v>255</v>
      </c>
      <c r="G309" s="2">
        <v>43292</v>
      </c>
      <c r="H309" t="s">
        <v>201</v>
      </c>
      <c r="I309">
        <v>9.6999999999999993</v>
      </c>
      <c r="K309">
        <v>0.121</v>
      </c>
      <c r="L309">
        <v>10</v>
      </c>
      <c r="M309">
        <v>7.3898113189999997</v>
      </c>
      <c r="Q309">
        <v>0</v>
      </c>
      <c r="S309" t="s">
        <v>204</v>
      </c>
      <c r="T309" t="s">
        <v>141</v>
      </c>
      <c r="U309">
        <v>97.15</v>
      </c>
      <c r="V309">
        <v>36.65</v>
      </c>
      <c r="W309">
        <v>2796.447467</v>
      </c>
      <c r="X309">
        <v>2796.447467</v>
      </c>
      <c r="Y309">
        <v>0.47</v>
      </c>
      <c r="Z309">
        <v>0.45</v>
      </c>
      <c r="AA309">
        <v>0.45</v>
      </c>
      <c r="AB309">
        <v>61.072820819999997</v>
      </c>
    </row>
    <row r="310" spans="1:28" x14ac:dyDescent="0.25">
      <c r="A310">
        <v>309</v>
      </c>
      <c r="B310" t="s">
        <v>815</v>
      </c>
      <c r="D310" t="s">
        <v>340</v>
      </c>
      <c r="E310">
        <v>5</v>
      </c>
      <c r="F310" t="s">
        <v>5</v>
      </c>
      <c r="G310" s="2">
        <v>43292</v>
      </c>
      <c r="H310" t="s">
        <v>201</v>
      </c>
      <c r="I310">
        <v>7.1</v>
      </c>
      <c r="K310">
        <v>4.7E-2</v>
      </c>
      <c r="L310">
        <v>10</v>
      </c>
      <c r="M310">
        <v>3.959192142</v>
      </c>
      <c r="Q310">
        <v>0</v>
      </c>
      <c r="S310" t="s">
        <v>204</v>
      </c>
      <c r="T310" t="s">
        <v>141</v>
      </c>
      <c r="U310">
        <v>68.680000000000007</v>
      </c>
      <c r="V310">
        <v>42.09</v>
      </c>
      <c r="W310">
        <v>2270.3828290000001</v>
      </c>
      <c r="X310">
        <v>2270.3828290000001</v>
      </c>
      <c r="Y310">
        <v>0.28000000000000003</v>
      </c>
      <c r="Z310">
        <v>0.23</v>
      </c>
      <c r="AA310">
        <v>0.25</v>
      </c>
      <c r="AB310">
        <v>84.238130670000004</v>
      </c>
    </row>
    <row r="311" spans="1:28" x14ac:dyDescent="0.25">
      <c r="A311">
        <v>310</v>
      </c>
      <c r="B311" t="s">
        <v>816</v>
      </c>
      <c r="D311" t="s">
        <v>516</v>
      </c>
      <c r="E311">
        <v>4</v>
      </c>
      <c r="F311" t="s">
        <v>517</v>
      </c>
      <c r="G311" s="2">
        <v>43292</v>
      </c>
      <c r="H311" t="s">
        <v>201</v>
      </c>
      <c r="I311">
        <v>7.1</v>
      </c>
      <c r="K311">
        <v>0.03</v>
      </c>
      <c r="L311">
        <v>10</v>
      </c>
      <c r="M311">
        <v>3.959192142</v>
      </c>
      <c r="Q311">
        <v>0</v>
      </c>
      <c r="S311" t="s">
        <v>204</v>
      </c>
      <c r="T311" t="s">
        <v>141</v>
      </c>
      <c r="U311">
        <v>85.53</v>
      </c>
      <c r="V311">
        <v>32.65</v>
      </c>
      <c r="W311">
        <v>2193.267175</v>
      </c>
      <c r="X311">
        <v>2193.267175</v>
      </c>
      <c r="Y311">
        <v>0.23</v>
      </c>
      <c r="Z311">
        <v>0.23</v>
      </c>
      <c r="AA311">
        <v>0.24</v>
      </c>
      <c r="AB311">
        <v>131.97307140000001</v>
      </c>
    </row>
    <row r="312" spans="1:28" x14ac:dyDescent="0.25">
      <c r="A312">
        <v>311</v>
      </c>
      <c r="B312" t="s">
        <v>817</v>
      </c>
      <c r="D312" t="s">
        <v>516</v>
      </c>
      <c r="E312">
        <v>3</v>
      </c>
      <c r="F312" t="s">
        <v>517</v>
      </c>
      <c r="G312" s="2">
        <v>43292</v>
      </c>
      <c r="H312" t="s">
        <v>201</v>
      </c>
      <c r="I312">
        <v>7.1</v>
      </c>
      <c r="K312">
        <v>3.7999999999999999E-2</v>
      </c>
      <c r="L312">
        <v>10</v>
      </c>
      <c r="M312">
        <v>3.959192142</v>
      </c>
      <c r="Q312">
        <v>0</v>
      </c>
      <c r="S312" t="s">
        <v>204</v>
      </c>
      <c r="T312" t="s">
        <v>141</v>
      </c>
      <c r="U312">
        <v>98.76</v>
      </c>
      <c r="V312">
        <v>34.85</v>
      </c>
      <c r="W312">
        <v>2703.172403</v>
      </c>
      <c r="X312">
        <v>2703.172403</v>
      </c>
      <c r="Y312">
        <v>0.24</v>
      </c>
      <c r="Z312">
        <v>0.26</v>
      </c>
      <c r="AA312">
        <v>0.25</v>
      </c>
      <c r="AB312">
        <v>104.18926690000001</v>
      </c>
    </row>
    <row r="313" spans="1:28" x14ac:dyDescent="0.25">
      <c r="A313">
        <v>312</v>
      </c>
      <c r="B313" t="s">
        <v>818</v>
      </c>
      <c r="D313" t="s">
        <v>512</v>
      </c>
      <c r="E313">
        <v>5</v>
      </c>
      <c r="F313" t="s">
        <v>513</v>
      </c>
      <c r="G313" s="2">
        <v>43292</v>
      </c>
      <c r="H313" t="s">
        <v>201</v>
      </c>
      <c r="I313">
        <v>9.6999999999999993</v>
      </c>
      <c r="K313">
        <v>7.8E-2</v>
      </c>
      <c r="L313">
        <v>10</v>
      </c>
      <c r="M313">
        <v>7.3898113189999997</v>
      </c>
      <c r="Q313">
        <v>0</v>
      </c>
      <c r="S313" t="s">
        <v>204</v>
      </c>
      <c r="T313" t="s">
        <v>141</v>
      </c>
      <c r="U313">
        <v>83.44</v>
      </c>
      <c r="V313">
        <v>89.3</v>
      </c>
      <c r="W313">
        <v>5852.1525119999997</v>
      </c>
      <c r="X313">
        <v>5852.1525119999997</v>
      </c>
      <c r="Y313">
        <v>0.34</v>
      </c>
      <c r="Z313">
        <v>0.36</v>
      </c>
      <c r="AA313">
        <v>0.38</v>
      </c>
      <c r="AB313">
        <v>94.741170760000003</v>
      </c>
    </row>
    <row r="314" spans="1:28" x14ac:dyDescent="0.25">
      <c r="A314">
        <v>313</v>
      </c>
      <c r="B314" t="s">
        <v>819</v>
      </c>
      <c r="D314" t="s">
        <v>820</v>
      </c>
      <c r="E314">
        <v>1</v>
      </c>
      <c r="F314" t="s">
        <v>821</v>
      </c>
      <c r="G314" s="2">
        <v>43292</v>
      </c>
      <c r="H314" t="s">
        <v>201</v>
      </c>
      <c r="I314">
        <v>7.1</v>
      </c>
      <c r="K314">
        <v>4.7E-2</v>
      </c>
      <c r="L314">
        <v>11</v>
      </c>
      <c r="M314">
        <v>4.3551113560000001</v>
      </c>
      <c r="Q314">
        <v>0</v>
      </c>
      <c r="S314" t="s">
        <v>210</v>
      </c>
      <c r="T314">
        <v>13</v>
      </c>
      <c r="U314">
        <v>41.01</v>
      </c>
      <c r="V314">
        <v>14.56</v>
      </c>
      <c r="W314">
        <v>468.96564160000003</v>
      </c>
      <c r="X314">
        <v>6096.5533409999998</v>
      </c>
      <c r="Y314">
        <v>0.2</v>
      </c>
      <c r="Z314">
        <v>0.21</v>
      </c>
      <c r="AA314">
        <v>0.21</v>
      </c>
      <c r="AB314">
        <v>92.661943739999998</v>
      </c>
    </row>
    <row r="315" spans="1:28" x14ac:dyDescent="0.25">
      <c r="A315">
        <v>314</v>
      </c>
      <c r="B315" t="s">
        <v>822</v>
      </c>
      <c r="D315" t="s">
        <v>823</v>
      </c>
      <c r="E315">
        <v>1</v>
      </c>
      <c r="F315" t="s">
        <v>824</v>
      </c>
      <c r="G315" s="2">
        <v>43292</v>
      </c>
      <c r="H315" t="s">
        <v>201</v>
      </c>
      <c r="I315">
        <v>7.1</v>
      </c>
      <c r="K315">
        <v>4.7E-2</v>
      </c>
      <c r="L315">
        <v>11</v>
      </c>
      <c r="M315">
        <v>4.3551113560000001</v>
      </c>
      <c r="Q315">
        <v>0</v>
      </c>
      <c r="S315" t="s">
        <v>210</v>
      </c>
      <c r="T315">
        <v>12</v>
      </c>
      <c r="U315">
        <v>99.38</v>
      </c>
      <c r="V315">
        <v>39.19</v>
      </c>
      <c r="W315">
        <v>3058.8919550000001</v>
      </c>
      <c r="X315">
        <v>36706.703459999997</v>
      </c>
      <c r="Y315">
        <v>0.27</v>
      </c>
      <c r="Z315">
        <v>0.18</v>
      </c>
      <c r="AA315">
        <v>0.23</v>
      </c>
      <c r="AB315">
        <v>92.661943739999998</v>
      </c>
    </row>
    <row r="316" spans="1:28" x14ac:dyDescent="0.25">
      <c r="A316">
        <v>315</v>
      </c>
      <c r="B316" t="s">
        <v>825</v>
      </c>
      <c r="D316" t="s">
        <v>774</v>
      </c>
      <c r="E316">
        <v>3</v>
      </c>
      <c r="F316" t="s">
        <v>775</v>
      </c>
      <c r="G316" s="2">
        <v>43292</v>
      </c>
      <c r="H316" t="s">
        <v>201</v>
      </c>
      <c r="I316">
        <v>9.6999999999999993</v>
      </c>
      <c r="K316">
        <v>0.105</v>
      </c>
      <c r="L316">
        <v>10</v>
      </c>
      <c r="M316">
        <v>7.3898113189999997</v>
      </c>
      <c r="Q316">
        <v>0</v>
      </c>
      <c r="S316" t="s">
        <v>204</v>
      </c>
      <c r="T316" t="s">
        <v>141</v>
      </c>
      <c r="U316">
        <v>98.35</v>
      </c>
      <c r="V316">
        <v>48.04</v>
      </c>
      <c r="W316">
        <v>3710.7974060000001</v>
      </c>
      <c r="X316">
        <v>3710.7974060000001</v>
      </c>
      <c r="Y316">
        <v>0.31</v>
      </c>
      <c r="Z316">
        <v>0.31</v>
      </c>
      <c r="AA316">
        <v>0.32</v>
      </c>
      <c r="AB316">
        <v>70.379155420000004</v>
      </c>
    </row>
    <row r="317" spans="1:28" x14ac:dyDescent="0.25">
      <c r="A317">
        <v>316</v>
      </c>
      <c r="B317" t="s">
        <v>826</v>
      </c>
      <c r="D317" t="s">
        <v>392</v>
      </c>
      <c r="E317">
        <v>5</v>
      </c>
      <c r="F317" t="s">
        <v>258</v>
      </c>
      <c r="G317" s="2">
        <v>43292</v>
      </c>
      <c r="H317" t="s">
        <v>201</v>
      </c>
      <c r="I317">
        <v>9.6999999999999993</v>
      </c>
      <c r="K317">
        <v>8.8999999999999996E-2</v>
      </c>
      <c r="L317">
        <v>10</v>
      </c>
      <c r="M317">
        <v>7.3898113189999997</v>
      </c>
      <c r="Q317">
        <v>0</v>
      </c>
      <c r="S317" t="s">
        <v>204</v>
      </c>
      <c r="T317" t="s">
        <v>141</v>
      </c>
      <c r="U317">
        <v>98.91</v>
      </c>
      <c r="V317">
        <v>32</v>
      </c>
      <c r="W317">
        <v>2485.8794349999998</v>
      </c>
      <c r="X317">
        <v>2485.8794349999998</v>
      </c>
      <c r="Y317">
        <v>0.35</v>
      </c>
      <c r="Z317">
        <v>0.36</v>
      </c>
      <c r="AA317">
        <v>0.33</v>
      </c>
      <c r="AB317">
        <v>83.031587860000002</v>
      </c>
    </row>
    <row r="318" spans="1:28" x14ac:dyDescent="0.25">
      <c r="A318">
        <v>317</v>
      </c>
      <c r="B318" t="s">
        <v>827</v>
      </c>
      <c r="D318" t="s">
        <v>611</v>
      </c>
      <c r="E318">
        <v>3</v>
      </c>
      <c r="F318" t="s">
        <v>612</v>
      </c>
      <c r="G318" s="2">
        <v>43292</v>
      </c>
      <c r="H318" t="s">
        <v>201</v>
      </c>
      <c r="I318">
        <v>9.6999999999999993</v>
      </c>
      <c r="K318">
        <v>7.6999999999999999E-2</v>
      </c>
      <c r="L318">
        <v>10</v>
      </c>
      <c r="M318">
        <v>7.3898113189999997</v>
      </c>
      <c r="Q318">
        <v>0</v>
      </c>
      <c r="S318" t="s">
        <v>204</v>
      </c>
      <c r="T318" t="s">
        <v>141</v>
      </c>
      <c r="U318">
        <v>117.6</v>
      </c>
      <c r="V318">
        <v>56.1</v>
      </c>
      <c r="W318">
        <v>5181.554427</v>
      </c>
      <c r="X318">
        <v>5181.554427</v>
      </c>
      <c r="Y318">
        <v>0.24</v>
      </c>
      <c r="Z318">
        <v>0.25</v>
      </c>
      <c r="AA318">
        <v>0.26</v>
      </c>
      <c r="AB318">
        <v>95.971575580000007</v>
      </c>
    </row>
    <row r="319" spans="1:28" x14ac:dyDescent="0.25">
      <c r="A319">
        <v>318</v>
      </c>
      <c r="B319" t="s">
        <v>828</v>
      </c>
      <c r="D319" t="s">
        <v>353</v>
      </c>
      <c r="E319">
        <v>5</v>
      </c>
      <c r="F319" t="s">
        <v>287</v>
      </c>
      <c r="G319" s="2">
        <v>43292</v>
      </c>
      <c r="H319" t="s">
        <v>201</v>
      </c>
      <c r="I319">
        <v>7.1</v>
      </c>
      <c r="K319">
        <v>4.7E-2</v>
      </c>
      <c r="L319">
        <v>10</v>
      </c>
      <c r="M319">
        <v>3.959192142</v>
      </c>
      <c r="Q319">
        <v>0</v>
      </c>
      <c r="S319" t="s">
        <v>204</v>
      </c>
      <c r="T319" t="s">
        <v>141</v>
      </c>
      <c r="U319">
        <v>77.2</v>
      </c>
      <c r="V319">
        <v>24.32</v>
      </c>
      <c r="W319">
        <v>1474.588193</v>
      </c>
      <c r="X319">
        <v>1474.588193</v>
      </c>
      <c r="Y319">
        <v>0.32</v>
      </c>
      <c r="Z319">
        <v>0.31</v>
      </c>
      <c r="AA319">
        <v>0.33</v>
      </c>
      <c r="AB319">
        <v>84.238130670000004</v>
      </c>
    </row>
    <row r="320" spans="1:28" x14ac:dyDescent="0.25">
      <c r="A320">
        <v>319</v>
      </c>
      <c r="B320" t="s">
        <v>829</v>
      </c>
      <c r="D320" t="s">
        <v>396</v>
      </c>
      <c r="E320">
        <v>5</v>
      </c>
      <c r="F320" t="s">
        <v>290</v>
      </c>
      <c r="G320" s="2">
        <v>43292</v>
      </c>
      <c r="H320" t="s">
        <v>201</v>
      </c>
      <c r="I320">
        <v>7.1</v>
      </c>
      <c r="K320">
        <v>5.8000000000000003E-2</v>
      </c>
      <c r="L320">
        <v>10</v>
      </c>
      <c r="M320">
        <v>3.959192142</v>
      </c>
      <c r="Q320">
        <v>0</v>
      </c>
      <c r="S320" t="s">
        <v>204</v>
      </c>
      <c r="T320" t="s">
        <v>141</v>
      </c>
      <c r="U320">
        <v>53.64</v>
      </c>
      <c r="V320">
        <v>21.44</v>
      </c>
      <c r="W320">
        <v>903.24056050000002</v>
      </c>
      <c r="X320">
        <v>903.24056050000002</v>
      </c>
      <c r="Y320">
        <v>0.26</v>
      </c>
      <c r="Z320">
        <v>0.27</v>
      </c>
      <c r="AA320">
        <v>0.24</v>
      </c>
      <c r="AB320">
        <v>68.261933479999996</v>
      </c>
    </row>
    <row r="321" spans="1:29" x14ac:dyDescent="0.25">
      <c r="A321">
        <v>320</v>
      </c>
      <c r="B321" t="s">
        <v>830</v>
      </c>
      <c r="D321" t="s">
        <v>611</v>
      </c>
      <c r="E321">
        <v>4</v>
      </c>
      <c r="F321" t="s">
        <v>612</v>
      </c>
      <c r="G321" s="2">
        <v>43292</v>
      </c>
      <c r="H321" t="s">
        <v>201</v>
      </c>
      <c r="I321">
        <v>7.1</v>
      </c>
      <c r="K321">
        <v>4.2999999999999997E-2</v>
      </c>
      <c r="L321">
        <v>10</v>
      </c>
      <c r="M321">
        <v>3.959192142</v>
      </c>
      <c r="Q321">
        <v>0</v>
      </c>
      <c r="S321" t="s">
        <v>204</v>
      </c>
      <c r="T321" t="s">
        <v>141</v>
      </c>
      <c r="U321">
        <v>104.31</v>
      </c>
      <c r="V321">
        <v>57.93</v>
      </c>
      <c r="W321">
        <v>4745.9084389999998</v>
      </c>
      <c r="X321">
        <v>4745.9084389999998</v>
      </c>
      <c r="Y321">
        <v>0.26</v>
      </c>
      <c r="Z321">
        <v>0.26</v>
      </c>
      <c r="AA321">
        <v>0.26</v>
      </c>
      <c r="AB321">
        <v>92.074235849999994</v>
      </c>
    </row>
    <row r="322" spans="1:29" x14ac:dyDescent="0.25">
      <c r="A322">
        <v>321</v>
      </c>
      <c r="B322" t="s">
        <v>835</v>
      </c>
      <c r="D322" t="s">
        <v>836</v>
      </c>
      <c r="E322">
        <v>2</v>
      </c>
      <c r="F322" t="s">
        <v>837</v>
      </c>
      <c r="G322" s="2">
        <v>43295</v>
      </c>
      <c r="H322" t="s">
        <v>201</v>
      </c>
      <c r="I322">
        <v>7.1</v>
      </c>
      <c r="K322">
        <v>4.1000000000000002E-2</v>
      </c>
      <c r="L322">
        <v>10</v>
      </c>
      <c r="M322">
        <v>3.959192142</v>
      </c>
      <c r="Q322">
        <v>0</v>
      </c>
      <c r="S322" t="s">
        <v>204</v>
      </c>
      <c r="T322" t="s">
        <v>141</v>
      </c>
      <c r="U322">
        <v>83.01</v>
      </c>
      <c r="V322">
        <v>30.52</v>
      </c>
      <c r="W322">
        <v>1989.7789150000001</v>
      </c>
      <c r="X322">
        <v>1989.7789150000001</v>
      </c>
      <c r="Y322">
        <v>0.28000000000000003</v>
      </c>
      <c r="Z322">
        <v>0.34</v>
      </c>
      <c r="AA322">
        <v>0.31</v>
      </c>
      <c r="AB322">
        <v>96.565661989999995</v>
      </c>
    </row>
    <row r="323" spans="1:29" x14ac:dyDescent="0.25">
      <c r="A323">
        <v>322</v>
      </c>
      <c r="B323" t="s">
        <v>838</v>
      </c>
      <c r="D323" t="s">
        <v>413</v>
      </c>
      <c r="E323">
        <v>4</v>
      </c>
      <c r="F323" t="s">
        <v>414</v>
      </c>
      <c r="G323" s="2">
        <v>43295</v>
      </c>
      <c r="H323" t="s">
        <v>201</v>
      </c>
      <c r="I323">
        <v>9.6999999999999993</v>
      </c>
      <c r="K323">
        <v>0.08</v>
      </c>
      <c r="L323">
        <v>10</v>
      </c>
      <c r="M323">
        <v>7.3898113189999997</v>
      </c>
      <c r="Q323">
        <v>0</v>
      </c>
      <c r="S323" t="s">
        <v>204</v>
      </c>
      <c r="T323" t="s">
        <v>141</v>
      </c>
      <c r="U323">
        <v>134.68</v>
      </c>
      <c r="V323">
        <v>59.06</v>
      </c>
      <c r="W323">
        <v>6247.2147000000004</v>
      </c>
      <c r="X323">
        <v>6247.2147000000004</v>
      </c>
      <c r="Y323">
        <v>0.25</v>
      </c>
      <c r="Z323">
        <v>0.28000000000000003</v>
      </c>
      <c r="AA323">
        <v>0.27</v>
      </c>
      <c r="AB323">
        <v>92.372641490000007</v>
      </c>
    </row>
    <row r="324" spans="1:29" x14ac:dyDescent="0.25">
      <c r="A324">
        <v>323</v>
      </c>
      <c r="B324" t="s">
        <v>839</v>
      </c>
      <c r="D324" t="s">
        <v>836</v>
      </c>
      <c r="E324">
        <v>5</v>
      </c>
      <c r="F324" t="s">
        <v>837</v>
      </c>
      <c r="G324" s="2">
        <v>43295</v>
      </c>
      <c r="H324" t="s">
        <v>201</v>
      </c>
      <c r="I324">
        <v>7.1</v>
      </c>
      <c r="K324">
        <v>2.5000000000000001E-2</v>
      </c>
      <c r="L324">
        <v>10</v>
      </c>
      <c r="M324">
        <v>3.959192142</v>
      </c>
      <c r="Q324">
        <v>0</v>
      </c>
      <c r="S324" t="s">
        <v>204</v>
      </c>
      <c r="T324" t="s">
        <v>141</v>
      </c>
      <c r="U324">
        <v>99.45</v>
      </c>
      <c r="V324">
        <v>40.090000000000003</v>
      </c>
      <c r="W324">
        <v>3131.3436000000002</v>
      </c>
      <c r="X324">
        <v>3131.3436000000002</v>
      </c>
      <c r="Y324">
        <v>0.31</v>
      </c>
      <c r="Z324">
        <v>0.21</v>
      </c>
      <c r="AA324">
        <v>0.27</v>
      </c>
      <c r="AB324">
        <v>158.36768570000001</v>
      </c>
    </row>
    <row r="325" spans="1:29" x14ac:dyDescent="0.25">
      <c r="A325">
        <v>324</v>
      </c>
      <c r="B325" t="s">
        <v>840</v>
      </c>
      <c r="D325" t="s">
        <v>368</v>
      </c>
      <c r="E325">
        <v>6</v>
      </c>
      <c r="F325" t="s">
        <v>379</v>
      </c>
      <c r="G325" s="2">
        <v>43295</v>
      </c>
      <c r="H325" t="s">
        <v>201</v>
      </c>
      <c r="I325">
        <v>7.1</v>
      </c>
      <c r="K325">
        <v>3.2000000000000001E-2</v>
      </c>
      <c r="L325">
        <v>10</v>
      </c>
      <c r="M325">
        <v>3.959192142</v>
      </c>
      <c r="Q325">
        <v>0</v>
      </c>
      <c r="S325" t="s">
        <v>204</v>
      </c>
      <c r="T325" t="s">
        <v>141</v>
      </c>
      <c r="U325">
        <v>70.48</v>
      </c>
      <c r="V325">
        <v>24.51</v>
      </c>
      <c r="W325">
        <v>1356.7476810000001</v>
      </c>
      <c r="X325">
        <v>1356.7476810000001</v>
      </c>
      <c r="Y325">
        <v>0.14000000000000001</v>
      </c>
      <c r="Z325">
        <v>0.15</v>
      </c>
      <c r="AA325">
        <v>0.15</v>
      </c>
      <c r="AB325">
        <v>123.72475439999999</v>
      </c>
    </row>
    <row r="326" spans="1:29" x14ac:dyDescent="0.25">
      <c r="A326">
        <v>325</v>
      </c>
      <c r="B326" t="s">
        <v>841</v>
      </c>
      <c r="D326" t="s">
        <v>398</v>
      </c>
      <c r="E326">
        <v>6</v>
      </c>
      <c r="F326" t="s">
        <v>299</v>
      </c>
      <c r="G326" s="2">
        <v>43295</v>
      </c>
      <c r="H326" t="s">
        <v>201</v>
      </c>
      <c r="I326">
        <v>9.6999999999999993</v>
      </c>
      <c r="K326">
        <v>7.2999999999999995E-2</v>
      </c>
      <c r="L326">
        <v>10</v>
      </c>
      <c r="M326">
        <v>7.3898113189999997</v>
      </c>
      <c r="Q326">
        <v>0</v>
      </c>
      <c r="S326" t="s">
        <v>210</v>
      </c>
      <c r="T326">
        <v>6</v>
      </c>
      <c r="U326">
        <v>68.22</v>
      </c>
      <c r="V326">
        <v>33.340000000000003</v>
      </c>
      <c r="W326">
        <v>1786.352623</v>
      </c>
      <c r="X326">
        <v>10718.115739999999</v>
      </c>
      <c r="Y326">
        <v>0.16</v>
      </c>
      <c r="Z326">
        <v>0.18</v>
      </c>
      <c r="AA326">
        <v>0.17</v>
      </c>
      <c r="AB326">
        <v>101.23029200000001</v>
      </c>
    </row>
    <row r="327" spans="1:29" x14ac:dyDescent="0.25">
      <c r="A327">
        <v>326</v>
      </c>
      <c r="B327" t="s">
        <v>842</v>
      </c>
      <c r="D327" t="s">
        <v>413</v>
      </c>
      <c r="E327">
        <v>3</v>
      </c>
      <c r="F327" t="s">
        <v>414</v>
      </c>
      <c r="G327" s="2">
        <v>43295</v>
      </c>
      <c r="H327" t="s">
        <v>201</v>
      </c>
      <c r="I327">
        <v>9.6999999999999993</v>
      </c>
      <c r="K327">
        <v>4.9000000000000002E-2</v>
      </c>
      <c r="L327">
        <v>10</v>
      </c>
      <c r="M327">
        <v>7.3898113189999997</v>
      </c>
      <c r="Q327">
        <v>0</v>
      </c>
      <c r="S327" t="s">
        <v>204</v>
      </c>
      <c r="T327" t="s">
        <v>141</v>
      </c>
      <c r="U327">
        <v>195.81</v>
      </c>
      <c r="V327">
        <v>76.239999999999995</v>
      </c>
      <c r="W327">
        <v>11724.859210000001</v>
      </c>
      <c r="X327">
        <v>11724.859210000001</v>
      </c>
      <c r="Y327">
        <v>0.22</v>
      </c>
      <c r="Z327">
        <v>0.24</v>
      </c>
      <c r="AA327">
        <v>0.21</v>
      </c>
      <c r="AB327">
        <v>150.81247590000001</v>
      </c>
    </row>
    <row r="328" spans="1:29" x14ac:dyDescent="0.25">
      <c r="A328">
        <v>327</v>
      </c>
      <c r="B328" t="s">
        <v>843</v>
      </c>
      <c r="D328" t="s">
        <v>844</v>
      </c>
      <c r="E328">
        <v>4</v>
      </c>
      <c r="F328" t="s">
        <v>845</v>
      </c>
      <c r="G328" s="2">
        <v>43295</v>
      </c>
      <c r="H328" t="s">
        <v>201</v>
      </c>
      <c r="I328">
        <v>9.6999999999999993</v>
      </c>
      <c r="K328">
        <v>5.1999999999999998E-2</v>
      </c>
      <c r="L328">
        <v>10</v>
      </c>
      <c r="M328">
        <v>7.3898113189999997</v>
      </c>
      <c r="Q328">
        <v>0</v>
      </c>
      <c r="S328" t="s">
        <v>204</v>
      </c>
      <c r="T328" t="s">
        <v>141</v>
      </c>
      <c r="U328">
        <v>148.96</v>
      </c>
      <c r="V328">
        <v>44.15</v>
      </c>
      <c r="W328">
        <v>5165.2369950000002</v>
      </c>
      <c r="X328">
        <v>5165.2369950000002</v>
      </c>
      <c r="Y328">
        <v>0.2</v>
      </c>
      <c r="Z328">
        <v>0.2</v>
      </c>
      <c r="AA328">
        <v>0.21</v>
      </c>
      <c r="AB328">
        <v>142.11175610000001</v>
      </c>
    </row>
    <row r="329" spans="1:29" x14ac:dyDescent="0.25">
      <c r="A329">
        <v>328</v>
      </c>
      <c r="B329" t="s">
        <v>846</v>
      </c>
      <c r="D329" t="s">
        <v>847</v>
      </c>
      <c r="E329">
        <v>3</v>
      </c>
      <c r="F329" t="s">
        <v>848</v>
      </c>
      <c r="G329" s="2">
        <v>43295</v>
      </c>
      <c r="H329" t="s">
        <v>201</v>
      </c>
      <c r="I329">
        <v>7.1</v>
      </c>
      <c r="K329">
        <v>0.03</v>
      </c>
      <c r="L329">
        <v>10</v>
      </c>
      <c r="M329">
        <v>3.959192142</v>
      </c>
      <c r="Q329">
        <v>0</v>
      </c>
      <c r="S329" t="s">
        <v>204</v>
      </c>
      <c r="T329" t="s">
        <v>141</v>
      </c>
      <c r="U329">
        <v>109.32</v>
      </c>
      <c r="V329">
        <v>57.92</v>
      </c>
      <c r="W329">
        <v>4972.9954010000001</v>
      </c>
      <c r="X329">
        <v>4972.9954010000001</v>
      </c>
      <c r="Y329">
        <v>0.25</v>
      </c>
      <c r="Z329">
        <v>0.19</v>
      </c>
      <c r="AA329">
        <v>0.21</v>
      </c>
      <c r="AB329">
        <v>131.97307140000001</v>
      </c>
    </row>
    <row r="330" spans="1:29" x14ac:dyDescent="0.25">
      <c r="A330">
        <v>329</v>
      </c>
      <c r="B330" t="s">
        <v>849</v>
      </c>
      <c r="D330" t="s">
        <v>850</v>
      </c>
      <c r="E330">
        <v>1</v>
      </c>
      <c r="F330" t="s">
        <v>851</v>
      </c>
      <c r="G330" s="2">
        <v>43295</v>
      </c>
      <c r="H330" t="s">
        <v>201</v>
      </c>
      <c r="I330">
        <v>7.1</v>
      </c>
      <c r="K330">
        <v>2.5999999999999999E-2</v>
      </c>
      <c r="L330">
        <v>10</v>
      </c>
      <c r="M330">
        <v>3.959192142</v>
      </c>
      <c r="Q330">
        <v>0</v>
      </c>
      <c r="S330" t="s">
        <v>204</v>
      </c>
      <c r="T330" t="s">
        <v>141</v>
      </c>
      <c r="U330">
        <v>169.67</v>
      </c>
      <c r="V330">
        <v>47.2</v>
      </c>
      <c r="W330">
        <v>6289.8015009999999</v>
      </c>
      <c r="X330">
        <v>6289.8015009999999</v>
      </c>
      <c r="Y330">
        <v>0.19</v>
      </c>
      <c r="Z330">
        <v>0.19</v>
      </c>
      <c r="AA330">
        <v>0.18</v>
      </c>
      <c r="AB330">
        <v>152.27662079999999</v>
      </c>
    </row>
    <row r="331" spans="1:29" x14ac:dyDescent="0.25">
      <c r="A331">
        <v>330</v>
      </c>
      <c r="B331" t="s">
        <v>852</v>
      </c>
      <c r="D331" t="s">
        <v>847</v>
      </c>
      <c r="E331">
        <v>5</v>
      </c>
      <c r="F331" t="s">
        <v>848</v>
      </c>
      <c r="G331" s="2">
        <v>43295</v>
      </c>
      <c r="H331" t="s">
        <v>201</v>
      </c>
      <c r="I331">
        <v>9.6999999999999993</v>
      </c>
      <c r="K331">
        <v>6.2E-2</v>
      </c>
      <c r="L331">
        <v>10</v>
      </c>
      <c r="M331">
        <v>7.3898113189999997</v>
      </c>
      <c r="Q331">
        <v>0</v>
      </c>
      <c r="S331" t="s">
        <v>204</v>
      </c>
      <c r="T331" t="s">
        <v>141</v>
      </c>
      <c r="U331">
        <v>119.18</v>
      </c>
      <c r="V331">
        <v>56.58</v>
      </c>
      <c r="W331">
        <v>5296.100351</v>
      </c>
      <c r="X331">
        <v>5296.100351</v>
      </c>
      <c r="Y331">
        <v>0.27</v>
      </c>
      <c r="Z331">
        <v>0.3</v>
      </c>
      <c r="AA331">
        <v>0.28000000000000003</v>
      </c>
      <c r="AB331">
        <v>119.1905052</v>
      </c>
    </row>
    <row r="332" spans="1:29" x14ac:dyDescent="0.25">
      <c r="A332">
        <v>331</v>
      </c>
      <c r="B332" t="s">
        <v>853</v>
      </c>
      <c r="D332" t="s">
        <v>844</v>
      </c>
      <c r="E332">
        <v>3</v>
      </c>
      <c r="F332" t="s">
        <v>845</v>
      </c>
      <c r="G332" s="2">
        <v>43295</v>
      </c>
      <c r="H332" t="s">
        <v>201</v>
      </c>
      <c r="I332">
        <v>7.1</v>
      </c>
      <c r="K332">
        <v>2.8000000000000001E-2</v>
      </c>
      <c r="L332">
        <v>10</v>
      </c>
      <c r="M332">
        <v>3.959192142</v>
      </c>
      <c r="Q332">
        <v>0</v>
      </c>
      <c r="S332" t="s">
        <v>204</v>
      </c>
      <c r="T332" t="s">
        <v>141</v>
      </c>
      <c r="U332">
        <v>91.35</v>
      </c>
      <c r="V332">
        <v>25.76</v>
      </c>
      <c r="W332">
        <v>1848.1801089999999</v>
      </c>
      <c r="X332">
        <v>1848.1801089999999</v>
      </c>
      <c r="Y332">
        <v>0.17</v>
      </c>
      <c r="Z332">
        <v>0.17</v>
      </c>
      <c r="AA332">
        <v>0.2</v>
      </c>
      <c r="AB332">
        <v>141.39971929999999</v>
      </c>
    </row>
    <row r="333" spans="1:29" x14ac:dyDescent="0.25">
      <c r="A333">
        <v>332</v>
      </c>
      <c r="B333" t="s">
        <v>854</v>
      </c>
      <c r="D333" t="s">
        <v>836</v>
      </c>
      <c r="E333">
        <v>4</v>
      </c>
      <c r="F333" t="s">
        <v>837</v>
      </c>
      <c r="G333" s="2">
        <v>43295</v>
      </c>
      <c r="H333" t="s">
        <v>201</v>
      </c>
      <c r="I333">
        <v>9.6999999999999993</v>
      </c>
      <c r="K333">
        <v>3.3000000000000002E-2</v>
      </c>
      <c r="L333">
        <v>10</v>
      </c>
      <c r="M333">
        <v>7.3898113189999997</v>
      </c>
      <c r="Q333">
        <v>0</v>
      </c>
      <c r="S333" t="s">
        <v>204</v>
      </c>
      <c r="T333" t="s">
        <v>141</v>
      </c>
      <c r="U333">
        <v>113.77</v>
      </c>
      <c r="V333">
        <v>49.91</v>
      </c>
      <c r="W333">
        <v>4459.6955250000001</v>
      </c>
      <c r="X333">
        <v>4459.6955250000001</v>
      </c>
      <c r="Y333">
        <v>0.26</v>
      </c>
      <c r="Z333">
        <v>0.26</v>
      </c>
      <c r="AA333">
        <v>0.28000000000000003</v>
      </c>
      <c r="AB333">
        <v>223.9336763</v>
      </c>
    </row>
    <row r="334" spans="1:29" x14ac:dyDescent="0.25">
      <c r="A334">
        <v>333</v>
      </c>
      <c r="B334" t="s">
        <v>855</v>
      </c>
      <c r="D334" t="s">
        <v>847</v>
      </c>
      <c r="E334">
        <v>4</v>
      </c>
      <c r="F334" t="s">
        <v>848</v>
      </c>
      <c r="G334" s="2">
        <v>43295</v>
      </c>
      <c r="H334" t="s">
        <v>201</v>
      </c>
      <c r="I334">
        <v>9.6999999999999993</v>
      </c>
      <c r="K334">
        <v>5.1999999999999998E-2</v>
      </c>
      <c r="L334">
        <v>10</v>
      </c>
      <c r="M334">
        <v>7.3898113189999997</v>
      </c>
      <c r="Q334">
        <v>0</v>
      </c>
      <c r="S334" t="s">
        <v>204</v>
      </c>
      <c r="T334" t="s">
        <v>141</v>
      </c>
      <c r="U334">
        <v>176.58</v>
      </c>
      <c r="V334">
        <v>89.63</v>
      </c>
      <c r="W334">
        <v>12430.391019999999</v>
      </c>
      <c r="X334">
        <v>12430.391019999999</v>
      </c>
      <c r="Y334">
        <v>0.31</v>
      </c>
      <c r="Z334">
        <v>0.27</v>
      </c>
      <c r="AA334">
        <v>0.27</v>
      </c>
      <c r="AB334">
        <v>142.11175610000001</v>
      </c>
    </row>
    <row r="335" spans="1:29" x14ac:dyDescent="0.25">
      <c r="A335">
        <v>334</v>
      </c>
      <c r="B335" t="s">
        <v>915</v>
      </c>
      <c r="D335" t="s">
        <v>847</v>
      </c>
      <c r="E335">
        <v>6</v>
      </c>
      <c r="F335" t="s">
        <v>848</v>
      </c>
      <c r="G335" s="2">
        <v>43295</v>
      </c>
      <c r="H335" t="s">
        <v>201</v>
      </c>
      <c r="I335">
        <v>9.6999999999999993</v>
      </c>
      <c r="K335">
        <v>7.8E-2</v>
      </c>
      <c r="L335">
        <v>10</v>
      </c>
      <c r="M335">
        <v>7.3898113189999997</v>
      </c>
      <c r="Q335">
        <v>0</v>
      </c>
      <c r="S335" t="s">
        <v>204</v>
      </c>
      <c r="T335" t="s">
        <v>141</v>
      </c>
      <c r="U335">
        <v>132.29</v>
      </c>
      <c r="V335">
        <v>57.32</v>
      </c>
      <c r="W335">
        <v>5955.5665159999999</v>
      </c>
      <c r="X335">
        <v>5955.5665159999999</v>
      </c>
      <c r="Y335">
        <v>0.24</v>
      </c>
      <c r="Z335">
        <v>0.25</v>
      </c>
      <c r="AA335">
        <v>0.23</v>
      </c>
      <c r="AB335">
        <v>94.741170760000003</v>
      </c>
      <c r="AC335" t="s">
        <v>865</v>
      </c>
    </row>
    <row r="336" spans="1:29" x14ac:dyDescent="0.25">
      <c r="A336">
        <v>335</v>
      </c>
      <c r="B336" t="s">
        <v>856</v>
      </c>
      <c r="D336" t="s">
        <v>836</v>
      </c>
      <c r="E336">
        <v>3</v>
      </c>
      <c r="F336" t="s">
        <v>837</v>
      </c>
      <c r="G336" s="2">
        <v>43295</v>
      </c>
      <c r="H336" t="s">
        <v>201</v>
      </c>
      <c r="I336">
        <v>7.1</v>
      </c>
      <c r="K336">
        <v>0.03</v>
      </c>
      <c r="L336">
        <v>10</v>
      </c>
      <c r="M336">
        <v>3.959192142</v>
      </c>
      <c r="Q336">
        <v>0</v>
      </c>
      <c r="S336" t="s">
        <v>204</v>
      </c>
      <c r="T336" t="s">
        <v>141</v>
      </c>
      <c r="U336">
        <v>59.71</v>
      </c>
      <c r="V336">
        <v>40.06</v>
      </c>
      <c r="W336">
        <v>1878.658741</v>
      </c>
      <c r="X336">
        <v>1878.658741</v>
      </c>
      <c r="Y336">
        <v>0.28000000000000003</v>
      </c>
      <c r="Z336">
        <v>0.25</v>
      </c>
      <c r="AA336">
        <v>0.28999999999999998</v>
      </c>
      <c r="AB336">
        <v>131.97307140000001</v>
      </c>
    </row>
    <row r="337" spans="1:29" x14ac:dyDescent="0.25">
      <c r="A337">
        <v>336</v>
      </c>
      <c r="B337" t="s">
        <v>857</v>
      </c>
      <c r="D337" t="s">
        <v>844</v>
      </c>
      <c r="E337">
        <v>1</v>
      </c>
      <c r="F337" t="s">
        <v>845</v>
      </c>
      <c r="G337" s="2">
        <v>43295</v>
      </c>
      <c r="H337" t="s">
        <v>201</v>
      </c>
      <c r="I337">
        <v>7.1</v>
      </c>
      <c r="K337">
        <v>3.2000000000000001E-2</v>
      </c>
      <c r="L337">
        <v>10</v>
      </c>
      <c r="M337">
        <v>3.959192142</v>
      </c>
      <c r="Q337">
        <v>0</v>
      </c>
      <c r="S337" t="s">
        <v>204</v>
      </c>
      <c r="T337" t="s">
        <v>141</v>
      </c>
      <c r="U337">
        <v>142.93</v>
      </c>
      <c r="V337">
        <v>32.99</v>
      </c>
      <c r="W337">
        <v>3703.357094</v>
      </c>
      <c r="X337">
        <v>3703.357094</v>
      </c>
      <c r="Y337">
        <v>0.22</v>
      </c>
      <c r="Z337">
        <v>0.21</v>
      </c>
      <c r="AA337">
        <v>0.19</v>
      </c>
      <c r="AB337">
        <v>123.72475439999999</v>
      </c>
    </row>
    <row r="338" spans="1:29" x14ac:dyDescent="0.25">
      <c r="A338">
        <v>337</v>
      </c>
      <c r="B338" t="s">
        <v>858</v>
      </c>
      <c r="D338" t="s">
        <v>859</v>
      </c>
      <c r="E338">
        <v>1</v>
      </c>
      <c r="F338" t="s">
        <v>860</v>
      </c>
      <c r="G338" s="2">
        <v>43295</v>
      </c>
      <c r="H338" t="s">
        <v>201</v>
      </c>
      <c r="I338">
        <v>9.6999999999999993</v>
      </c>
      <c r="K338">
        <v>0.106</v>
      </c>
      <c r="L338">
        <v>10</v>
      </c>
      <c r="M338">
        <v>7.3898113189999997</v>
      </c>
      <c r="Q338">
        <v>0</v>
      </c>
      <c r="S338" t="s">
        <v>204</v>
      </c>
      <c r="T338" t="s">
        <v>141</v>
      </c>
      <c r="U338">
        <v>108.59</v>
      </c>
      <c r="V338">
        <v>48.19</v>
      </c>
      <c r="W338">
        <v>4109.9509680000001</v>
      </c>
      <c r="X338">
        <v>4109.9509680000001</v>
      </c>
      <c r="Y338">
        <v>0.39</v>
      </c>
      <c r="Z338">
        <v>0.43</v>
      </c>
      <c r="AA338">
        <v>0.43</v>
      </c>
      <c r="AB338">
        <v>69.715201129999997</v>
      </c>
    </row>
    <row r="339" spans="1:29" x14ac:dyDescent="0.25">
      <c r="A339">
        <v>338</v>
      </c>
      <c r="B339" t="s">
        <v>861</v>
      </c>
      <c r="D339" t="s">
        <v>847</v>
      </c>
      <c r="E339">
        <v>2</v>
      </c>
      <c r="F339" t="s">
        <v>848</v>
      </c>
      <c r="G339" s="2">
        <v>43295</v>
      </c>
      <c r="H339" t="s">
        <v>201</v>
      </c>
      <c r="I339">
        <v>7.1</v>
      </c>
      <c r="K339">
        <v>4.2999999999999997E-2</v>
      </c>
      <c r="L339">
        <v>10</v>
      </c>
      <c r="M339">
        <v>3.959192142</v>
      </c>
      <c r="Q339">
        <v>0</v>
      </c>
      <c r="S339" t="s">
        <v>204</v>
      </c>
      <c r="T339" t="s">
        <v>141</v>
      </c>
      <c r="U339">
        <v>74.989999999999995</v>
      </c>
      <c r="V339">
        <v>24.19</v>
      </c>
      <c r="W339">
        <v>1424.7186300000001</v>
      </c>
      <c r="X339">
        <v>1424.7186300000001</v>
      </c>
      <c r="Y339">
        <v>0.26</v>
      </c>
      <c r="Z339">
        <v>0.25</v>
      </c>
      <c r="AA339">
        <v>0.26</v>
      </c>
      <c r="AB339">
        <v>92.074235849999994</v>
      </c>
    </row>
    <row r="340" spans="1:29" x14ac:dyDescent="0.25">
      <c r="A340">
        <v>339</v>
      </c>
      <c r="B340" t="s">
        <v>862</v>
      </c>
      <c r="D340" t="s">
        <v>847</v>
      </c>
      <c r="E340">
        <v>1</v>
      </c>
      <c r="F340" t="s">
        <v>848</v>
      </c>
      <c r="G340" s="2">
        <v>43295</v>
      </c>
      <c r="H340" t="s">
        <v>201</v>
      </c>
      <c r="I340">
        <v>9.6999999999999993</v>
      </c>
      <c r="K340">
        <v>6.3E-2</v>
      </c>
      <c r="L340">
        <v>10</v>
      </c>
      <c r="M340">
        <v>7.3898113189999997</v>
      </c>
      <c r="Q340">
        <v>0</v>
      </c>
      <c r="S340" t="s">
        <v>204</v>
      </c>
      <c r="T340" t="s">
        <v>141</v>
      </c>
      <c r="U340">
        <v>144.97</v>
      </c>
      <c r="V340">
        <v>52.8</v>
      </c>
      <c r="W340">
        <v>6011.7642679999999</v>
      </c>
      <c r="X340">
        <v>6011.7642679999999</v>
      </c>
      <c r="Y340">
        <v>0.25</v>
      </c>
      <c r="Z340">
        <v>0.26</v>
      </c>
      <c r="AA340">
        <v>0.25</v>
      </c>
      <c r="AB340">
        <v>117.2985924</v>
      </c>
    </row>
    <row r="341" spans="1:29" x14ac:dyDescent="0.25">
      <c r="A341">
        <v>340</v>
      </c>
      <c r="B341" t="s">
        <v>866</v>
      </c>
      <c r="D341" t="s">
        <v>844</v>
      </c>
      <c r="E341">
        <v>2</v>
      </c>
      <c r="F341" t="s">
        <v>845</v>
      </c>
      <c r="G341" s="2">
        <v>43295</v>
      </c>
      <c r="H341" t="s">
        <v>201</v>
      </c>
      <c r="I341">
        <v>7.1</v>
      </c>
      <c r="K341">
        <v>4.1000000000000002E-2</v>
      </c>
      <c r="L341">
        <v>10</v>
      </c>
      <c r="M341">
        <v>3.959192142</v>
      </c>
      <c r="Q341">
        <v>0</v>
      </c>
      <c r="S341" t="s">
        <v>204</v>
      </c>
      <c r="T341" t="s">
        <v>141</v>
      </c>
      <c r="U341">
        <v>77.92</v>
      </c>
      <c r="V341">
        <v>21.18</v>
      </c>
      <c r="W341">
        <v>1296.1784029999999</v>
      </c>
      <c r="X341">
        <v>1296.1784029999999</v>
      </c>
      <c r="Y341">
        <v>0.24</v>
      </c>
      <c r="Z341">
        <v>0.26</v>
      </c>
      <c r="AA341">
        <v>0.22</v>
      </c>
      <c r="AB341">
        <v>96.565661989999995</v>
      </c>
    </row>
    <row r="342" spans="1:29" x14ac:dyDescent="0.25">
      <c r="A342">
        <v>341</v>
      </c>
      <c r="B342" t="s">
        <v>916</v>
      </c>
      <c r="D342" t="s">
        <v>844</v>
      </c>
      <c r="E342">
        <v>6</v>
      </c>
      <c r="F342" t="s">
        <v>845</v>
      </c>
      <c r="G342" s="2">
        <v>43295</v>
      </c>
      <c r="H342" t="s">
        <v>201</v>
      </c>
      <c r="I342">
        <v>7.1</v>
      </c>
      <c r="K342">
        <v>0.04</v>
      </c>
      <c r="L342">
        <v>10</v>
      </c>
      <c r="M342">
        <v>3.959192142</v>
      </c>
      <c r="Q342">
        <v>0</v>
      </c>
      <c r="S342" t="s">
        <v>204</v>
      </c>
      <c r="T342" t="s">
        <v>141</v>
      </c>
      <c r="U342">
        <v>107.58</v>
      </c>
      <c r="V342">
        <v>26.51</v>
      </c>
      <c r="W342">
        <v>2239.9129929999999</v>
      </c>
      <c r="X342">
        <v>2239.9129929999999</v>
      </c>
      <c r="Y342">
        <v>0.27</v>
      </c>
      <c r="Z342">
        <v>0.27</v>
      </c>
      <c r="AA342">
        <v>0.24</v>
      </c>
      <c r="AB342">
        <v>98.979803540000006</v>
      </c>
      <c r="AC342" t="s">
        <v>863</v>
      </c>
    </row>
    <row r="343" spans="1:29" x14ac:dyDescent="0.25">
      <c r="A343">
        <v>342</v>
      </c>
      <c r="B343" t="s">
        <v>864</v>
      </c>
      <c r="D343" t="s">
        <v>836</v>
      </c>
      <c r="E343">
        <v>1</v>
      </c>
      <c r="F343" t="s">
        <v>837</v>
      </c>
      <c r="G343" s="2">
        <v>43295</v>
      </c>
      <c r="H343" t="s">
        <v>201</v>
      </c>
      <c r="I343">
        <v>7.1</v>
      </c>
      <c r="K343">
        <v>3.7999999999999999E-2</v>
      </c>
      <c r="L343">
        <v>10</v>
      </c>
      <c r="M343">
        <v>3.959192142</v>
      </c>
      <c r="Q343">
        <v>0</v>
      </c>
      <c r="S343" t="s">
        <v>204</v>
      </c>
      <c r="T343" t="s">
        <v>141</v>
      </c>
      <c r="U343">
        <v>76.64</v>
      </c>
      <c r="V343">
        <v>36.94</v>
      </c>
      <c r="W343">
        <v>2223.5262889999999</v>
      </c>
      <c r="X343">
        <v>2223.5262889999999</v>
      </c>
      <c r="Y343">
        <v>0.25</v>
      </c>
      <c r="Z343">
        <v>0.34</v>
      </c>
      <c r="AA343">
        <v>0.32</v>
      </c>
      <c r="AB343">
        <v>104.18926690000001</v>
      </c>
    </row>
    <row r="344" spans="1:29" x14ac:dyDescent="0.25">
      <c r="A344">
        <v>343</v>
      </c>
      <c r="B344" t="s">
        <v>868</v>
      </c>
      <c r="D344" t="s">
        <v>869</v>
      </c>
      <c r="E344">
        <v>1</v>
      </c>
      <c r="F344" t="s">
        <v>870</v>
      </c>
      <c r="G344" s="2">
        <v>43296</v>
      </c>
      <c r="H344" t="s">
        <v>201</v>
      </c>
      <c r="I344">
        <v>7.1</v>
      </c>
      <c r="K344">
        <v>0.03</v>
      </c>
      <c r="L344">
        <v>10</v>
      </c>
      <c r="M344">
        <v>3.959192142</v>
      </c>
      <c r="Q344">
        <v>0</v>
      </c>
      <c r="S344" t="s">
        <v>204</v>
      </c>
      <c r="T344" t="s">
        <v>141</v>
      </c>
      <c r="U344">
        <v>67.540000000000006</v>
      </c>
      <c r="V344">
        <v>55.21</v>
      </c>
      <c r="W344">
        <v>2928.6581740000001</v>
      </c>
      <c r="X344">
        <v>2928.6581740000001</v>
      </c>
      <c r="Y344">
        <v>0.25</v>
      </c>
      <c r="Z344">
        <v>0.28000000000000003</v>
      </c>
      <c r="AA344">
        <v>0.27</v>
      </c>
      <c r="AB344">
        <v>131.97307140000001</v>
      </c>
      <c r="AC344" t="s">
        <v>891</v>
      </c>
    </row>
    <row r="345" spans="1:29" x14ac:dyDescent="0.25">
      <c r="A345">
        <v>344</v>
      </c>
      <c r="B345" t="s">
        <v>871</v>
      </c>
      <c r="D345" t="s">
        <v>593</v>
      </c>
      <c r="E345">
        <v>5</v>
      </c>
      <c r="F345" t="s">
        <v>594</v>
      </c>
      <c r="G345" s="2">
        <v>43296</v>
      </c>
      <c r="H345" t="s">
        <v>201</v>
      </c>
      <c r="I345">
        <v>9.6999999999999993</v>
      </c>
      <c r="K345">
        <v>6.8000000000000005E-2</v>
      </c>
      <c r="L345">
        <v>10</v>
      </c>
      <c r="M345">
        <v>7.3898113189999997</v>
      </c>
      <c r="Q345">
        <v>0</v>
      </c>
      <c r="S345" t="s">
        <v>210</v>
      </c>
      <c r="T345">
        <v>5</v>
      </c>
      <c r="U345">
        <v>87.36</v>
      </c>
      <c r="V345">
        <v>20.54</v>
      </c>
      <c r="W345">
        <v>1409.298358</v>
      </c>
      <c r="X345">
        <v>7046.4917910000004</v>
      </c>
      <c r="Y345">
        <v>0.23</v>
      </c>
      <c r="Z345">
        <v>0.26</v>
      </c>
      <c r="AA345">
        <v>0.23</v>
      </c>
      <c r="AB345">
        <v>108.6736959</v>
      </c>
      <c r="AC345" t="s">
        <v>891</v>
      </c>
    </row>
    <row r="346" spans="1:29" x14ac:dyDescent="0.25">
      <c r="A346">
        <v>345</v>
      </c>
      <c r="B346" t="s">
        <v>872</v>
      </c>
      <c r="D346" t="s">
        <v>516</v>
      </c>
      <c r="E346">
        <v>5</v>
      </c>
      <c r="F346" t="s">
        <v>517</v>
      </c>
      <c r="G346" s="2">
        <v>43296</v>
      </c>
      <c r="H346" t="s">
        <v>201</v>
      </c>
      <c r="I346">
        <v>9.6999999999999993</v>
      </c>
      <c r="K346">
        <v>5.2999999999999999E-2</v>
      </c>
      <c r="L346">
        <v>10</v>
      </c>
      <c r="M346">
        <v>7.3898113189999997</v>
      </c>
      <c r="Q346">
        <v>0</v>
      </c>
      <c r="S346" t="s">
        <v>204</v>
      </c>
      <c r="T346" t="s">
        <v>141</v>
      </c>
      <c r="U346">
        <v>97.36</v>
      </c>
      <c r="V346">
        <v>31.13</v>
      </c>
      <c r="W346">
        <v>2380.3979479999998</v>
      </c>
      <c r="X346">
        <v>2380.3979479999998</v>
      </c>
      <c r="Y346">
        <v>0.23</v>
      </c>
      <c r="Z346">
        <v>0.24</v>
      </c>
      <c r="AA346">
        <v>0.22</v>
      </c>
      <c r="AB346">
        <v>139.4304023</v>
      </c>
      <c r="AC346">
        <v>2699</v>
      </c>
    </row>
    <row r="347" spans="1:29" x14ac:dyDescent="0.25">
      <c r="A347">
        <v>346</v>
      </c>
      <c r="B347" t="s">
        <v>888</v>
      </c>
      <c r="D347" t="s">
        <v>889</v>
      </c>
      <c r="E347">
        <v>1</v>
      </c>
      <c r="F347" t="s">
        <v>890</v>
      </c>
      <c r="G347" s="2">
        <v>43296</v>
      </c>
      <c r="H347" t="s">
        <v>201</v>
      </c>
      <c r="I347">
        <v>9.6999999999999993</v>
      </c>
      <c r="K347">
        <v>8.5000000000000006E-2</v>
      </c>
      <c r="L347">
        <v>10</v>
      </c>
      <c r="M347">
        <v>7.3898113189999997</v>
      </c>
      <c r="AB347">
        <v>86.938956700000006</v>
      </c>
      <c r="AC347" t="s">
        <v>1115</v>
      </c>
    </row>
    <row r="348" spans="1:29" x14ac:dyDescent="0.25">
      <c r="A348">
        <v>347</v>
      </c>
      <c r="B348" t="s">
        <v>873</v>
      </c>
      <c r="D348" t="s">
        <v>342</v>
      </c>
      <c r="E348">
        <v>5</v>
      </c>
      <c r="F348" t="s">
        <v>373</v>
      </c>
      <c r="G348" s="2">
        <v>43296</v>
      </c>
      <c r="H348" t="s">
        <v>201</v>
      </c>
      <c r="I348">
        <v>7.1</v>
      </c>
      <c r="K348">
        <v>0.03</v>
      </c>
      <c r="L348">
        <v>10</v>
      </c>
      <c r="M348">
        <v>3.959192142</v>
      </c>
      <c r="Q348">
        <v>0</v>
      </c>
      <c r="S348" t="s">
        <v>210</v>
      </c>
      <c r="T348">
        <v>5</v>
      </c>
      <c r="U348">
        <v>110.52</v>
      </c>
      <c r="V348">
        <v>63.73</v>
      </c>
      <c r="W348">
        <v>5531.9045260000003</v>
      </c>
      <c r="X348">
        <v>27659.522629999999</v>
      </c>
      <c r="Y348">
        <v>0.36</v>
      </c>
      <c r="Z348">
        <v>0.37</v>
      </c>
      <c r="AA348">
        <v>0.37</v>
      </c>
      <c r="AB348">
        <v>131.97307140000001</v>
      </c>
      <c r="AC348">
        <v>2743</v>
      </c>
    </row>
    <row r="349" spans="1:29" x14ac:dyDescent="0.25">
      <c r="A349">
        <v>348</v>
      </c>
      <c r="B349" t="s">
        <v>875</v>
      </c>
      <c r="D349" t="s">
        <v>876</v>
      </c>
      <c r="E349">
        <v>1</v>
      </c>
      <c r="F349" t="s">
        <v>877</v>
      </c>
      <c r="G349" s="2">
        <v>43296</v>
      </c>
      <c r="H349" t="s">
        <v>201</v>
      </c>
      <c r="I349">
        <v>7.1</v>
      </c>
      <c r="K349">
        <v>2.5000000000000001E-2</v>
      </c>
      <c r="L349">
        <v>10</v>
      </c>
      <c r="M349">
        <v>3.959192142</v>
      </c>
      <c r="Q349">
        <v>0</v>
      </c>
      <c r="S349" t="s">
        <v>204</v>
      </c>
      <c r="T349" t="s">
        <v>141</v>
      </c>
      <c r="U349">
        <v>85.57</v>
      </c>
      <c r="V349">
        <v>43.18</v>
      </c>
      <c r="W349">
        <v>2901.97757</v>
      </c>
      <c r="X349">
        <v>2901.97757</v>
      </c>
      <c r="Y349">
        <v>0.19</v>
      </c>
      <c r="Z349">
        <v>0.18</v>
      </c>
      <c r="AA349">
        <v>0.2</v>
      </c>
      <c r="AB349">
        <v>158.36768570000001</v>
      </c>
      <c r="AC349" t="s">
        <v>891</v>
      </c>
    </row>
    <row r="350" spans="1:29" x14ac:dyDescent="0.25">
      <c r="A350">
        <v>349</v>
      </c>
      <c r="B350" t="s">
        <v>874</v>
      </c>
      <c r="D350" t="s">
        <v>823</v>
      </c>
      <c r="E350">
        <v>2</v>
      </c>
      <c r="F350" t="s">
        <v>824</v>
      </c>
      <c r="G350" s="2">
        <v>43296</v>
      </c>
      <c r="H350" t="s">
        <v>201</v>
      </c>
      <c r="I350">
        <v>7.1</v>
      </c>
      <c r="K350">
        <v>3.3000000000000002E-2</v>
      </c>
      <c r="L350">
        <v>10</v>
      </c>
      <c r="M350">
        <v>3.959192142</v>
      </c>
      <c r="Q350">
        <v>0</v>
      </c>
      <c r="S350" t="s">
        <v>210</v>
      </c>
      <c r="T350">
        <v>9</v>
      </c>
      <c r="U350">
        <v>147.35</v>
      </c>
      <c r="V350">
        <v>55.54</v>
      </c>
      <c r="W350">
        <v>6427.5564119999999</v>
      </c>
      <c r="X350">
        <v>57848.007709999998</v>
      </c>
      <c r="Y350">
        <v>0.21</v>
      </c>
      <c r="Z350">
        <v>0.19</v>
      </c>
      <c r="AA350">
        <v>0.2</v>
      </c>
      <c r="AB350">
        <v>119.9755194</v>
      </c>
      <c r="AC350">
        <v>2774</v>
      </c>
    </row>
    <row r="351" spans="1:29" x14ac:dyDescent="0.25">
      <c r="A351">
        <v>350</v>
      </c>
      <c r="B351" t="s">
        <v>878</v>
      </c>
      <c r="D351" t="s">
        <v>505</v>
      </c>
      <c r="E351">
        <v>4</v>
      </c>
      <c r="F351" t="s">
        <v>506</v>
      </c>
      <c r="G351" s="2">
        <v>43296</v>
      </c>
      <c r="H351" t="s">
        <v>201</v>
      </c>
      <c r="I351">
        <v>9.6999999999999993</v>
      </c>
      <c r="K351">
        <v>7.0999999999999994E-2</v>
      </c>
      <c r="L351">
        <v>10</v>
      </c>
      <c r="M351">
        <v>7.3898113189999997</v>
      </c>
      <c r="Q351">
        <v>0</v>
      </c>
      <c r="S351" t="s">
        <v>204</v>
      </c>
      <c r="T351" t="s">
        <v>141</v>
      </c>
      <c r="U351">
        <v>116.72</v>
      </c>
      <c r="V351">
        <v>41.44</v>
      </c>
      <c r="W351">
        <v>3798.874155</v>
      </c>
      <c r="X351">
        <v>3798.874155</v>
      </c>
      <c r="Y351">
        <v>0.18</v>
      </c>
      <c r="Z351">
        <v>0.23</v>
      </c>
      <c r="AA351">
        <v>0.21</v>
      </c>
      <c r="AB351">
        <v>104.0818496</v>
      </c>
      <c r="AC351">
        <v>2775</v>
      </c>
    </row>
    <row r="352" spans="1:29" x14ac:dyDescent="0.25">
      <c r="A352">
        <v>351</v>
      </c>
      <c r="B352" t="s">
        <v>879</v>
      </c>
      <c r="D352" t="s">
        <v>844</v>
      </c>
      <c r="E352">
        <v>5</v>
      </c>
      <c r="F352" t="s">
        <v>845</v>
      </c>
      <c r="G352" s="2">
        <v>43296</v>
      </c>
      <c r="H352" t="s">
        <v>201</v>
      </c>
      <c r="I352">
        <v>7.1</v>
      </c>
      <c r="K352">
        <v>3.1E-2</v>
      </c>
      <c r="L352">
        <v>10</v>
      </c>
      <c r="M352">
        <v>3.959192142</v>
      </c>
      <c r="Q352">
        <v>0</v>
      </c>
      <c r="S352" t="s">
        <v>204</v>
      </c>
      <c r="T352" t="s">
        <v>141</v>
      </c>
      <c r="U352">
        <v>123.64</v>
      </c>
      <c r="V352">
        <v>27.52</v>
      </c>
      <c r="W352">
        <v>2672.3744280000001</v>
      </c>
      <c r="X352">
        <v>2672.3744280000001</v>
      </c>
      <c r="Y352">
        <v>0.21</v>
      </c>
      <c r="Z352">
        <v>0.2</v>
      </c>
      <c r="AA352">
        <v>0.23</v>
      </c>
      <c r="AB352">
        <v>127.7158755</v>
      </c>
      <c r="AC352">
        <v>2760</v>
      </c>
    </row>
    <row r="353" spans="1:29" x14ac:dyDescent="0.25">
      <c r="A353">
        <v>352</v>
      </c>
      <c r="B353" t="s">
        <v>880</v>
      </c>
      <c r="D353" t="s">
        <v>859</v>
      </c>
      <c r="E353">
        <v>2</v>
      </c>
      <c r="F353" t="s">
        <v>860</v>
      </c>
      <c r="G353" s="2">
        <v>43296</v>
      </c>
      <c r="H353" t="s">
        <v>201</v>
      </c>
      <c r="I353">
        <v>7.1</v>
      </c>
      <c r="K353">
        <v>4.1000000000000002E-2</v>
      </c>
      <c r="L353">
        <v>10</v>
      </c>
      <c r="M353">
        <v>3.959192142</v>
      </c>
      <c r="Q353">
        <v>0</v>
      </c>
      <c r="S353" t="s">
        <v>204</v>
      </c>
      <c r="T353" t="s">
        <v>141</v>
      </c>
      <c r="U353">
        <v>69.790000000000006</v>
      </c>
      <c r="V353">
        <v>39.26</v>
      </c>
      <c r="W353">
        <v>2151.9559389999999</v>
      </c>
      <c r="X353">
        <v>2151.9559389999999</v>
      </c>
      <c r="Y353">
        <v>0.28000000000000003</v>
      </c>
      <c r="Z353">
        <v>0.32</v>
      </c>
      <c r="AA353">
        <v>0.26</v>
      </c>
      <c r="AB353">
        <v>96.565661989999995</v>
      </c>
      <c r="AC353">
        <v>2863</v>
      </c>
    </row>
    <row r="354" spans="1:29" x14ac:dyDescent="0.25">
      <c r="A354">
        <v>353</v>
      </c>
      <c r="B354" t="s">
        <v>881</v>
      </c>
      <c r="D354" t="s">
        <v>413</v>
      </c>
      <c r="E354">
        <v>2</v>
      </c>
      <c r="F354" t="s">
        <v>414</v>
      </c>
      <c r="G354" s="2">
        <v>43296</v>
      </c>
      <c r="H354" t="s">
        <v>201</v>
      </c>
      <c r="I354">
        <v>9.6999999999999993</v>
      </c>
      <c r="K354">
        <v>5.7000000000000002E-2</v>
      </c>
      <c r="L354">
        <v>10</v>
      </c>
      <c r="M354">
        <v>7.3898113189999997</v>
      </c>
      <c r="Q354">
        <v>0</v>
      </c>
      <c r="S354" t="s">
        <v>204</v>
      </c>
      <c r="T354" t="s">
        <v>141</v>
      </c>
      <c r="U354">
        <v>131.33000000000001</v>
      </c>
      <c r="V354">
        <v>56.94</v>
      </c>
      <c r="W354">
        <v>5873.1526450000001</v>
      </c>
      <c r="X354">
        <v>5873.1526450000001</v>
      </c>
      <c r="Y354">
        <v>0.28999999999999998</v>
      </c>
      <c r="Z354">
        <v>0.27</v>
      </c>
      <c r="AA354">
        <v>0.26</v>
      </c>
      <c r="AB354">
        <v>129.6458126</v>
      </c>
      <c r="AC354">
        <v>9144</v>
      </c>
    </row>
    <row r="355" spans="1:29" x14ac:dyDescent="0.25">
      <c r="A355">
        <v>354</v>
      </c>
      <c r="B355" t="s">
        <v>882</v>
      </c>
      <c r="D355" t="s">
        <v>593</v>
      </c>
      <c r="E355">
        <v>4</v>
      </c>
      <c r="F355" t="s">
        <v>594</v>
      </c>
      <c r="G355" s="2">
        <v>43296</v>
      </c>
      <c r="H355" t="s">
        <v>201</v>
      </c>
      <c r="I355">
        <v>7.1</v>
      </c>
      <c r="K355">
        <v>2.7E-2</v>
      </c>
      <c r="L355">
        <v>9</v>
      </c>
      <c r="M355">
        <v>3.563272928</v>
      </c>
      <c r="Q355">
        <v>0</v>
      </c>
      <c r="S355" t="s">
        <v>210</v>
      </c>
      <c r="T355">
        <v>5</v>
      </c>
      <c r="U355">
        <v>75.62</v>
      </c>
      <c r="V355">
        <v>22.91</v>
      </c>
      <c r="W355">
        <v>1360.6663470000001</v>
      </c>
      <c r="X355">
        <v>6803.3317340000003</v>
      </c>
      <c r="Y355">
        <v>0.26</v>
      </c>
      <c r="Z355">
        <v>0.24</v>
      </c>
      <c r="AA355">
        <v>0.23</v>
      </c>
      <c r="AB355">
        <v>131.97307140000001</v>
      </c>
      <c r="AC355">
        <v>2784</v>
      </c>
    </row>
    <row r="356" spans="1:29" x14ac:dyDescent="0.25">
      <c r="A356">
        <v>355</v>
      </c>
      <c r="B356" t="s">
        <v>883</v>
      </c>
      <c r="D356" t="s">
        <v>413</v>
      </c>
      <c r="E356">
        <v>5</v>
      </c>
      <c r="F356" t="s">
        <v>414</v>
      </c>
      <c r="G356" s="2">
        <v>43296</v>
      </c>
      <c r="H356" t="s">
        <v>201</v>
      </c>
      <c r="I356">
        <v>9.6999999999999993</v>
      </c>
      <c r="K356">
        <v>3.6999999999999998E-2</v>
      </c>
      <c r="L356">
        <v>10</v>
      </c>
      <c r="M356">
        <v>7.3898113189999997</v>
      </c>
      <c r="Q356">
        <v>0</v>
      </c>
      <c r="S356" t="s">
        <v>204</v>
      </c>
      <c r="T356" t="s">
        <v>141</v>
      </c>
      <c r="U356">
        <v>181.32</v>
      </c>
      <c r="V356">
        <v>98.33</v>
      </c>
      <c r="W356">
        <v>14003.01748</v>
      </c>
      <c r="X356">
        <v>14003.01748</v>
      </c>
      <c r="Y356">
        <v>0.24</v>
      </c>
      <c r="Z356">
        <v>0.23</v>
      </c>
      <c r="AA356">
        <v>0.23</v>
      </c>
      <c r="AB356">
        <v>199.7246303</v>
      </c>
      <c r="AC356" t="s">
        <v>891</v>
      </c>
    </row>
    <row r="357" spans="1:29" x14ac:dyDescent="0.25">
      <c r="A357">
        <v>356</v>
      </c>
      <c r="B357" t="s">
        <v>884</v>
      </c>
      <c r="D357" t="s">
        <v>885</v>
      </c>
      <c r="E357">
        <v>1</v>
      </c>
      <c r="F357" t="s">
        <v>886</v>
      </c>
      <c r="G357" s="2">
        <v>43296</v>
      </c>
      <c r="H357" t="s">
        <v>201</v>
      </c>
      <c r="I357">
        <v>7.1</v>
      </c>
      <c r="K357">
        <v>4.5999999999999999E-2</v>
      </c>
      <c r="L357">
        <v>10</v>
      </c>
      <c r="M357">
        <v>3.959192142</v>
      </c>
      <c r="Q357">
        <v>0</v>
      </c>
      <c r="S357" t="s">
        <v>210</v>
      </c>
      <c r="T357">
        <v>4</v>
      </c>
      <c r="U357">
        <v>70.23</v>
      </c>
      <c r="V357">
        <v>36.28</v>
      </c>
      <c r="W357">
        <v>2001.150852</v>
      </c>
      <c r="X357">
        <v>8004.6034090000003</v>
      </c>
      <c r="Y357">
        <v>0.28000000000000003</v>
      </c>
      <c r="Z357">
        <v>0.35</v>
      </c>
      <c r="AA357">
        <v>0.33</v>
      </c>
      <c r="AB357">
        <v>86.069394380000006</v>
      </c>
      <c r="AC357">
        <v>2841</v>
      </c>
    </row>
    <row r="358" spans="1:29" x14ac:dyDescent="0.25">
      <c r="A358">
        <v>357</v>
      </c>
      <c r="B358" t="s">
        <v>867</v>
      </c>
      <c r="D358" t="s">
        <v>859</v>
      </c>
      <c r="E358">
        <v>4</v>
      </c>
      <c r="F358" t="s">
        <v>860</v>
      </c>
      <c r="G358" s="2">
        <v>43296</v>
      </c>
      <c r="H358" t="s">
        <v>201</v>
      </c>
      <c r="I358">
        <v>7.1</v>
      </c>
      <c r="K358">
        <v>4.2000000000000003E-2</v>
      </c>
      <c r="L358">
        <v>11</v>
      </c>
      <c r="M358">
        <v>4.3551113560000001</v>
      </c>
      <c r="AB358">
        <v>103.6931275</v>
      </c>
      <c r="AC358" t="s">
        <v>1118</v>
      </c>
    </row>
    <row r="359" spans="1:29" x14ac:dyDescent="0.25">
      <c r="A359">
        <v>358</v>
      </c>
      <c r="B359" t="s">
        <v>887</v>
      </c>
      <c r="D359" t="s">
        <v>440</v>
      </c>
      <c r="E359">
        <v>2</v>
      </c>
      <c r="F359" t="s">
        <v>441</v>
      </c>
      <c r="G359" s="2">
        <v>43296</v>
      </c>
      <c r="H359" t="s">
        <v>201</v>
      </c>
      <c r="I359">
        <v>7.1</v>
      </c>
      <c r="K359">
        <v>2.9000000000000001E-2</v>
      </c>
      <c r="L359">
        <v>9</v>
      </c>
      <c r="M359">
        <v>3.563272928</v>
      </c>
      <c r="Q359">
        <v>0</v>
      </c>
      <c r="S359" t="s">
        <v>210</v>
      </c>
      <c r="T359">
        <v>5</v>
      </c>
      <c r="U359">
        <v>86.46</v>
      </c>
      <c r="V359">
        <v>27.34</v>
      </c>
      <c r="W359">
        <v>1856.537059</v>
      </c>
      <c r="X359">
        <v>9282.6852959999997</v>
      </c>
      <c r="Y359">
        <v>0.18</v>
      </c>
      <c r="Z359">
        <v>0.18</v>
      </c>
      <c r="AA359">
        <v>0.15</v>
      </c>
      <c r="AB359">
        <v>122.8714803</v>
      </c>
      <c r="AC359">
        <v>2779</v>
      </c>
    </row>
    <row r="360" spans="1:29" x14ac:dyDescent="0.25">
      <c r="A360">
        <v>359</v>
      </c>
      <c r="B360" t="s">
        <v>894</v>
      </c>
      <c r="D360" t="s">
        <v>352</v>
      </c>
      <c r="E360">
        <v>2</v>
      </c>
      <c r="F360" t="s">
        <v>332</v>
      </c>
      <c r="G360" s="2">
        <v>43299</v>
      </c>
      <c r="H360" t="s">
        <v>201</v>
      </c>
      <c r="I360">
        <v>9.6999999999999993</v>
      </c>
      <c r="K360">
        <v>9.7000000000000003E-2</v>
      </c>
      <c r="L360">
        <v>10</v>
      </c>
      <c r="M360">
        <v>7.3898113189999997</v>
      </c>
      <c r="Q360">
        <v>0</v>
      </c>
      <c r="S360" t="s">
        <v>204</v>
      </c>
      <c r="T360">
        <v>5</v>
      </c>
      <c r="U360">
        <v>95.64</v>
      </c>
      <c r="V360">
        <v>73.459999999999994</v>
      </c>
      <c r="W360">
        <v>5517.9831860000004</v>
      </c>
      <c r="X360">
        <v>27589.915929999999</v>
      </c>
      <c r="Y360">
        <v>0.23</v>
      </c>
      <c r="Z360">
        <v>0.2</v>
      </c>
      <c r="AA360">
        <v>0.23</v>
      </c>
      <c r="AB360">
        <v>76.183621849999994</v>
      </c>
    </row>
    <row r="361" spans="1:29" x14ac:dyDescent="0.25">
      <c r="A361">
        <v>360</v>
      </c>
      <c r="B361" t="s">
        <v>895</v>
      </c>
      <c r="D361" t="s">
        <v>823</v>
      </c>
      <c r="E361">
        <v>3</v>
      </c>
      <c r="F361" t="s">
        <v>824</v>
      </c>
      <c r="G361" s="2">
        <v>43299</v>
      </c>
      <c r="H361" t="s">
        <v>201</v>
      </c>
      <c r="I361">
        <v>9.6999999999999993</v>
      </c>
      <c r="K361">
        <v>4.8000000000000001E-2</v>
      </c>
      <c r="L361">
        <v>10</v>
      </c>
      <c r="M361">
        <v>7.3898113189999997</v>
      </c>
      <c r="Q361">
        <v>0</v>
      </c>
      <c r="S361" t="s">
        <v>210</v>
      </c>
      <c r="T361">
        <v>13</v>
      </c>
      <c r="U361">
        <v>184.6</v>
      </c>
      <c r="V361">
        <v>60.59</v>
      </c>
      <c r="W361">
        <v>8784.6109130000004</v>
      </c>
      <c r="X361">
        <v>114199.94190000001</v>
      </c>
      <c r="Y361">
        <v>0.22</v>
      </c>
      <c r="Z361">
        <v>0.24</v>
      </c>
      <c r="AA361">
        <v>0.22</v>
      </c>
      <c r="AB361">
        <v>153.95440249999999</v>
      </c>
    </row>
    <row r="362" spans="1:29" x14ac:dyDescent="0.25">
      <c r="A362">
        <v>361</v>
      </c>
      <c r="B362" t="s">
        <v>896</v>
      </c>
      <c r="D362" t="s">
        <v>823</v>
      </c>
      <c r="E362">
        <v>4</v>
      </c>
      <c r="F362" t="s">
        <v>824</v>
      </c>
      <c r="G362" s="2">
        <v>43299</v>
      </c>
      <c r="H362" t="s">
        <v>201</v>
      </c>
      <c r="I362">
        <v>7.1</v>
      </c>
      <c r="K362">
        <v>3.5999999999999997E-2</v>
      </c>
      <c r="L362">
        <v>10</v>
      </c>
      <c r="M362">
        <v>3.959192142</v>
      </c>
      <c r="Q362">
        <v>0</v>
      </c>
      <c r="S362" t="s">
        <v>210</v>
      </c>
      <c r="T362">
        <v>16</v>
      </c>
      <c r="U362">
        <v>115.19</v>
      </c>
      <c r="V362">
        <v>30.03</v>
      </c>
      <c r="W362">
        <v>2716.8145340000001</v>
      </c>
      <c r="X362">
        <v>43469.03254</v>
      </c>
      <c r="Y362">
        <v>0.16</v>
      </c>
      <c r="Z362">
        <v>0.18</v>
      </c>
      <c r="AA362">
        <v>0.18</v>
      </c>
      <c r="AB362">
        <v>109.9775595</v>
      </c>
      <c r="AC362" t="s">
        <v>897</v>
      </c>
    </row>
    <row r="363" spans="1:29" x14ac:dyDescent="0.25">
      <c r="A363">
        <v>362</v>
      </c>
      <c r="B363" t="s">
        <v>907</v>
      </c>
      <c r="D363" t="s">
        <v>349</v>
      </c>
      <c r="E363">
        <v>4</v>
      </c>
      <c r="F363" t="s">
        <v>61</v>
      </c>
      <c r="G363" s="2">
        <v>43299</v>
      </c>
      <c r="H363" t="s">
        <v>200</v>
      </c>
      <c r="I363" t="s">
        <v>141</v>
      </c>
      <c r="J363" t="s">
        <v>141</v>
      </c>
      <c r="K363">
        <v>0.33500000000000002</v>
      </c>
      <c r="L363" t="s">
        <v>141</v>
      </c>
      <c r="M363" t="s">
        <v>141</v>
      </c>
      <c r="P363">
        <v>506938</v>
      </c>
      <c r="Q363">
        <v>14.30691689</v>
      </c>
      <c r="R363">
        <v>1</v>
      </c>
      <c r="S363" t="s">
        <v>210</v>
      </c>
      <c r="T363">
        <v>450</v>
      </c>
      <c r="U363">
        <v>9.6300000000000008</v>
      </c>
      <c r="V363">
        <v>5.4</v>
      </c>
      <c r="W363">
        <v>40.842275290000003</v>
      </c>
      <c r="X363">
        <v>18379.023880000001</v>
      </c>
      <c r="Y363">
        <v>0.16</v>
      </c>
      <c r="Z363">
        <v>0.17</v>
      </c>
      <c r="AA363">
        <v>0.18</v>
      </c>
      <c r="AB363">
        <v>42.70721459</v>
      </c>
      <c r="AC363" t="s">
        <v>908</v>
      </c>
    </row>
    <row r="364" spans="1:29" x14ac:dyDescent="0.25">
      <c r="A364">
        <v>363</v>
      </c>
      <c r="B364" t="s">
        <v>898</v>
      </c>
      <c r="D364" t="s">
        <v>394</v>
      </c>
      <c r="E364">
        <v>4</v>
      </c>
      <c r="F364" t="s">
        <v>264</v>
      </c>
      <c r="G364" s="2">
        <v>43299</v>
      </c>
      <c r="H364" t="s">
        <v>201</v>
      </c>
      <c r="I364">
        <v>7.1</v>
      </c>
      <c r="K364">
        <v>2.5000000000000001E-2</v>
      </c>
      <c r="L364">
        <v>9</v>
      </c>
      <c r="M364">
        <v>3.563272928</v>
      </c>
      <c r="Q364">
        <v>0</v>
      </c>
      <c r="S364" t="s">
        <v>210</v>
      </c>
      <c r="T364">
        <v>7</v>
      </c>
      <c r="U364">
        <v>107.4</v>
      </c>
      <c r="V364">
        <v>34.630000000000003</v>
      </c>
      <c r="W364">
        <v>2921.1015440000001</v>
      </c>
      <c r="X364">
        <v>20447.71081</v>
      </c>
      <c r="Y364">
        <v>0.24</v>
      </c>
      <c r="Z364">
        <v>0.27</v>
      </c>
      <c r="AA364">
        <v>0.26</v>
      </c>
      <c r="AB364">
        <v>142.53091710000001</v>
      </c>
    </row>
    <row r="365" spans="1:29" x14ac:dyDescent="0.25">
      <c r="A365">
        <v>364</v>
      </c>
      <c r="B365" t="s">
        <v>899</v>
      </c>
      <c r="D365" t="s">
        <v>376</v>
      </c>
      <c r="E365">
        <v>4</v>
      </c>
      <c r="F365" t="s">
        <v>380</v>
      </c>
      <c r="G365" s="2">
        <v>43299</v>
      </c>
      <c r="H365" t="s">
        <v>200</v>
      </c>
      <c r="I365" t="s">
        <v>141</v>
      </c>
      <c r="J365" t="s">
        <v>141</v>
      </c>
      <c r="K365">
        <v>0.21</v>
      </c>
      <c r="L365" t="s">
        <v>141</v>
      </c>
      <c r="M365" t="s">
        <v>141</v>
      </c>
      <c r="P365">
        <v>503037</v>
      </c>
      <c r="Q365">
        <v>14.196821999999999</v>
      </c>
      <c r="R365" t="s">
        <v>141</v>
      </c>
      <c r="S365" t="s">
        <v>204</v>
      </c>
      <c r="T365" t="s">
        <v>141</v>
      </c>
      <c r="U365">
        <v>21.88</v>
      </c>
      <c r="V365">
        <v>4.12</v>
      </c>
      <c r="W365">
        <v>70.800188680000005</v>
      </c>
      <c r="X365">
        <v>70.800188680000005</v>
      </c>
      <c r="Y365">
        <v>0.2</v>
      </c>
      <c r="Z365">
        <v>0.22</v>
      </c>
      <c r="AA365">
        <v>0.19</v>
      </c>
      <c r="AB365">
        <v>67.603914290000006</v>
      </c>
    </row>
    <row r="366" spans="1:29" x14ac:dyDescent="0.25">
      <c r="A366">
        <v>365</v>
      </c>
      <c r="B366" t="s">
        <v>900</v>
      </c>
      <c r="D366" t="s">
        <v>811</v>
      </c>
      <c r="E366">
        <v>2</v>
      </c>
      <c r="F366" t="s">
        <v>812</v>
      </c>
      <c r="G366" s="2">
        <v>43299</v>
      </c>
      <c r="H366" t="s">
        <v>201</v>
      </c>
      <c r="I366">
        <v>7.1</v>
      </c>
      <c r="K366">
        <v>2.5999999999999999E-2</v>
      </c>
      <c r="L366">
        <v>10</v>
      </c>
      <c r="M366">
        <v>3.959192142</v>
      </c>
      <c r="Q366">
        <v>0</v>
      </c>
      <c r="S366" t="s">
        <v>204</v>
      </c>
      <c r="T366" t="s">
        <v>141</v>
      </c>
      <c r="U366">
        <v>179.38</v>
      </c>
      <c r="V366">
        <v>111.7</v>
      </c>
      <c r="W366">
        <v>15736.82351</v>
      </c>
      <c r="X366">
        <v>15736.82351</v>
      </c>
      <c r="Y366">
        <v>0.28999999999999998</v>
      </c>
      <c r="Z366">
        <v>0.25</v>
      </c>
      <c r="AA366">
        <v>0.22</v>
      </c>
      <c r="AB366">
        <v>152.27662079999999</v>
      </c>
    </row>
    <row r="367" spans="1:29" x14ac:dyDescent="0.25">
      <c r="A367">
        <v>366</v>
      </c>
      <c r="B367" t="s">
        <v>901</v>
      </c>
      <c r="D367" t="s">
        <v>376</v>
      </c>
      <c r="E367">
        <v>3</v>
      </c>
      <c r="F367" t="s">
        <v>380</v>
      </c>
      <c r="G367" s="2">
        <v>43299</v>
      </c>
      <c r="H367" t="s">
        <v>200</v>
      </c>
      <c r="I367" t="s">
        <v>141</v>
      </c>
      <c r="J367" t="s">
        <v>141</v>
      </c>
      <c r="K367">
        <v>0.33400000000000002</v>
      </c>
      <c r="L367" t="s">
        <v>141</v>
      </c>
      <c r="M367" t="s">
        <v>141</v>
      </c>
      <c r="P367">
        <v>768273</v>
      </c>
      <c r="Q367">
        <v>21.682371329999999</v>
      </c>
      <c r="R367" t="s">
        <v>141</v>
      </c>
      <c r="S367" t="s">
        <v>204</v>
      </c>
      <c r="T367" t="s">
        <v>141</v>
      </c>
      <c r="U367">
        <v>29.02</v>
      </c>
      <c r="V367">
        <v>5.74</v>
      </c>
      <c r="W367">
        <v>130.82754199999999</v>
      </c>
      <c r="X367">
        <v>130.82754199999999</v>
      </c>
      <c r="Y367">
        <v>0.18</v>
      </c>
      <c r="Z367">
        <v>0.19</v>
      </c>
      <c r="AA367">
        <v>0.2</v>
      </c>
      <c r="AB367">
        <v>64.917279440000002</v>
      </c>
    </row>
    <row r="368" spans="1:29" x14ac:dyDescent="0.25">
      <c r="A368">
        <v>367</v>
      </c>
      <c r="B368" t="s">
        <v>902</v>
      </c>
      <c r="D368" t="s">
        <v>811</v>
      </c>
      <c r="E368">
        <v>3</v>
      </c>
      <c r="F368" t="s">
        <v>812</v>
      </c>
      <c r="G368" s="2">
        <v>43299</v>
      </c>
      <c r="H368" t="s">
        <v>201</v>
      </c>
      <c r="I368">
        <v>9.6999999999999993</v>
      </c>
      <c r="K368">
        <v>3.5000000000000003E-2</v>
      </c>
      <c r="L368">
        <v>10</v>
      </c>
      <c r="M368">
        <v>7.3898113189999997</v>
      </c>
      <c r="Q368">
        <v>0</v>
      </c>
      <c r="S368" t="s">
        <v>204</v>
      </c>
      <c r="T368" t="s">
        <v>141</v>
      </c>
      <c r="U368">
        <v>137.09</v>
      </c>
      <c r="V368">
        <v>106.81</v>
      </c>
      <c r="W368">
        <v>11500.25772</v>
      </c>
      <c r="X368">
        <v>11500.25772</v>
      </c>
      <c r="Y368">
        <v>0.26</v>
      </c>
      <c r="Z368">
        <v>0.26</v>
      </c>
      <c r="AA368">
        <v>0.28000000000000003</v>
      </c>
      <c r="AB368">
        <v>211.1374663</v>
      </c>
    </row>
    <row r="369" spans="1:29" x14ac:dyDescent="0.25">
      <c r="A369">
        <v>368</v>
      </c>
      <c r="B369" t="s">
        <v>903</v>
      </c>
      <c r="D369" t="s">
        <v>524</v>
      </c>
      <c r="E369">
        <v>4</v>
      </c>
      <c r="F369" t="s">
        <v>525</v>
      </c>
      <c r="G369" s="2">
        <v>43299</v>
      </c>
      <c r="H369" t="s">
        <v>201</v>
      </c>
      <c r="I369">
        <v>7.1</v>
      </c>
      <c r="K369">
        <v>5.1999999999999998E-2</v>
      </c>
      <c r="L369">
        <v>15</v>
      </c>
      <c r="M369">
        <v>5.9387882129999996</v>
      </c>
      <c r="Q369">
        <v>0</v>
      </c>
      <c r="S369" t="s">
        <v>210</v>
      </c>
      <c r="T369">
        <v>420</v>
      </c>
      <c r="U369">
        <v>17.07</v>
      </c>
      <c r="V369">
        <v>11.89</v>
      </c>
      <c r="W369">
        <v>159.40621770000001</v>
      </c>
      <c r="X369">
        <v>66950.611420000001</v>
      </c>
      <c r="Y369">
        <v>0.18</v>
      </c>
      <c r="Z369">
        <v>0.15</v>
      </c>
      <c r="AA369">
        <v>0.15</v>
      </c>
      <c r="AB369">
        <v>114.20746560000001</v>
      </c>
    </row>
    <row r="370" spans="1:29" x14ac:dyDescent="0.25">
      <c r="A370">
        <v>369</v>
      </c>
      <c r="B370" t="s">
        <v>904</v>
      </c>
      <c r="D370" t="s">
        <v>376</v>
      </c>
      <c r="E370">
        <v>2</v>
      </c>
      <c r="F370" t="s">
        <v>380</v>
      </c>
      <c r="G370" s="2">
        <v>43299</v>
      </c>
      <c r="H370" t="s">
        <v>200</v>
      </c>
      <c r="I370" t="s">
        <v>141</v>
      </c>
      <c r="J370" t="s">
        <v>141</v>
      </c>
      <c r="K370">
        <v>0.4</v>
      </c>
      <c r="L370" t="s">
        <v>141</v>
      </c>
      <c r="M370" t="s">
        <v>141</v>
      </c>
      <c r="P370">
        <v>845957</v>
      </c>
      <c r="Q370">
        <v>23.874786440000001</v>
      </c>
      <c r="R370" t="s">
        <v>141</v>
      </c>
      <c r="S370" t="s">
        <v>204</v>
      </c>
      <c r="T370" t="s">
        <v>141</v>
      </c>
      <c r="U370">
        <v>24.51</v>
      </c>
      <c r="V370">
        <v>5.5</v>
      </c>
      <c r="W370">
        <v>105.8755994</v>
      </c>
      <c r="X370">
        <v>105.8755994</v>
      </c>
      <c r="Y370">
        <v>0.19</v>
      </c>
      <c r="Z370">
        <v>0.19</v>
      </c>
      <c r="AA370">
        <v>0.12</v>
      </c>
      <c r="AB370">
        <v>59.68696611</v>
      </c>
    </row>
    <row r="371" spans="1:29" x14ac:dyDescent="0.25">
      <c r="A371">
        <v>370</v>
      </c>
      <c r="B371" t="s">
        <v>905</v>
      </c>
      <c r="D371" t="s">
        <v>376</v>
      </c>
      <c r="E371">
        <v>5</v>
      </c>
      <c r="F371" t="s">
        <v>380</v>
      </c>
      <c r="G371" s="2">
        <v>43299</v>
      </c>
      <c r="H371" t="s">
        <v>200</v>
      </c>
      <c r="I371" t="s">
        <v>141</v>
      </c>
      <c r="J371" t="s">
        <v>141</v>
      </c>
      <c r="K371">
        <v>0.307</v>
      </c>
      <c r="L371" t="s">
        <v>141</v>
      </c>
      <c r="M371" t="s">
        <v>141</v>
      </c>
      <c r="P371">
        <v>652022</v>
      </c>
      <c r="Q371">
        <v>18.401509780000001</v>
      </c>
      <c r="R371" t="s">
        <v>141</v>
      </c>
      <c r="S371" t="s">
        <v>204</v>
      </c>
      <c r="T371" t="s">
        <v>141</v>
      </c>
      <c r="U371">
        <v>24.62</v>
      </c>
      <c r="V371">
        <v>6.28</v>
      </c>
      <c r="W371">
        <v>121.4332375</v>
      </c>
      <c r="X371">
        <v>121.4332375</v>
      </c>
      <c r="Y371">
        <v>0.18</v>
      </c>
      <c r="Z371">
        <v>0.17</v>
      </c>
      <c r="AA371">
        <v>0.16</v>
      </c>
      <c r="AB371">
        <v>59.939771260000001</v>
      </c>
    </row>
    <row r="372" spans="1:29" x14ac:dyDescent="0.25">
      <c r="A372">
        <v>371</v>
      </c>
      <c r="B372" t="s">
        <v>906</v>
      </c>
      <c r="D372" t="s">
        <v>349</v>
      </c>
      <c r="E372">
        <v>5</v>
      </c>
      <c r="F372" t="s">
        <v>61</v>
      </c>
      <c r="G372" s="2">
        <v>43299</v>
      </c>
      <c r="H372" t="s">
        <v>200</v>
      </c>
      <c r="I372" t="s">
        <v>141</v>
      </c>
      <c r="J372" t="s">
        <v>141</v>
      </c>
      <c r="K372">
        <v>0.38900000000000001</v>
      </c>
      <c r="L372" t="s">
        <v>141</v>
      </c>
      <c r="M372" t="s">
        <v>141</v>
      </c>
      <c r="P372">
        <v>626461</v>
      </c>
      <c r="Q372">
        <v>17.68012156</v>
      </c>
      <c r="R372" t="s">
        <v>141</v>
      </c>
      <c r="S372" t="s">
        <v>210</v>
      </c>
      <c r="T372">
        <v>800</v>
      </c>
      <c r="U372">
        <v>11.89</v>
      </c>
      <c r="V372">
        <v>5.33</v>
      </c>
      <c r="W372">
        <v>49.773587589999998</v>
      </c>
      <c r="X372">
        <v>39818.870069999997</v>
      </c>
      <c r="Y372">
        <v>0.17</v>
      </c>
      <c r="Z372">
        <v>0.14000000000000001</v>
      </c>
      <c r="AA372">
        <v>0.14000000000000001</v>
      </c>
      <c r="AB372">
        <v>45.450183950000003</v>
      </c>
    </row>
    <row r="373" spans="1:29" x14ac:dyDescent="0.25">
      <c r="A373">
        <v>372</v>
      </c>
      <c r="B373" t="s">
        <v>919</v>
      </c>
      <c r="D373" t="s">
        <v>920</v>
      </c>
      <c r="E373">
        <v>1</v>
      </c>
      <c r="F373" t="s">
        <v>921</v>
      </c>
      <c r="G373" s="2">
        <v>43301</v>
      </c>
      <c r="H373" t="s">
        <v>200</v>
      </c>
      <c r="I373" t="s">
        <v>141</v>
      </c>
      <c r="J373" t="s">
        <v>141</v>
      </c>
      <c r="K373">
        <v>0.186</v>
      </c>
      <c r="L373" t="s">
        <v>141</v>
      </c>
      <c r="M373" t="s">
        <v>141</v>
      </c>
      <c r="N373" t="s">
        <v>141</v>
      </c>
      <c r="O373" t="s">
        <v>922</v>
      </c>
      <c r="P373">
        <v>305528</v>
      </c>
      <c r="Q373">
        <v>8.6226791110000001</v>
      </c>
      <c r="R373" t="s">
        <v>141</v>
      </c>
      <c r="S373" t="s">
        <v>210</v>
      </c>
      <c r="T373">
        <v>1560</v>
      </c>
      <c r="U373">
        <v>6.15</v>
      </c>
      <c r="V373">
        <v>1.34</v>
      </c>
      <c r="W373">
        <v>6.4724662650000004</v>
      </c>
      <c r="X373">
        <v>10097.04737</v>
      </c>
      <c r="Y373">
        <v>0.2</v>
      </c>
      <c r="Z373">
        <v>0.14000000000000001</v>
      </c>
      <c r="AA373">
        <v>0.14000000000000001</v>
      </c>
      <c r="AB373">
        <v>46.358489839999997</v>
      </c>
      <c r="AC373" t="s">
        <v>959</v>
      </c>
    </row>
    <row r="374" spans="1:29" x14ac:dyDescent="0.25">
      <c r="A374">
        <v>373</v>
      </c>
      <c r="B374" t="s">
        <v>923</v>
      </c>
      <c r="D374" t="s">
        <v>920</v>
      </c>
      <c r="E374">
        <v>2</v>
      </c>
      <c r="F374" t="s">
        <v>921</v>
      </c>
      <c r="G374" s="2">
        <v>43301</v>
      </c>
      <c r="H374" t="s">
        <v>200</v>
      </c>
      <c r="I374" t="s">
        <v>141</v>
      </c>
      <c r="J374" t="s">
        <v>141</v>
      </c>
      <c r="K374">
        <v>0.13100000000000001</v>
      </c>
      <c r="L374" t="s">
        <v>141</v>
      </c>
      <c r="M374" t="s">
        <v>141</v>
      </c>
      <c r="N374" t="s">
        <v>141</v>
      </c>
      <c r="O374" t="s">
        <v>924</v>
      </c>
      <c r="P374">
        <v>259650</v>
      </c>
      <c r="Q374">
        <v>7.3278999999999996</v>
      </c>
      <c r="R374" t="s">
        <v>141</v>
      </c>
      <c r="S374" t="s">
        <v>210</v>
      </c>
      <c r="T374">
        <v>420</v>
      </c>
      <c r="U374">
        <v>5.23</v>
      </c>
      <c r="V374">
        <v>1.1000000000000001</v>
      </c>
      <c r="W374">
        <v>4.518395634</v>
      </c>
      <c r="X374">
        <v>1897.7261659999999</v>
      </c>
      <c r="Y374">
        <v>0.16</v>
      </c>
      <c r="Z374">
        <v>0.13</v>
      </c>
      <c r="AA374">
        <v>0.17</v>
      </c>
      <c r="AB374">
        <v>55.93816794</v>
      </c>
    </row>
    <row r="375" spans="1:29" x14ac:dyDescent="0.25">
      <c r="A375">
        <v>374</v>
      </c>
      <c r="B375" t="s">
        <v>925</v>
      </c>
      <c r="D375" t="s">
        <v>920</v>
      </c>
      <c r="E375">
        <v>3</v>
      </c>
      <c r="F375" t="s">
        <v>921</v>
      </c>
      <c r="G375" s="2">
        <v>43301</v>
      </c>
      <c r="H375" t="s">
        <v>200</v>
      </c>
      <c r="I375" t="s">
        <v>141</v>
      </c>
      <c r="J375" t="s">
        <v>141</v>
      </c>
      <c r="K375">
        <v>0.20799999999999999</v>
      </c>
      <c r="L375" t="s">
        <v>141</v>
      </c>
      <c r="M375" t="s">
        <v>141</v>
      </c>
      <c r="N375" t="s">
        <v>141</v>
      </c>
      <c r="O375" t="s">
        <v>926</v>
      </c>
      <c r="P375">
        <v>324472</v>
      </c>
      <c r="Q375">
        <v>9.1573208889999993</v>
      </c>
      <c r="R375" t="s">
        <v>141</v>
      </c>
      <c r="S375" t="s">
        <v>210</v>
      </c>
      <c r="T375">
        <v>1974</v>
      </c>
      <c r="U375">
        <v>8.15</v>
      </c>
      <c r="V375">
        <v>1.52</v>
      </c>
      <c r="W375">
        <v>9.7295124479999995</v>
      </c>
      <c r="X375">
        <v>19206.057570000001</v>
      </c>
      <c r="Y375">
        <v>0.26</v>
      </c>
      <c r="Z375">
        <v>0.26</v>
      </c>
      <c r="AA375">
        <v>0.15</v>
      </c>
      <c r="AB375">
        <v>44.025581199999998</v>
      </c>
    </row>
    <row r="376" spans="1:29" x14ac:dyDescent="0.25">
      <c r="A376">
        <v>375</v>
      </c>
      <c r="B376" t="s">
        <v>927</v>
      </c>
      <c r="D376" t="s">
        <v>920</v>
      </c>
      <c r="E376">
        <v>4</v>
      </c>
      <c r="F376" t="s">
        <v>921</v>
      </c>
      <c r="G376" s="2">
        <v>43301</v>
      </c>
      <c r="H376" t="s">
        <v>200</v>
      </c>
      <c r="I376" t="s">
        <v>141</v>
      </c>
      <c r="J376" t="s">
        <v>141</v>
      </c>
      <c r="K376">
        <v>8.5000000000000006E-2</v>
      </c>
      <c r="L376" t="s">
        <v>141</v>
      </c>
      <c r="M376" t="s">
        <v>141</v>
      </c>
      <c r="N376" t="s">
        <v>141</v>
      </c>
      <c r="O376" t="s">
        <v>928</v>
      </c>
      <c r="P376">
        <v>146070</v>
      </c>
      <c r="Q376">
        <v>4.12242</v>
      </c>
      <c r="R376" t="s">
        <v>141</v>
      </c>
      <c r="S376" t="s">
        <v>210</v>
      </c>
      <c r="T376">
        <v>1440</v>
      </c>
      <c r="U376">
        <v>6.09</v>
      </c>
      <c r="V376">
        <v>1.22</v>
      </c>
      <c r="W376">
        <v>5.8353512739999998</v>
      </c>
      <c r="X376">
        <v>8402.9058349999996</v>
      </c>
      <c r="Y376">
        <v>0.22</v>
      </c>
      <c r="Z376">
        <v>0.13</v>
      </c>
      <c r="AA376">
        <v>0.17</v>
      </c>
      <c r="AB376">
        <v>48.499058820000002</v>
      </c>
    </row>
    <row r="377" spans="1:29" x14ac:dyDescent="0.25">
      <c r="A377">
        <v>376</v>
      </c>
      <c r="B377" t="s">
        <v>929</v>
      </c>
      <c r="D377" t="s">
        <v>920</v>
      </c>
      <c r="E377">
        <v>5</v>
      </c>
      <c r="F377" t="s">
        <v>921</v>
      </c>
      <c r="G377" s="2">
        <v>43301</v>
      </c>
      <c r="H377" t="s">
        <v>200</v>
      </c>
      <c r="I377" t="s">
        <v>141</v>
      </c>
      <c r="J377" t="s">
        <v>141</v>
      </c>
      <c r="K377">
        <v>0.22800000000000001</v>
      </c>
      <c r="L377" t="s">
        <v>141</v>
      </c>
      <c r="M377" t="s">
        <v>141</v>
      </c>
      <c r="N377" t="s">
        <v>141</v>
      </c>
      <c r="O377" t="s">
        <v>930</v>
      </c>
      <c r="P377">
        <v>380010</v>
      </c>
      <c r="Q377">
        <v>10.724726670000001</v>
      </c>
      <c r="R377" t="s">
        <v>141</v>
      </c>
      <c r="S377" t="s">
        <v>210</v>
      </c>
      <c r="T377">
        <v>1736</v>
      </c>
      <c r="U377">
        <v>7.38</v>
      </c>
      <c r="V377">
        <v>1.74</v>
      </c>
      <c r="W377">
        <v>10.0854549</v>
      </c>
      <c r="X377">
        <v>17508.349699999999</v>
      </c>
      <c r="Y377">
        <v>0.16</v>
      </c>
      <c r="Z377">
        <v>0.19</v>
      </c>
      <c r="AA377">
        <v>0.17</v>
      </c>
      <c r="AB377">
        <v>47.038274850000001</v>
      </c>
    </row>
    <row r="378" spans="1:29" x14ac:dyDescent="0.25">
      <c r="A378">
        <v>377</v>
      </c>
      <c r="B378" t="s">
        <v>931</v>
      </c>
      <c r="D378" t="s">
        <v>932</v>
      </c>
      <c r="E378">
        <v>1</v>
      </c>
      <c r="F378" t="s">
        <v>933</v>
      </c>
      <c r="G378" s="2">
        <v>43301</v>
      </c>
      <c r="H378" t="s">
        <v>200</v>
      </c>
      <c r="I378" t="s">
        <v>141</v>
      </c>
      <c r="J378" t="s">
        <v>141</v>
      </c>
      <c r="K378">
        <v>0.249</v>
      </c>
      <c r="L378" t="s">
        <v>141</v>
      </c>
      <c r="M378" t="s">
        <v>141</v>
      </c>
      <c r="N378" t="s">
        <v>141</v>
      </c>
      <c r="O378" t="s">
        <v>934</v>
      </c>
      <c r="P378">
        <v>423197</v>
      </c>
      <c r="Q378">
        <v>11.943559779999999</v>
      </c>
      <c r="R378" t="s">
        <v>141</v>
      </c>
      <c r="S378" t="s">
        <v>210</v>
      </c>
      <c r="T378">
        <v>127</v>
      </c>
      <c r="U378">
        <v>14.53</v>
      </c>
      <c r="V378">
        <v>8.33</v>
      </c>
      <c r="W378">
        <v>95.060588170000003</v>
      </c>
      <c r="X378">
        <v>12072.6947</v>
      </c>
      <c r="Y378">
        <v>0.16</v>
      </c>
      <c r="Z378">
        <v>0.16</v>
      </c>
      <c r="AA378">
        <v>0.17</v>
      </c>
      <c r="AB378">
        <v>47.966103529999998</v>
      </c>
    </row>
    <row r="379" spans="1:29" x14ac:dyDescent="0.25">
      <c r="A379">
        <v>378</v>
      </c>
      <c r="B379" t="s">
        <v>935</v>
      </c>
      <c r="D379" t="s">
        <v>936</v>
      </c>
      <c r="E379">
        <v>1</v>
      </c>
      <c r="F379" t="s">
        <v>937</v>
      </c>
      <c r="G379" s="2">
        <v>43301</v>
      </c>
      <c r="H379" t="s">
        <v>201</v>
      </c>
      <c r="I379">
        <v>7.1</v>
      </c>
      <c r="K379">
        <v>3.7999999999999999E-2</v>
      </c>
      <c r="L379">
        <v>10</v>
      </c>
      <c r="M379">
        <v>3.959192142</v>
      </c>
      <c r="Q379">
        <v>0</v>
      </c>
      <c r="S379" t="s">
        <v>204</v>
      </c>
      <c r="T379" t="s">
        <v>141</v>
      </c>
      <c r="U379">
        <v>61.31</v>
      </c>
      <c r="V379">
        <v>23</v>
      </c>
      <c r="W379">
        <v>1107.513512</v>
      </c>
      <c r="X379">
        <v>1107.513512</v>
      </c>
      <c r="Y379">
        <v>0.23</v>
      </c>
      <c r="Z379">
        <v>0.23</v>
      </c>
      <c r="AA379">
        <v>0.22</v>
      </c>
      <c r="AB379">
        <v>104.18926690000001</v>
      </c>
    </row>
    <row r="380" spans="1:29" x14ac:dyDescent="0.25">
      <c r="A380">
        <v>379</v>
      </c>
      <c r="B380" t="s">
        <v>938</v>
      </c>
      <c r="D380" t="s">
        <v>460</v>
      </c>
      <c r="E380">
        <v>3</v>
      </c>
      <c r="F380" t="s">
        <v>461</v>
      </c>
      <c r="G380" s="2">
        <v>43301</v>
      </c>
      <c r="H380" t="s">
        <v>201</v>
      </c>
      <c r="I380">
        <v>9.6999999999999993</v>
      </c>
      <c r="K380">
        <v>0.06</v>
      </c>
      <c r="L380">
        <v>10</v>
      </c>
      <c r="M380">
        <v>7.3898113189999997</v>
      </c>
      <c r="Q380">
        <v>0</v>
      </c>
      <c r="S380" t="s">
        <v>204</v>
      </c>
      <c r="T380" t="s">
        <v>141</v>
      </c>
      <c r="U380">
        <v>178.93</v>
      </c>
      <c r="V380">
        <v>74.05</v>
      </c>
      <c r="W380">
        <v>10406.342269999999</v>
      </c>
      <c r="X380">
        <v>10406.342269999999</v>
      </c>
      <c r="Y380">
        <v>0.24</v>
      </c>
      <c r="Z380">
        <v>0.31</v>
      </c>
      <c r="AA380">
        <v>0.28000000000000003</v>
      </c>
      <c r="AB380">
        <v>123.163522</v>
      </c>
    </row>
    <row r="381" spans="1:29" x14ac:dyDescent="0.25">
      <c r="A381">
        <v>380</v>
      </c>
      <c r="B381" t="s">
        <v>939</v>
      </c>
      <c r="D381" t="s">
        <v>535</v>
      </c>
      <c r="E381">
        <v>2</v>
      </c>
      <c r="F381" t="s">
        <v>780</v>
      </c>
      <c r="G381" s="2">
        <v>43301</v>
      </c>
      <c r="H381" t="s">
        <v>201</v>
      </c>
      <c r="I381">
        <v>7.1</v>
      </c>
      <c r="K381">
        <v>3.3000000000000002E-2</v>
      </c>
      <c r="L381">
        <v>10</v>
      </c>
      <c r="M381">
        <v>3.959192142</v>
      </c>
      <c r="Q381">
        <v>0</v>
      </c>
      <c r="S381" t="s">
        <v>204</v>
      </c>
      <c r="T381" t="s">
        <v>141</v>
      </c>
      <c r="U381">
        <v>80.23</v>
      </c>
      <c r="V381">
        <v>20.420000000000002</v>
      </c>
      <c r="W381">
        <v>1286.7151409999999</v>
      </c>
      <c r="X381">
        <v>1286.7151409999999</v>
      </c>
      <c r="Y381">
        <v>0.3</v>
      </c>
      <c r="Z381">
        <v>0.28999999999999998</v>
      </c>
      <c r="AA381">
        <v>0.28999999999999998</v>
      </c>
      <c r="AB381">
        <v>119.9755194</v>
      </c>
    </row>
    <row r="382" spans="1:29" x14ac:dyDescent="0.25">
      <c r="A382">
        <v>381</v>
      </c>
      <c r="B382" t="s">
        <v>940</v>
      </c>
      <c r="D382" t="s">
        <v>535</v>
      </c>
      <c r="E382">
        <v>3</v>
      </c>
      <c r="F382" t="s">
        <v>780</v>
      </c>
      <c r="G382" s="2">
        <v>43301</v>
      </c>
      <c r="H382" t="s">
        <v>201</v>
      </c>
      <c r="I382">
        <v>7.1</v>
      </c>
      <c r="K382">
        <v>3.4000000000000002E-2</v>
      </c>
      <c r="L382">
        <v>10</v>
      </c>
      <c r="M382">
        <v>3.959192142</v>
      </c>
      <c r="Q382">
        <v>0</v>
      </c>
      <c r="S382" t="s">
        <v>204</v>
      </c>
      <c r="T382" t="s">
        <v>141</v>
      </c>
      <c r="U382">
        <v>66.66</v>
      </c>
      <c r="V382">
        <v>14.14</v>
      </c>
      <c r="W382">
        <v>740.29463180000005</v>
      </c>
      <c r="X382">
        <v>740.29463180000005</v>
      </c>
      <c r="Y382">
        <v>0.28000000000000003</v>
      </c>
      <c r="Z382">
        <v>0.26</v>
      </c>
      <c r="AA382">
        <v>0.27</v>
      </c>
      <c r="AB382">
        <v>116.4468277</v>
      </c>
    </row>
    <row r="383" spans="1:29" x14ac:dyDescent="0.25">
      <c r="A383">
        <v>382</v>
      </c>
      <c r="B383" t="s">
        <v>941</v>
      </c>
      <c r="D383" t="s">
        <v>936</v>
      </c>
      <c r="E383">
        <v>2</v>
      </c>
      <c r="F383" t="s">
        <v>937</v>
      </c>
      <c r="G383" s="2">
        <v>43301</v>
      </c>
      <c r="H383" t="s">
        <v>201</v>
      </c>
      <c r="I383">
        <v>9.6999999999999993</v>
      </c>
      <c r="K383">
        <v>5.6000000000000001E-2</v>
      </c>
      <c r="L383">
        <v>10</v>
      </c>
      <c r="M383">
        <v>7.3898113189999997</v>
      </c>
      <c r="Q383">
        <v>0</v>
      </c>
      <c r="S383" t="s">
        <v>204</v>
      </c>
      <c r="T383" t="s">
        <v>141</v>
      </c>
      <c r="U383">
        <v>76.069999999999993</v>
      </c>
      <c r="V383">
        <v>32.69</v>
      </c>
      <c r="W383">
        <v>1953.0718400000001</v>
      </c>
      <c r="X383">
        <v>1953.0718400000001</v>
      </c>
      <c r="Y383">
        <v>0.23</v>
      </c>
      <c r="Z383">
        <v>0.21</v>
      </c>
      <c r="AA383">
        <v>0.22</v>
      </c>
      <c r="AB383">
        <v>131.9609164</v>
      </c>
    </row>
    <row r="384" spans="1:29" x14ac:dyDescent="0.25">
      <c r="A384">
        <v>383</v>
      </c>
      <c r="B384" t="s">
        <v>942</v>
      </c>
      <c r="D384" t="s">
        <v>460</v>
      </c>
      <c r="E384">
        <v>4</v>
      </c>
      <c r="F384" t="s">
        <v>461</v>
      </c>
      <c r="G384" s="2">
        <v>43301</v>
      </c>
      <c r="H384" t="s">
        <v>201</v>
      </c>
      <c r="I384">
        <v>7.1</v>
      </c>
      <c r="K384">
        <v>3.5000000000000003E-2</v>
      </c>
      <c r="L384">
        <v>10</v>
      </c>
      <c r="M384">
        <v>3.959192142</v>
      </c>
      <c r="Q384">
        <v>0</v>
      </c>
      <c r="S384" t="s">
        <v>204</v>
      </c>
      <c r="T384" t="s">
        <v>141</v>
      </c>
      <c r="U384">
        <v>126.01</v>
      </c>
      <c r="V384">
        <v>41.75</v>
      </c>
      <c r="W384">
        <v>4131.9149420000003</v>
      </c>
      <c r="X384">
        <v>4131.9149420000003</v>
      </c>
      <c r="Y384">
        <v>0.24</v>
      </c>
      <c r="Z384">
        <v>0.22</v>
      </c>
      <c r="AA384">
        <v>0.22</v>
      </c>
      <c r="AB384">
        <v>113.1197755</v>
      </c>
    </row>
    <row r="385" spans="1:29" x14ac:dyDescent="0.25">
      <c r="A385">
        <v>384</v>
      </c>
      <c r="B385" t="s">
        <v>943</v>
      </c>
      <c r="D385" t="s">
        <v>936</v>
      </c>
      <c r="E385">
        <v>3</v>
      </c>
      <c r="F385" t="s">
        <v>937</v>
      </c>
      <c r="G385" s="2">
        <v>43301</v>
      </c>
      <c r="H385" t="s">
        <v>201</v>
      </c>
      <c r="I385">
        <v>9.6999999999999993</v>
      </c>
      <c r="K385">
        <v>5.8000000000000003E-2</v>
      </c>
      <c r="L385">
        <v>10</v>
      </c>
      <c r="M385">
        <v>7.3898113189999997</v>
      </c>
      <c r="Q385">
        <v>0</v>
      </c>
      <c r="S385" t="s">
        <v>204</v>
      </c>
      <c r="T385" t="s">
        <v>141</v>
      </c>
      <c r="U385">
        <v>82.48</v>
      </c>
      <c r="V385">
        <v>29.53</v>
      </c>
      <c r="W385">
        <v>1912.9427840000001</v>
      </c>
      <c r="X385">
        <v>1912.9427840000001</v>
      </c>
      <c r="Y385">
        <v>0.23</v>
      </c>
      <c r="Z385">
        <v>0.22</v>
      </c>
      <c r="AA385">
        <v>0.22</v>
      </c>
      <c r="AB385">
        <v>127.41054</v>
      </c>
    </row>
    <row r="386" spans="1:29" x14ac:dyDescent="0.25">
      <c r="A386">
        <v>385</v>
      </c>
      <c r="B386" t="s">
        <v>944</v>
      </c>
      <c r="D386" t="s">
        <v>463</v>
      </c>
      <c r="E386">
        <v>4</v>
      </c>
      <c r="F386" t="s">
        <v>464</v>
      </c>
      <c r="G386" s="2">
        <v>43301</v>
      </c>
      <c r="H386" t="s">
        <v>201</v>
      </c>
      <c r="I386">
        <v>7.1</v>
      </c>
      <c r="K386">
        <v>0.04</v>
      </c>
      <c r="L386">
        <v>12</v>
      </c>
      <c r="M386">
        <v>4.7510305700000002</v>
      </c>
      <c r="Q386">
        <v>0</v>
      </c>
      <c r="S386" t="s">
        <v>204</v>
      </c>
      <c r="T386" t="s">
        <v>141</v>
      </c>
      <c r="U386">
        <v>182.01</v>
      </c>
      <c r="V386">
        <v>76.44</v>
      </c>
      <c r="W386">
        <v>10927.122439999999</v>
      </c>
      <c r="X386">
        <v>10927.122439999999</v>
      </c>
      <c r="Y386">
        <v>0.28999999999999998</v>
      </c>
      <c r="Z386">
        <v>0.31</v>
      </c>
      <c r="AA386">
        <v>0.26</v>
      </c>
      <c r="AB386">
        <v>118.77576430000001</v>
      </c>
    </row>
    <row r="387" spans="1:29" x14ac:dyDescent="0.25">
      <c r="A387">
        <v>386</v>
      </c>
      <c r="B387" t="s">
        <v>945</v>
      </c>
      <c r="D387" t="s">
        <v>774</v>
      </c>
      <c r="E387">
        <v>5</v>
      </c>
      <c r="F387" t="s">
        <v>775</v>
      </c>
      <c r="G387" s="2">
        <v>43301</v>
      </c>
      <c r="H387" t="s">
        <v>201</v>
      </c>
      <c r="I387">
        <v>9.6999999999999993</v>
      </c>
      <c r="K387">
        <v>6.2E-2</v>
      </c>
      <c r="L387">
        <v>10</v>
      </c>
      <c r="M387">
        <v>7.3898113189999997</v>
      </c>
      <c r="Q387">
        <v>0</v>
      </c>
      <c r="S387" t="s">
        <v>204</v>
      </c>
      <c r="T387" t="s">
        <v>141</v>
      </c>
      <c r="U387">
        <v>78.150000000000006</v>
      </c>
      <c r="V387">
        <v>48.11</v>
      </c>
      <c r="W387">
        <v>2952.9372659999999</v>
      </c>
      <c r="X387">
        <v>2952.9372659999999</v>
      </c>
      <c r="Y387">
        <v>0.39</v>
      </c>
      <c r="Z387">
        <v>0.33</v>
      </c>
      <c r="AA387">
        <v>0.4</v>
      </c>
      <c r="AB387">
        <v>119.1905052</v>
      </c>
    </row>
    <row r="388" spans="1:29" x14ac:dyDescent="0.25">
      <c r="A388">
        <v>387</v>
      </c>
      <c r="B388" t="s">
        <v>1001</v>
      </c>
      <c r="D388" t="s">
        <v>413</v>
      </c>
      <c r="E388">
        <v>6</v>
      </c>
      <c r="F388" t="s">
        <v>414</v>
      </c>
      <c r="G388" s="2">
        <v>43301</v>
      </c>
      <c r="H388" t="s">
        <v>201</v>
      </c>
      <c r="I388">
        <v>9.6999999999999993</v>
      </c>
      <c r="K388">
        <v>0.06</v>
      </c>
      <c r="L388">
        <v>10</v>
      </c>
      <c r="M388">
        <v>7.3898113189999997</v>
      </c>
      <c r="Q388">
        <v>0</v>
      </c>
      <c r="S388" t="s">
        <v>204</v>
      </c>
      <c r="T388" t="s">
        <v>141</v>
      </c>
      <c r="U388">
        <v>140.72</v>
      </c>
      <c r="V388">
        <v>57.12</v>
      </c>
      <c r="W388">
        <v>6312.972632</v>
      </c>
      <c r="X388">
        <v>6312.972632</v>
      </c>
      <c r="Y388">
        <v>0.23</v>
      </c>
      <c r="Z388">
        <v>0.25</v>
      </c>
      <c r="AA388">
        <v>0.26</v>
      </c>
      <c r="AB388">
        <v>123.163522</v>
      </c>
      <c r="AC388" t="s">
        <v>1002</v>
      </c>
    </row>
    <row r="389" spans="1:29" x14ac:dyDescent="0.25">
      <c r="A389">
        <v>388</v>
      </c>
      <c r="B389" t="s">
        <v>947</v>
      </c>
      <c r="D389" t="s">
        <v>430</v>
      </c>
      <c r="E389">
        <v>6</v>
      </c>
      <c r="F389" t="s">
        <v>431</v>
      </c>
      <c r="G389" s="2">
        <v>43301</v>
      </c>
      <c r="H389" t="s">
        <v>201</v>
      </c>
      <c r="I389">
        <v>7.1</v>
      </c>
      <c r="K389">
        <v>3.7999999999999999E-2</v>
      </c>
      <c r="L389">
        <v>10</v>
      </c>
      <c r="M389">
        <v>3.959192142</v>
      </c>
      <c r="Q389">
        <v>0</v>
      </c>
      <c r="S389" t="s">
        <v>204</v>
      </c>
      <c r="T389" t="s">
        <v>141</v>
      </c>
      <c r="U389">
        <v>127.09</v>
      </c>
      <c r="V389">
        <v>39.090000000000003</v>
      </c>
      <c r="W389">
        <v>3901.8173139999999</v>
      </c>
      <c r="X389">
        <v>3901.8173139999999</v>
      </c>
      <c r="Y389">
        <v>0.25</v>
      </c>
      <c r="Z389">
        <v>0.26</v>
      </c>
      <c r="AA389">
        <v>0.26</v>
      </c>
      <c r="AB389">
        <v>104.18926690000001</v>
      </c>
    </row>
    <row r="390" spans="1:29" x14ac:dyDescent="0.25">
      <c r="A390">
        <v>389</v>
      </c>
      <c r="B390" t="s">
        <v>948</v>
      </c>
      <c r="D390" t="s">
        <v>535</v>
      </c>
      <c r="E390">
        <v>4</v>
      </c>
      <c r="F390" t="s">
        <v>780</v>
      </c>
      <c r="G390" s="2">
        <v>43301</v>
      </c>
      <c r="H390" t="s">
        <v>201</v>
      </c>
      <c r="I390">
        <v>7.1</v>
      </c>
      <c r="K390">
        <v>4.4999999999999998E-2</v>
      </c>
      <c r="L390">
        <v>10</v>
      </c>
      <c r="M390">
        <v>3.959192142</v>
      </c>
      <c r="Q390">
        <v>0</v>
      </c>
      <c r="S390" t="s">
        <v>204</v>
      </c>
      <c r="T390" t="s">
        <v>141</v>
      </c>
      <c r="U390">
        <v>84.7</v>
      </c>
      <c r="V390">
        <v>17.64</v>
      </c>
      <c r="W390">
        <v>1173.469679</v>
      </c>
      <c r="X390">
        <v>1173.469679</v>
      </c>
      <c r="Y390">
        <v>0.35</v>
      </c>
      <c r="Z390">
        <v>0.37</v>
      </c>
      <c r="AA390">
        <v>0.31</v>
      </c>
      <c r="AB390">
        <v>87.982047589999993</v>
      </c>
    </row>
    <row r="391" spans="1:29" x14ac:dyDescent="0.25">
      <c r="A391">
        <v>390</v>
      </c>
      <c r="B391" t="s">
        <v>910</v>
      </c>
      <c r="D391" t="s">
        <v>911</v>
      </c>
      <c r="E391">
        <v>1</v>
      </c>
      <c r="F391" t="s">
        <v>949</v>
      </c>
      <c r="G391" s="2">
        <v>43301</v>
      </c>
      <c r="H391" t="s">
        <v>201</v>
      </c>
      <c r="I391">
        <v>7.1</v>
      </c>
      <c r="K391">
        <v>0.04</v>
      </c>
      <c r="L391">
        <v>10</v>
      </c>
      <c r="M391">
        <v>3.959192142</v>
      </c>
      <c r="Q391">
        <v>0</v>
      </c>
      <c r="S391" t="s">
        <v>204</v>
      </c>
      <c r="T391" t="s">
        <v>141</v>
      </c>
      <c r="U391">
        <v>126.04</v>
      </c>
      <c r="V391">
        <v>25.46</v>
      </c>
      <c r="W391">
        <v>2520.325742</v>
      </c>
      <c r="X391">
        <v>2520.325742</v>
      </c>
      <c r="Y391">
        <v>0.32</v>
      </c>
      <c r="Z391">
        <v>0.23</v>
      </c>
      <c r="AA391">
        <v>0.23</v>
      </c>
      <c r="AB391">
        <v>98.979803540000006</v>
      </c>
    </row>
    <row r="392" spans="1:29" x14ac:dyDescent="0.25">
      <c r="A392">
        <v>391</v>
      </c>
      <c r="B392" t="s">
        <v>950</v>
      </c>
      <c r="D392" t="s">
        <v>936</v>
      </c>
      <c r="E392">
        <v>4</v>
      </c>
      <c r="F392" t="s">
        <v>937</v>
      </c>
      <c r="G392" s="2">
        <v>43301</v>
      </c>
      <c r="H392" t="s">
        <v>201</v>
      </c>
      <c r="I392">
        <v>7.1</v>
      </c>
      <c r="K392">
        <v>2.4E-2</v>
      </c>
      <c r="L392">
        <v>10</v>
      </c>
      <c r="M392">
        <v>3.959192142</v>
      </c>
      <c r="Q392">
        <v>0</v>
      </c>
      <c r="S392" t="s">
        <v>204</v>
      </c>
      <c r="T392" t="s">
        <v>141</v>
      </c>
      <c r="U392">
        <v>99</v>
      </c>
      <c r="V392">
        <v>32.659999999999997</v>
      </c>
      <c r="W392">
        <v>2539.4592980000002</v>
      </c>
      <c r="X392">
        <v>2539.4592980000002</v>
      </c>
      <c r="Y392">
        <v>0.21</v>
      </c>
      <c r="Z392">
        <v>0.2</v>
      </c>
      <c r="AA392">
        <v>0.2</v>
      </c>
      <c r="AB392">
        <v>164.96633919999999</v>
      </c>
    </row>
    <row r="393" spans="1:29" x14ac:dyDescent="0.25">
      <c r="A393">
        <v>392</v>
      </c>
      <c r="B393" t="s">
        <v>951</v>
      </c>
      <c r="D393" t="s">
        <v>952</v>
      </c>
      <c r="E393">
        <v>1</v>
      </c>
      <c r="F393" t="s">
        <v>953</v>
      </c>
      <c r="G393" s="2">
        <v>43301</v>
      </c>
      <c r="H393" t="s">
        <v>201</v>
      </c>
      <c r="I393">
        <v>9.6999999999999993</v>
      </c>
      <c r="K393">
        <v>0.125</v>
      </c>
      <c r="L393">
        <v>10</v>
      </c>
      <c r="M393">
        <v>7.3898113189999997</v>
      </c>
      <c r="Q393">
        <v>0</v>
      </c>
      <c r="S393" t="s">
        <v>204</v>
      </c>
      <c r="T393" t="s">
        <v>141</v>
      </c>
      <c r="U393">
        <v>52.1</v>
      </c>
      <c r="V393">
        <v>24.89</v>
      </c>
      <c r="W393">
        <v>1018.479991</v>
      </c>
      <c r="X393">
        <v>1018.479991</v>
      </c>
      <c r="Y393">
        <v>0.4</v>
      </c>
      <c r="Z393">
        <v>0.44</v>
      </c>
      <c r="AA393">
        <v>0.44</v>
      </c>
      <c r="AB393">
        <v>59.118490559999998</v>
      </c>
    </row>
    <row r="394" spans="1:29" x14ac:dyDescent="0.25">
      <c r="A394">
        <v>393</v>
      </c>
      <c r="B394" t="s">
        <v>954</v>
      </c>
      <c r="D394" t="s">
        <v>430</v>
      </c>
      <c r="E394">
        <v>5</v>
      </c>
      <c r="F394" t="s">
        <v>431</v>
      </c>
      <c r="G394" s="2">
        <v>43301</v>
      </c>
      <c r="H394" t="s">
        <v>201</v>
      </c>
      <c r="I394">
        <v>9.6999999999999993</v>
      </c>
      <c r="K394">
        <v>6.0999999999999999E-2</v>
      </c>
      <c r="L394">
        <v>11</v>
      </c>
      <c r="M394">
        <v>8.1287924510000007</v>
      </c>
      <c r="Q394">
        <v>0</v>
      </c>
      <c r="S394" t="s">
        <v>204</v>
      </c>
      <c r="T394" t="s">
        <v>141</v>
      </c>
      <c r="U394">
        <v>91.18</v>
      </c>
      <c r="V394">
        <v>44.04</v>
      </c>
      <c r="W394">
        <v>3153.8191040000002</v>
      </c>
      <c r="X394">
        <v>3153.8191040000002</v>
      </c>
      <c r="Y394">
        <v>0.19</v>
      </c>
      <c r="Z394">
        <v>0.22</v>
      </c>
      <c r="AA394">
        <v>0.2</v>
      </c>
      <c r="AB394">
        <v>133.2588926</v>
      </c>
    </row>
    <row r="395" spans="1:29" x14ac:dyDescent="0.25">
      <c r="A395">
        <v>394</v>
      </c>
      <c r="B395" t="s">
        <v>955</v>
      </c>
      <c r="D395" t="s">
        <v>535</v>
      </c>
      <c r="E395">
        <v>5</v>
      </c>
      <c r="F395" t="s">
        <v>780</v>
      </c>
      <c r="G395" s="2">
        <v>43301</v>
      </c>
      <c r="H395" t="s">
        <v>201</v>
      </c>
      <c r="I395">
        <v>7.1</v>
      </c>
      <c r="K395">
        <v>0.04</v>
      </c>
      <c r="L395">
        <v>10</v>
      </c>
      <c r="M395">
        <v>3.959192142</v>
      </c>
      <c r="Q395">
        <v>0</v>
      </c>
      <c r="S395" t="s">
        <v>204</v>
      </c>
      <c r="T395" t="s">
        <v>141</v>
      </c>
      <c r="U395">
        <v>58.91</v>
      </c>
      <c r="V395">
        <v>15.37</v>
      </c>
      <c r="W395">
        <v>711.13617520000003</v>
      </c>
      <c r="X395">
        <v>711.13617520000003</v>
      </c>
      <c r="Y395">
        <v>0.31</v>
      </c>
      <c r="Z395">
        <v>0.32</v>
      </c>
      <c r="AA395">
        <v>0.3</v>
      </c>
      <c r="AB395">
        <v>98.979803540000006</v>
      </c>
    </row>
    <row r="396" spans="1:29" x14ac:dyDescent="0.25">
      <c r="A396">
        <v>395</v>
      </c>
      <c r="B396" t="s">
        <v>956</v>
      </c>
      <c r="D396" t="s">
        <v>932</v>
      </c>
      <c r="E396">
        <v>2</v>
      </c>
      <c r="F396" t="s">
        <v>933</v>
      </c>
      <c r="G396" s="2">
        <v>43301</v>
      </c>
      <c r="H396" t="s">
        <v>201</v>
      </c>
      <c r="I396">
        <v>7.1</v>
      </c>
      <c r="K396">
        <v>2.8000000000000001E-2</v>
      </c>
      <c r="L396">
        <v>12</v>
      </c>
      <c r="M396">
        <v>4.7510305700000002</v>
      </c>
      <c r="Q396">
        <v>0</v>
      </c>
      <c r="S396" t="s">
        <v>210</v>
      </c>
      <c r="T396">
        <v>70</v>
      </c>
      <c r="U396">
        <v>16.86</v>
      </c>
      <c r="V396">
        <v>9.93</v>
      </c>
      <c r="W396">
        <v>131.49120339999999</v>
      </c>
      <c r="X396">
        <v>9204.3842409999997</v>
      </c>
      <c r="Y396">
        <v>0.12</v>
      </c>
      <c r="Z396">
        <v>0.12</v>
      </c>
      <c r="AA396">
        <v>0.12</v>
      </c>
      <c r="AB396">
        <v>169.67966319999999</v>
      </c>
    </row>
    <row r="397" spans="1:29" x14ac:dyDescent="0.25">
      <c r="A397">
        <v>396</v>
      </c>
      <c r="B397" t="s">
        <v>957</v>
      </c>
      <c r="D397" t="s">
        <v>460</v>
      </c>
      <c r="E397">
        <v>5</v>
      </c>
      <c r="F397" t="s">
        <v>461</v>
      </c>
      <c r="G397" s="2">
        <v>43301</v>
      </c>
      <c r="H397" t="s">
        <v>201</v>
      </c>
      <c r="I397">
        <v>7.1</v>
      </c>
      <c r="K397">
        <v>3.2000000000000001E-2</v>
      </c>
      <c r="L397">
        <v>10</v>
      </c>
      <c r="M397">
        <v>3.959192142</v>
      </c>
      <c r="Q397">
        <v>0</v>
      </c>
      <c r="S397" t="s">
        <v>204</v>
      </c>
      <c r="T397" t="s">
        <v>141</v>
      </c>
      <c r="U397">
        <v>125.23</v>
      </c>
      <c r="V397">
        <v>38.340000000000003</v>
      </c>
      <c r="W397">
        <v>3770.946496</v>
      </c>
      <c r="X397">
        <v>3770.946496</v>
      </c>
      <c r="Y397">
        <v>0.31</v>
      </c>
      <c r="Z397">
        <v>0.28999999999999998</v>
      </c>
      <c r="AA397">
        <v>0.3</v>
      </c>
      <c r="AB397">
        <v>123.72475439999999</v>
      </c>
    </row>
    <row r="398" spans="1:29" x14ac:dyDescent="0.25">
      <c r="A398">
        <v>397</v>
      </c>
      <c r="B398" t="s">
        <v>958</v>
      </c>
      <c r="D398" t="s">
        <v>463</v>
      </c>
      <c r="E398">
        <v>5</v>
      </c>
      <c r="F398" t="s">
        <v>464</v>
      </c>
      <c r="G398" s="2">
        <v>43301</v>
      </c>
      <c r="H398" t="s">
        <v>201</v>
      </c>
      <c r="I398">
        <v>9.6999999999999993</v>
      </c>
      <c r="K398">
        <v>7.0999999999999994E-2</v>
      </c>
      <c r="L398">
        <v>10</v>
      </c>
      <c r="M398">
        <v>7.3898113189999997</v>
      </c>
      <c r="Q398">
        <v>0</v>
      </c>
      <c r="S398" t="s">
        <v>204</v>
      </c>
      <c r="T398" t="s">
        <v>141</v>
      </c>
      <c r="U398">
        <v>167.47</v>
      </c>
      <c r="V398">
        <v>73.62</v>
      </c>
      <c r="W398">
        <v>9683.2850120000003</v>
      </c>
      <c r="X398">
        <v>9683.2850120000003</v>
      </c>
      <c r="Y398">
        <v>0.35</v>
      </c>
      <c r="Z398">
        <v>0.27</v>
      </c>
      <c r="AA398">
        <v>0.32</v>
      </c>
      <c r="AB398">
        <v>104.0818496</v>
      </c>
    </row>
    <row r="399" spans="1:29" x14ac:dyDescent="0.25">
      <c r="A399">
        <v>398</v>
      </c>
      <c r="B399" t="s">
        <v>964</v>
      </c>
      <c r="D399" t="s">
        <v>932</v>
      </c>
      <c r="E399">
        <v>5</v>
      </c>
      <c r="F399" t="s">
        <v>933</v>
      </c>
      <c r="G399" s="2">
        <v>43305</v>
      </c>
      <c r="H399" t="s">
        <v>201</v>
      </c>
      <c r="I399">
        <v>7.1</v>
      </c>
      <c r="K399">
        <v>2.5000000000000001E-2</v>
      </c>
      <c r="L399">
        <v>10</v>
      </c>
      <c r="M399">
        <v>3.959192142</v>
      </c>
      <c r="S399" t="s">
        <v>210</v>
      </c>
      <c r="T399">
        <v>100</v>
      </c>
      <c r="U399">
        <v>17.329999999999998</v>
      </c>
      <c r="V399">
        <v>8.92</v>
      </c>
      <c r="W399">
        <v>121.40967550000001</v>
      </c>
      <c r="X399">
        <v>12140.967549999999</v>
      </c>
      <c r="Y399">
        <v>0.15</v>
      </c>
      <c r="Z399">
        <v>0.2</v>
      </c>
      <c r="AA399">
        <v>0.13</v>
      </c>
      <c r="AB399">
        <v>158.36768570000001</v>
      </c>
    </row>
    <row r="400" spans="1:29" x14ac:dyDescent="0.25">
      <c r="A400">
        <v>399</v>
      </c>
      <c r="B400" t="s">
        <v>965</v>
      </c>
      <c r="D400" t="s">
        <v>911</v>
      </c>
      <c r="E400">
        <v>5</v>
      </c>
      <c r="F400" t="s">
        <v>949</v>
      </c>
      <c r="G400" s="2">
        <v>43305</v>
      </c>
      <c r="H400" t="s">
        <v>201</v>
      </c>
      <c r="I400">
        <v>7.1</v>
      </c>
      <c r="K400">
        <v>3.5000000000000003E-2</v>
      </c>
      <c r="L400">
        <v>11</v>
      </c>
      <c r="M400">
        <v>4.3551113560000001</v>
      </c>
      <c r="S400" t="s">
        <v>204</v>
      </c>
      <c r="T400" t="s">
        <v>141</v>
      </c>
      <c r="U400">
        <v>121.39</v>
      </c>
      <c r="V400">
        <v>35.61</v>
      </c>
      <c r="W400">
        <v>3395.0389919999998</v>
      </c>
      <c r="X400">
        <v>3395.0389919999998</v>
      </c>
      <c r="Y400">
        <v>0.17</v>
      </c>
      <c r="Z400">
        <v>0.17</v>
      </c>
      <c r="AA400">
        <v>0.16</v>
      </c>
      <c r="AB400">
        <v>124.431753</v>
      </c>
    </row>
    <row r="401" spans="1:28" x14ac:dyDescent="0.25">
      <c r="A401">
        <v>400</v>
      </c>
      <c r="B401" t="s">
        <v>966</v>
      </c>
      <c r="D401" t="s">
        <v>952</v>
      </c>
      <c r="E401">
        <v>2</v>
      </c>
      <c r="F401" t="s">
        <v>953</v>
      </c>
      <c r="G401" s="2">
        <v>43305</v>
      </c>
      <c r="H401" t="s">
        <v>201</v>
      </c>
      <c r="I401">
        <v>9.6999999999999993</v>
      </c>
      <c r="K401">
        <v>0.112</v>
      </c>
      <c r="L401">
        <v>10</v>
      </c>
      <c r="M401">
        <v>7.3898113189999997</v>
      </c>
      <c r="S401" t="s">
        <v>204</v>
      </c>
      <c r="T401" t="s">
        <v>141</v>
      </c>
      <c r="U401">
        <v>66.989999999999995</v>
      </c>
      <c r="V401">
        <v>30.52</v>
      </c>
      <c r="W401">
        <v>1605.7738770000001</v>
      </c>
      <c r="X401">
        <v>1605.7738770000001</v>
      </c>
      <c r="Y401">
        <v>0.37</v>
      </c>
      <c r="Z401">
        <v>0.32</v>
      </c>
      <c r="AA401">
        <v>0.36</v>
      </c>
      <c r="AB401">
        <v>65.980458209999995</v>
      </c>
    </row>
    <row r="402" spans="1:28" x14ac:dyDescent="0.25">
      <c r="A402">
        <v>401</v>
      </c>
      <c r="B402" t="s">
        <v>967</v>
      </c>
      <c r="D402" t="s">
        <v>911</v>
      </c>
      <c r="E402">
        <v>4</v>
      </c>
      <c r="F402" t="s">
        <v>949</v>
      </c>
      <c r="G402" s="2">
        <v>43305</v>
      </c>
      <c r="H402" t="s">
        <v>201</v>
      </c>
      <c r="I402">
        <v>9.6999999999999993</v>
      </c>
      <c r="K402">
        <v>6.9000000000000006E-2</v>
      </c>
      <c r="L402">
        <v>10</v>
      </c>
      <c r="M402">
        <v>7.3898113189999997</v>
      </c>
      <c r="S402" t="s">
        <v>204</v>
      </c>
      <c r="T402" t="s">
        <v>141</v>
      </c>
      <c r="U402">
        <v>148.85</v>
      </c>
      <c r="V402">
        <v>32.43</v>
      </c>
      <c r="W402">
        <v>3791.2783340000001</v>
      </c>
      <c r="X402">
        <v>3791.2783340000001</v>
      </c>
      <c r="Y402">
        <v>0.21</v>
      </c>
      <c r="Z402">
        <v>0.21</v>
      </c>
      <c r="AA402">
        <v>0.21</v>
      </c>
      <c r="AB402">
        <v>107.0987148</v>
      </c>
    </row>
    <row r="403" spans="1:28" x14ac:dyDescent="0.25">
      <c r="A403">
        <v>402</v>
      </c>
      <c r="B403" t="s">
        <v>968</v>
      </c>
      <c r="D403" t="s">
        <v>952</v>
      </c>
      <c r="E403">
        <v>5</v>
      </c>
      <c r="F403" t="s">
        <v>953</v>
      </c>
      <c r="G403" s="2">
        <v>43305</v>
      </c>
      <c r="H403" t="s">
        <v>201</v>
      </c>
      <c r="I403">
        <v>9.6999999999999993</v>
      </c>
      <c r="K403">
        <v>8.4000000000000005E-2</v>
      </c>
      <c r="L403">
        <v>10</v>
      </c>
      <c r="M403">
        <v>7.3898113189999997</v>
      </c>
      <c r="S403" t="s">
        <v>204</v>
      </c>
      <c r="T403" t="s">
        <v>141</v>
      </c>
      <c r="U403">
        <v>65.38</v>
      </c>
      <c r="V403">
        <v>29.59</v>
      </c>
      <c r="W403">
        <v>1519.4267319999999</v>
      </c>
      <c r="X403">
        <v>1519.4267319999999</v>
      </c>
      <c r="Y403">
        <v>0.3</v>
      </c>
      <c r="Z403">
        <v>0.28000000000000003</v>
      </c>
      <c r="AA403">
        <v>0.31</v>
      </c>
      <c r="AB403">
        <v>87.973944279999998</v>
      </c>
    </row>
    <row r="404" spans="1:28" x14ac:dyDescent="0.25">
      <c r="A404">
        <v>403</v>
      </c>
      <c r="B404" t="s">
        <v>969</v>
      </c>
      <c r="D404" t="s">
        <v>347</v>
      </c>
      <c r="E404">
        <v>6</v>
      </c>
      <c r="F404" t="s">
        <v>19</v>
      </c>
      <c r="G404" s="2">
        <v>43305</v>
      </c>
      <c r="H404" t="s">
        <v>201</v>
      </c>
      <c r="I404">
        <v>7.1</v>
      </c>
      <c r="K404">
        <v>5.8000000000000003E-2</v>
      </c>
      <c r="L404">
        <v>11</v>
      </c>
      <c r="M404">
        <v>4.3551113560000001</v>
      </c>
      <c r="S404" t="s">
        <v>210</v>
      </c>
      <c r="T404">
        <v>520</v>
      </c>
      <c r="U404">
        <v>14.19</v>
      </c>
      <c r="V404">
        <v>10.23</v>
      </c>
      <c r="W404">
        <v>114.0113034</v>
      </c>
      <c r="X404">
        <v>59285.87775</v>
      </c>
      <c r="Y404">
        <v>0.18</v>
      </c>
      <c r="Z404">
        <v>0.18</v>
      </c>
      <c r="AA404">
        <v>0.16</v>
      </c>
      <c r="AB404">
        <v>75.088126829999993</v>
      </c>
    </row>
    <row r="405" spans="1:28" x14ac:dyDescent="0.25">
      <c r="A405">
        <v>404</v>
      </c>
      <c r="B405" t="s">
        <v>970</v>
      </c>
      <c r="D405" t="s">
        <v>932</v>
      </c>
      <c r="E405">
        <v>4</v>
      </c>
      <c r="F405" t="s">
        <v>933</v>
      </c>
      <c r="G405" s="2">
        <v>43305</v>
      </c>
      <c r="H405" t="s">
        <v>201</v>
      </c>
      <c r="I405">
        <v>7.1</v>
      </c>
      <c r="K405">
        <v>2.8000000000000001E-2</v>
      </c>
      <c r="L405">
        <v>11</v>
      </c>
      <c r="M405">
        <v>4.3551113560000001</v>
      </c>
      <c r="S405" t="s">
        <v>210</v>
      </c>
      <c r="T405">
        <v>53</v>
      </c>
      <c r="U405">
        <v>31.91</v>
      </c>
      <c r="V405">
        <v>18.28</v>
      </c>
      <c r="W405">
        <v>458.13437260000001</v>
      </c>
      <c r="X405">
        <v>24281.121749999998</v>
      </c>
      <c r="Y405">
        <v>0.23</v>
      </c>
      <c r="Z405">
        <v>0.23</v>
      </c>
      <c r="AA405">
        <v>0.25</v>
      </c>
      <c r="AB405">
        <v>155.53969129999999</v>
      </c>
    </row>
    <row r="406" spans="1:28" x14ac:dyDescent="0.25">
      <c r="A406">
        <v>405</v>
      </c>
      <c r="B406" t="s">
        <v>971</v>
      </c>
      <c r="D406" t="s">
        <v>463</v>
      </c>
      <c r="E406">
        <v>6</v>
      </c>
      <c r="F406" t="s">
        <v>464</v>
      </c>
      <c r="G406" s="2">
        <v>43305</v>
      </c>
      <c r="H406" t="s">
        <v>201</v>
      </c>
      <c r="I406">
        <v>7.1</v>
      </c>
      <c r="K406">
        <v>3.3000000000000002E-2</v>
      </c>
      <c r="L406">
        <v>10</v>
      </c>
      <c r="M406">
        <v>3.959192142</v>
      </c>
      <c r="S406" t="s">
        <v>204</v>
      </c>
      <c r="T406" t="s">
        <v>141</v>
      </c>
      <c r="U406">
        <v>155.87</v>
      </c>
      <c r="V406">
        <v>88.31</v>
      </c>
      <c r="W406">
        <v>10810.911239999999</v>
      </c>
      <c r="X406">
        <v>10810.911239999999</v>
      </c>
      <c r="Y406">
        <v>0.21</v>
      </c>
      <c r="Z406">
        <v>0.24</v>
      </c>
      <c r="AA406">
        <v>0.25</v>
      </c>
      <c r="AB406">
        <v>119.9755194</v>
      </c>
    </row>
    <row r="407" spans="1:28" x14ac:dyDescent="0.25">
      <c r="A407">
        <v>406</v>
      </c>
      <c r="B407" t="s">
        <v>972</v>
      </c>
      <c r="D407" t="s">
        <v>911</v>
      </c>
      <c r="E407">
        <v>3</v>
      </c>
      <c r="F407" t="s">
        <v>949</v>
      </c>
      <c r="G407" s="2">
        <v>43305</v>
      </c>
      <c r="H407" t="s">
        <v>201</v>
      </c>
      <c r="I407">
        <v>7.1</v>
      </c>
      <c r="K407">
        <v>3.2000000000000001E-2</v>
      </c>
      <c r="L407">
        <v>10</v>
      </c>
      <c r="M407">
        <v>3.959192142</v>
      </c>
      <c r="S407" t="s">
        <v>204</v>
      </c>
      <c r="T407" t="s">
        <v>141</v>
      </c>
      <c r="U407">
        <v>113.56</v>
      </c>
      <c r="V407">
        <v>23.37</v>
      </c>
      <c r="W407">
        <v>2084.3659870000001</v>
      </c>
      <c r="X407">
        <v>2084.3659870000001</v>
      </c>
      <c r="Y407">
        <v>0.2</v>
      </c>
      <c r="Z407">
        <v>0.2</v>
      </c>
      <c r="AA407">
        <v>0.21</v>
      </c>
      <c r="AB407">
        <v>123.72475439999999</v>
      </c>
    </row>
    <row r="408" spans="1:28" x14ac:dyDescent="0.25">
      <c r="A408">
        <v>407</v>
      </c>
      <c r="B408" t="s">
        <v>973</v>
      </c>
      <c r="D408" t="s">
        <v>440</v>
      </c>
      <c r="E408">
        <v>3</v>
      </c>
      <c r="F408" t="s">
        <v>441</v>
      </c>
      <c r="G408" s="2">
        <v>43305</v>
      </c>
      <c r="H408" t="s">
        <v>201</v>
      </c>
      <c r="I408">
        <v>9.6999999999999993</v>
      </c>
      <c r="K408">
        <v>4.3999999999999997E-2</v>
      </c>
      <c r="L408">
        <v>10</v>
      </c>
      <c r="M408">
        <v>7.3898113189999997</v>
      </c>
      <c r="S408" t="s">
        <v>204</v>
      </c>
      <c r="T408" t="s">
        <v>141</v>
      </c>
      <c r="U408">
        <v>132.28</v>
      </c>
      <c r="V408">
        <v>43.07</v>
      </c>
      <c r="W408">
        <v>4474.6486420000001</v>
      </c>
      <c r="X408">
        <v>4474.6486420000001</v>
      </c>
      <c r="Y408">
        <v>0.16</v>
      </c>
      <c r="Z408">
        <v>0.14000000000000001</v>
      </c>
      <c r="AA408">
        <v>0.14000000000000001</v>
      </c>
      <c r="AB408">
        <v>167.9502573</v>
      </c>
    </row>
    <row r="409" spans="1:28" x14ac:dyDescent="0.25">
      <c r="A409">
        <v>408</v>
      </c>
      <c r="B409" t="s">
        <v>974</v>
      </c>
      <c r="D409" t="s">
        <v>952</v>
      </c>
      <c r="E409">
        <v>3</v>
      </c>
      <c r="F409" t="s">
        <v>953</v>
      </c>
      <c r="G409" s="2">
        <v>43305</v>
      </c>
      <c r="H409" t="s">
        <v>201</v>
      </c>
      <c r="I409">
        <v>9.6999999999999993</v>
      </c>
      <c r="K409">
        <v>0.111</v>
      </c>
      <c r="L409">
        <v>10</v>
      </c>
      <c r="M409">
        <v>7.3898113189999997</v>
      </c>
      <c r="S409" t="s">
        <v>204</v>
      </c>
      <c r="T409" t="s">
        <v>141</v>
      </c>
      <c r="U409">
        <v>40.76</v>
      </c>
      <c r="V409">
        <v>25.47</v>
      </c>
      <c r="W409">
        <v>815.36675820000005</v>
      </c>
      <c r="X409">
        <v>815.36675820000005</v>
      </c>
      <c r="Y409">
        <v>0.35</v>
      </c>
      <c r="Z409">
        <v>0.36</v>
      </c>
      <c r="AA409">
        <v>0.35</v>
      </c>
      <c r="AB409">
        <v>66.574876750000001</v>
      </c>
    </row>
    <row r="410" spans="1:28" x14ac:dyDescent="0.25">
      <c r="A410">
        <v>409</v>
      </c>
      <c r="B410" t="s">
        <v>975</v>
      </c>
      <c r="D410" t="s">
        <v>932</v>
      </c>
      <c r="E410">
        <v>3</v>
      </c>
      <c r="F410" t="s">
        <v>933</v>
      </c>
      <c r="G410" s="2">
        <v>43305</v>
      </c>
      <c r="H410" t="s">
        <v>201</v>
      </c>
      <c r="I410">
        <v>7.1</v>
      </c>
      <c r="K410">
        <v>4.2000000000000003E-2</v>
      </c>
      <c r="L410">
        <v>17</v>
      </c>
      <c r="M410">
        <v>6.7306266409999997</v>
      </c>
      <c r="S410" t="s">
        <v>210</v>
      </c>
      <c r="T410">
        <v>81</v>
      </c>
      <c r="U410">
        <v>19.010000000000002</v>
      </c>
      <c r="V410">
        <v>11.58</v>
      </c>
      <c r="W410">
        <v>172.89425299999999</v>
      </c>
      <c r="X410">
        <v>14004.43449</v>
      </c>
      <c r="Y410">
        <v>0.09</v>
      </c>
      <c r="Z410">
        <v>0.11</v>
      </c>
      <c r="AA410">
        <v>0.11</v>
      </c>
      <c r="AB410">
        <v>160.25301529999999</v>
      </c>
    </row>
    <row r="411" spans="1:28" x14ac:dyDescent="0.25">
      <c r="A411">
        <v>410</v>
      </c>
      <c r="B411" t="s">
        <v>976</v>
      </c>
      <c r="D411" t="s">
        <v>911</v>
      </c>
      <c r="E411">
        <v>2</v>
      </c>
      <c r="F411" t="s">
        <v>949</v>
      </c>
      <c r="G411" s="2">
        <v>43305</v>
      </c>
      <c r="H411" t="s">
        <v>201</v>
      </c>
      <c r="I411">
        <v>7.1</v>
      </c>
      <c r="K411">
        <v>4.5999999999999999E-2</v>
      </c>
      <c r="L411">
        <v>12</v>
      </c>
      <c r="M411">
        <v>4.7510305700000002</v>
      </c>
      <c r="S411" t="s">
        <v>204</v>
      </c>
      <c r="T411" t="s">
        <v>141</v>
      </c>
      <c r="U411">
        <v>108.35</v>
      </c>
      <c r="V411">
        <v>25.61</v>
      </c>
      <c r="W411">
        <v>2179.3569889999999</v>
      </c>
      <c r="X411">
        <v>2179.3569889999999</v>
      </c>
      <c r="Y411">
        <v>0.16</v>
      </c>
      <c r="Z411">
        <v>0.16</v>
      </c>
      <c r="AA411">
        <v>0.16</v>
      </c>
      <c r="AB411">
        <v>103.2832733</v>
      </c>
    </row>
    <row r="412" spans="1:28" x14ac:dyDescent="0.25">
      <c r="A412">
        <v>411</v>
      </c>
      <c r="B412" t="s">
        <v>977</v>
      </c>
      <c r="D412" t="s">
        <v>936</v>
      </c>
      <c r="E412">
        <v>5</v>
      </c>
      <c r="F412" t="s">
        <v>937</v>
      </c>
      <c r="G412" s="2">
        <v>43305</v>
      </c>
      <c r="H412" t="s">
        <v>201</v>
      </c>
      <c r="I412">
        <v>9.6999999999999993</v>
      </c>
      <c r="K412">
        <v>7.0999999999999994E-2</v>
      </c>
      <c r="L412">
        <v>12</v>
      </c>
      <c r="M412">
        <v>8.867773583</v>
      </c>
      <c r="S412" t="s">
        <v>204</v>
      </c>
      <c r="T412" t="s">
        <v>141</v>
      </c>
      <c r="U412">
        <v>131.38</v>
      </c>
      <c r="V412">
        <v>46.39</v>
      </c>
      <c r="W412">
        <v>4786.7804809999998</v>
      </c>
      <c r="X412">
        <v>4786.7804809999998</v>
      </c>
      <c r="Y412">
        <v>0.19</v>
      </c>
      <c r="Z412">
        <v>0.18</v>
      </c>
      <c r="AA412">
        <v>0.22</v>
      </c>
      <c r="AB412">
        <v>124.8982195</v>
      </c>
    </row>
    <row r="413" spans="1:28" x14ac:dyDescent="0.25">
      <c r="A413">
        <v>412</v>
      </c>
      <c r="B413" t="s">
        <v>978</v>
      </c>
      <c r="D413" t="s">
        <v>979</v>
      </c>
      <c r="E413">
        <v>1</v>
      </c>
      <c r="F413" t="s">
        <v>980</v>
      </c>
      <c r="G413" s="2">
        <v>43305</v>
      </c>
      <c r="H413" t="s">
        <v>201</v>
      </c>
      <c r="I413">
        <v>7.1</v>
      </c>
      <c r="K413">
        <v>0.05</v>
      </c>
      <c r="L413">
        <v>10</v>
      </c>
      <c r="M413">
        <v>3.959192142</v>
      </c>
      <c r="S413" t="s">
        <v>204</v>
      </c>
      <c r="T413" t="s">
        <v>141</v>
      </c>
      <c r="U413">
        <v>49.24</v>
      </c>
      <c r="V413">
        <v>17.91</v>
      </c>
      <c r="W413">
        <v>692.63352970000005</v>
      </c>
      <c r="X413">
        <v>692.63352970000005</v>
      </c>
      <c r="Y413">
        <v>0.26</v>
      </c>
      <c r="Z413">
        <v>0.28000000000000003</v>
      </c>
      <c r="AA413">
        <v>0.26</v>
      </c>
      <c r="AB413">
        <v>79.183842830000003</v>
      </c>
    </row>
    <row r="414" spans="1:28" x14ac:dyDescent="0.25">
      <c r="A414">
        <v>413</v>
      </c>
      <c r="B414" t="s">
        <v>981</v>
      </c>
      <c r="D414" t="s">
        <v>952</v>
      </c>
      <c r="E414">
        <v>4</v>
      </c>
      <c r="F414" t="s">
        <v>953</v>
      </c>
      <c r="G414" s="2">
        <v>43305</v>
      </c>
      <c r="H414" t="s">
        <v>201</v>
      </c>
      <c r="I414">
        <v>9.6999999999999993</v>
      </c>
      <c r="K414">
        <v>0.112</v>
      </c>
      <c r="L414">
        <v>10</v>
      </c>
      <c r="M414">
        <v>7.3898113189999997</v>
      </c>
      <c r="S414" t="s">
        <v>204</v>
      </c>
      <c r="T414" t="s">
        <v>141</v>
      </c>
      <c r="U414">
        <v>76.459999999999994</v>
      </c>
      <c r="V414">
        <v>35.49</v>
      </c>
      <c r="W414">
        <v>2131.2292809999999</v>
      </c>
      <c r="X414">
        <v>2131.2292809999999</v>
      </c>
      <c r="Y414">
        <v>0.36</v>
      </c>
      <c r="Z414">
        <v>0.34</v>
      </c>
      <c r="AA414">
        <v>0.32</v>
      </c>
      <c r="AB414">
        <v>65.980458209999995</v>
      </c>
    </row>
    <row r="415" spans="1:28" x14ac:dyDescent="0.25">
      <c r="A415">
        <v>414</v>
      </c>
      <c r="B415" t="s">
        <v>982</v>
      </c>
      <c r="D415" t="s">
        <v>885</v>
      </c>
      <c r="E415">
        <v>4</v>
      </c>
      <c r="F415" t="s">
        <v>886</v>
      </c>
      <c r="G415" s="2">
        <v>43305</v>
      </c>
      <c r="H415" t="s">
        <v>201</v>
      </c>
      <c r="I415">
        <v>7.1</v>
      </c>
      <c r="K415">
        <v>3.6999999999999998E-2</v>
      </c>
      <c r="L415">
        <v>12</v>
      </c>
      <c r="M415">
        <v>4.7510305700000002</v>
      </c>
      <c r="S415" t="s">
        <v>210</v>
      </c>
      <c r="T415">
        <v>11</v>
      </c>
      <c r="U415">
        <v>77.97</v>
      </c>
      <c r="V415">
        <v>24.57</v>
      </c>
      <c r="W415">
        <v>1504.605247</v>
      </c>
      <c r="X415">
        <v>16550.657719999999</v>
      </c>
      <c r="Y415">
        <v>0.11</v>
      </c>
      <c r="Z415">
        <v>0.09</v>
      </c>
      <c r="AA415">
        <v>0.12</v>
      </c>
      <c r="AB415">
        <v>128.40623160000001</v>
      </c>
    </row>
    <row r="416" spans="1:28" x14ac:dyDescent="0.25">
      <c r="A416">
        <v>415</v>
      </c>
      <c r="B416" t="s">
        <v>983</v>
      </c>
      <c r="D416" t="s">
        <v>352</v>
      </c>
      <c r="E416">
        <v>4</v>
      </c>
      <c r="F416" t="s">
        <v>332</v>
      </c>
      <c r="G416" s="2">
        <v>43305</v>
      </c>
      <c r="H416" t="s">
        <v>201</v>
      </c>
      <c r="I416">
        <v>9.6999999999999993</v>
      </c>
      <c r="K416">
        <v>0.128</v>
      </c>
      <c r="L416">
        <v>10</v>
      </c>
      <c r="M416">
        <v>7.3898113189999997</v>
      </c>
      <c r="S416" t="s">
        <v>204</v>
      </c>
      <c r="T416" t="s">
        <v>141</v>
      </c>
      <c r="U416">
        <v>140.56</v>
      </c>
      <c r="V416">
        <v>51.33</v>
      </c>
      <c r="W416">
        <v>5666.6043950000003</v>
      </c>
      <c r="X416">
        <v>5666.6043950000003</v>
      </c>
      <c r="Y416">
        <v>0.28000000000000003</v>
      </c>
      <c r="Z416">
        <v>0.33</v>
      </c>
      <c r="AA416">
        <v>0.32</v>
      </c>
      <c r="AB416">
        <v>57.73290093</v>
      </c>
    </row>
    <row r="417" spans="1:29" x14ac:dyDescent="0.25">
      <c r="A417">
        <v>416</v>
      </c>
      <c r="B417" t="s">
        <v>984</v>
      </c>
      <c r="D417" t="s">
        <v>979</v>
      </c>
      <c r="E417">
        <v>2</v>
      </c>
      <c r="F417" t="s">
        <v>980</v>
      </c>
      <c r="G417" s="2">
        <v>43305</v>
      </c>
      <c r="H417" t="s">
        <v>201</v>
      </c>
      <c r="I417">
        <v>7.1</v>
      </c>
      <c r="K417">
        <v>4.5999999999999999E-2</v>
      </c>
      <c r="L417">
        <v>10</v>
      </c>
      <c r="M417">
        <v>3.959192142</v>
      </c>
      <c r="S417" t="s">
        <v>204</v>
      </c>
      <c r="T417" t="s">
        <v>141</v>
      </c>
      <c r="U417">
        <v>52.44</v>
      </c>
      <c r="V417">
        <v>20.82</v>
      </c>
      <c r="W417">
        <v>857.49834310000006</v>
      </c>
      <c r="X417">
        <v>857.49834310000006</v>
      </c>
      <c r="Y417">
        <v>0.26</v>
      </c>
      <c r="Z417">
        <v>0.24</v>
      </c>
      <c r="AA417">
        <v>0.25</v>
      </c>
      <c r="AB417">
        <v>86.069394380000006</v>
      </c>
    </row>
    <row r="418" spans="1:29" x14ac:dyDescent="0.25">
      <c r="A418">
        <v>417</v>
      </c>
      <c r="B418" t="s">
        <v>985</v>
      </c>
      <c r="D418" t="s">
        <v>885</v>
      </c>
      <c r="E418">
        <v>2</v>
      </c>
      <c r="F418" t="s">
        <v>886</v>
      </c>
      <c r="G418" s="2">
        <v>43305</v>
      </c>
      <c r="H418" t="s">
        <v>201</v>
      </c>
      <c r="I418">
        <v>7.1</v>
      </c>
      <c r="K418">
        <v>2.1999999999999999E-2</v>
      </c>
      <c r="L418">
        <v>10</v>
      </c>
      <c r="M418">
        <v>3.959192142</v>
      </c>
      <c r="S418" t="s">
        <v>210</v>
      </c>
      <c r="T418">
        <v>15</v>
      </c>
      <c r="U418">
        <v>48.28</v>
      </c>
      <c r="V418">
        <v>17.760000000000002</v>
      </c>
      <c r="W418">
        <v>673.44185430000005</v>
      </c>
      <c r="X418">
        <v>10101.62781</v>
      </c>
      <c r="Y418">
        <v>0.12</v>
      </c>
      <c r="Z418">
        <v>9</v>
      </c>
      <c r="AA418">
        <v>0.13</v>
      </c>
      <c r="AB418">
        <v>179.96327919999999</v>
      </c>
    </row>
    <row r="419" spans="1:29" x14ac:dyDescent="0.25">
      <c r="A419">
        <v>418</v>
      </c>
      <c r="B419" t="s">
        <v>986</v>
      </c>
      <c r="D419" t="s">
        <v>885</v>
      </c>
      <c r="E419">
        <v>3</v>
      </c>
      <c r="F419" t="s">
        <v>886</v>
      </c>
      <c r="G419" s="2">
        <v>43305</v>
      </c>
      <c r="H419" t="s">
        <v>201</v>
      </c>
      <c r="I419">
        <v>7.1</v>
      </c>
      <c r="K419">
        <v>2.5999999999999999E-2</v>
      </c>
      <c r="L419">
        <v>10</v>
      </c>
      <c r="M419">
        <v>3.959192142</v>
      </c>
      <c r="S419" t="s">
        <v>210</v>
      </c>
      <c r="T419">
        <v>17</v>
      </c>
      <c r="U419">
        <v>79.84</v>
      </c>
      <c r="V419">
        <v>29.4</v>
      </c>
      <c r="W419">
        <v>1843.5619670000001</v>
      </c>
      <c r="X419">
        <v>31340.55344</v>
      </c>
      <c r="Y419">
        <v>0.11</v>
      </c>
      <c r="Z419">
        <v>0.1</v>
      </c>
      <c r="AA419">
        <v>0.1</v>
      </c>
      <c r="AB419">
        <v>152.27662079999999</v>
      </c>
    </row>
    <row r="420" spans="1:29" x14ac:dyDescent="0.25">
      <c r="A420">
        <v>419</v>
      </c>
      <c r="B420" t="s">
        <v>1003</v>
      </c>
      <c r="D420" t="s">
        <v>348</v>
      </c>
      <c r="E420">
        <v>4</v>
      </c>
      <c r="F420" t="s">
        <v>371</v>
      </c>
      <c r="G420" s="2">
        <v>43305</v>
      </c>
      <c r="H420" t="s">
        <v>201</v>
      </c>
      <c r="I420">
        <v>9.6999999999999993</v>
      </c>
      <c r="K420">
        <v>6.0999999999999999E-2</v>
      </c>
      <c r="L420">
        <v>10</v>
      </c>
      <c r="M420">
        <v>7.3898113189999997</v>
      </c>
      <c r="S420" t="s">
        <v>204</v>
      </c>
      <c r="T420" t="s">
        <v>141</v>
      </c>
      <c r="U420">
        <v>111.5</v>
      </c>
      <c r="V420">
        <v>87.47</v>
      </c>
      <c r="W420">
        <v>7659.9136749999998</v>
      </c>
      <c r="X420">
        <v>7659.9136749999998</v>
      </c>
      <c r="Y420">
        <v>0.51</v>
      </c>
      <c r="Z420">
        <v>0.51</v>
      </c>
      <c r="AA420">
        <v>0.53</v>
      </c>
      <c r="AB420">
        <v>121.1444479</v>
      </c>
    </row>
    <row r="421" spans="1:29" x14ac:dyDescent="0.25">
      <c r="A421">
        <v>420</v>
      </c>
      <c r="B421" t="s">
        <v>1004</v>
      </c>
      <c r="D421" t="s">
        <v>376</v>
      </c>
      <c r="E421">
        <v>6</v>
      </c>
      <c r="F421" t="s">
        <v>380</v>
      </c>
      <c r="G421" s="2">
        <v>43305</v>
      </c>
      <c r="H421" t="s">
        <v>200</v>
      </c>
      <c r="I421" t="s">
        <v>141</v>
      </c>
      <c r="K421">
        <v>0.34799999999999998</v>
      </c>
      <c r="L421" t="s">
        <v>141</v>
      </c>
      <c r="M421" t="s">
        <v>141</v>
      </c>
      <c r="S421" t="s">
        <v>204</v>
      </c>
      <c r="T421" t="s">
        <v>141</v>
      </c>
      <c r="U421">
        <v>19.88</v>
      </c>
      <c r="V421">
        <v>3.75</v>
      </c>
      <c r="W421">
        <v>58.551433080000002</v>
      </c>
      <c r="X421">
        <v>58.551433080000002</v>
      </c>
      <c r="Y421">
        <v>0.22</v>
      </c>
      <c r="Z421">
        <v>0.25</v>
      </c>
      <c r="AA421">
        <v>0.24</v>
      </c>
      <c r="AB421" t="e">
        <v>#VALUE!</v>
      </c>
    </row>
    <row r="422" spans="1:29" x14ac:dyDescent="0.25">
      <c r="A422">
        <v>421</v>
      </c>
      <c r="B422" t="s">
        <v>1005</v>
      </c>
      <c r="D422" t="s">
        <v>876</v>
      </c>
      <c r="E422">
        <v>4</v>
      </c>
      <c r="F422" t="s">
        <v>877</v>
      </c>
      <c r="G422" s="2">
        <v>43305</v>
      </c>
      <c r="H422" t="s">
        <v>201</v>
      </c>
      <c r="I422">
        <v>9.6999999999999993</v>
      </c>
      <c r="K422">
        <v>6.6000000000000003E-2</v>
      </c>
      <c r="L422">
        <v>10</v>
      </c>
      <c r="M422">
        <v>7.3898113189999997</v>
      </c>
      <c r="S422" t="s">
        <v>204</v>
      </c>
      <c r="T422" t="s">
        <v>141</v>
      </c>
      <c r="U422">
        <v>124.56</v>
      </c>
      <c r="V422">
        <v>70.959999999999994</v>
      </c>
      <c r="W422">
        <v>6941.9596940000001</v>
      </c>
      <c r="X422">
        <v>6941.9596940000001</v>
      </c>
      <c r="Y422">
        <v>0.28999999999999998</v>
      </c>
      <c r="Z422">
        <v>0.32</v>
      </c>
      <c r="AA422">
        <v>0.26</v>
      </c>
      <c r="AB422">
        <v>111.9668382</v>
      </c>
    </row>
    <row r="423" spans="1:29" x14ac:dyDescent="0.25">
      <c r="A423">
        <v>422</v>
      </c>
      <c r="B423" t="s">
        <v>1006</v>
      </c>
      <c r="D423" t="s">
        <v>348</v>
      </c>
      <c r="E423">
        <v>5</v>
      </c>
      <c r="F423" t="s">
        <v>371</v>
      </c>
      <c r="G423" s="2">
        <v>43305</v>
      </c>
      <c r="H423" t="s">
        <v>201</v>
      </c>
      <c r="I423">
        <v>9.6999999999999993</v>
      </c>
      <c r="K423">
        <v>6.5000000000000002E-2</v>
      </c>
      <c r="L423">
        <v>10</v>
      </c>
      <c r="M423">
        <v>7.3898113189999997</v>
      </c>
      <c r="S423" t="s">
        <v>204</v>
      </c>
      <c r="T423" t="s">
        <v>141</v>
      </c>
      <c r="U423">
        <v>123.98</v>
      </c>
      <c r="V423">
        <v>61.43</v>
      </c>
      <c r="W423">
        <v>5981.6641980000004</v>
      </c>
      <c r="X423">
        <v>5981.6641980000004</v>
      </c>
      <c r="Y423">
        <v>0.63</v>
      </c>
      <c r="Z423">
        <v>0.3</v>
      </c>
      <c r="AA423">
        <v>0.28000000000000003</v>
      </c>
      <c r="AB423">
        <v>113.6894049</v>
      </c>
    </row>
    <row r="424" spans="1:29" x14ac:dyDescent="0.25">
      <c r="A424">
        <v>423</v>
      </c>
      <c r="B424" t="s">
        <v>1007</v>
      </c>
      <c r="D424" t="s">
        <v>820</v>
      </c>
      <c r="E424">
        <v>2</v>
      </c>
      <c r="F424" t="s">
        <v>821</v>
      </c>
      <c r="G424" s="2">
        <v>43305</v>
      </c>
      <c r="H424" t="s">
        <v>201</v>
      </c>
      <c r="I424">
        <v>9.6999999999999993</v>
      </c>
      <c r="K424">
        <v>6.4000000000000001E-2</v>
      </c>
      <c r="L424">
        <v>10</v>
      </c>
      <c r="M424">
        <v>7.3898113189999997</v>
      </c>
      <c r="S424" t="s">
        <v>210</v>
      </c>
      <c r="T424">
        <v>12</v>
      </c>
      <c r="U424">
        <v>36.96</v>
      </c>
      <c r="V424">
        <v>20.86</v>
      </c>
      <c r="W424">
        <v>605.53067420000002</v>
      </c>
      <c r="X424">
        <v>7266.3680910000003</v>
      </c>
      <c r="Y424">
        <v>0.24</v>
      </c>
      <c r="Z424">
        <v>0.24</v>
      </c>
      <c r="AA424">
        <v>0.23</v>
      </c>
      <c r="AB424">
        <v>115.4658019</v>
      </c>
    </row>
    <row r="425" spans="1:29" x14ac:dyDescent="0.25">
      <c r="A425">
        <v>424</v>
      </c>
      <c r="B425" t="s">
        <v>1008</v>
      </c>
      <c r="D425" t="s">
        <v>544</v>
      </c>
      <c r="E425">
        <v>4</v>
      </c>
      <c r="F425" t="s">
        <v>545</v>
      </c>
      <c r="G425" s="2">
        <v>43305</v>
      </c>
      <c r="H425" t="s">
        <v>201</v>
      </c>
      <c r="I425">
        <v>9.6999999999999993</v>
      </c>
      <c r="K425">
        <v>6.5000000000000002E-2</v>
      </c>
      <c r="L425">
        <v>10</v>
      </c>
      <c r="M425">
        <v>7.3898113189999997</v>
      </c>
      <c r="S425" t="s">
        <v>204</v>
      </c>
      <c r="T425" t="s">
        <v>141</v>
      </c>
      <c r="U425">
        <v>152.12</v>
      </c>
      <c r="V425">
        <v>103.01</v>
      </c>
      <c r="W425">
        <v>12307.09592</v>
      </c>
      <c r="X425">
        <v>12307.09592</v>
      </c>
      <c r="Y425">
        <v>0.5</v>
      </c>
      <c r="Z425">
        <v>0.5</v>
      </c>
      <c r="AA425">
        <v>0.5</v>
      </c>
      <c r="AB425">
        <v>113.6894049</v>
      </c>
    </row>
    <row r="426" spans="1:29" x14ac:dyDescent="0.25">
      <c r="A426">
        <v>425</v>
      </c>
      <c r="B426" t="s">
        <v>1009</v>
      </c>
      <c r="D426" t="s">
        <v>820</v>
      </c>
      <c r="E426">
        <v>3</v>
      </c>
      <c r="F426" t="s">
        <v>821</v>
      </c>
      <c r="G426" s="2">
        <v>43305</v>
      </c>
      <c r="H426" t="s">
        <v>201</v>
      </c>
      <c r="I426">
        <v>7.1</v>
      </c>
      <c r="K426">
        <v>3.1E-2</v>
      </c>
      <c r="L426">
        <v>10</v>
      </c>
      <c r="M426">
        <v>3.959192142</v>
      </c>
      <c r="S426" t="s">
        <v>210</v>
      </c>
      <c r="T426">
        <v>9</v>
      </c>
      <c r="U426">
        <v>32.29</v>
      </c>
      <c r="V426">
        <v>18.14</v>
      </c>
      <c r="W426">
        <v>460.03959149999997</v>
      </c>
      <c r="X426">
        <v>4140.356323</v>
      </c>
      <c r="Y426">
        <v>0.19</v>
      </c>
      <c r="Z426">
        <v>0.19</v>
      </c>
      <c r="AA426">
        <v>0.19</v>
      </c>
      <c r="AB426">
        <v>127.7158755</v>
      </c>
    </row>
    <row r="427" spans="1:29" x14ac:dyDescent="0.25">
      <c r="A427">
        <v>426</v>
      </c>
      <c r="B427" t="s">
        <v>1010</v>
      </c>
      <c r="D427" t="s">
        <v>502</v>
      </c>
      <c r="E427">
        <v>5</v>
      </c>
      <c r="F427" t="s">
        <v>503</v>
      </c>
      <c r="G427" s="2">
        <v>43305</v>
      </c>
      <c r="H427" t="s">
        <v>201</v>
      </c>
      <c r="I427">
        <v>7.1</v>
      </c>
      <c r="K427">
        <v>5.6000000000000001E-2</v>
      </c>
      <c r="L427">
        <v>9</v>
      </c>
      <c r="M427">
        <v>3.563272928</v>
      </c>
      <c r="S427" t="s">
        <v>204</v>
      </c>
      <c r="T427" t="s">
        <v>141</v>
      </c>
      <c r="U427">
        <v>73.930000000000007</v>
      </c>
      <c r="V427">
        <v>36.26</v>
      </c>
      <c r="W427">
        <v>2105.4182700000001</v>
      </c>
      <c r="X427">
        <v>2105.4182700000001</v>
      </c>
      <c r="Y427">
        <v>0.35</v>
      </c>
      <c r="Z427">
        <v>0.34</v>
      </c>
      <c r="AA427">
        <v>0.36</v>
      </c>
      <c r="AB427">
        <v>63.629873709999998</v>
      </c>
    </row>
    <row r="428" spans="1:29" x14ac:dyDescent="0.25">
      <c r="A428">
        <v>427</v>
      </c>
      <c r="B428" t="s">
        <v>1011</v>
      </c>
      <c r="D428" t="s">
        <v>348</v>
      </c>
      <c r="E428">
        <v>3</v>
      </c>
      <c r="F428" t="s">
        <v>371</v>
      </c>
      <c r="G428" s="2">
        <v>43305</v>
      </c>
      <c r="H428" t="s">
        <v>201</v>
      </c>
      <c r="I428">
        <v>9.6999999999999993</v>
      </c>
      <c r="K428">
        <v>6.6000000000000003E-2</v>
      </c>
      <c r="L428">
        <v>10</v>
      </c>
      <c r="M428">
        <v>7.3898113189999997</v>
      </c>
      <c r="S428" t="s">
        <v>204</v>
      </c>
      <c r="T428" t="s">
        <v>141</v>
      </c>
      <c r="U428">
        <v>128.16</v>
      </c>
      <c r="V428">
        <v>80.47</v>
      </c>
      <c r="W428">
        <v>8099.8389049999996</v>
      </c>
      <c r="X428">
        <v>8099.8389049999996</v>
      </c>
      <c r="Y428">
        <v>0.59</v>
      </c>
      <c r="Z428">
        <v>0.41</v>
      </c>
      <c r="AA428">
        <v>0.57999999999999996</v>
      </c>
      <c r="AB428">
        <v>111.9668382</v>
      </c>
    </row>
    <row r="429" spans="1:29" x14ac:dyDescent="0.25">
      <c r="A429">
        <v>428</v>
      </c>
      <c r="B429" t="s">
        <v>1012</v>
      </c>
      <c r="D429" t="s">
        <v>354</v>
      </c>
      <c r="E429">
        <v>5</v>
      </c>
      <c r="F429" t="s">
        <v>359</v>
      </c>
      <c r="G429" s="2">
        <v>43305</v>
      </c>
      <c r="H429" t="s">
        <v>201</v>
      </c>
      <c r="I429">
        <v>9.6999999999999993</v>
      </c>
      <c r="K429">
        <v>0.11799999999999999</v>
      </c>
      <c r="L429">
        <v>10</v>
      </c>
      <c r="M429">
        <v>7.3898113189999997</v>
      </c>
      <c r="S429" t="s">
        <v>204</v>
      </c>
      <c r="T429" t="s">
        <v>141</v>
      </c>
      <c r="U429">
        <v>215.73</v>
      </c>
      <c r="V429">
        <v>56.77</v>
      </c>
      <c r="W429">
        <v>9618.7651019999994</v>
      </c>
      <c r="X429">
        <v>9618.7651019999994</v>
      </c>
      <c r="Y429">
        <v>0.51</v>
      </c>
      <c r="Z429">
        <v>0.5</v>
      </c>
      <c r="AA429">
        <v>0.51</v>
      </c>
      <c r="AB429">
        <v>62.625519660000002</v>
      </c>
    </row>
    <row r="430" spans="1:29" x14ac:dyDescent="0.25">
      <c r="A430">
        <v>429</v>
      </c>
      <c r="B430" t="s">
        <v>1271</v>
      </c>
      <c r="C430" t="s">
        <v>1013</v>
      </c>
      <c r="D430" t="s">
        <v>342</v>
      </c>
      <c r="E430">
        <v>3</v>
      </c>
      <c r="F430" t="s">
        <v>373</v>
      </c>
      <c r="G430" s="2">
        <v>43305</v>
      </c>
      <c r="H430" t="s">
        <v>201</v>
      </c>
      <c r="I430">
        <v>9.6999999999999993</v>
      </c>
      <c r="K430">
        <v>0.122</v>
      </c>
      <c r="L430">
        <v>10</v>
      </c>
      <c r="M430">
        <v>7.3898113189999997</v>
      </c>
      <c r="S430" t="s">
        <v>210</v>
      </c>
      <c r="T430">
        <v>5</v>
      </c>
      <c r="U430">
        <v>98.81</v>
      </c>
      <c r="V430">
        <v>50.64</v>
      </c>
      <c r="W430">
        <v>3929.9269490000001</v>
      </c>
      <c r="X430">
        <v>19649.634750000001</v>
      </c>
      <c r="Y430">
        <v>0.57999999999999996</v>
      </c>
      <c r="Z430">
        <v>0.56999999999999995</v>
      </c>
      <c r="AA430">
        <v>0.53</v>
      </c>
      <c r="AB430">
        <v>60.57222393</v>
      </c>
      <c r="AC430" t="s">
        <v>1014</v>
      </c>
    </row>
    <row r="431" spans="1:29" x14ac:dyDescent="0.25">
      <c r="A431">
        <v>430</v>
      </c>
      <c r="B431" t="s">
        <v>1015</v>
      </c>
      <c r="D431" t="s">
        <v>1016</v>
      </c>
      <c r="E431">
        <v>2</v>
      </c>
      <c r="F431" t="s">
        <v>1017</v>
      </c>
      <c r="G431" s="2">
        <v>43305</v>
      </c>
      <c r="H431" t="s">
        <v>201</v>
      </c>
      <c r="I431">
        <v>7.1</v>
      </c>
      <c r="K431">
        <v>3.6999999999999998E-2</v>
      </c>
      <c r="L431">
        <v>10</v>
      </c>
      <c r="M431">
        <v>3.959192142</v>
      </c>
      <c r="S431" t="s">
        <v>204</v>
      </c>
      <c r="T431" t="s">
        <v>141</v>
      </c>
      <c r="U431">
        <v>41.6</v>
      </c>
      <c r="V431">
        <v>17.78</v>
      </c>
      <c r="W431">
        <v>580.91818079999996</v>
      </c>
      <c r="X431">
        <v>580.91818079999996</v>
      </c>
      <c r="Y431">
        <v>0.33</v>
      </c>
      <c r="Z431">
        <v>0.3</v>
      </c>
      <c r="AA431">
        <v>0.28999999999999998</v>
      </c>
      <c r="AB431">
        <v>107.00519300000001</v>
      </c>
    </row>
    <row r="432" spans="1:29" x14ac:dyDescent="0.25">
      <c r="A432">
        <v>431</v>
      </c>
      <c r="B432" t="s">
        <v>1018</v>
      </c>
      <c r="D432" t="s">
        <v>859</v>
      </c>
      <c r="E432">
        <v>5</v>
      </c>
      <c r="F432" t="s">
        <v>860</v>
      </c>
      <c r="G432" s="2">
        <v>43305</v>
      </c>
      <c r="H432" t="s">
        <v>201</v>
      </c>
      <c r="I432">
        <v>9.6999999999999993</v>
      </c>
      <c r="K432">
        <v>5.7000000000000002E-2</v>
      </c>
      <c r="L432">
        <v>10</v>
      </c>
      <c r="M432">
        <v>7.3898113189999997</v>
      </c>
      <c r="S432" t="s">
        <v>204</v>
      </c>
      <c r="T432" t="s">
        <v>141</v>
      </c>
      <c r="U432">
        <v>84.84</v>
      </c>
      <c r="V432">
        <v>45.39</v>
      </c>
      <c r="W432">
        <v>3024.4800479999999</v>
      </c>
      <c r="X432">
        <v>3024.4800479999999</v>
      </c>
      <c r="Y432">
        <v>0.26</v>
      </c>
      <c r="Z432">
        <v>0.24</v>
      </c>
      <c r="AA432">
        <v>0.22</v>
      </c>
      <c r="AB432">
        <v>129.6458126</v>
      </c>
    </row>
    <row r="433" spans="1:28" x14ac:dyDescent="0.25">
      <c r="A433">
        <v>432</v>
      </c>
      <c r="B433" t="s">
        <v>1019</v>
      </c>
      <c r="D433" t="s">
        <v>859</v>
      </c>
      <c r="E433">
        <v>3</v>
      </c>
      <c r="F433" t="s">
        <v>860</v>
      </c>
      <c r="G433" s="2">
        <v>43305</v>
      </c>
      <c r="H433" t="s">
        <v>201</v>
      </c>
      <c r="I433">
        <v>9.6999999999999993</v>
      </c>
      <c r="K433">
        <v>4.4999999999999998E-2</v>
      </c>
      <c r="L433">
        <v>10</v>
      </c>
      <c r="M433">
        <v>7.3898113189999997</v>
      </c>
      <c r="S433" t="s">
        <v>204</v>
      </c>
      <c r="T433" t="s">
        <v>141</v>
      </c>
      <c r="U433">
        <v>137.94</v>
      </c>
      <c r="V433">
        <v>58.18</v>
      </c>
      <c r="W433">
        <v>6303.0945220000003</v>
      </c>
      <c r="X433">
        <v>6303.0945220000003</v>
      </c>
      <c r="Y433">
        <v>0.23</v>
      </c>
      <c r="Z433">
        <v>0.22</v>
      </c>
      <c r="AA433">
        <v>0.2</v>
      </c>
      <c r="AB433">
        <v>164.21802930000001</v>
      </c>
    </row>
    <row r="434" spans="1:28" x14ac:dyDescent="0.25">
      <c r="A434">
        <v>433</v>
      </c>
      <c r="B434" t="s">
        <v>1020</v>
      </c>
      <c r="D434" t="s">
        <v>823</v>
      </c>
      <c r="E434">
        <v>5</v>
      </c>
      <c r="F434" t="s">
        <v>824</v>
      </c>
      <c r="G434" s="2">
        <v>43305</v>
      </c>
      <c r="H434" t="s">
        <v>201</v>
      </c>
      <c r="I434">
        <v>7.1</v>
      </c>
      <c r="K434">
        <v>3.3000000000000002E-2</v>
      </c>
      <c r="L434">
        <v>10</v>
      </c>
      <c r="M434">
        <v>3.959192142</v>
      </c>
      <c r="S434" t="s">
        <v>210</v>
      </c>
      <c r="T434">
        <v>12</v>
      </c>
      <c r="U434">
        <v>107.73</v>
      </c>
      <c r="V434">
        <v>45.04</v>
      </c>
      <c r="W434">
        <v>3810.8769240000001</v>
      </c>
      <c r="X434">
        <v>45730.523090000002</v>
      </c>
      <c r="Y434">
        <v>0.28000000000000003</v>
      </c>
      <c r="Z434">
        <v>0.18</v>
      </c>
      <c r="AA434">
        <v>0.22</v>
      </c>
      <c r="AB434">
        <v>119.9755194</v>
      </c>
    </row>
    <row r="435" spans="1:28" x14ac:dyDescent="0.25">
      <c r="A435">
        <v>434</v>
      </c>
      <c r="B435" t="s">
        <v>1021</v>
      </c>
      <c r="D435" t="s">
        <v>876</v>
      </c>
      <c r="E435">
        <v>3</v>
      </c>
      <c r="F435" t="s">
        <v>877</v>
      </c>
      <c r="G435" s="2">
        <v>43305</v>
      </c>
      <c r="H435" t="s">
        <v>201</v>
      </c>
      <c r="I435">
        <v>9.6999999999999993</v>
      </c>
      <c r="K435">
        <v>4.7E-2</v>
      </c>
      <c r="L435">
        <v>10</v>
      </c>
      <c r="M435">
        <v>7.3898113189999997</v>
      </c>
      <c r="S435" t="s">
        <v>204</v>
      </c>
      <c r="T435" t="s">
        <v>141</v>
      </c>
      <c r="U435">
        <v>106.55</v>
      </c>
      <c r="V435">
        <v>58.07</v>
      </c>
      <c r="W435">
        <v>4859.5400019999997</v>
      </c>
      <c r="X435">
        <v>4859.5400019999997</v>
      </c>
      <c r="Y435">
        <v>0.22</v>
      </c>
      <c r="Z435">
        <v>0.18</v>
      </c>
      <c r="AA435">
        <v>0.17</v>
      </c>
      <c r="AB435">
        <v>157.2300281</v>
      </c>
    </row>
    <row r="436" spans="1:28" x14ac:dyDescent="0.25">
      <c r="A436">
        <v>435</v>
      </c>
      <c r="B436" t="s">
        <v>1022</v>
      </c>
      <c r="D436" t="s">
        <v>876</v>
      </c>
      <c r="E436">
        <v>2</v>
      </c>
      <c r="F436" t="s">
        <v>877</v>
      </c>
      <c r="G436" s="2">
        <v>43305</v>
      </c>
      <c r="H436" t="s">
        <v>201</v>
      </c>
      <c r="I436">
        <v>9.6999999999999993</v>
      </c>
      <c r="K436">
        <v>2.5999999999999999E-2</v>
      </c>
      <c r="L436">
        <v>10</v>
      </c>
      <c r="M436">
        <v>7.3898113189999997</v>
      </c>
      <c r="S436" t="s">
        <v>204</v>
      </c>
      <c r="T436" t="s">
        <v>141</v>
      </c>
      <c r="U436">
        <v>105.07</v>
      </c>
      <c r="V436">
        <v>56.41</v>
      </c>
      <c r="W436">
        <v>4655.0538930000002</v>
      </c>
      <c r="X436">
        <v>4655.0538930000002</v>
      </c>
      <c r="Y436">
        <v>0.16</v>
      </c>
      <c r="Z436">
        <v>0.15</v>
      </c>
      <c r="AA436">
        <v>0.16</v>
      </c>
      <c r="AB436">
        <v>284.22351229999998</v>
      </c>
    </row>
    <row r="437" spans="1:28" x14ac:dyDescent="0.25">
      <c r="A437">
        <v>436</v>
      </c>
      <c r="B437" t="s">
        <v>1023</v>
      </c>
      <c r="D437" t="s">
        <v>505</v>
      </c>
      <c r="E437">
        <v>5</v>
      </c>
      <c r="F437" t="s">
        <v>506</v>
      </c>
      <c r="G437" s="2">
        <v>43305</v>
      </c>
      <c r="H437" t="s">
        <v>201</v>
      </c>
      <c r="I437">
        <v>7.1</v>
      </c>
      <c r="K437">
        <v>5.5E-2</v>
      </c>
      <c r="L437">
        <v>10</v>
      </c>
      <c r="M437">
        <v>3.959192142</v>
      </c>
      <c r="S437" t="s">
        <v>204</v>
      </c>
      <c r="T437" t="s">
        <v>141</v>
      </c>
      <c r="U437">
        <v>123.07</v>
      </c>
      <c r="V437">
        <v>67.430000000000007</v>
      </c>
      <c r="W437">
        <v>6517.7131310000004</v>
      </c>
      <c r="X437">
        <v>6517.7131310000004</v>
      </c>
      <c r="Y437">
        <v>0.3</v>
      </c>
      <c r="Z437">
        <v>0.28999999999999998</v>
      </c>
      <c r="AA437">
        <v>0.3</v>
      </c>
      <c r="AB437">
        <v>71.985311670000002</v>
      </c>
    </row>
    <row r="438" spans="1:28" x14ac:dyDescent="0.25">
      <c r="A438">
        <v>437</v>
      </c>
      <c r="B438" t="s">
        <v>1024</v>
      </c>
      <c r="D438" t="s">
        <v>1016</v>
      </c>
      <c r="E438">
        <v>1</v>
      </c>
      <c r="F438" t="s">
        <v>1017</v>
      </c>
      <c r="G438" s="2">
        <v>43305</v>
      </c>
      <c r="H438" t="s">
        <v>201</v>
      </c>
      <c r="I438">
        <v>7.1</v>
      </c>
      <c r="K438">
        <v>0.03</v>
      </c>
      <c r="L438">
        <v>10</v>
      </c>
      <c r="M438">
        <v>3.959192142</v>
      </c>
      <c r="S438" t="s">
        <v>204</v>
      </c>
      <c r="T438" t="s">
        <v>141</v>
      </c>
      <c r="U438">
        <v>42.93</v>
      </c>
      <c r="V438">
        <v>23.5</v>
      </c>
      <c r="W438">
        <v>792.35286410000003</v>
      </c>
      <c r="X438">
        <v>792.35286410000003</v>
      </c>
      <c r="Y438">
        <v>0.37</v>
      </c>
      <c r="Z438">
        <v>0.34</v>
      </c>
      <c r="AA438">
        <v>0.32</v>
      </c>
      <c r="AB438">
        <v>131.97307140000001</v>
      </c>
    </row>
    <row r="439" spans="1:28" x14ac:dyDescent="0.25">
      <c r="A439">
        <v>438</v>
      </c>
      <c r="B439" t="s">
        <v>1025</v>
      </c>
      <c r="D439" t="s">
        <v>850</v>
      </c>
      <c r="E439">
        <v>2</v>
      </c>
      <c r="F439" t="s">
        <v>851</v>
      </c>
      <c r="G439" s="2">
        <v>43305</v>
      </c>
      <c r="H439" t="s">
        <v>201</v>
      </c>
      <c r="I439">
        <v>9.6999999999999993</v>
      </c>
      <c r="K439">
        <v>4.9000000000000002E-2</v>
      </c>
      <c r="L439">
        <v>10</v>
      </c>
      <c r="M439">
        <v>7.3898113189999997</v>
      </c>
      <c r="S439" t="s">
        <v>204</v>
      </c>
      <c r="T439" t="s">
        <v>141</v>
      </c>
      <c r="U439">
        <v>227.1</v>
      </c>
      <c r="V439">
        <v>57.68</v>
      </c>
      <c r="W439">
        <v>10288.031070000001</v>
      </c>
      <c r="X439">
        <v>10288.031070000001</v>
      </c>
      <c r="Y439">
        <v>0.18</v>
      </c>
      <c r="Z439">
        <v>0.18</v>
      </c>
      <c r="AA439">
        <v>0.17</v>
      </c>
      <c r="AB439">
        <v>150.81247590000001</v>
      </c>
    </row>
    <row r="440" spans="1:28" x14ac:dyDescent="0.25">
      <c r="A440">
        <v>440</v>
      </c>
      <c r="B440" t="s">
        <v>1067</v>
      </c>
      <c r="D440" t="s">
        <v>366</v>
      </c>
      <c r="E440">
        <v>6</v>
      </c>
      <c r="F440" t="s">
        <v>281</v>
      </c>
      <c r="G440" s="2">
        <v>43315</v>
      </c>
      <c r="H440" t="s">
        <v>201</v>
      </c>
      <c r="I440">
        <v>9.6999999999999993</v>
      </c>
      <c r="K440">
        <v>5.3999999999999999E-2</v>
      </c>
      <c r="L440">
        <v>10</v>
      </c>
      <c r="M440">
        <v>7.3898113189999997</v>
      </c>
      <c r="S440" t="s">
        <v>204</v>
      </c>
      <c r="T440" t="s">
        <v>141</v>
      </c>
      <c r="U440">
        <v>175.27</v>
      </c>
      <c r="V440">
        <v>99.09</v>
      </c>
      <c r="W440">
        <v>13640.40598</v>
      </c>
      <c r="X440">
        <v>13640.40598</v>
      </c>
      <c r="Y440">
        <v>0.42</v>
      </c>
      <c r="Z440">
        <v>0.39</v>
      </c>
      <c r="AA440">
        <v>0.43</v>
      </c>
      <c r="AB440">
        <v>136.8483578</v>
      </c>
    </row>
    <row r="441" spans="1:28" x14ac:dyDescent="0.25">
      <c r="A441">
        <v>441</v>
      </c>
      <c r="B441" t="s">
        <v>1080</v>
      </c>
      <c r="D441" t="s">
        <v>811</v>
      </c>
      <c r="E441">
        <v>5</v>
      </c>
      <c r="F441" t="s">
        <v>812</v>
      </c>
      <c r="G441" s="2">
        <v>43315</v>
      </c>
      <c r="H441" t="s">
        <v>201</v>
      </c>
      <c r="I441">
        <v>9.6999999999999993</v>
      </c>
      <c r="K441">
        <v>2.5999999999999999E-2</v>
      </c>
      <c r="L441">
        <v>13</v>
      </c>
      <c r="M441">
        <v>9.6067547149999992</v>
      </c>
      <c r="S441" t="s">
        <v>204</v>
      </c>
      <c r="T441" t="s">
        <v>141</v>
      </c>
      <c r="U441">
        <v>125.66</v>
      </c>
      <c r="V441">
        <v>78.430000000000007</v>
      </c>
      <c r="W441">
        <v>7740.5024380000004</v>
      </c>
      <c r="X441">
        <v>7740.5024380000004</v>
      </c>
      <c r="Y441">
        <v>0.15</v>
      </c>
      <c r="Z441">
        <v>0.19</v>
      </c>
      <c r="AA441">
        <v>0.16</v>
      </c>
      <c r="AB441">
        <v>369.490566</v>
      </c>
    </row>
    <row r="442" spans="1:28" x14ac:dyDescent="0.25">
      <c r="A442">
        <v>442</v>
      </c>
      <c r="B442" t="s">
        <v>1068</v>
      </c>
      <c r="D442" t="s">
        <v>811</v>
      </c>
      <c r="E442">
        <v>4</v>
      </c>
      <c r="F442" t="s">
        <v>812</v>
      </c>
      <c r="G442" s="2">
        <v>43315</v>
      </c>
      <c r="H442" t="s">
        <v>201</v>
      </c>
      <c r="I442">
        <v>9.6999999999999993</v>
      </c>
      <c r="K442">
        <v>0.05</v>
      </c>
      <c r="L442">
        <v>10</v>
      </c>
      <c r="M442">
        <v>7.3898113189999997</v>
      </c>
      <c r="S442" t="s">
        <v>204</v>
      </c>
      <c r="T442" t="s">
        <v>141</v>
      </c>
      <c r="U442">
        <v>221.79</v>
      </c>
      <c r="V442">
        <v>161.47999999999999</v>
      </c>
      <c r="W442">
        <v>28128.759699999999</v>
      </c>
      <c r="X442">
        <v>28128.759699999999</v>
      </c>
      <c r="Y442">
        <v>0.38</v>
      </c>
      <c r="Z442">
        <v>0.39</v>
      </c>
      <c r="AA442">
        <v>0.32</v>
      </c>
      <c r="AB442">
        <v>147.79622639999999</v>
      </c>
    </row>
    <row r="443" spans="1:28" x14ac:dyDescent="0.25">
      <c r="A443">
        <v>443</v>
      </c>
      <c r="B443" t="s">
        <v>1069</v>
      </c>
      <c r="D443" t="s">
        <v>365</v>
      </c>
      <c r="E443">
        <v>4</v>
      </c>
      <c r="F443" t="s">
        <v>369</v>
      </c>
      <c r="G443" s="2">
        <v>43315</v>
      </c>
      <c r="H443" t="s">
        <v>201</v>
      </c>
      <c r="I443">
        <v>7.1</v>
      </c>
      <c r="K443">
        <v>4.4999999999999998E-2</v>
      </c>
      <c r="L443">
        <v>11</v>
      </c>
      <c r="M443">
        <v>4.3551113560000001</v>
      </c>
      <c r="S443" t="s">
        <v>210</v>
      </c>
      <c r="T443">
        <v>18</v>
      </c>
      <c r="U443">
        <v>44.12</v>
      </c>
      <c r="V443">
        <v>16.329999999999998</v>
      </c>
      <c r="W443">
        <v>565.86335459999998</v>
      </c>
      <c r="X443">
        <v>10185.54038</v>
      </c>
      <c r="Y443">
        <v>0.26</v>
      </c>
      <c r="Z443">
        <v>0.25</v>
      </c>
      <c r="AA443">
        <v>0.3</v>
      </c>
      <c r="AB443">
        <v>96.780252349999998</v>
      </c>
    </row>
    <row r="444" spans="1:28" x14ac:dyDescent="0.25">
      <c r="A444">
        <v>444</v>
      </c>
      <c r="B444" t="s">
        <v>1070</v>
      </c>
      <c r="D444" t="s">
        <v>820</v>
      </c>
      <c r="E444">
        <v>4</v>
      </c>
      <c r="F444" t="s">
        <v>821</v>
      </c>
      <c r="G444" s="2">
        <v>43315</v>
      </c>
      <c r="H444" t="s">
        <v>201</v>
      </c>
      <c r="I444">
        <v>9.6999999999999993</v>
      </c>
      <c r="K444">
        <v>4.3999999999999997E-2</v>
      </c>
      <c r="L444">
        <v>11</v>
      </c>
      <c r="M444">
        <v>8.1287924510000007</v>
      </c>
      <c r="S444" t="s">
        <v>210</v>
      </c>
      <c r="T444">
        <v>11</v>
      </c>
      <c r="U444">
        <v>64.13</v>
      </c>
      <c r="V444">
        <v>22.97</v>
      </c>
      <c r="W444">
        <v>1156.9434100000001</v>
      </c>
      <c r="X444">
        <v>12726.377500000001</v>
      </c>
      <c r="Y444">
        <v>0.16</v>
      </c>
      <c r="Z444">
        <v>0.15</v>
      </c>
      <c r="AA444">
        <v>0.18</v>
      </c>
      <c r="AB444">
        <v>184.745283</v>
      </c>
    </row>
    <row r="445" spans="1:28" x14ac:dyDescent="0.25">
      <c r="A445">
        <v>445</v>
      </c>
      <c r="B445" t="s">
        <v>1071</v>
      </c>
      <c r="D445" t="s">
        <v>885</v>
      </c>
      <c r="E445">
        <v>5</v>
      </c>
      <c r="F445" t="s">
        <v>886</v>
      </c>
      <c r="G445" s="2">
        <v>43315</v>
      </c>
      <c r="H445" t="s">
        <v>201</v>
      </c>
      <c r="I445">
        <v>7.1</v>
      </c>
      <c r="K445">
        <v>3.3000000000000002E-2</v>
      </c>
      <c r="L445">
        <v>12</v>
      </c>
      <c r="M445">
        <v>4.7510305700000002</v>
      </c>
      <c r="S445" t="s">
        <v>210</v>
      </c>
      <c r="T445">
        <v>13</v>
      </c>
      <c r="U445">
        <v>60.09</v>
      </c>
      <c r="V445">
        <v>20.86</v>
      </c>
      <c r="W445">
        <v>984.47884780000004</v>
      </c>
      <c r="X445">
        <v>12798.22502</v>
      </c>
      <c r="Y445">
        <v>0.18</v>
      </c>
      <c r="Z445">
        <v>0.18</v>
      </c>
      <c r="AA445">
        <v>0.16</v>
      </c>
      <c r="AB445">
        <v>143.9706233</v>
      </c>
    </row>
    <row r="446" spans="1:28" x14ac:dyDescent="0.25">
      <c r="A446">
        <v>446</v>
      </c>
      <c r="B446" t="s">
        <v>1072</v>
      </c>
      <c r="D446" t="s">
        <v>524</v>
      </c>
      <c r="E446">
        <v>5</v>
      </c>
      <c r="F446" t="s">
        <v>525</v>
      </c>
      <c r="G446" s="2">
        <v>43315</v>
      </c>
      <c r="H446" t="s">
        <v>201</v>
      </c>
      <c r="I446">
        <v>9.6999999999999993</v>
      </c>
      <c r="K446">
        <v>6.4000000000000001E-2</v>
      </c>
      <c r="L446">
        <v>9</v>
      </c>
      <c r="M446">
        <v>6.6508301870000004</v>
      </c>
      <c r="S446" t="s">
        <v>210</v>
      </c>
      <c r="T446">
        <v>70</v>
      </c>
      <c r="U446">
        <v>30.22</v>
      </c>
      <c r="V446">
        <v>26.97</v>
      </c>
      <c r="W446">
        <v>640.12573550000002</v>
      </c>
      <c r="X446">
        <v>44808.801480000002</v>
      </c>
      <c r="Y446">
        <v>0.28000000000000003</v>
      </c>
      <c r="Z446">
        <v>0.25</v>
      </c>
      <c r="AA446">
        <v>0.25</v>
      </c>
      <c r="AB446">
        <v>103.91922169999999</v>
      </c>
    </row>
    <row r="447" spans="1:28" x14ac:dyDescent="0.25">
      <c r="A447">
        <v>447</v>
      </c>
      <c r="B447" t="s">
        <v>1073</v>
      </c>
      <c r="D447" t="s">
        <v>820</v>
      </c>
      <c r="E447">
        <v>5</v>
      </c>
      <c r="F447" t="s">
        <v>821</v>
      </c>
      <c r="G447" s="2">
        <v>43315</v>
      </c>
      <c r="H447" t="s">
        <v>201</v>
      </c>
      <c r="I447">
        <v>7.1</v>
      </c>
      <c r="K447">
        <v>5.8999999999999997E-2</v>
      </c>
      <c r="L447">
        <v>11</v>
      </c>
      <c r="M447">
        <v>4.3551113560000001</v>
      </c>
      <c r="S447" t="s">
        <v>210</v>
      </c>
      <c r="T447">
        <v>11</v>
      </c>
      <c r="U447">
        <v>39.26</v>
      </c>
      <c r="V447">
        <v>13.01</v>
      </c>
      <c r="W447">
        <v>401.15986199999998</v>
      </c>
      <c r="X447">
        <v>4412.7584809999998</v>
      </c>
      <c r="Y447">
        <v>0.23</v>
      </c>
      <c r="Z447">
        <v>0.25</v>
      </c>
      <c r="AA447">
        <v>0.25</v>
      </c>
      <c r="AB447">
        <v>73.815446710000003</v>
      </c>
    </row>
    <row r="448" spans="1:28" x14ac:dyDescent="0.25">
      <c r="A448">
        <v>448</v>
      </c>
      <c r="B448" t="s">
        <v>1074</v>
      </c>
      <c r="D448" t="s">
        <v>746</v>
      </c>
      <c r="E448">
        <v>3</v>
      </c>
      <c r="F448" t="s">
        <v>1075</v>
      </c>
      <c r="G448" s="2">
        <v>43315</v>
      </c>
      <c r="H448" t="s">
        <v>201</v>
      </c>
      <c r="I448">
        <v>7.1</v>
      </c>
      <c r="K448">
        <v>5.0999999999999997E-2</v>
      </c>
      <c r="L448">
        <v>10</v>
      </c>
      <c r="M448">
        <v>3.959192142</v>
      </c>
      <c r="S448" t="s">
        <v>204</v>
      </c>
      <c r="T448" t="s">
        <v>141</v>
      </c>
      <c r="U448">
        <v>21.95</v>
      </c>
      <c r="V448">
        <v>29.23</v>
      </c>
      <c r="W448">
        <v>503.91028349999999</v>
      </c>
      <c r="X448">
        <v>503.91028349999999</v>
      </c>
      <c r="Y448">
        <v>0.36</v>
      </c>
      <c r="Z448">
        <v>0.44</v>
      </c>
      <c r="AA448">
        <v>0.4</v>
      </c>
      <c r="AB448">
        <v>77.631218459999999</v>
      </c>
    </row>
    <row r="449" spans="1:28" x14ac:dyDescent="0.25">
      <c r="A449">
        <v>449</v>
      </c>
      <c r="B449" t="s">
        <v>1076</v>
      </c>
      <c r="D449" t="s">
        <v>365</v>
      </c>
      <c r="E449">
        <v>5</v>
      </c>
      <c r="F449" t="s">
        <v>369</v>
      </c>
      <c r="G449" s="2">
        <v>43315</v>
      </c>
      <c r="H449" t="s">
        <v>201</v>
      </c>
      <c r="I449">
        <v>7.1</v>
      </c>
      <c r="K449">
        <v>3.5999999999999997E-2</v>
      </c>
      <c r="L449">
        <v>10</v>
      </c>
      <c r="M449">
        <v>3.959192142</v>
      </c>
      <c r="S449" t="s">
        <v>210</v>
      </c>
      <c r="T449">
        <v>20</v>
      </c>
      <c r="U449">
        <v>60.78</v>
      </c>
      <c r="V449">
        <v>22.15</v>
      </c>
      <c r="W449">
        <v>1057.3634830000001</v>
      </c>
      <c r="X449">
        <v>21147.269660000002</v>
      </c>
      <c r="Y449">
        <v>0.26</v>
      </c>
      <c r="Z449">
        <v>0.28999999999999998</v>
      </c>
      <c r="AA449">
        <v>0.3</v>
      </c>
      <c r="AB449">
        <v>109.9775595</v>
      </c>
    </row>
    <row r="450" spans="1:28" x14ac:dyDescent="0.25">
      <c r="A450">
        <v>450</v>
      </c>
      <c r="B450" t="s">
        <v>995</v>
      </c>
      <c r="D450" t="s">
        <v>774</v>
      </c>
      <c r="E450">
        <v>1</v>
      </c>
      <c r="F450" t="s">
        <v>775</v>
      </c>
      <c r="G450" s="2">
        <v>43315</v>
      </c>
      <c r="H450" t="s">
        <v>201</v>
      </c>
      <c r="I450">
        <v>9.6999999999999993</v>
      </c>
      <c r="K450">
        <v>8.7999999999999995E-2</v>
      </c>
      <c r="L450">
        <v>8</v>
      </c>
      <c r="M450">
        <v>5.9118490560000003</v>
      </c>
      <c r="S450" t="s">
        <v>204</v>
      </c>
      <c r="T450" t="s">
        <v>141</v>
      </c>
      <c r="U450">
        <v>59.71</v>
      </c>
      <c r="V450">
        <v>36.83</v>
      </c>
      <c r="W450">
        <v>1727.1842590000001</v>
      </c>
      <c r="X450">
        <v>1727.1842590000001</v>
      </c>
      <c r="Y450">
        <v>0.37</v>
      </c>
      <c r="Z450">
        <v>0.39</v>
      </c>
      <c r="AA450">
        <v>0.36</v>
      </c>
      <c r="AB450">
        <v>67.180102899999994</v>
      </c>
    </row>
    <row r="451" spans="1:28" x14ac:dyDescent="0.25">
      <c r="A451">
        <v>451</v>
      </c>
      <c r="B451" t="s">
        <v>1077</v>
      </c>
      <c r="D451" t="s">
        <v>869</v>
      </c>
      <c r="E451">
        <v>2</v>
      </c>
      <c r="F451" t="s">
        <v>870</v>
      </c>
      <c r="G451" s="2">
        <v>43315</v>
      </c>
      <c r="H451" t="s">
        <v>201</v>
      </c>
      <c r="I451">
        <v>9.6999999999999993</v>
      </c>
      <c r="K451">
        <v>3.5999999999999997E-2</v>
      </c>
      <c r="L451">
        <v>9</v>
      </c>
      <c r="M451">
        <v>6.6508301870000004</v>
      </c>
      <c r="S451" t="s">
        <v>204</v>
      </c>
      <c r="T451" t="s">
        <v>141</v>
      </c>
      <c r="U451">
        <v>91.47</v>
      </c>
      <c r="V451">
        <v>86.88</v>
      </c>
      <c r="W451">
        <v>6241.4913459999998</v>
      </c>
      <c r="X451">
        <v>6241.4913459999998</v>
      </c>
      <c r="Y451">
        <v>0.26</v>
      </c>
      <c r="Z451">
        <v>0.26</v>
      </c>
      <c r="AA451">
        <v>0.27</v>
      </c>
      <c r="AB451">
        <v>184.745283</v>
      </c>
    </row>
    <row r="452" spans="1:28" x14ac:dyDescent="0.25">
      <c r="A452">
        <v>452</v>
      </c>
      <c r="B452" t="s">
        <v>1078</v>
      </c>
      <c r="D452" t="s">
        <v>394</v>
      </c>
      <c r="E452">
        <v>5</v>
      </c>
      <c r="F452" t="s">
        <v>264</v>
      </c>
      <c r="G452" s="2">
        <v>43315</v>
      </c>
      <c r="H452" t="s">
        <v>201</v>
      </c>
      <c r="I452">
        <v>9.6999999999999993</v>
      </c>
      <c r="K452">
        <v>0.108</v>
      </c>
      <c r="L452">
        <v>10</v>
      </c>
      <c r="M452">
        <v>7.3898113189999997</v>
      </c>
      <c r="S452" t="s">
        <v>210</v>
      </c>
      <c r="T452">
        <v>5</v>
      </c>
      <c r="U452">
        <v>145.47</v>
      </c>
      <c r="V452">
        <v>53.17</v>
      </c>
      <c r="W452">
        <v>6074.7719719999996</v>
      </c>
      <c r="X452">
        <v>30373.85986</v>
      </c>
      <c r="Y452">
        <v>0.55000000000000004</v>
      </c>
      <c r="Z452">
        <v>0.53</v>
      </c>
      <c r="AA452">
        <v>0.5</v>
      </c>
      <c r="AB452">
        <v>68.424178879999999</v>
      </c>
    </row>
    <row r="453" spans="1:28" x14ac:dyDescent="0.25">
      <c r="A453">
        <v>453</v>
      </c>
      <c r="B453" t="s">
        <v>1079</v>
      </c>
      <c r="D453" t="s">
        <v>746</v>
      </c>
      <c r="E453">
        <v>2</v>
      </c>
      <c r="F453" t="s">
        <v>1075</v>
      </c>
      <c r="G453" s="2">
        <v>43315</v>
      </c>
      <c r="H453" t="s">
        <v>201</v>
      </c>
      <c r="I453">
        <v>7.1</v>
      </c>
      <c r="K453">
        <v>3.9E-2</v>
      </c>
      <c r="L453">
        <v>10</v>
      </c>
      <c r="M453">
        <v>3.959192142</v>
      </c>
      <c r="S453" t="s">
        <v>204</v>
      </c>
      <c r="T453" t="s">
        <v>141</v>
      </c>
      <c r="U453">
        <v>82.45</v>
      </c>
      <c r="V453">
        <v>51.44</v>
      </c>
      <c r="W453">
        <v>3331.052682</v>
      </c>
      <c r="X453">
        <v>3331.052682</v>
      </c>
      <c r="Y453">
        <v>0.34</v>
      </c>
      <c r="Z453">
        <v>0.31</v>
      </c>
      <c r="AA453">
        <v>0.36</v>
      </c>
      <c r="AB453">
        <v>101.5177472</v>
      </c>
    </row>
    <row r="454" spans="1:28" x14ac:dyDescent="0.25">
      <c r="A454">
        <v>454</v>
      </c>
      <c r="B454" t="s">
        <v>1081</v>
      </c>
      <c r="D454" t="s">
        <v>352</v>
      </c>
      <c r="E454">
        <v>5</v>
      </c>
      <c r="F454" t="s">
        <v>332</v>
      </c>
      <c r="G454" s="2">
        <v>43316</v>
      </c>
      <c r="H454" t="s">
        <v>201</v>
      </c>
      <c r="I454">
        <v>9.6999999999999993</v>
      </c>
      <c r="K454">
        <v>0.11600000000000001</v>
      </c>
      <c r="L454">
        <v>10</v>
      </c>
      <c r="M454">
        <v>7.3898113189999997</v>
      </c>
      <c r="S454" t="s">
        <v>204</v>
      </c>
      <c r="T454" t="s">
        <v>141</v>
      </c>
      <c r="U454">
        <v>122.41</v>
      </c>
      <c r="V454">
        <v>58.65</v>
      </c>
      <c r="W454">
        <v>5638.6455550000001</v>
      </c>
      <c r="X454">
        <v>5638.6455550000001</v>
      </c>
      <c r="Y454">
        <v>0.48</v>
      </c>
      <c r="Z454">
        <v>0.49</v>
      </c>
      <c r="AA454">
        <v>0.49</v>
      </c>
      <c r="AB454">
        <v>63.705269989999998</v>
      </c>
    </row>
    <row r="455" spans="1:28" x14ac:dyDescent="0.25">
      <c r="A455">
        <v>455</v>
      </c>
      <c r="B455" t="s">
        <v>1082</v>
      </c>
      <c r="D455" t="s">
        <v>869</v>
      </c>
      <c r="E455">
        <v>3</v>
      </c>
      <c r="F455" t="s">
        <v>870</v>
      </c>
      <c r="G455" s="2">
        <v>43316</v>
      </c>
      <c r="H455" t="s">
        <v>201</v>
      </c>
      <c r="I455">
        <v>7.1</v>
      </c>
      <c r="K455">
        <v>4.1000000000000002E-2</v>
      </c>
      <c r="L455">
        <v>9</v>
      </c>
      <c r="M455">
        <v>3.563272928</v>
      </c>
      <c r="S455" t="s">
        <v>204</v>
      </c>
      <c r="T455" t="s">
        <v>141</v>
      </c>
      <c r="U455">
        <v>72.77</v>
      </c>
      <c r="V455">
        <v>64.27</v>
      </c>
      <c r="W455">
        <v>3673.250583</v>
      </c>
      <c r="X455">
        <v>3673.250583</v>
      </c>
      <c r="Y455">
        <v>0.47</v>
      </c>
      <c r="Z455">
        <v>0.46</v>
      </c>
      <c r="AA455">
        <v>0.47</v>
      </c>
      <c r="AB455">
        <v>86.909095789999995</v>
      </c>
    </row>
    <row r="456" spans="1:28" x14ac:dyDescent="0.25">
      <c r="A456">
        <v>456</v>
      </c>
      <c r="B456" t="s">
        <v>1083</v>
      </c>
      <c r="D456" t="s">
        <v>1016</v>
      </c>
      <c r="E456">
        <v>3</v>
      </c>
      <c r="F456" t="s">
        <v>1017</v>
      </c>
      <c r="G456" s="2">
        <v>43316</v>
      </c>
      <c r="H456" t="s">
        <v>201</v>
      </c>
      <c r="I456">
        <v>7.1</v>
      </c>
      <c r="K456">
        <v>3.5000000000000003E-2</v>
      </c>
      <c r="L456">
        <v>12</v>
      </c>
      <c r="M456">
        <v>4.7510305700000002</v>
      </c>
      <c r="S456" t="s">
        <v>1084</v>
      </c>
      <c r="T456" t="s">
        <v>141</v>
      </c>
      <c r="U456">
        <v>57.32</v>
      </c>
      <c r="V456">
        <v>19.68</v>
      </c>
      <c r="W456">
        <v>885.97436719999996</v>
      </c>
      <c r="X456">
        <v>885.97436719999996</v>
      </c>
      <c r="Y456">
        <v>0.25</v>
      </c>
      <c r="Z456">
        <v>0.25</v>
      </c>
      <c r="AA456">
        <v>0.3</v>
      </c>
      <c r="AB456">
        <v>135.74373059999999</v>
      </c>
    </row>
    <row r="457" spans="1:28" x14ac:dyDescent="0.25">
      <c r="A457">
        <v>457</v>
      </c>
      <c r="B457" t="s">
        <v>1085</v>
      </c>
      <c r="D457" t="s">
        <v>869</v>
      </c>
      <c r="E457">
        <v>4</v>
      </c>
      <c r="F457" t="s">
        <v>870</v>
      </c>
      <c r="G457" s="2">
        <v>43316</v>
      </c>
      <c r="H457" t="s">
        <v>201</v>
      </c>
      <c r="I457">
        <v>9.6999999999999993</v>
      </c>
      <c r="K457">
        <v>9.7000000000000003E-2</v>
      </c>
      <c r="L457">
        <v>10</v>
      </c>
      <c r="M457">
        <v>7.3898113189999997</v>
      </c>
      <c r="S457" t="s">
        <v>1084</v>
      </c>
      <c r="T457" t="s">
        <v>141</v>
      </c>
      <c r="U457">
        <v>107.8</v>
      </c>
      <c r="V457">
        <v>118.54</v>
      </c>
      <c r="W457">
        <v>10036.2984</v>
      </c>
      <c r="X457">
        <v>10036.2984</v>
      </c>
      <c r="Y457">
        <v>0.47</v>
      </c>
      <c r="Z457">
        <v>0.46</v>
      </c>
      <c r="AA457">
        <v>0.45</v>
      </c>
      <c r="AB457">
        <v>76.183621849999994</v>
      </c>
    </row>
    <row r="458" spans="1:28" x14ac:dyDescent="0.25">
      <c r="A458">
        <v>458</v>
      </c>
      <c r="B458" t="s">
        <v>1086</v>
      </c>
      <c r="D458" t="s">
        <v>746</v>
      </c>
      <c r="E458">
        <v>4</v>
      </c>
      <c r="F458" t="s">
        <v>1075</v>
      </c>
      <c r="G458" s="2">
        <v>43316</v>
      </c>
      <c r="H458" t="s">
        <v>201</v>
      </c>
      <c r="I458">
        <v>5.5</v>
      </c>
      <c r="K458">
        <v>6.6000000000000003E-2</v>
      </c>
      <c r="L458">
        <v>20</v>
      </c>
      <c r="M458">
        <v>4.7516588889999998</v>
      </c>
      <c r="S458" t="s">
        <v>1084</v>
      </c>
      <c r="T458" t="s">
        <v>141</v>
      </c>
      <c r="U458">
        <v>63.76</v>
      </c>
      <c r="V458">
        <v>29.54</v>
      </c>
      <c r="W458">
        <v>1479.274193</v>
      </c>
      <c r="X458">
        <v>1479.274193</v>
      </c>
      <c r="Y458">
        <v>0.26</v>
      </c>
      <c r="Z458">
        <v>0.34</v>
      </c>
      <c r="AA458">
        <v>0.32</v>
      </c>
      <c r="AB458">
        <v>71.994831640000001</v>
      </c>
    </row>
    <row r="459" spans="1:28" x14ac:dyDescent="0.25">
      <c r="A459">
        <v>459</v>
      </c>
      <c r="B459" t="s">
        <v>1087</v>
      </c>
      <c r="D459" t="s">
        <v>746</v>
      </c>
      <c r="E459">
        <v>5</v>
      </c>
      <c r="F459" t="s">
        <v>1075</v>
      </c>
      <c r="G459" s="2">
        <v>43316</v>
      </c>
      <c r="H459" t="s">
        <v>201</v>
      </c>
      <c r="I459">
        <v>5.5</v>
      </c>
      <c r="K459">
        <v>8.7999999999999995E-2</v>
      </c>
      <c r="L459">
        <v>24</v>
      </c>
      <c r="M459">
        <v>5.7019906660000004</v>
      </c>
      <c r="S459" t="s">
        <v>1084</v>
      </c>
      <c r="T459" t="s">
        <v>141</v>
      </c>
      <c r="U459">
        <v>63.6</v>
      </c>
      <c r="V459">
        <v>26.57</v>
      </c>
      <c r="W459">
        <v>1327.206657</v>
      </c>
      <c r="X459">
        <v>1327.206657</v>
      </c>
      <c r="Y459">
        <v>0.35</v>
      </c>
      <c r="Z459">
        <v>0.33</v>
      </c>
      <c r="AA459">
        <v>0.27</v>
      </c>
      <c r="AB459">
        <v>64.795348480000001</v>
      </c>
    </row>
    <row r="460" spans="1:28" x14ac:dyDescent="0.25">
      <c r="A460">
        <v>460</v>
      </c>
      <c r="B460" t="s">
        <v>1088</v>
      </c>
      <c r="D460" t="s">
        <v>544</v>
      </c>
      <c r="E460">
        <v>5</v>
      </c>
      <c r="F460" t="s">
        <v>545</v>
      </c>
      <c r="G460" s="2">
        <v>43316</v>
      </c>
      <c r="H460" t="s">
        <v>201</v>
      </c>
      <c r="I460">
        <v>9.6999999999999993</v>
      </c>
      <c r="K460">
        <v>5.2999999999999999E-2</v>
      </c>
      <c r="L460">
        <v>10</v>
      </c>
      <c r="M460">
        <v>7.3898113189999997</v>
      </c>
      <c r="S460" t="s">
        <v>1084</v>
      </c>
      <c r="T460" t="s">
        <v>141</v>
      </c>
      <c r="U460">
        <v>137.27000000000001</v>
      </c>
      <c r="V460">
        <v>85.96</v>
      </c>
      <c r="W460">
        <v>9267.4856419999996</v>
      </c>
      <c r="X460">
        <v>9267.4856419999996</v>
      </c>
      <c r="Y460">
        <v>0.46</v>
      </c>
      <c r="Z460">
        <v>0.49</v>
      </c>
      <c r="AA460">
        <v>0.4</v>
      </c>
      <c r="AB460">
        <v>139.4304023</v>
      </c>
    </row>
    <row r="461" spans="1:28" x14ac:dyDescent="0.25">
      <c r="A461">
        <v>461</v>
      </c>
      <c r="B461" t="s">
        <v>1089</v>
      </c>
      <c r="D461" t="s">
        <v>876</v>
      </c>
      <c r="E461">
        <v>5</v>
      </c>
      <c r="F461" t="s">
        <v>877</v>
      </c>
      <c r="G461" s="2">
        <v>43316</v>
      </c>
      <c r="H461" t="s">
        <v>201</v>
      </c>
      <c r="I461">
        <v>9.6999999999999993</v>
      </c>
      <c r="K461">
        <v>8.6999999999999994E-2</v>
      </c>
      <c r="L461">
        <v>10</v>
      </c>
      <c r="M461">
        <v>7.3898113189999997</v>
      </c>
      <c r="S461" t="s">
        <v>1084</v>
      </c>
      <c r="T461" t="s">
        <v>141</v>
      </c>
      <c r="U461">
        <v>128.07</v>
      </c>
      <c r="V461">
        <v>79.150000000000006</v>
      </c>
      <c r="W461">
        <v>7961.3773719999999</v>
      </c>
      <c r="X461">
        <v>7961.3773719999999</v>
      </c>
      <c r="Y461">
        <v>0.43</v>
      </c>
      <c r="Z461">
        <v>0.45</v>
      </c>
      <c r="AA461">
        <v>0.44</v>
      </c>
      <c r="AB461">
        <v>84.940359990000005</v>
      </c>
    </row>
    <row r="462" spans="1:28" x14ac:dyDescent="0.25">
      <c r="A462">
        <v>462</v>
      </c>
      <c r="B462" t="s">
        <v>1090</v>
      </c>
      <c r="D462" t="s">
        <v>869</v>
      </c>
      <c r="E462">
        <v>5</v>
      </c>
      <c r="F462" t="s">
        <v>870</v>
      </c>
      <c r="G462" s="2">
        <v>43316</v>
      </c>
      <c r="H462" t="s">
        <v>201</v>
      </c>
      <c r="I462">
        <v>9.6999999999999993</v>
      </c>
      <c r="K462">
        <v>8.1000000000000003E-2</v>
      </c>
      <c r="L462">
        <v>10</v>
      </c>
      <c r="M462">
        <v>7.3898113189999997</v>
      </c>
      <c r="S462" t="s">
        <v>1084</v>
      </c>
      <c r="T462" t="s">
        <v>141</v>
      </c>
      <c r="U462">
        <v>89.67</v>
      </c>
      <c r="V462">
        <v>87.21</v>
      </c>
      <c r="W462">
        <v>6141.9084350000003</v>
      </c>
      <c r="X462">
        <v>6141.9084350000003</v>
      </c>
      <c r="Y462">
        <v>0.47</v>
      </c>
      <c r="Z462">
        <v>0.42</v>
      </c>
      <c r="AA462">
        <v>0.47</v>
      </c>
      <c r="AB462">
        <v>91.232238510000002</v>
      </c>
    </row>
    <row r="463" spans="1:28" x14ac:dyDescent="0.25">
      <c r="A463">
        <v>463</v>
      </c>
      <c r="B463" t="s">
        <v>1091</v>
      </c>
      <c r="D463" t="s">
        <v>1016</v>
      </c>
      <c r="E463">
        <v>4</v>
      </c>
      <c r="F463" t="s">
        <v>1017</v>
      </c>
      <c r="G463" s="2">
        <v>43316</v>
      </c>
      <c r="H463" t="s">
        <v>200</v>
      </c>
      <c r="I463" t="s">
        <v>141</v>
      </c>
      <c r="K463">
        <v>0.10100000000000001</v>
      </c>
      <c r="L463" t="s">
        <v>141</v>
      </c>
      <c r="M463" t="e">
        <v>#VALUE!</v>
      </c>
      <c r="S463" t="s">
        <v>1084</v>
      </c>
      <c r="T463" t="s">
        <v>141</v>
      </c>
      <c r="U463">
        <v>24.67</v>
      </c>
      <c r="V463">
        <v>11.51</v>
      </c>
      <c r="W463">
        <v>223.01514370000001</v>
      </c>
      <c r="X463">
        <v>223.01514370000001</v>
      </c>
      <c r="Y463">
        <v>0.43</v>
      </c>
      <c r="Z463">
        <v>0.52</v>
      </c>
      <c r="AA463">
        <v>0.51</v>
      </c>
      <c r="AB463" t="e">
        <v>#VALUE!</v>
      </c>
    </row>
    <row r="464" spans="1:28" x14ac:dyDescent="0.25">
      <c r="A464">
        <v>464</v>
      </c>
      <c r="B464" t="s">
        <v>1092</v>
      </c>
      <c r="D464" t="s">
        <v>1016</v>
      </c>
      <c r="E464">
        <v>5</v>
      </c>
      <c r="F464" t="s">
        <v>1017</v>
      </c>
      <c r="G464" s="2">
        <v>43316</v>
      </c>
      <c r="H464" t="s">
        <v>200</v>
      </c>
      <c r="I464" t="s">
        <v>141</v>
      </c>
      <c r="K464">
        <v>0.17899999999999999</v>
      </c>
      <c r="L464" t="s">
        <v>141</v>
      </c>
      <c r="M464" t="e">
        <v>#VALUE!</v>
      </c>
      <c r="S464" t="s">
        <v>1084</v>
      </c>
      <c r="T464" t="s">
        <v>141</v>
      </c>
      <c r="U464">
        <v>29.91</v>
      </c>
      <c r="V464">
        <v>15.96</v>
      </c>
      <c r="W464">
        <v>374.92049470000001</v>
      </c>
      <c r="X464">
        <v>374.92049470000001</v>
      </c>
      <c r="Y464">
        <v>0.49</v>
      </c>
      <c r="Z464">
        <v>0.49</v>
      </c>
      <c r="AA464">
        <v>0.6</v>
      </c>
      <c r="AB464" t="e">
        <v>#VALUE!</v>
      </c>
    </row>
    <row r="465" spans="1:28" x14ac:dyDescent="0.25">
      <c r="A465">
        <v>465</v>
      </c>
      <c r="B465" t="s">
        <v>1101</v>
      </c>
      <c r="D465" t="s">
        <v>587</v>
      </c>
      <c r="E465">
        <v>4</v>
      </c>
      <c r="F465" t="s">
        <v>588</v>
      </c>
      <c r="G465" s="2">
        <v>43317</v>
      </c>
      <c r="H465" t="s">
        <v>201</v>
      </c>
      <c r="I465">
        <v>9.6999999999999993</v>
      </c>
      <c r="K465">
        <v>6.6000000000000003E-2</v>
      </c>
      <c r="L465">
        <v>10</v>
      </c>
      <c r="M465">
        <v>7.3898113189999997</v>
      </c>
      <c r="S465" t="s">
        <v>204</v>
      </c>
      <c r="T465" t="s">
        <v>141</v>
      </c>
      <c r="U465">
        <v>48.44</v>
      </c>
      <c r="V465">
        <v>25.35</v>
      </c>
      <c r="W465">
        <v>964.43281630000001</v>
      </c>
      <c r="X465">
        <v>964.43281630000001</v>
      </c>
      <c r="Y465">
        <v>0.2</v>
      </c>
      <c r="Z465">
        <v>0.2</v>
      </c>
      <c r="AA465">
        <v>0.19</v>
      </c>
      <c r="AB465">
        <v>111.9668382</v>
      </c>
    </row>
    <row r="466" spans="1:28" x14ac:dyDescent="0.25">
      <c r="A466">
        <v>466</v>
      </c>
      <c r="B466" t="s">
        <v>1100</v>
      </c>
      <c r="D466" t="s">
        <v>587</v>
      </c>
      <c r="E466">
        <v>5</v>
      </c>
      <c r="F466" t="s">
        <v>588</v>
      </c>
      <c r="G466" s="2">
        <v>43317</v>
      </c>
      <c r="H466" t="s">
        <v>201</v>
      </c>
      <c r="I466">
        <v>9.6999999999999993</v>
      </c>
      <c r="K466">
        <v>6.9000000000000006E-2</v>
      </c>
      <c r="L466">
        <v>10</v>
      </c>
      <c r="M466">
        <v>7.3898113189999997</v>
      </c>
      <c r="S466" t="s">
        <v>204</v>
      </c>
      <c r="T466" t="s">
        <v>141</v>
      </c>
      <c r="U466">
        <v>64.08</v>
      </c>
      <c r="V466">
        <v>29.31</v>
      </c>
      <c r="W466">
        <v>1475.1228920000001</v>
      </c>
      <c r="X466">
        <v>1475.1228920000001</v>
      </c>
      <c r="Y466">
        <v>0.25</v>
      </c>
      <c r="Z466">
        <v>0.24</v>
      </c>
      <c r="AA466">
        <v>0.25</v>
      </c>
      <c r="AB466">
        <v>107.0987148</v>
      </c>
    </row>
    <row r="467" spans="1:28" x14ac:dyDescent="0.25">
      <c r="A467">
        <v>467</v>
      </c>
      <c r="B467" t="s">
        <v>1099</v>
      </c>
      <c r="D467" t="s">
        <v>1094</v>
      </c>
      <c r="E467">
        <v>5</v>
      </c>
      <c r="F467" t="s">
        <v>1095</v>
      </c>
      <c r="G467" s="2">
        <v>43317</v>
      </c>
      <c r="H467" t="s">
        <v>201</v>
      </c>
      <c r="I467">
        <v>9.6999999999999993</v>
      </c>
      <c r="K467">
        <v>5.7000000000000002E-2</v>
      </c>
      <c r="L467">
        <v>10</v>
      </c>
      <c r="M467">
        <v>7.3898113189999997</v>
      </c>
      <c r="S467" t="s">
        <v>204</v>
      </c>
      <c r="T467" t="s">
        <v>141</v>
      </c>
      <c r="U467">
        <v>164.2</v>
      </c>
      <c r="V467">
        <v>105.48</v>
      </c>
      <c r="W467">
        <v>13602.95168</v>
      </c>
      <c r="X467">
        <v>13602.95168</v>
      </c>
      <c r="Y467">
        <v>0.47</v>
      </c>
      <c r="Z467">
        <v>0.37</v>
      </c>
      <c r="AA467">
        <v>0.42</v>
      </c>
      <c r="AB467">
        <v>129.6458126</v>
      </c>
    </row>
    <row r="468" spans="1:28" x14ac:dyDescent="0.25">
      <c r="A468">
        <v>468</v>
      </c>
      <c r="B468" t="s">
        <v>1098</v>
      </c>
      <c r="D468" t="s">
        <v>1094</v>
      </c>
      <c r="E468">
        <v>4</v>
      </c>
      <c r="F468" t="s">
        <v>1095</v>
      </c>
      <c r="G468" s="2">
        <v>43317</v>
      </c>
      <c r="H468" t="s">
        <v>201</v>
      </c>
      <c r="I468">
        <v>9.6999999999999993</v>
      </c>
      <c r="K468">
        <v>4.9000000000000002E-2</v>
      </c>
      <c r="L468">
        <v>10</v>
      </c>
      <c r="M468">
        <v>7.3898113189999997</v>
      </c>
      <c r="S468" t="s">
        <v>204</v>
      </c>
      <c r="T468" t="s">
        <v>141</v>
      </c>
      <c r="U468">
        <v>200.7</v>
      </c>
      <c r="V468">
        <v>102.15</v>
      </c>
      <c r="W468">
        <v>16101.844370000001</v>
      </c>
      <c r="X468">
        <v>16101.844370000001</v>
      </c>
      <c r="Y468">
        <v>0.53</v>
      </c>
      <c r="Z468">
        <v>0.4</v>
      </c>
      <c r="AA468">
        <v>0.41</v>
      </c>
      <c r="AB468">
        <v>150.81247590000001</v>
      </c>
    </row>
    <row r="469" spans="1:28" x14ac:dyDescent="0.25">
      <c r="A469">
        <v>469</v>
      </c>
      <c r="B469" t="s">
        <v>1097</v>
      </c>
      <c r="D469" t="s">
        <v>1094</v>
      </c>
      <c r="E469">
        <v>3</v>
      </c>
      <c r="F469" t="s">
        <v>1095</v>
      </c>
      <c r="G469" s="2">
        <v>43317</v>
      </c>
      <c r="H469" t="s">
        <v>201</v>
      </c>
      <c r="I469">
        <v>9.6999999999999993</v>
      </c>
      <c r="K469">
        <v>5.1999999999999998E-2</v>
      </c>
      <c r="L469">
        <v>10</v>
      </c>
      <c r="M469">
        <v>7.3898113189999997</v>
      </c>
      <c r="S469" t="s">
        <v>204</v>
      </c>
      <c r="T469" t="s">
        <v>141</v>
      </c>
      <c r="U469">
        <v>170.71</v>
      </c>
      <c r="V469">
        <v>90.24</v>
      </c>
      <c r="W469">
        <v>12098.956920000001</v>
      </c>
      <c r="X469">
        <v>12098.956920000001</v>
      </c>
      <c r="Y469">
        <v>0.48</v>
      </c>
      <c r="Z469">
        <v>0.43</v>
      </c>
      <c r="AA469">
        <v>0.39</v>
      </c>
      <c r="AB469">
        <v>142.11175610000001</v>
      </c>
    </row>
    <row r="470" spans="1:28" x14ac:dyDescent="0.25">
      <c r="A470">
        <v>470</v>
      </c>
      <c r="B470" t="s">
        <v>1096</v>
      </c>
      <c r="D470" t="s">
        <v>1094</v>
      </c>
      <c r="E470">
        <v>2</v>
      </c>
      <c r="F470" t="s">
        <v>1095</v>
      </c>
      <c r="G470" s="2">
        <v>43317</v>
      </c>
      <c r="H470" t="s">
        <v>201</v>
      </c>
      <c r="I470">
        <v>9.6999999999999993</v>
      </c>
      <c r="K470">
        <v>0.06</v>
      </c>
      <c r="L470">
        <v>10</v>
      </c>
      <c r="M470">
        <v>7.3898113189999997</v>
      </c>
      <c r="S470" t="s">
        <v>204</v>
      </c>
      <c r="T470" t="s">
        <v>141</v>
      </c>
      <c r="U470">
        <v>178.84</v>
      </c>
      <c r="V470">
        <v>83.96</v>
      </c>
      <c r="W470">
        <v>11793.072609999999</v>
      </c>
      <c r="X470">
        <v>11793.072609999999</v>
      </c>
      <c r="Y470">
        <v>0.34</v>
      </c>
      <c r="Z470">
        <v>0.33</v>
      </c>
      <c r="AA470">
        <v>0.34</v>
      </c>
      <c r="AB470">
        <v>123.163522</v>
      </c>
    </row>
    <row r="471" spans="1:28" x14ac:dyDescent="0.25">
      <c r="A471">
        <v>471</v>
      </c>
      <c r="B471" t="s">
        <v>1093</v>
      </c>
      <c r="D471" t="s">
        <v>1094</v>
      </c>
      <c r="E471">
        <v>1</v>
      </c>
      <c r="F471" t="s">
        <v>1095</v>
      </c>
      <c r="G471" s="2">
        <v>43317</v>
      </c>
      <c r="H471" t="s">
        <v>201</v>
      </c>
      <c r="I471">
        <v>9.6999999999999993</v>
      </c>
      <c r="K471">
        <v>6.4000000000000001E-2</v>
      </c>
      <c r="L471">
        <v>10</v>
      </c>
      <c r="M471">
        <v>7.3898113189999997</v>
      </c>
      <c r="S471" t="s">
        <v>204</v>
      </c>
      <c r="T471" t="s">
        <v>141</v>
      </c>
      <c r="U471">
        <v>208.25</v>
      </c>
      <c r="V471">
        <v>106.94</v>
      </c>
      <c r="W471">
        <v>17491.017380000001</v>
      </c>
      <c r="X471">
        <v>17491.017380000001</v>
      </c>
      <c r="Y471">
        <v>0.37</v>
      </c>
      <c r="Z471">
        <v>0.41</v>
      </c>
      <c r="AA471">
        <v>0.34</v>
      </c>
      <c r="AB471">
        <v>115.4658019</v>
      </c>
    </row>
    <row r="472" spans="1:28" x14ac:dyDescent="0.25">
      <c r="A472">
        <v>472</v>
      </c>
      <c r="B472" t="s">
        <v>1120</v>
      </c>
      <c r="D472" t="s">
        <v>440</v>
      </c>
      <c r="E472">
        <v>4</v>
      </c>
      <c r="F472" t="s">
        <v>441</v>
      </c>
      <c r="G472" s="2">
        <v>43320</v>
      </c>
      <c r="H472" t="s">
        <v>201</v>
      </c>
      <c r="I472">
        <v>7.1</v>
      </c>
      <c r="K472">
        <v>4.9000000000000002E-2</v>
      </c>
      <c r="L472">
        <v>10</v>
      </c>
      <c r="M472">
        <v>3.959192142</v>
      </c>
      <c r="S472" t="s">
        <v>210</v>
      </c>
      <c r="T472">
        <v>5</v>
      </c>
      <c r="U472">
        <v>95.87</v>
      </c>
      <c r="V472">
        <v>26.54</v>
      </c>
      <c r="W472">
        <v>1998.359076</v>
      </c>
      <c r="X472">
        <v>9991.7953789999992</v>
      </c>
      <c r="Y472">
        <v>0.24</v>
      </c>
      <c r="Z472">
        <v>0.27</v>
      </c>
      <c r="AA472">
        <v>0.27</v>
      </c>
      <c r="AB472">
        <v>80.799839629999994</v>
      </c>
    </row>
    <row r="473" spans="1:28" x14ac:dyDescent="0.25">
      <c r="A473">
        <v>473</v>
      </c>
      <c r="B473" t="s">
        <v>1121</v>
      </c>
      <c r="D473" t="s">
        <v>440</v>
      </c>
      <c r="E473">
        <v>5</v>
      </c>
      <c r="F473" t="s">
        <v>441</v>
      </c>
      <c r="G473" s="2">
        <v>43320</v>
      </c>
      <c r="H473" t="s">
        <v>201</v>
      </c>
      <c r="I473">
        <v>7.1</v>
      </c>
      <c r="K473">
        <v>4.2000000000000003E-2</v>
      </c>
      <c r="L473">
        <v>10</v>
      </c>
      <c r="M473">
        <v>3.959192142</v>
      </c>
      <c r="S473" t="s">
        <v>210</v>
      </c>
      <c r="T473">
        <v>5</v>
      </c>
      <c r="U473">
        <v>124.39</v>
      </c>
      <c r="V473">
        <v>35.369999999999997</v>
      </c>
      <c r="W473">
        <v>3455.4961149999999</v>
      </c>
      <c r="X473">
        <v>17277.48057</v>
      </c>
      <c r="Y473">
        <v>0.21</v>
      </c>
      <c r="Z473">
        <v>0.21</v>
      </c>
      <c r="AA473">
        <v>0.2</v>
      </c>
      <c r="AB473">
        <v>94.266479559999993</v>
      </c>
    </row>
    <row r="474" spans="1:28" x14ac:dyDescent="0.25">
      <c r="A474">
        <v>474</v>
      </c>
      <c r="B474" t="s">
        <v>1275</v>
      </c>
      <c r="D474" t="s">
        <v>1280</v>
      </c>
      <c r="E474">
        <v>1</v>
      </c>
      <c r="F474" t="s">
        <v>1281</v>
      </c>
      <c r="G474" s="2">
        <v>43297</v>
      </c>
      <c r="H474" t="s">
        <v>201</v>
      </c>
      <c r="I474">
        <v>11.55</v>
      </c>
      <c r="K474">
        <v>0.1</v>
      </c>
      <c r="L474">
        <v>10</v>
      </c>
      <c r="M474">
        <v>10.477407850000001</v>
      </c>
      <c r="S474" t="s">
        <v>1084</v>
      </c>
      <c r="T474" t="s">
        <v>141</v>
      </c>
      <c r="AB474">
        <v>104.7740785</v>
      </c>
    </row>
    <row r="475" spans="1:28" x14ac:dyDescent="0.25">
      <c r="A475">
        <v>475</v>
      </c>
      <c r="B475" t="s">
        <v>1276</v>
      </c>
      <c r="D475" t="s">
        <v>1280</v>
      </c>
      <c r="E475">
        <v>2</v>
      </c>
      <c r="F475" t="s">
        <v>1281</v>
      </c>
      <c r="G475" s="2">
        <v>43297</v>
      </c>
      <c r="H475" t="s">
        <v>201</v>
      </c>
      <c r="I475">
        <v>11.55</v>
      </c>
      <c r="K475">
        <v>0.127</v>
      </c>
      <c r="L475">
        <v>10</v>
      </c>
      <c r="M475">
        <v>10.477407850000001</v>
      </c>
      <c r="S475" t="s">
        <v>1084</v>
      </c>
      <c r="T475" t="s">
        <v>141</v>
      </c>
      <c r="AB475">
        <v>82.499274400000004</v>
      </c>
    </row>
    <row r="476" spans="1:28" x14ac:dyDescent="0.25">
      <c r="A476">
        <v>476</v>
      </c>
      <c r="B476" t="s">
        <v>1277</v>
      </c>
      <c r="D476" t="s">
        <v>1280</v>
      </c>
      <c r="E476">
        <v>3</v>
      </c>
      <c r="F476" t="s">
        <v>1281</v>
      </c>
      <c r="G476" s="2">
        <v>43297</v>
      </c>
      <c r="H476" t="s">
        <v>201</v>
      </c>
      <c r="I476">
        <v>11.55</v>
      </c>
      <c r="K476">
        <v>9.6000000000000002E-2</v>
      </c>
      <c r="L476">
        <v>10</v>
      </c>
      <c r="M476">
        <v>10.477407850000001</v>
      </c>
      <c r="S476" t="s">
        <v>1084</v>
      </c>
      <c r="T476" t="s">
        <v>141</v>
      </c>
      <c r="AB476">
        <v>109.1396651</v>
      </c>
    </row>
    <row r="477" spans="1:28" x14ac:dyDescent="0.25">
      <c r="A477">
        <v>477</v>
      </c>
      <c r="B477" t="s">
        <v>1278</v>
      </c>
      <c r="D477" t="s">
        <v>1280</v>
      </c>
      <c r="E477">
        <v>4</v>
      </c>
      <c r="F477" t="s">
        <v>1281</v>
      </c>
      <c r="G477" s="2">
        <v>43297</v>
      </c>
      <c r="H477" t="s">
        <v>201</v>
      </c>
      <c r="I477">
        <v>11.55</v>
      </c>
      <c r="K477">
        <v>9.9000000000000005E-2</v>
      </c>
      <c r="L477">
        <v>10</v>
      </c>
      <c r="M477">
        <v>10.477407850000001</v>
      </c>
      <c r="S477" t="s">
        <v>1084</v>
      </c>
      <c r="T477" t="s">
        <v>141</v>
      </c>
      <c r="AB477">
        <v>105.8324025</v>
      </c>
    </row>
    <row r="478" spans="1:28" x14ac:dyDescent="0.25">
      <c r="A478">
        <v>478</v>
      </c>
      <c r="B478" t="s">
        <v>1279</v>
      </c>
      <c r="D478" t="s">
        <v>1280</v>
      </c>
      <c r="E478">
        <v>5</v>
      </c>
      <c r="F478" t="s">
        <v>1281</v>
      </c>
      <c r="G478" s="2">
        <v>43297</v>
      </c>
      <c r="H478" t="s">
        <v>201</v>
      </c>
      <c r="I478">
        <v>11.55</v>
      </c>
      <c r="K478">
        <v>0.1</v>
      </c>
      <c r="L478">
        <v>10</v>
      </c>
      <c r="M478">
        <v>10.477407850000001</v>
      </c>
      <c r="S478" t="s">
        <v>1084</v>
      </c>
      <c r="T478" t="s">
        <v>141</v>
      </c>
      <c r="AB478">
        <v>104.7740785</v>
      </c>
    </row>
    <row r="479" spans="1:28" x14ac:dyDescent="0.25">
      <c r="A479">
        <v>479</v>
      </c>
      <c r="B479" t="s">
        <v>1283</v>
      </c>
      <c r="C479" t="s">
        <v>93</v>
      </c>
      <c r="D479" t="s">
        <v>366</v>
      </c>
      <c r="E479">
        <v>1</v>
      </c>
      <c r="F479" t="s">
        <v>1284</v>
      </c>
      <c r="G479" s="2">
        <v>43255</v>
      </c>
      <c r="H479" t="s">
        <v>200</v>
      </c>
      <c r="AB479">
        <v>79.846184980000004</v>
      </c>
    </row>
    <row r="480" spans="1:28" x14ac:dyDescent="0.25">
      <c r="A480">
        <v>480</v>
      </c>
      <c r="B480" t="s">
        <v>1285</v>
      </c>
      <c r="C480" t="s">
        <v>108</v>
      </c>
      <c r="D480" t="s">
        <v>366</v>
      </c>
      <c r="E480">
        <v>2</v>
      </c>
      <c r="F480" t="s">
        <v>1284</v>
      </c>
      <c r="G480" s="2">
        <v>43255</v>
      </c>
      <c r="H480" t="s">
        <v>200</v>
      </c>
      <c r="AB480">
        <v>91.462268120000005</v>
      </c>
    </row>
    <row r="481" spans="1:28" x14ac:dyDescent="0.25">
      <c r="A481">
        <v>481</v>
      </c>
      <c r="B481" t="s">
        <v>1286</v>
      </c>
      <c r="C481" t="s">
        <v>84</v>
      </c>
      <c r="D481" t="s">
        <v>366</v>
      </c>
      <c r="E481">
        <v>3</v>
      </c>
      <c r="F481" t="s">
        <v>1284</v>
      </c>
      <c r="G481" s="2">
        <v>43255</v>
      </c>
      <c r="H481" t="s">
        <v>200</v>
      </c>
      <c r="AB481">
        <v>127.7174263</v>
      </c>
    </row>
    <row r="482" spans="1:28" x14ac:dyDescent="0.25">
      <c r="A482">
        <v>482</v>
      </c>
      <c r="B482" t="s">
        <v>1287</v>
      </c>
      <c r="C482" t="s">
        <v>1233</v>
      </c>
      <c r="D482" t="s">
        <v>366</v>
      </c>
      <c r="E482">
        <v>4</v>
      </c>
      <c r="F482" t="s">
        <v>1284</v>
      </c>
      <c r="G482" s="2">
        <v>43255</v>
      </c>
      <c r="H482" t="s">
        <v>200</v>
      </c>
      <c r="AB482">
        <v>89.273904939999994</v>
      </c>
    </row>
    <row r="483" spans="1:28" x14ac:dyDescent="0.25">
      <c r="A483">
        <v>483</v>
      </c>
      <c r="B483" t="s">
        <v>1288</v>
      </c>
      <c r="C483" t="s">
        <v>475</v>
      </c>
      <c r="D483" t="s">
        <v>366</v>
      </c>
      <c r="E483">
        <v>5</v>
      </c>
      <c r="F483" t="s">
        <v>1284</v>
      </c>
      <c r="G483" s="2">
        <v>43255</v>
      </c>
      <c r="H483" t="s">
        <v>200</v>
      </c>
      <c r="AB483">
        <v>77.495856549999999</v>
      </c>
    </row>
    <row r="484" spans="1:28" x14ac:dyDescent="0.25">
      <c r="A484">
        <v>484</v>
      </c>
      <c r="B484" t="s">
        <v>1289</v>
      </c>
      <c r="C484" t="s">
        <v>1067</v>
      </c>
      <c r="D484" t="s">
        <v>366</v>
      </c>
      <c r="E484">
        <v>6</v>
      </c>
      <c r="F484" t="s">
        <v>1284</v>
      </c>
      <c r="G484" s="2">
        <v>43270</v>
      </c>
      <c r="H484" t="s">
        <v>200</v>
      </c>
      <c r="AB484" t="e">
        <v>#DIV/0!</v>
      </c>
    </row>
    <row r="485" spans="1:28" x14ac:dyDescent="0.25">
      <c r="A485">
        <v>485</v>
      </c>
      <c r="B485" t="s">
        <v>1290</v>
      </c>
      <c r="C485" t="s">
        <v>472</v>
      </c>
      <c r="D485" t="s">
        <v>430</v>
      </c>
      <c r="E485">
        <v>1</v>
      </c>
      <c r="F485" t="s">
        <v>1291</v>
      </c>
      <c r="G485" s="2">
        <v>43276</v>
      </c>
      <c r="H485" t="s">
        <v>200</v>
      </c>
      <c r="AB485">
        <v>117.1723454</v>
      </c>
    </row>
    <row r="486" spans="1:28" x14ac:dyDescent="0.25">
      <c r="A486">
        <v>486</v>
      </c>
      <c r="B486" t="s">
        <v>1292</v>
      </c>
      <c r="C486" t="s">
        <v>471</v>
      </c>
      <c r="D486" t="s">
        <v>430</v>
      </c>
      <c r="E486">
        <v>2</v>
      </c>
      <c r="F486" t="s">
        <v>1291</v>
      </c>
      <c r="G486" s="2">
        <v>43292</v>
      </c>
      <c r="H486" t="s">
        <v>200</v>
      </c>
      <c r="AB486">
        <v>81.974272679999999</v>
      </c>
    </row>
    <row r="487" spans="1:28" x14ac:dyDescent="0.25">
      <c r="A487">
        <v>487</v>
      </c>
      <c r="B487" t="s">
        <v>1293</v>
      </c>
      <c r="C487" t="s">
        <v>429</v>
      </c>
      <c r="D487" t="s">
        <v>430</v>
      </c>
      <c r="E487">
        <v>3</v>
      </c>
      <c r="F487" t="s">
        <v>1291</v>
      </c>
      <c r="G487" s="2">
        <v>43292</v>
      </c>
      <c r="H487" t="s">
        <v>200</v>
      </c>
      <c r="AB487">
        <v>87.234712669999993</v>
      </c>
    </row>
    <row r="488" spans="1:28" x14ac:dyDescent="0.25">
      <c r="A488">
        <v>488</v>
      </c>
      <c r="B488" t="s">
        <v>1294</v>
      </c>
      <c r="C488" t="s">
        <v>453</v>
      </c>
      <c r="D488" t="s">
        <v>430</v>
      </c>
      <c r="E488">
        <v>4</v>
      </c>
      <c r="F488" t="s">
        <v>1291</v>
      </c>
      <c r="G488" s="2">
        <v>43292</v>
      </c>
      <c r="H488" t="s">
        <v>200</v>
      </c>
      <c r="AB488">
        <v>72.750076289999996</v>
      </c>
    </row>
    <row r="489" spans="1:28" x14ac:dyDescent="0.25">
      <c r="A489">
        <v>489</v>
      </c>
      <c r="B489" t="s">
        <v>1295</v>
      </c>
      <c r="C489" t="s">
        <v>954</v>
      </c>
      <c r="D489" t="s">
        <v>430</v>
      </c>
      <c r="E489">
        <v>5</v>
      </c>
      <c r="F489" t="s">
        <v>1291</v>
      </c>
      <c r="G489" s="2">
        <v>43292</v>
      </c>
      <c r="H489" t="s">
        <v>200</v>
      </c>
      <c r="AB489">
        <v>98.555523359999995</v>
      </c>
    </row>
    <row r="490" spans="1:28" x14ac:dyDescent="0.25">
      <c r="A490">
        <v>490</v>
      </c>
      <c r="B490" t="s">
        <v>1296</v>
      </c>
      <c r="C490" t="s">
        <v>484</v>
      </c>
      <c r="D490" t="s">
        <v>393</v>
      </c>
      <c r="E490">
        <v>1</v>
      </c>
      <c r="F490" t="s">
        <v>261</v>
      </c>
      <c r="G490" s="2">
        <v>43271</v>
      </c>
      <c r="H490" t="s">
        <v>200</v>
      </c>
      <c r="AB490">
        <v>61.478493460000003</v>
      </c>
    </row>
    <row r="491" spans="1:28" x14ac:dyDescent="0.25">
      <c r="A491">
        <v>491</v>
      </c>
      <c r="B491" t="s">
        <v>1297</v>
      </c>
      <c r="C491" t="s">
        <v>1207</v>
      </c>
      <c r="D491" t="s">
        <v>393</v>
      </c>
      <c r="E491">
        <v>2</v>
      </c>
      <c r="F491" t="s">
        <v>261</v>
      </c>
      <c r="G491" s="2">
        <v>43271</v>
      </c>
      <c r="H491" t="s">
        <v>200</v>
      </c>
      <c r="AB491">
        <v>64.346150910000006</v>
      </c>
    </row>
    <row r="492" spans="1:28" x14ac:dyDescent="0.25">
      <c r="A492">
        <v>492</v>
      </c>
      <c r="B492" t="s">
        <v>1298</v>
      </c>
      <c r="C492" t="s">
        <v>1206</v>
      </c>
      <c r="D492" t="s">
        <v>393</v>
      </c>
      <c r="E492">
        <v>3</v>
      </c>
      <c r="F492" t="s">
        <v>261</v>
      </c>
      <c r="G492" s="2">
        <v>43272</v>
      </c>
      <c r="H492" t="s">
        <v>200</v>
      </c>
      <c r="AB492">
        <v>73.870424200000002</v>
      </c>
    </row>
    <row r="493" spans="1:28" x14ac:dyDescent="0.25">
      <c r="A493">
        <v>493</v>
      </c>
      <c r="B493" t="s">
        <v>1299</v>
      </c>
      <c r="C493" t="s">
        <v>485</v>
      </c>
      <c r="D493" t="s">
        <v>393</v>
      </c>
      <c r="E493">
        <v>4</v>
      </c>
      <c r="F493" t="s">
        <v>261</v>
      </c>
      <c r="G493" s="2">
        <v>43270</v>
      </c>
      <c r="H493" t="s">
        <v>200</v>
      </c>
      <c r="AB493">
        <v>67.193697979999996</v>
      </c>
    </row>
    <row r="494" spans="1:28" x14ac:dyDescent="0.25">
      <c r="A494">
        <v>494</v>
      </c>
      <c r="B494" t="s">
        <v>1300</v>
      </c>
      <c r="C494" t="s">
        <v>1210</v>
      </c>
      <c r="D494" t="s">
        <v>393</v>
      </c>
      <c r="E494">
        <v>5</v>
      </c>
      <c r="F494" t="s">
        <v>261</v>
      </c>
      <c r="G494" s="2">
        <v>43270</v>
      </c>
      <c r="H494" t="s">
        <v>200</v>
      </c>
      <c r="AB494">
        <v>63.426638680000003</v>
      </c>
    </row>
    <row r="495" spans="1:28" x14ac:dyDescent="0.25">
      <c r="A495">
        <v>495</v>
      </c>
      <c r="B495" t="s">
        <v>1301</v>
      </c>
      <c r="C495" t="s">
        <v>919</v>
      </c>
      <c r="D495" t="s">
        <v>920</v>
      </c>
      <c r="E495">
        <v>1</v>
      </c>
      <c r="F495" t="s">
        <v>921</v>
      </c>
      <c r="G495" s="2">
        <v>43301</v>
      </c>
      <c r="H495" t="s">
        <v>200</v>
      </c>
      <c r="AB495" t="e">
        <v>#DIV/0!</v>
      </c>
    </row>
    <row r="496" spans="1:28" x14ac:dyDescent="0.25">
      <c r="A496">
        <v>496</v>
      </c>
      <c r="B496" t="s">
        <v>1302</v>
      </c>
      <c r="C496" t="s">
        <v>1303</v>
      </c>
      <c r="D496" t="s">
        <v>920</v>
      </c>
      <c r="E496">
        <v>10</v>
      </c>
      <c r="F496" t="s">
        <v>921</v>
      </c>
      <c r="G496" s="2">
        <v>43292</v>
      </c>
      <c r="H496" t="s">
        <v>200</v>
      </c>
      <c r="AB496" t="e">
        <v>#DIV/0!</v>
      </c>
    </row>
    <row r="497" spans="1:28" x14ac:dyDescent="0.25">
      <c r="A497">
        <v>497</v>
      </c>
      <c r="B497" t="s">
        <v>1304</v>
      </c>
      <c r="C497" t="s">
        <v>923</v>
      </c>
      <c r="D497" t="s">
        <v>920</v>
      </c>
      <c r="E497">
        <v>2</v>
      </c>
      <c r="F497" t="s">
        <v>921</v>
      </c>
      <c r="G497" s="2">
        <v>43280</v>
      </c>
      <c r="H497" t="s">
        <v>200</v>
      </c>
      <c r="AB497">
        <v>86.019374290000002</v>
      </c>
    </row>
    <row r="498" spans="1:28" x14ac:dyDescent="0.25">
      <c r="A498">
        <v>498</v>
      </c>
      <c r="B498" t="s">
        <v>1305</v>
      </c>
      <c r="C498" t="s">
        <v>925</v>
      </c>
      <c r="D498" t="s">
        <v>920</v>
      </c>
      <c r="E498">
        <v>3</v>
      </c>
      <c r="F498" t="s">
        <v>921</v>
      </c>
      <c r="G498" s="2">
        <v>43280</v>
      </c>
      <c r="H498" t="s">
        <v>200</v>
      </c>
      <c r="AB498">
        <v>73.937851030000004</v>
      </c>
    </row>
    <row r="499" spans="1:28" x14ac:dyDescent="0.25">
      <c r="A499">
        <v>499</v>
      </c>
      <c r="B499" t="s">
        <v>1306</v>
      </c>
      <c r="C499" t="s">
        <v>927</v>
      </c>
      <c r="D499" t="s">
        <v>920</v>
      </c>
      <c r="E499">
        <v>4</v>
      </c>
      <c r="F499" t="s">
        <v>921</v>
      </c>
      <c r="G499" s="2">
        <v>43280</v>
      </c>
      <c r="H499" t="s">
        <v>200</v>
      </c>
      <c r="AB499">
        <v>66.703562379999994</v>
      </c>
    </row>
    <row r="500" spans="1:28" x14ac:dyDescent="0.25">
      <c r="A500">
        <v>500</v>
      </c>
      <c r="B500" t="s">
        <v>1307</v>
      </c>
      <c r="C500" t="s">
        <v>929</v>
      </c>
      <c r="D500" t="s">
        <v>920</v>
      </c>
      <c r="E500">
        <v>5</v>
      </c>
      <c r="F500" t="s">
        <v>921</v>
      </c>
      <c r="G500" s="2">
        <v>43280</v>
      </c>
      <c r="H500" t="s">
        <v>200</v>
      </c>
      <c r="AB500" t="e">
        <v>#DIV/0!</v>
      </c>
    </row>
    <row r="501" spans="1:28" x14ac:dyDescent="0.25">
      <c r="A501">
        <v>501</v>
      </c>
      <c r="B501" t="s">
        <v>1308</v>
      </c>
      <c r="C501" t="s">
        <v>1309</v>
      </c>
      <c r="D501" t="s">
        <v>920</v>
      </c>
      <c r="E501">
        <v>6</v>
      </c>
      <c r="F501" t="s">
        <v>921</v>
      </c>
      <c r="G501" s="2">
        <v>43280</v>
      </c>
      <c r="H501" t="s">
        <v>200</v>
      </c>
      <c r="AB501" t="e">
        <v>#DIV/0!</v>
      </c>
    </row>
    <row r="502" spans="1:28" x14ac:dyDescent="0.25">
      <c r="A502">
        <v>502</v>
      </c>
      <c r="B502" t="s">
        <v>1310</v>
      </c>
      <c r="C502" t="s">
        <v>1311</v>
      </c>
      <c r="D502" t="s">
        <v>920</v>
      </c>
      <c r="E502">
        <v>7</v>
      </c>
      <c r="F502" t="s">
        <v>921</v>
      </c>
      <c r="G502" s="2">
        <v>43280</v>
      </c>
      <c r="H502" t="s">
        <v>200</v>
      </c>
      <c r="AB502">
        <v>81.495433989999995</v>
      </c>
    </row>
    <row r="503" spans="1:28" x14ac:dyDescent="0.25">
      <c r="A503">
        <v>503</v>
      </c>
      <c r="B503" t="s">
        <v>1312</v>
      </c>
      <c r="C503" t="s">
        <v>1313</v>
      </c>
      <c r="D503" t="s">
        <v>920</v>
      </c>
      <c r="E503">
        <v>8</v>
      </c>
      <c r="F503" t="s">
        <v>921</v>
      </c>
      <c r="G503" s="2">
        <v>43280</v>
      </c>
      <c r="H503" t="s">
        <v>200</v>
      </c>
      <c r="AB503" t="e">
        <v>#DIV/0!</v>
      </c>
    </row>
    <row r="504" spans="1:28" x14ac:dyDescent="0.25">
      <c r="A504">
        <v>504</v>
      </c>
      <c r="B504" t="s">
        <v>1314</v>
      </c>
      <c r="C504" t="s">
        <v>1315</v>
      </c>
      <c r="D504" t="s">
        <v>920</v>
      </c>
      <c r="E504">
        <v>9</v>
      </c>
      <c r="F504" t="s">
        <v>921</v>
      </c>
      <c r="G504" s="2">
        <v>43280</v>
      </c>
      <c r="H504" t="s">
        <v>200</v>
      </c>
      <c r="AB504">
        <v>68.719186129999997</v>
      </c>
    </row>
    <row r="505" spans="1:28" x14ac:dyDescent="0.25">
      <c r="A505">
        <v>505</v>
      </c>
      <c r="B505" t="s">
        <v>1316</v>
      </c>
      <c r="C505" t="s">
        <v>113</v>
      </c>
      <c r="D505" t="s">
        <v>382</v>
      </c>
      <c r="E505">
        <v>1</v>
      </c>
      <c r="F505" t="s">
        <v>213</v>
      </c>
      <c r="G505" s="2">
        <v>43289</v>
      </c>
      <c r="H505" t="s">
        <v>200</v>
      </c>
      <c r="AB505">
        <v>62.619461139999999</v>
      </c>
    </row>
    <row r="506" spans="1:28" x14ac:dyDescent="0.25">
      <c r="A506">
        <v>506</v>
      </c>
      <c r="B506" t="s">
        <v>1317</v>
      </c>
      <c r="C506" t="s">
        <v>1230</v>
      </c>
      <c r="D506" t="s">
        <v>382</v>
      </c>
      <c r="E506">
        <v>2</v>
      </c>
      <c r="F506" t="s">
        <v>213</v>
      </c>
      <c r="G506" s="2">
        <v>43289</v>
      </c>
      <c r="H506" t="s">
        <v>200</v>
      </c>
      <c r="AB506">
        <v>56.815166429999998</v>
      </c>
    </row>
    <row r="507" spans="1:28" x14ac:dyDescent="0.25">
      <c r="A507">
        <v>507</v>
      </c>
      <c r="B507" t="s">
        <v>1318</v>
      </c>
      <c r="C507" t="s">
        <v>606</v>
      </c>
      <c r="D507" t="s">
        <v>382</v>
      </c>
      <c r="E507">
        <v>3</v>
      </c>
      <c r="F507" t="s">
        <v>213</v>
      </c>
      <c r="G507" s="2">
        <v>43289</v>
      </c>
      <c r="H507" t="s">
        <v>200</v>
      </c>
      <c r="AB507">
        <v>80.395637219999998</v>
      </c>
    </row>
    <row r="508" spans="1:28" x14ac:dyDescent="0.25">
      <c r="A508">
        <v>508</v>
      </c>
      <c r="B508" t="s">
        <v>1319</v>
      </c>
      <c r="C508" t="s">
        <v>634</v>
      </c>
      <c r="D508" t="s">
        <v>382</v>
      </c>
      <c r="E508">
        <v>4</v>
      </c>
      <c r="F508" t="s">
        <v>213</v>
      </c>
      <c r="G508" s="2">
        <v>43289</v>
      </c>
      <c r="H508" t="s">
        <v>200</v>
      </c>
      <c r="AB508">
        <v>75.88878982</v>
      </c>
    </row>
    <row r="509" spans="1:28" x14ac:dyDescent="0.25">
      <c r="A509">
        <v>509</v>
      </c>
      <c r="B509" t="s">
        <v>1320</v>
      </c>
      <c r="C509" t="s">
        <v>623</v>
      </c>
      <c r="D509" t="s">
        <v>382</v>
      </c>
      <c r="E509">
        <v>5</v>
      </c>
      <c r="F509" t="s">
        <v>213</v>
      </c>
      <c r="G509" s="2">
        <v>43289</v>
      </c>
      <c r="H509" t="s">
        <v>200</v>
      </c>
      <c r="AB509">
        <v>73.250732819999996</v>
      </c>
    </row>
    <row r="510" spans="1:28" x14ac:dyDescent="0.25">
      <c r="A510">
        <v>510</v>
      </c>
      <c r="B510" t="s">
        <v>1321</v>
      </c>
      <c r="C510" t="s">
        <v>88</v>
      </c>
      <c r="D510" t="s">
        <v>368</v>
      </c>
      <c r="E510">
        <v>1</v>
      </c>
      <c r="F510" t="s">
        <v>379</v>
      </c>
      <c r="G510" s="2">
        <v>43307</v>
      </c>
      <c r="H510" t="s">
        <v>200</v>
      </c>
      <c r="AB510">
        <v>69.737863700000005</v>
      </c>
    </row>
    <row r="511" spans="1:28" x14ac:dyDescent="0.25">
      <c r="A511">
        <v>511</v>
      </c>
      <c r="B511" t="s">
        <v>1322</v>
      </c>
      <c r="C511" t="s">
        <v>438</v>
      </c>
      <c r="D511" t="s">
        <v>368</v>
      </c>
      <c r="E511">
        <v>2</v>
      </c>
      <c r="F511" t="s">
        <v>379</v>
      </c>
      <c r="G511" s="2">
        <v>43307</v>
      </c>
      <c r="H511" t="s">
        <v>200</v>
      </c>
      <c r="AB511">
        <v>79.899216280000005</v>
      </c>
    </row>
    <row r="512" spans="1:28" x14ac:dyDescent="0.25">
      <c r="A512">
        <v>512</v>
      </c>
      <c r="B512" t="s">
        <v>1323</v>
      </c>
      <c r="C512" t="s">
        <v>519</v>
      </c>
      <c r="D512" t="s">
        <v>368</v>
      </c>
      <c r="E512">
        <v>3</v>
      </c>
      <c r="F512" t="s">
        <v>379</v>
      </c>
      <c r="G512" s="2">
        <v>43307</v>
      </c>
      <c r="H512" t="s">
        <v>200</v>
      </c>
      <c r="AB512">
        <v>70.690497469999997</v>
      </c>
    </row>
    <row r="513" spans="1:28" x14ac:dyDescent="0.25">
      <c r="A513">
        <v>513</v>
      </c>
      <c r="B513" t="s">
        <v>1324</v>
      </c>
      <c r="C513" t="s">
        <v>744</v>
      </c>
      <c r="D513" t="s">
        <v>368</v>
      </c>
      <c r="E513">
        <v>4</v>
      </c>
      <c r="F513" t="s">
        <v>379</v>
      </c>
      <c r="G513" s="2">
        <v>43307</v>
      </c>
      <c r="H513" t="s">
        <v>200</v>
      </c>
      <c r="AB513">
        <v>83.764757270000004</v>
      </c>
    </row>
    <row r="514" spans="1:28" x14ac:dyDescent="0.25">
      <c r="A514">
        <v>514</v>
      </c>
      <c r="B514" t="s">
        <v>1325</v>
      </c>
      <c r="C514" t="s">
        <v>763</v>
      </c>
      <c r="D514" t="s">
        <v>368</v>
      </c>
      <c r="E514">
        <v>5</v>
      </c>
      <c r="F514" t="s">
        <v>379</v>
      </c>
      <c r="G514" s="2">
        <v>43307</v>
      </c>
      <c r="H514" t="s">
        <v>200</v>
      </c>
      <c r="AB514">
        <v>101.0204509</v>
      </c>
    </row>
    <row r="515" spans="1:28" x14ac:dyDescent="0.25">
      <c r="A515">
        <v>515</v>
      </c>
      <c r="B515" t="s">
        <v>1326</v>
      </c>
      <c r="C515" t="s">
        <v>298</v>
      </c>
      <c r="D515" t="s">
        <v>398</v>
      </c>
      <c r="E515">
        <v>1</v>
      </c>
      <c r="F515" t="s">
        <v>326</v>
      </c>
      <c r="G515" s="2">
        <v>43284</v>
      </c>
      <c r="H515" t="s">
        <v>200</v>
      </c>
      <c r="AB515">
        <v>100.25521089999999</v>
      </c>
    </row>
    <row r="516" spans="1:28" x14ac:dyDescent="0.25">
      <c r="A516">
        <v>516</v>
      </c>
      <c r="B516" t="s">
        <v>1327</v>
      </c>
      <c r="C516" t="s">
        <v>537</v>
      </c>
      <c r="D516" t="s">
        <v>398</v>
      </c>
      <c r="E516">
        <v>2</v>
      </c>
      <c r="F516" t="s">
        <v>326</v>
      </c>
      <c r="G516" s="2">
        <v>43280</v>
      </c>
      <c r="H516" t="s">
        <v>200</v>
      </c>
      <c r="AB516">
        <v>88.475039890000005</v>
      </c>
    </row>
    <row r="517" spans="1:28" x14ac:dyDescent="0.25">
      <c r="A517">
        <v>517</v>
      </c>
      <c r="B517" t="s">
        <v>1328</v>
      </c>
      <c r="C517" t="s">
        <v>626</v>
      </c>
      <c r="D517" t="s">
        <v>398</v>
      </c>
      <c r="E517">
        <v>3</v>
      </c>
      <c r="F517" t="s">
        <v>326</v>
      </c>
      <c r="G517" s="2">
        <v>43284</v>
      </c>
      <c r="H517" t="s">
        <v>200</v>
      </c>
      <c r="AB517">
        <v>75.467041030000004</v>
      </c>
    </row>
    <row r="518" spans="1:28" x14ac:dyDescent="0.25">
      <c r="A518">
        <v>518</v>
      </c>
      <c r="B518" t="s">
        <v>1329</v>
      </c>
      <c r="C518" t="s">
        <v>596</v>
      </c>
      <c r="D518" t="s">
        <v>398</v>
      </c>
      <c r="E518">
        <v>4</v>
      </c>
      <c r="F518" t="s">
        <v>326</v>
      </c>
      <c r="G518" s="2">
        <v>43284</v>
      </c>
      <c r="H518" t="s">
        <v>200</v>
      </c>
      <c r="AB518">
        <v>99.993770650000002</v>
      </c>
    </row>
    <row r="519" spans="1:28" x14ac:dyDescent="0.25">
      <c r="A519">
        <v>519</v>
      </c>
      <c r="B519" t="s">
        <v>1330</v>
      </c>
      <c r="C519" t="s">
        <v>601</v>
      </c>
      <c r="D519" t="s">
        <v>398</v>
      </c>
      <c r="E519">
        <v>5</v>
      </c>
      <c r="F519" t="s">
        <v>326</v>
      </c>
      <c r="G519" s="2">
        <v>43291</v>
      </c>
      <c r="H519" t="s">
        <v>200</v>
      </c>
      <c r="AB519">
        <v>77.728529690000002</v>
      </c>
    </row>
    <row r="520" spans="1:28" x14ac:dyDescent="0.25">
      <c r="A520">
        <v>520</v>
      </c>
      <c r="B520" t="s">
        <v>1331</v>
      </c>
      <c r="C520" t="s">
        <v>21</v>
      </c>
      <c r="D520" t="s">
        <v>349</v>
      </c>
      <c r="E520">
        <v>1</v>
      </c>
      <c r="F520" t="s">
        <v>61</v>
      </c>
      <c r="G520" s="2">
        <v>43307</v>
      </c>
      <c r="H520" t="s">
        <v>200</v>
      </c>
      <c r="AB520">
        <v>75.458562409999999</v>
      </c>
    </row>
    <row r="521" spans="1:28" x14ac:dyDescent="0.25">
      <c r="A521">
        <v>521</v>
      </c>
      <c r="B521" t="s">
        <v>1332</v>
      </c>
      <c r="C521" t="s">
        <v>34</v>
      </c>
      <c r="D521" t="s">
        <v>349</v>
      </c>
      <c r="E521">
        <v>2</v>
      </c>
      <c r="F521" t="s">
        <v>61</v>
      </c>
      <c r="G521" s="2">
        <v>43307</v>
      </c>
      <c r="H521" t="s">
        <v>200</v>
      </c>
      <c r="AB521">
        <v>70.279436779999997</v>
      </c>
    </row>
    <row r="522" spans="1:28" x14ac:dyDescent="0.25">
      <c r="A522">
        <v>522</v>
      </c>
      <c r="B522" t="s">
        <v>1333</v>
      </c>
      <c r="C522" t="s">
        <v>123</v>
      </c>
      <c r="D522" t="s">
        <v>349</v>
      </c>
      <c r="E522">
        <v>3</v>
      </c>
      <c r="F522" t="s">
        <v>61</v>
      </c>
      <c r="G522" s="2">
        <v>43307</v>
      </c>
      <c r="H522" t="s">
        <v>200</v>
      </c>
      <c r="AB522">
        <v>84.050367359999996</v>
      </c>
    </row>
    <row r="523" spans="1:28" x14ac:dyDescent="0.25">
      <c r="A523">
        <v>523</v>
      </c>
      <c r="B523" t="s">
        <v>1334</v>
      </c>
      <c r="C523" t="s">
        <v>907</v>
      </c>
      <c r="D523" t="s">
        <v>349</v>
      </c>
      <c r="E523">
        <v>4</v>
      </c>
      <c r="F523" t="s">
        <v>61</v>
      </c>
      <c r="G523" s="2">
        <v>43307</v>
      </c>
      <c r="H523" t="s">
        <v>200</v>
      </c>
      <c r="AB523">
        <v>73.510930619999996</v>
      </c>
    </row>
    <row r="524" spans="1:28" x14ac:dyDescent="0.25">
      <c r="A524">
        <v>524</v>
      </c>
      <c r="B524" t="s">
        <v>1335</v>
      </c>
      <c r="C524" t="s">
        <v>906</v>
      </c>
      <c r="D524" t="s">
        <v>349</v>
      </c>
      <c r="E524">
        <v>5</v>
      </c>
      <c r="F524" t="s">
        <v>61</v>
      </c>
      <c r="G524" s="2">
        <v>43307</v>
      </c>
      <c r="H524" t="s">
        <v>200</v>
      </c>
      <c r="AB524">
        <v>71.840527530000003</v>
      </c>
    </row>
    <row r="525" spans="1:28" x14ac:dyDescent="0.25">
      <c r="A525">
        <v>525</v>
      </c>
      <c r="B525" t="s">
        <v>1336</v>
      </c>
      <c r="C525" t="s">
        <v>604</v>
      </c>
      <c r="D525" t="s">
        <v>605</v>
      </c>
      <c r="E525">
        <v>1</v>
      </c>
      <c r="F525" t="s">
        <v>1337</v>
      </c>
      <c r="G525" s="2">
        <v>43308</v>
      </c>
      <c r="H525" t="s">
        <v>200</v>
      </c>
      <c r="AB525">
        <v>61.138835569999998</v>
      </c>
    </row>
    <row r="526" spans="1:28" x14ac:dyDescent="0.25">
      <c r="A526">
        <v>526</v>
      </c>
      <c r="B526" t="s">
        <v>1338</v>
      </c>
      <c r="C526" t="s">
        <v>751</v>
      </c>
      <c r="D526" t="s">
        <v>605</v>
      </c>
      <c r="E526">
        <v>2</v>
      </c>
      <c r="F526" t="s">
        <v>1337</v>
      </c>
      <c r="G526" s="2">
        <v>43308</v>
      </c>
      <c r="H526" t="s">
        <v>200</v>
      </c>
      <c r="AB526">
        <v>63.806546439999998</v>
      </c>
    </row>
    <row r="527" spans="1:28" x14ac:dyDescent="0.25">
      <c r="A527">
        <v>527</v>
      </c>
      <c r="B527" t="s">
        <v>1339</v>
      </c>
      <c r="C527" t="s">
        <v>738</v>
      </c>
      <c r="D527" t="s">
        <v>605</v>
      </c>
      <c r="E527">
        <v>3</v>
      </c>
      <c r="F527" t="s">
        <v>1337</v>
      </c>
      <c r="G527" s="2">
        <v>43308</v>
      </c>
      <c r="H527" t="s">
        <v>200</v>
      </c>
      <c r="AB527">
        <v>61.540577839999997</v>
      </c>
    </row>
    <row r="528" spans="1:28" x14ac:dyDescent="0.25">
      <c r="A528">
        <v>528</v>
      </c>
      <c r="B528" t="s">
        <v>1340</v>
      </c>
      <c r="C528" t="s">
        <v>768</v>
      </c>
      <c r="D528" t="s">
        <v>605</v>
      </c>
      <c r="E528">
        <v>4</v>
      </c>
      <c r="F528" t="s">
        <v>1337</v>
      </c>
      <c r="G528" s="2">
        <v>43308</v>
      </c>
      <c r="H528" t="s">
        <v>200</v>
      </c>
      <c r="AB528">
        <v>72.760878520000006</v>
      </c>
    </row>
    <row r="529" spans="1:28" x14ac:dyDescent="0.25">
      <c r="A529">
        <v>529</v>
      </c>
      <c r="B529" t="s">
        <v>1341</v>
      </c>
      <c r="C529" t="s">
        <v>760</v>
      </c>
      <c r="D529" t="s">
        <v>605</v>
      </c>
      <c r="E529">
        <v>5</v>
      </c>
      <c r="F529" t="s">
        <v>1337</v>
      </c>
      <c r="G529" s="2">
        <v>43308</v>
      </c>
      <c r="H529" t="s">
        <v>200</v>
      </c>
      <c r="AB529">
        <v>61.55974415</v>
      </c>
    </row>
    <row r="530" spans="1:28" x14ac:dyDescent="0.25">
      <c r="A530">
        <v>530</v>
      </c>
      <c r="B530" t="s">
        <v>1342</v>
      </c>
      <c r="C530" t="s">
        <v>20</v>
      </c>
      <c r="D530" t="s">
        <v>348</v>
      </c>
      <c r="E530">
        <v>1</v>
      </c>
      <c r="F530" t="s">
        <v>371</v>
      </c>
      <c r="G530" s="2">
        <v>43288</v>
      </c>
      <c r="H530" t="s">
        <v>200</v>
      </c>
      <c r="AB530">
        <v>105.8942629</v>
      </c>
    </row>
    <row r="531" spans="1:28" x14ac:dyDescent="0.25">
      <c r="A531">
        <v>531</v>
      </c>
      <c r="B531" t="s">
        <v>1343</v>
      </c>
      <c r="C531" t="s">
        <v>130</v>
      </c>
      <c r="D531" t="s">
        <v>348</v>
      </c>
      <c r="E531">
        <v>2</v>
      </c>
      <c r="F531" t="s">
        <v>371</v>
      </c>
      <c r="G531" s="2">
        <v>43288</v>
      </c>
      <c r="H531" t="s">
        <v>200</v>
      </c>
      <c r="AB531">
        <v>91.207053720000005</v>
      </c>
    </row>
    <row r="532" spans="1:28" x14ac:dyDescent="0.25">
      <c r="A532">
        <v>532</v>
      </c>
      <c r="B532" t="s">
        <v>1344</v>
      </c>
      <c r="C532" t="s">
        <v>1011</v>
      </c>
      <c r="D532" t="s">
        <v>348</v>
      </c>
      <c r="E532">
        <v>3</v>
      </c>
      <c r="F532" t="s">
        <v>371</v>
      </c>
      <c r="G532" s="2">
        <v>43288</v>
      </c>
      <c r="H532" t="s">
        <v>200</v>
      </c>
      <c r="AB532">
        <v>91.391158390000001</v>
      </c>
    </row>
    <row r="533" spans="1:28" x14ac:dyDescent="0.25">
      <c r="A533">
        <v>533</v>
      </c>
      <c r="B533" t="s">
        <v>1345</v>
      </c>
      <c r="C533" t="s">
        <v>1003</v>
      </c>
      <c r="D533" t="s">
        <v>348</v>
      </c>
      <c r="E533">
        <v>4</v>
      </c>
      <c r="F533" t="s">
        <v>371</v>
      </c>
      <c r="G533" s="2">
        <v>43288</v>
      </c>
      <c r="H533" t="s">
        <v>200</v>
      </c>
      <c r="AB533">
        <v>104.62952749999999</v>
      </c>
    </row>
    <row r="534" spans="1:28" x14ac:dyDescent="0.25">
      <c r="A534">
        <v>534</v>
      </c>
      <c r="B534" t="s">
        <v>1346</v>
      </c>
      <c r="C534" t="s">
        <v>1006</v>
      </c>
      <c r="D534" t="s">
        <v>348</v>
      </c>
      <c r="E534">
        <v>5</v>
      </c>
      <c r="F534" t="s">
        <v>371</v>
      </c>
      <c r="G534" s="2">
        <v>43288</v>
      </c>
      <c r="H534" t="s">
        <v>200</v>
      </c>
      <c r="AB534">
        <v>97.461498689999999</v>
      </c>
    </row>
    <row r="535" spans="1:28" x14ac:dyDescent="0.25">
      <c r="A535">
        <v>535</v>
      </c>
      <c r="B535" t="s">
        <v>1347</v>
      </c>
      <c r="C535" t="s">
        <v>152</v>
      </c>
      <c r="D535" t="s">
        <v>341</v>
      </c>
      <c r="E535">
        <v>1</v>
      </c>
      <c r="F535" t="s">
        <v>1348</v>
      </c>
      <c r="G535" s="2">
        <v>43244</v>
      </c>
      <c r="H535" t="s">
        <v>200</v>
      </c>
      <c r="AB535" t="s">
        <v>141</v>
      </c>
    </row>
    <row r="536" spans="1:28" x14ac:dyDescent="0.25">
      <c r="A536">
        <v>536</v>
      </c>
      <c r="B536" t="s">
        <v>1349</v>
      </c>
      <c r="C536" t="s">
        <v>1350</v>
      </c>
      <c r="D536" t="s">
        <v>341</v>
      </c>
      <c r="E536">
        <v>10</v>
      </c>
      <c r="F536" t="s">
        <v>1348</v>
      </c>
      <c r="G536" s="2">
        <v>43251</v>
      </c>
      <c r="H536" t="s">
        <v>200</v>
      </c>
      <c r="AB536">
        <v>64.626882199999997</v>
      </c>
    </row>
    <row r="537" spans="1:28" x14ac:dyDescent="0.25">
      <c r="A537">
        <v>537</v>
      </c>
      <c r="B537" t="s">
        <v>1351</v>
      </c>
      <c r="C537" t="s">
        <v>1352</v>
      </c>
      <c r="D537" t="s">
        <v>341</v>
      </c>
      <c r="E537">
        <v>11</v>
      </c>
      <c r="F537" t="s">
        <v>1348</v>
      </c>
      <c r="G537" s="2">
        <v>43251</v>
      </c>
      <c r="H537" t="s">
        <v>200</v>
      </c>
      <c r="AB537">
        <v>60.809491870000002</v>
      </c>
    </row>
    <row r="538" spans="1:28" x14ac:dyDescent="0.25">
      <c r="A538">
        <v>538</v>
      </c>
      <c r="B538" t="s">
        <v>1353</v>
      </c>
      <c r="C538" t="s">
        <v>1354</v>
      </c>
      <c r="D538" t="s">
        <v>341</v>
      </c>
      <c r="E538">
        <v>12</v>
      </c>
      <c r="F538" t="s">
        <v>1348</v>
      </c>
      <c r="G538" s="2">
        <v>43251</v>
      </c>
      <c r="H538" t="s">
        <v>200</v>
      </c>
      <c r="AB538">
        <v>65.402019289999998</v>
      </c>
    </row>
    <row r="539" spans="1:28" x14ac:dyDescent="0.25">
      <c r="A539">
        <v>539</v>
      </c>
      <c r="B539" t="s">
        <v>1355</v>
      </c>
      <c r="C539" t="s">
        <v>1356</v>
      </c>
      <c r="D539" t="s">
        <v>341</v>
      </c>
      <c r="E539">
        <v>13</v>
      </c>
      <c r="F539" t="s">
        <v>1348</v>
      </c>
      <c r="G539" s="2">
        <v>43251</v>
      </c>
      <c r="H539" t="s">
        <v>200</v>
      </c>
      <c r="AB539">
        <v>67.05715644</v>
      </c>
    </row>
    <row r="540" spans="1:28" x14ac:dyDescent="0.25">
      <c r="A540">
        <v>540</v>
      </c>
      <c r="B540" t="s">
        <v>1357</v>
      </c>
      <c r="C540" t="s">
        <v>1358</v>
      </c>
      <c r="D540" t="s">
        <v>341</v>
      </c>
      <c r="E540">
        <v>14</v>
      </c>
      <c r="F540" t="s">
        <v>1348</v>
      </c>
      <c r="G540" s="2">
        <v>43251</v>
      </c>
      <c r="H540" t="s">
        <v>200</v>
      </c>
      <c r="AB540">
        <v>62.100430690000003</v>
      </c>
    </row>
    <row r="541" spans="1:28" x14ac:dyDescent="0.25">
      <c r="A541">
        <v>541</v>
      </c>
      <c r="B541" t="s">
        <v>1359</v>
      </c>
      <c r="C541" t="s">
        <v>1360</v>
      </c>
      <c r="D541" t="s">
        <v>341</v>
      </c>
      <c r="E541">
        <v>15</v>
      </c>
      <c r="F541" t="s">
        <v>1348</v>
      </c>
      <c r="G541" s="2">
        <v>43270</v>
      </c>
      <c r="H541" t="s">
        <v>200</v>
      </c>
      <c r="AB541" t="s">
        <v>141</v>
      </c>
    </row>
    <row r="542" spans="1:28" x14ac:dyDescent="0.25">
      <c r="A542">
        <v>542</v>
      </c>
      <c r="B542" t="s">
        <v>1361</v>
      </c>
      <c r="C542" t="s">
        <v>1240</v>
      </c>
      <c r="D542" t="s">
        <v>341</v>
      </c>
      <c r="E542">
        <v>2</v>
      </c>
      <c r="F542" t="s">
        <v>1348</v>
      </c>
      <c r="G542" s="2">
        <v>43248</v>
      </c>
      <c r="H542" t="s">
        <v>200</v>
      </c>
      <c r="AB542">
        <v>59.80906821</v>
      </c>
    </row>
    <row r="543" spans="1:28" x14ac:dyDescent="0.25">
      <c r="A543">
        <v>543</v>
      </c>
      <c r="B543" t="s">
        <v>1362</v>
      </c>
      <c r="C543" t="s">
        <v>629</v>
      </c>
      <c r="D543" t="s">
        <v>341</v>
      </c>
      <c r="E543">
        <v>3</v>
      </c>
      <c r="F543" t="s">
        <v>1348</v>
      </c>
      <c r="G543" s="2">
        <v>43249</v>
      </c>
      <c r="H543" t="s">
        <v>200</v>
      </c>
      <c r="AB543">
        <v>60.381317260000003</v>
      </c>
    </row>
    <row r="544" spans="1:28" x14ac:dyDescent="0.25">
      <c r="A544">
        <v>544</v>
      </c>
      <c r="B544" t="s">
        <v>1363</v>
      </c>
      <c r="C544" t="s">
        <v>628</v>
      </c>
      <c r="D544" t="s">
        <v>341</v>
      </c>
      <c r="E544">
        <v>4</v>
      </c>
      <c r="F544" t="s">
        <v>1348</v>
      </c>
      <c r="G544" s="2">
        <v>43249</v>
      </c>
      <c r="H544" t="s">
        <v>200</v>
      </c>
      <c r="AB544">
        <v>65.781948779999993</v>
      </c>
    </row>
    <row r="545" spans="1:28" x14ac:dyDescent="0.25">
      <c r="A545">
        <v>545</v>
      </c>
      <c r="B545" t="s">
        <v>1364</v>
      </c>
      <c r="C545" t="s">
        <v>473</v>
      </c>
      <c r="D545" t="s">
        <v>341</v>
      </c>
      <c r="E545">
        <v>5</v>
      </c>
      <c r="F545" t="s">
        <v>1348</v>
      </c>
      <c r="G545" s="2">
        <v>43249</v>
      </c>
      <c r="H545" t="s">
        <v>200</v>
      </c>
      <c r="AB545">
        <v>63.832273000000001</v>
      </c>
    </row>
    <row r="546" spans="1:28" x14ac:dyDescent="0.25">
      <c r="A546">
        <v>546</v>
      </c>
      <c r="B546" t="s">
        <v>1365</v>
      </c>
      <c r="C546" t="s">
        <v>1265</v>
      </c>
      <c r="D546" t="s">
        <v>341</v>
      </c>
      <c r="E546">
        <v>6</v>
      </c>
      <c r="F546" t="s">
        <v>1348</v>
      </c>
      <c r="G546" s="2">
        <v>43249</v>
      </c>
      <c r="H546" t="s">
        <v>200</v>
      </c>
      <c r="AB546">
        <v>67.089608299999995</v>
      </c>
    </row>
    <row r="547" spans="1:28" x14ac:dyDescent="0.25">
      <c r="A547">
        <v>547</v>
      </c>
      <c r="B547" t="s">
        <v>1366</v>
      </c>
      <c r="C547" t="s">
        <v>1367</v>
      </c>
      <c r="D547" t="s">
        <v>341</v>
      </c>
      <c r="E547">
        <v>7</v>
      </c>
      <c r="F547" t="s">
        <v>1348</v>
      </c>
      <c r="G547" s="2">
        <v>43249</v>
      </c>
      <c r="H547" t="s">
        <v>200</v>
      </c>
      <c r="AB547">
        <v>63.205805419999997</v>
      </c>
    </row>
    <row r="548" spans="1:28" x14ac:dyDescent="0.25">
      <c r="A548">
        <v>548</v>
      </c>
      <c r="B548" t="s">
        <v>1368</v>
      </c>
      <c r="C548" t="s">
        <v>1369</v>
      </c>
      <c r="D548" t="s">
        <v>341</v>
      </c>
      <c r="E548">
        <v>8</v>
      </c>
      <c r="F548" t="s">
        <v>1348</v>
      </c>
      <c r="G548" s="2">
        <v>43251</v>
      </c>
      <c r="H548" t="s">
        <v>200</v>
      </c>
      <c r="AB548">
        <v>64.251502840000001</v>
      </c>
    </row>
    <row r="549" spans="1:28" x14ac:dyDescent="0.25">
      <c r="A549">
        <v>549</v>
      </c>
      <c r="B549" t="s">
        <v>1370</v>
      </c>
      <c r="C549" t="s">
        <v>1371</v>
      </c>
      <c r="D549" t="s">
        <v>341</v>
      </c>
      <c r="E549">
        <v>9</v>
      </c>
      <c r="F549" t="s">
        <v>1348</v>
      </c>
      <c r="G549" s="2">
        <v>43251</v>
      </c>
      <c r="H549" t="s">
        <v>200</v>
      </c>
      <c r="AB549">
        <v>62.993812779999999</v>
      </c>
    </row>
    <row r="550" spans="1:28" x14ac:dyDescent="0.25">
      <c r="A550">
        <v>550</v>
      </c>
      <c r="B550" t="s">
        <v>1372</v>
      </c>
      <c r="C550" t="s">
        <v>515</v>
      </c>
      <c r="D550" t="s">
        <v>516</v>
      </c>
      <c r="E550">
        <v>1</v>
      </c>
      <c r="F550" t="s">
        <v>1373</v>
      </c>
      <c r="G550" s="2">
        <v>43248</v>
      </c>
      <c r="H550" t="s">
        <v>200</v>
      </c>
      <c r="AB550">
        <v>121.1072432</v>
      </c>
    </row>
    <row r="551" spans="1:28" x14ac:dyDescent="0.25">
      <c r="A551">
        <v>551</v>
      </c>
      <c r="B551" t="s">
        <v>1374</v>
      </c>
      <c r="C551" t="s">
        <v>41</v>
      </c>
      <c r="D551" t="s">
        <v>360</v>
      </c>
      <c r="E551">
        <v>1</v>
      </c>
      <c r="F551" t="s">
        <v>228</v>
      </c>
      <c r="G551" s="2">
        <v>43267</v>
      </c>
      <c r="H551" t="s">
        <v>200</v>
      </c>
      <c r="AB551" t="s">
        <v>141</v>
      </c>
    </row>
    <row r="552" spans="1:28" x14ac:dyDescent="0.25">
      <c r="A552">
        <v>552</v>
      </c>
      <c r="B552" t="s">
        <v>1375</v>
      </c>
      <c r="C552" t="s">
        <v>1376</v>
      </c>
      <c r="D552" t="s">
        <v>360</v>
      </c>
      <c r="E552">
        <v>10</v>
      </c>
      <c r="F552" t="s">
        <v>228</v>
      </c>
      <c r="G552" s="2">
        <v>43268</v>
      </c>
      <c r="H552" t="s">
        <v>200</v>
      </c>
      <c r="AB552">
        <v>83.490402660000001</v>
      </c>
    </row>
    <row r="553" spans="1:28" x14ac:dyDescent="0.25">
      <c r="A553">
        <v>553</v>
      </c>
      <c r="B553" t="s">
        <v>1377</v>
      </c>
      <c r="C553" t="s">
        <v>1241</v>
      </c>
      <c r="D553" t="s">
        <v>360</v>
      </c>
      <c r="E553">
        <v>2</v>
      </c>
      <c r="F553" t="s">
        <v>228</v>
      </c>
      <c r="G553" s="2">
        <v>43267</v>
      </c>
      <c r="H553" t="s">
        <v>200</v>
      </c>
      <c r="AB553" t="s">
        <v>141</v>
      </c>
    </row>
    <row r="554" spans="1:28" x14ac:dyDescent="0.25">
      <c r="A554">
        <v>554</v>
      </c>
      <c r="B554" t="s">
        <v>1378</v>
      </c>
      <c r="C554" t="s">
        <v>1242</v>
      </c>
      <c r="D554" t="s">
        <v>360</v>
      </c>
      <c r="E554">
        <v>3</v>
      </c>
      <c r="F554" t="s">
        <v>228</v>
      </c>
      <c r="G554" s="2">
        <v>43267</v>
      </c>
      <c r="H554" t="s">
        <v>200</v>
      </c>
      <c r="AB554" t="s">
        <v>141</v>
      </c>
    </row>
    <row r="555" spans="1:28" x14ac:dyDescent="0.25">
      <c r="A555">
        <v>555</v>
      </c>
      <c r="B555" t="s">
        <v>1379</v>
      </c>
      <c r="C555" t="s">
        <v>1243</v>
      </c>
      <c r="D555" t="s">
        <v>360</v>
      </c>
      <c r="E555">
        <v>4</v>
      </c>
      <c r="F555" t="s">
        <v>228</v>
      </c>
      <c r="G555" s="2">
        <v>43267</v>
      </c>
      <c r="H555" t="s">
        <v>200</v>
      </c>
      <c r="AB555" t="s">
        <v>141</v>
      </c>
    </row>
    <row r="556" spans="1:28" x14ac:dyDescent="0.25">
      <c r="A556">
        <v>556</v>
      </c>
      <c r="B556" t="s">
        <v>1380</v>
      </c>
      <c r="C556" t="s">
        <v>303</v>
      </c>
      <c r="D556" t="s">
        <v>360</v>
      </c>
      <c r="E556">
        <v>5</v>
      </c>
      <c r="F556" t="s">
        <v>228</v>
      </c>
      <c r="G556" s="2">
        <v>43268</v>
      </c>
      <c r="H556" t="s">
        <v>200</v>
      </c>
      <c r="AB556">
        <v>64.457967460000006</v>
      </c>
    </row>
    <row r="557" spans="1:28" x14ac:dyDescent="0.25">
      <c r="A557">
        <v>557</v>
      </c>
      <c r="B557" t="s">
        <v>1381</v>
      </c>
      <c r="C557" t="s">
        <v>1382</v>
      </c>
      <c r="D557" t="s">
        <v>360</v>
      </c>
      <c r="E557">
        <v>6</v>
      </c>
      <c r="F557" t="s">
        <v>228</v>
      </c>
      <c r="G557" s="2">
        <v>43268</v>
      </c>
      <c r="H557" t="s">
        <v>200</v>
      </c>
      <c r="AB557">
        <v>60.004295880000001</v>
      </c>
    </row>
    <row r="558" spans="1:28" x14ac:dyDescent="0.25">
      <c r="A558">
        <v>558</v>
      </c>
      <c r="B558" t="s">
        <v>1383</v>
      </c>
      <c r="C558" t="s">
        <v>1384</v>
      </c>
      <c r="D558" t="s">
        <v>360</v>
      </c>
      <c r="E558">
        <v>7</v>
      </c>
      <c r="F558" t="s">
        <v>228</v>
      </c>
      <c r="G558" s="2">
        <v>43268</v>
      </c>
      <c r="H558" t="s">
        <v>200</v>
      </c>
      <c r="AB558">
        <v>72.966462329999999</v>
      </c>
    </row>
    <row r="559" spans="1:28" x14ac:dyDescent="0.25">
      <c r="A559">
        <v>559</v>
      </c>
      <c r="B559" t="s">
        <v>1385</v>
      </c>
      <c r="C559" t="s">
        <v>1386</v>
      </c>
      <c r="D559" t="s">
        <v>360</v>
      </c>
      <c r="E559">
        <v>8</v>
      </c>
      <c r="F559" t="s">
        <v>228</v>
      </c>
      <c r="G559" s="2">
        <v>43268</v>
      </c>
      <c r="H559" t="s">
        <v>200</v>
      </c>
      <c r="AB559">
        <v>70.132880830000005</v>
      </c>
    </row>
    <row r="560" spans="1:28" x14ac:dyDescent="0.25">
      <c r="A560">
        <v>560</v>
      </c>
      <c r="B560" t="s">
        <v>1387</v>
      </c>
      <c r="C560" t="s">
        <v>1388</v>
      </c>
      <c r="D560" t="s">
        <v>360</v>
      </c>
      <c r="E560">
        <v>9</v>
      </c>
      <c r="F560" t="s">
        <v>228</v>
      </c>
      <c r="G560" s="2">
        <v>43268</v>
      </c>
      <c r="H560" t="s">
        <v>200</v>
      </c>
      <c r="AB560">
        <v>88.10703384</v>
      </c>
    </row>
    <row r="561" spans="1:28" x14ac:dyDescent="0.25">
      <c r="A561">
        <v>561</v>
      </c>
      <c r="B561" t="s">
        <v>1389</v>
      </c>
      <c r="C561" t="s">
        <v>30</v>
      </c>
      <c r="D561" t="s">
        <v>355</v>
      </c>
      <c r="E561">
        <v>1</v>
      </c>
      <c r="F561" t="s">
        <v>381</v>
      </c>
      <c r="G561" s="2">
        <v>43253</v>
      </c>
      <c r="H561" t="s">
        <v>200</v>
      </c>
      <c r="AB561">
        <v>84.127323079999996</v>
      </c>
    </row>
    <row r="562" spans="1:28" x14ac:dyDescent="0.25">
      <c r="A562">
        <v>562</v>
      </c>
      <c r="B562" t="s">
        <v>1390</v>
      </c>
      <c r="C562" t="s">
        <v>1391</v>
      </c>
      <c r="D562" t="s">
        <v>355</v>
      </c>
      <c r="E562">
        <v>10</v>
      </c>
      <c r="F562" t="s">
        <v>381</v>
      </c>
      <c r="G562" s="2">
        <v>43268</v>
      </c>
      <c r="H562" t="s">
        <v>200</v>
      </c>
      <c r="AB562" t="s">
        <v>141</v>
      </c>
    </row>
    <row r="563" spans="1:28" x14ac:dyDescent="0.25">
      <c r="A563">
        <v>563</v>
      </c>
      <c r="B563" t="s">
        <v>1392</v>
      </c>
      <c r="C563" t="s">
        <v>89</v>
      </c>
      <c r="D563" t="s">
        <v>355</v>
      </c>
      <c r="E563">
        <v>2</v>
      </c>
      <c r="F563" t="s">
        <v>381</v>
      </c>
      <c r="G563" s="2">
        <v>43253</v>
      </c>
      <c r="H563" t="s">
        <v>200</v>
      </c>
      <c r="AB563">
        <v>82.463463379999993</v>
      </c>
    </row>
    <row r="564" spans="1:28" x14ac:dyDescent="0.25">
      <c r="A564">
        <v>564</v>
      </c>
      <c r="B564" t="s">
        <v>1393</v>
      </c>
      <c r="C564" t="s">
        <v>75</v>
      </c>
      <c r="D564" t="s">
        <v>355</v>
      </c>
      <c r="E564">
        <v>3</v>
      </c>
      <c r="F564" t="s">
        <v>381</v>
      </c>
      <c r="G564" s="2">
        <v>43253</v>
      </c>
      <c r="H564" t="s">
        <v>200</v>
      </c>
      <c r="AB564">
        <v>69.710702170000005</v>
      </c>
    </row>
    <row r="565" spans="1:28" x14ac:dyDescent="0.25">
      <c r="A565">
        <v>565</v>
      </c>
      <c r="B565" t="s">
        <v>1394</v>
      </c>
      <c r="C565" t="s">
        <v>85</v>
      </c>
      <c r="D565" t="s">
        <v>355</v>
      </c>
      <c r="E565">
        <v>4</v>
      </c>
      <c r="F565" t="s">
        <v>381</v>
      </c>
      <c r="G565" s="2">
        <v>43253</v>
      </c>
      <c r="H565" t="s">
        <v>200</v>
      </c>
      <c r="AB565">
        <v>77.874354019999998</v>
      </c>
    </row>
    <row r="566" spans="1:28" x14ac:dyDescent="0.25">
      <c r="A566">
        <v>566</v>
      </c>
      <c r="B566" t="s">
        <v>1395</v>
      </c>
      <c r="C566" t="s">
        <v>1244</v>
      </c>
      <c r="D566" t="s">
        <v>355</v>
      </c>
      <c r="E566">
        <v>5</v>
      </c>
      <c r="F566" t="s">
        <v>381</v>
      </c>
      <c r="G566" s="2">
        <v>43253</v>
      </c>
      <c r="H566" t="s">
        <v>200</v>
      </c>
      <c r="AB566">
        <v>81.707550659999995</v>
      </c>
    </row>
    <row r="567" spans="1:28" x14ac:dyDescent="0.25">
      <c r="A567">
        <v>567</v>
      </c>
      <c r="B567" t="s">
        <v>1396</v>
      </c>
      <c r="C567" t="s">
        <v>1397</v>
      </c>
      <c r="D567" t="s">
        <v>355</v>
      </c>
      <c r="E567">
        <v>6</v>
      </c>
      <c r="F567" t="s">
        <v>381</v>
      </c>
      <c r="G567" s="2">
        <v>43269</v>
      </c>
      <c r="H567" t="s">
        <v>200</v>
      </c>
      <c r="AB567" t="s">
        <v>141</v>
      </c>
    </row>
    <row r="568" spans="1:28" x14ac:dyDescent="0.25">
      <c r="A568">
        <v>568</v>
      </c>
      <c r="B568" t="s">
        <v>1398</v>
      </c>
      <c r="C568" t="s">
        <v>1399</v>
      </c>
      <c r="D568" t="s">
        <v>355</v>
      </c>
      <c r="E568">
        <v>7</v>
      </c>
      <c r="F568" t="s">
        <v>381</v>
      </c>
      <c r="G568" s="2">
        <v>43269</v>
      </c>
      <c r="H568" t="s">
        <v>200</v>
      </c>
      <c r="AB568" t="s">
        <v>141</v>
      </c>
    </row>
    <row r="569" spans="1:28" x14ac:dyDescent="0.25">
      <c r="A569">
        <v>569</v>
      </c>
      <c r="B569" t="s">
        <v>1400</v>
      </c>
      <c r="C569" t="s">
        <v>1401</v>
      </c>
      <c r="D569" t="s">
        <v>355</v>
      </c>
      <c r="E569">
        <v>8</v>
      </c>
      <c r="F569" t="s">
        <v>381</v>
      </c>
      <c r="G569" s="2">
        <v>43267</v>
      </c>
      <c r="H569" t="s">
        <v>200</v>
      </c>
      <c r="AB569" t="s">
        <v>141</v>
      </c>
    </row>
    <row r="570" spans="1:28" x14ac:dyDescent="0.25">
      <c r="A570">
        <v>570</v>
      </c>
      <c r="B570" t="s">
        <v>1402</v>
      </c>
      <c r="C570" t="s">
        <v>1403</v>
      </c>
      <c r="D570" t="s">
        <v>355</v>
      </c>
      <c r="E570">
        <v>9</v>
      </c>
      <c r="F570" t="s">
        <v>381</v>
      </c>
      <c r="G570" s="2">
        <v>43276</v>
      </c>
      <c r="H570" t="s">
        <v>200</v>
      </c>
      <c r="AB570" t="s">
        <v>141</v>
      </c>
    </row>
    <row r="571" spans="1:28" x14ac:dyDescent="0.25">
      <c r="A571">
        <v>571</v>
      </c>
      <c r="B571" t="s">
        <v>1404</v>
      </c>
      <c r="C571" t="s">
        <v>6</v>
      </c>
      <c r="D571" t="s">
        <v>377</v>
      </c>
      <c r="E571">
        <v>1</v>
      </c>
      <c r="F571" t="s">
        <v>331</v>
      </c>
      <c r="G571" s="2">
        <v>43287</v>
      </c>
      <c r="H571" t="s">
        <v>200</v>
      </c>
      <c r="AB571">
        <v>84.179598189999993</v>
      </c>
    </row>
    <row r="572" spans="1:28" x14ac:dyDescent="0.25">
      <c r="A572">
        <v>572</v>
      </c>
      <c r="B572" t="s">
        <v>1405</v>
      </c>
      <c r="C572" t="s">
        <v>607</v>
      </c>
      <c r="D572" t="s">
        <v>377</v>
      </c>
      <c r="E572">
        <v>2</v>
      </c>
      <c r="F572" t="s">
        <v>331</v>
      </c>
      <c r="G572" s="2">
        <v>43287</v>
      </c>
      <c r="H572" t="s">
        <v>200</v>
      </c>
      <c r="AB572">
        <v>95.528734720000003</v>
      </c>
    </row>
    <row r="573" spans="1:28" x14ac:dyDescent="0.25">
      <c r="A573">
        <v>573</v>
      </c>
      <c r="B573" t="s">
        <v>1406</v>
      </c>
      <c r="C573" t="s">
        <v>621</v>
      </c>
      <c r="D573" t="s">
        <v>377</v>
      </c>
      <c r="E573">
        <v>3</v>
      </c>
      <c r="F573" t="s">
        <v>331</v>
      </c>
      <c r="G573" s="2">
        <v>43287</v>
      </c>
      <c r="H573" t="s">
        <v>200</v>
      </c>
      <c r="AB573">
        <v>83.901337789999999</v>
      </c>
    </row>
    <row r="574" spans="1:28" x14ac:dyDescent="0.25">
      <c r="A574">
        <v>574</v>
      </c>
      <c r="B574" t="s">
        <v>1407</v>
      </c>
      <c r="C574" t="s">
        <v>619</v>
      </c>
      <c r="D574" t="s">
        <v>377</v>
      </c>
      <c r="E574">
        <v>4</v>
      </c>
      <c r="F574" t="s">
        <v>331</v>
      </c>
      <c r="G574" s="2">
        <v>43287</v>
      </c>
      <c r="H574" t="s">
        <v>200</v>
      </c>
      <c r="AB574">
        <v>97.330332100000007</v>
      </c>
    </row>
    <row r="575" spans="1:28" x14ac:dyDescent="0.25">
      <c r="A575">
        <v>575</v>
      </c>
      <c r="B575" t="s">
        <v>1408</v>
      </c>
      <c r="C575" t="s">
        <v>759</v>
      </c>
      <c r="D575" t="s">
        <v>377</v>
      </c>
      <c r="E575">
        <v>5</v>
      </c>
      <c r="F575" t="s">
        <v>331</v>
      </c>
      <c r="G575" s="2">
        <v>43287</v>
      </c>
      <c r="H575" t="s">
        <v>200</v>
      </c>
      <c r="AB575">
        <v>94.874300289999994</v>
      </c>
    </row>
    <row r="576" spans="1:28" x14ac:dyDescent="0.25">
      <c r="A576">
        <v>576</v>
      </c>
      <c r="B576" t="s">
        <v>1409</v>
      </c>
      <c r="C576" t="s">
        <v>115</v>
      </c>
      <c r="D576" t="s">
        <v>375</v>
      </c>
      <c r="E576">
        <v>1</v>
      </c>
      <c r="F576" t="s">
        <v>278</v>
      </c>
      <c r="G576" s="2">
        <v>43270</v>
      </c>
      <c r="H576" t="s">
        <v>200</v>
      </c>
      <c r="AB576">
        <v>72.015074279999993</v>
      </c>
    </row>
    <row r="577" spans="1:28" x14ac:dyDescent="0.25">
      <c r="A577">
        <v>577</v>
      </c>
      <c r="B577" t="s">
        <v>1410</v>
      </c>
      <c r="C577" t="s">
        <v>90</v>
      </c>
      <c r="D577" t="s">
        <v>375</v>
      </c>
      <c r="E577">
        <v>2</v>
      </c>
      <c r="F577" t="s">
        <v>278</v>
      </c>
      <c r="G577" s="2">
        <v>43286</v>
      </c>
      <c r="H577" t="s">
        <v>200</v>
      </c>
      <c r="AB577">
        <v>80.166299969999997</v>
      </c>
    </row>
    <row r="578" spans="1:28" x14ac:dyDescent="0.25">
      <c r="A578">
        <v>578</v>
      </c>
      <c r="B578" t="s">
        <v>1411</v>
      </c>
      <c r="C578" t="s">
        <v>1245</v>
      </c>
      <c r="D578" t="s">
        <v>375</v>
      </c>
      <c r="E578">
        <v>3</v>
      </c>
      <c r="F578" t="s">
        <v>278</v>
      </c>
      <c r="G578" s="2">
        <v>43288</v>
      </c>
      <c r="H578" t="s">
        <v>200</v>
      </c>
      <c r="AB578">
        <v>83.987483870000005</v>
      </c>
    </row>
    <row r="579" spans="1:28" x14ac:dyDescent="0.25">
      <c r="A579">
        <v>579</v>
      </c>
      <c r="B579" t="s">
        <v>1412</v>
      </c>
      <c r="C579" t="s">
        <v>539</v>
      </c>
      <c r="D579" t="s">
        <v>375</v>
      </c>
      <c r="E579">
        <v>4</v>
      </c>
      <c r="F579" t="s">
        <v>278</v>
      </c>
      <c r="G579" s="2">
        <v>43295</v>
      </c>
      <c r="H579" t="s">
        <v>200</v>
      </c>
      <c r="AB579">
        <v>69.989634550000005</v>
      </c>
    </row>
    <row r="580" spans="1:28" x14ac:dyDescent="0.25">
      <c r="A580">
        <v>580</v>
      </c>
      <c r="B580" t="s">
        <v>1413</v>
      </c>
      <c r="C580" t="s">
        <v>532</v>
      </c>
      <c r="D580" t="s">
        <v>375</v>
      </c>
      <c r="E580">
        <v>5</v>
      </c>
      <c r="F580" t="s">
        <v>278</v>
      </c>
      <c r="G580" s="2">
        <v>43295</v>
      </c>
      <c r="H580" t="s">
        <v>200</v>
      </c>
      <c r="AB580">
        <v>81.746497950000006</v>
      </c>
    </row>
    <row r="581" spans="1:28" x14ac:dyDescent="0.25">
      <c r="A581">
        <v>581</v>
      </c>
      <c r="B581" t="s">
        <v>1414</v>
      </c>
      <c r="C581" t="s">
        <v>25</v>
      </c>
      <c r="D581" t="s">
        <v>352</v>
      </c>
      <c r="E581">
        <v>1</v>
      </c>
      <c r="F581" t="s">
        <v>332</v>
      </c>
      <c r="G581" s="2">
        <v>43293</v>
      </c>
      <c r="H581" t="s">
        <v>200</v>
      </c>
      <c r="AB581">
        <v>53.599187729999997</v>
      </c>
    </row>
    <row r="582" spans="1:28" x14ac:dyDescent="0.25">
      <c r="A582">
        <v>582</v>
      </c>
      <c r="B582" t="s">
        <v>1415</v>
      </c>
      <c r="C582" t="s">
        <v>894</v>
      </c>
      <c r="D582" t="s">
        <v>352</v>
      </c>
      <c r="E582">
        <v>2</v>
      </c>
      <c r="F582" t="s">
        <v>332</v>
      </c>
      <c r="G582" s="2">
        <v>43293</v>
      </c>
      <c r="H582" t="s">
        <v>200</v>
      </c>
      <c r="AB582">
        <v>54.630085469999997</v>
      </c>
    </row>
    <row r="583" spans="1:28" x14ac:dyDescent="0.25">
      <c r="A583">
        <v>583</v>
      </c>
      <c r="B583" t="s">
        <v>1416</v>
      </c>
      <c r="C583" t="s">
        <v>1417</v>
      </c>
      <c r="D583" t="s">
        <v>352</v>
      </c>
      <c r="E583">
        <v>3</v>
      </c>
      <c r="F583" t="s">
        <v>332</v>
      </c>
      <c r="G583" s="2">
        <v>43293</v>
      </c>
      <c r="H583" t="s">
        <v>200</v>
      </c>
      <c r="AB583">
        <v>54.70526357</v>
      </c>
    </row>
    <row r="584" spans="1:28" x14ac:dyDescent="0.25">
      <c r="A584">
        <v>584</v>
      </c>
      <c r="B584" t="s">
        <v>1418</v>
      </c>
      <c r="C584" t="s">
        <v>983</v>
      </c>
      <c r="D584" t="s">
        <v>352</v>
      </c>
      <c r="E584">
        <v>4</v>
      </c>
      <c r="F584" t="s">
        <v>332</v>
      </c>
      <c r="G584" s="2">
        <v>43294</v>
      </c>
      <c r="H584" t="s">
        <v>200</v>
      </c>
      <c r="AB584">
        <v>41.742683880000001</v>
      </c>
    </row>
    <row r="585" spans="1:28" x14ac:dyDescent="0.25">
      <c r="A585">
        <v>585</v>
      </c>
      <c r="B585" t="s">
        <v>1419</v>
      </c>
      <c r="C585" t="s">
        <v>1081</v>
      </c>
      <c r="D585" t="s">
        <v>352</v>
      </c>
      <c r="E585">
        <v>5</v>
      </c>
      <c r="F585" t="s">
        <v>332</v>
      </c>
      <c r="G585" s="2">
        <v>43294</v>
      </c>
      <c r="H585" t="s">
        <v>200</v>
      </c>
      <c r="AB585">
        <v>61.6409959</v>
      </c>
    </row>
    <row r="586" spans="1:28" x14ac:dyDescent="0.25">
      <c r="A586">
        <v>586</v>
      </c>
      <c r="B586" t="s">
        <v>1420</v>
      </c>
      <c r="C586" t="s">
        <v>1246</v>
      </c>
      <c r="D586" t="s">
        <v>388</v>
      </c>
      <c r="E586">
        <v>1</v>
      </c>
      <c r="F586" t="s">
        <v>243</v>
      </c>
      <c r="G586" s="2">
        <v>43269</v>
      </c>
      <c r="H586" t="s">
        <v>200</v>
      </c>
      <c r="AB586" t="s">
        <v>141</v>
      </c>
    </row>
    <row r="587" spans="1:28" x14ac:dyDescent="0.25">
      <c r="A587">
        <v>587</v>
      </c>
      <c r="B587" t="s">
        <v>1421</v>
      </c>
      <c r="C587" t="s">
        <v>1247</v>
      </c>
      <c r="D587" t="s">
        <v>388</v>
      </c>
      <c r="E587">
        <v>2</v>
      </c>
      <c r="F587" t="s">
        <v>243</v>
      </c>
      <c r="G587" s="2">
        <v>43281</v>
      </c>
      <c r="H587" t="s">
        <v>200</v>
      </c>
      <c r="AB587">
        <v>89.809904880000005</v>
      </c>
    </row>
    <row r="588" spans="1:28" x14ac:dyDescent="0.25">
      <c r="A588">
        <v>588</v>
      </c>
      <c r="B588" t="s">
        <v>1422</v>
      </c>
      <c r="C588" t="s">
        <v>283</v>
      </c>
      <c r="D588" t="s">
        <v>388</v>
      </c>
      <c r="E588">
        <v>3</v>
      </c>
      <c r="F588" t="s">
        <v>243</v>
      </c>
      <c r="G588" s="2">
        <v>43281</v>
      </c>
      <c r="H588" t="s">
        <v>200</v>
      </c>
      <c r="AB588">
        <v>108.0533282</v>
      </c>
    </row>
    <row r="589" spans="1:28" x14ac:dyDescent="0.25">
      <c r="A589">
        <v>589</v>
      </c>
      <c r="B589" t="s">
        <v>1423</v>
      </c>
      <c r="C589" t="s">
        <v>421</v>
      </c>
      <c r="D589" t="s">
        <v>388</v>
      </c>
      <c r="E589">
        <v>4</v>
      </c>
      <c r="F589" t="s">
        <v>243</v>
      </c>
      <c r="G589" s="2">
        <v>43281</v>
      </c>
      <c r="H589" t="s">
        <v>200</v>
      </c>
      <c r="AB589">
        <v>81.51165598</v>
      </c>
    </row>
    <row r="590" spans="1:28" x14ac:dyDescent="0.25">
      <c r="A590">
        <v>590</v>
      </c>
      <c r="B590" t="s">
        <v>1424</v>
      </c>
      <c r="C590" t="s">
        <v>514</v>
      </c>
      <c r="D590" t="s">
        <v>388</v>
      </c>
      <c r="E590">
        <v>5</v>
      </c>
      <c r="F590" t="s">
        <v>243</v>
      </c>
      <c r="G590" s="2">
        <v>43287</v>
      </c>
      <c r="H590" t="s">
        <v>200</v>
      </c>
      <c r="AB590">
        <v>89.305791619999994</v>
      </c>
    </row>
    <row r="591" spans="1:28" x14ac:dyDescent="0.25">
      <c r="A591">
        <v>591</v>
      </c>
      <c r="B591" t="s">
        <v>1425</v>
      </c>
      <c r="C591" t="s">
        <v>87</v>
      </c>
      <c r="D591" t="s">
        <v>367</v>
      </c>
      <c r="E591">
        <v>1</v>
      </c>
      <c r="F591" t="s">
        <v>266</v>
      </c>
      <c r="G591" s="2">
        <v>43251</v>
      </c>
      <c r="H591" t="s">
        <v>200</v>
      </c>
      <c r="AB591">
        <v>80.235071899999994</v>
      </c>
    </row>
    <row r="592" spans="1:28" x14ac:dyDescent="0.25">
      <c r="A592">
        <v>592</v>
      </c>
      <c r="B592" t="s">
        <v>1426</v>
      </c>
      <c r="C592" t="s">
        <v>1427</v>
      </c>
      <c r="D592" t="s">
        <v>367</v>
      </c>
      <c r="E592">
        <v>10</v>
      </c>
      <c r="F592" t="s">
        <v>266</v>
      </c>
      <c r="G592" s="2">
        <v>43294</v>
      </c>
      <c r="H592" t="s">
        <v>200</v>
      </c>
      <c r="AB592" t="s">
        <v>141</v>
      </c>
    </row>
    <row r="593" spans="1:28" x14ac:dyDescent="0.25">
      <c r="A593">
        <v>593</v>
      </c>
      <c r="B593" t="s">
        <v>1428</v>
      </c>
      <c r="C593" t="s">
        <v>1429</v>
      </c>
      <c r="D593" t="s">
        <v>367</v>
      </c>
      <c r="E593">
        <v>11</v>
      </c>
      <c r="F593" t="s">
        <v>266</v>
      </c>
      <c r="G593" s="2">
        <v>43301</v>
      </c>
      <c r="H593" t="s">
        <v>200</v>
      </c>
      <c r="AB593" t="s">
        <v>141</v>
      </c>
    </row>
    <row r="594" spans="1:28" x14ac:dyDescent="0.25">
      <c r="A594">
        <v>594</v>
      </c>
      <c r="B594" t="s">
        <v>1430</v>
      </c>
      <c r="C594" t="s">
        <v>1216</v>
      </c>
      <c r="D594" t="s">
        <v>367</v>
      </c>
      <c r="E594">
        <v>2</v>
      </c>
      <c r="F594" t="s">
        <v>266</v>
      </c>
      <c r="G594" s="2">
        <v>43271</v>
      </c>
      <c r="H594" t="s">
        <v>200</v>
      </c>
      <c r="AB594" t="s">
        <v>141</v>
      </c>
    </row>
    <row r="595" spans="1:28" x14ac:dyDescent="0.25">
      <c r="A595">
        <v>595</v>
      </c>
      <c r="B595" t="s">
        <v>1431</v>
      </c>
      <c r="C595" t="s">
        <v>1217</v>
      </c>
      <c r="D595" t="s">
        <v>367</v>
      </c>
      <c r="E595">
        <v>3</v>
      </c>
      <c r="F595" t="s">
        <v>266</v>
      </c>
      <c r="G595" s="2">
        <v>43271</v>
      </c>
      <c r="H595" t="s">
        <v>200</v>
      </c>
      <c r="AB595" t="s">
        <v>141</v>
      </c>
    </row>
    <row r="596" spans="1:28" x14ac:dyDescent="0.25">
      <c r="A596">
        <v>596</v>
      </c>
      <c r="B596" t="s">
        <v>1432</v>
      </c>
      <c r="C596" t="s">
        <v>302</v>
      </c>
      <c r="D596" t="s">
        <v>367</v>
      </c>
      <c r="E596">
        <v>4</v>
      </c>
      <c r="F596" t="s">
        <v>266</v>
      </c>
      <c r="G596" s="2">
        <v>43281</v>
      </c>
      <c r="H596" t="s">
        <v>200</v>
      </c>
      <c r="AB596">
        <v>86.391393739999998</v>
      </c>
    </row>
    <row r="597" spans="1:28" x14ac:dyDescent="0.25">
      <c r="A597">
        <v>597</v>
      </c>
      <c r="B597" t="s">
        <v>1433</v>
      </c>
      <c r="C597" t="s">
        <v>451</v>
      </c>
      <c r="D597" t="s">
        <v>367</v>
      </c>
      <c r="E597">
        <v>5</v>
      </c>
      <c r="F597" t="s">
        <v>266</v>
      </c>
      <c r="G597" s="2">
        <v>43285</v>
      </c>
      <c r="H597" t="s">
        <v>200</v>
      </c>
      <c r="AB597">
        <v>81.80093608</v>
      </c>
    </row>
    <row r="598" spans="1:28" x14ac:dyDescent="0.25">
      <c r="A598">
        <v>598</v>
      </c>
      <c r="B598" t="s">
        <v>1434</v>
      </c>
      <c r="C598" t="s">
        <v>1218</v>
      </c>
      <c r="D598" t="s">
        <v>367</v>
      </c>
      <c r="E598">
        <v>6</v>
      </c>
      <c r="F598" t="s">
        <v>266</v>
      </c>
      <c r="G598" s="2">
        <v>43285</v>
      </c>
      <c r="H598" t="s">
        <v>200</v>
      </c>
      <c r="AB598" t="s">
        <v>141</v>
      </c>
    </row>
    <row r="599" spans="1:28" x14ac:dyDescent="0.25">
      <c r="A599">
        <v>599</v>
      </c>
      <c r="B599" t="s">
        <v>1435</v>
      </c>
      <c r="C599" t="s">
        <v>1436</v>
      </c>
      <c r="D599" t="s">
        <v>367</v>
      </c>
      <c r="E599">
        <v>7</v>
      </c>
      <c r="F599" t="s">
        <v>266</v>
      </c>
      <c r="G599" s="2">
        <v>43285</v>
      </c>
      <c r="H599" t="s">
        <v>200</v>
      </c>
      <c r="AB599">
        <v>93.356654660000004</v>
      </c>
    </row>
    <row r="600" spans="1:28" x14ac:dyDescent="0.25">
      <c r="A600">
        <v>600</v>
      </c>
      <c r="B600" t="s">
        <v>1437</v>
      </c>
      <c r="C600" t="s">
        <v>1438</v>
      </c>
      <c r="D600" t="s">
        <v>367</v>
      </c>
      <c r="E600">
        <v>8</v>
      </c>
      <c r="F600" t="s">
        <v>266</v>
      </c>
      <c r="G600" s="2">
        <v>43285</v>
      </c>
      <c r="H600" t="s">
        <v>200</v>
      </c>
      <c r="AB600">
        <v>83.614170220000005</v>
      </c>
    </row>
    <row r="601" spans="1:28" x14ac:dyDescent="0.25">
      <c r="A601">
        <v>601</v>
      </c>
      <c r="B601" t="s">
        <v>1439</v>
      </c>
      <c r="C601" t="s">
        <v>1440</v>
      </c>
      <c r="D601" t="s">
        <v>367</v>
      </c>
      <c r="E601">
        <v>9</v>
      </c>
      <c r="F601" t="s">
        <v>266</v>
      </c>
      <c r="G601" t="s">
        <v>141</v>
      </c>
      <c r="H601" t="s">
        <v>200</v>
      </c>
      <c r="AB601" t="s">
        <v>141</v>
      </c>
    </row>
    <row r="602" spans="1:28" x14ac:dyDescent="0.25">
      <c r="A602">
        <v>602</v>
      </c>
      <c r="B602" t="s">
        <v>1441</v>
      </c>
      <c r="C602" t="s">
        <v>486</v>
      </c>
      <c r="D602" t="s">
        <v>344</v>
      </c>
      <c r="E602">
        <v>1</v>
      </c>
      <c r="F602" t="s">
        <v>487</v>
      </c>
      <c r="G602" s="2">
        <v>43267</v>
      </c>
      <c r="H602" t="s">
        <v>200</v>
      </c>
      <c r="AB602">
        <v>75.656226889999999</v>
      </c>
    </row>
    <row r="603" spans="1:28" x14ac:dyDescent="0.25">
      <c r="A603">
        <v>603</v>
      </c>
      <c r="B603" t="s">
        <v>1442</v>
      </c>
      <c r="C603" t="s">
        <v>495</v>
      </c>
      <c r="D603" t="s">
        <v>344</v>
      </c>
      <c r="E603">
        <v>2</v>
      </c>
      <c r="F603" t="s">
        <v>487</v>
      </c>
      <c r="G603" s="2">
        <v>43270</v>
      </c>
      <c r="H603" t="s">
        <v>200</v>
      </c>
      <c r="AB603" t="s">
        <v>141</v>
      </c>
    </row>
    <row r="604" spans="1:28" x14ac:dyDescent="0.25">
      <c r="A604">
        <v>604</v>
      </c>
      <c r="B604" t="s">
        <v>1443</v>
      </c>
      <c r="C604" t="s">
        <v>613</v>
      </c>
      <c r="D604" t="s">
        <v>344</v>
      </c>
      <c r="E604">
        <v>3</v>
      </c>
      <c r="F604" t="s">
        <v>487</v>
      </c>
      <c r="G604" s="2">
        <v>43286</v>
      </c>
      <c r="H604" t="s">
        <v>200</v>
      </c>
      <c r="AB604">
        <v>60.84660942</v>
      </c>
    </row>
    <row r="605" spans="1:28" x14ac:dyDescent="0.25">
      <c r="A605">
        <v>605</v>
      </c>
      <c r="B605" t="s">
        <v>1444</v>
      </c>
      <c r="C605" t="s">
        <v>1215</v>
      </c>
      <c r="D605" t="s">
        <v>344</v>
      </c>
      <c r="E605">
        <v>4</v>
      </c>
      <c r="F605" t="s">
        <v>487</v>
      </c>
      <c r="G605" s="2">
        <v>43286</v>
      </c>
      <c r="H605" t="s">
        <v>200</v>
      </c>
      <c r="AB605">
        <v>88.367700490000004</v>
      </c>
    </row>
    <row r="606" spans="1:28" x14ac:dyDescent="0.25">
      <c r="A606">
        <v>606</v>
      </c>
      <c r="B606" t="s">
        <v>1445</v>
      </c>
      <c r="C606" t="s">
        <v>772</v>
      </c>
      <c r="D606" t="s">
        <v>344</v>
      </c>
      <c r="E606">
        <v>5</v>
      </c>
      <c r="F606" t="s">
        <v>487</v>
      </c>
      <c r="G606" s="2">
        <v>43297</v>
      </c>
      <c r="H606" t="s">
        <v>200</v>
      </c>
      <c r="AB606">
        <v>71.004220450000005</v>
      </c>
    </row>
    <row r="607" spans="1:28" x14ac:dyDescent="0.25">
      <c r="A607">
        <v>607</v>
      </c>
      <c r="B607" t="s">
        <v>1446</v>
      </c>
      <c r="C607" t="s">
        <v>105</v>
      </c>
      <c r="D607" t="s">
        <v>361</v>
      </c>
      <c r="E607">
        <v>1</v>
      </c>
      <c r="F607" t="s">
        <v>218</v>
      </c>
      <c r="G607" s="2">
        <v>43251</v>
      </c>
      <c r="H607" t="s">
        <v>200</v>
      </c>
      <c r="AB607">
        <v>69.453201680000006</v>
      </c>
    </row>
    <row r="608" spans="1:28" x14ac:dyDescent="0.25">
      <c r="A608">
        <v>608</v>
      </c>
      <c r="B608" t="s">
        <v>1447</v>
      </c>
      <c r="C608" t="s">
        <v>1448</v>
      </c>
      <c r="D608" t="s">
        <v>361</v>
      </c>
      <c r="E608">
        <v>10</v>
      </c>
      <c r="F608" t="s">
        <v>218</v>
      </c>
      <c r="G608" s="2">
        <v>43270</v>
      </c>
      <c r="H608" t="s">
        <v>200</v>
      </c>
      <c r="AB608" t="s">
        <v>141</v>
      </c>
    </row>
    <row r="609" spans="1:28" x14ac:dyDescent="0.25">
      <c r="A609">
        <v>609</v>
      </c>
      <c r="B609" t="s">
        <v>1449</v>
      </c>
      <c r="C609" t="s">
        <v>1450</v>
      </c>
      <c r="D609" t="s">
        <v>361</v>
      </c>
      <c r="E609">
        <v>11</v>
      </c>
      <c r="F609" t="s">
        <v>218</v>
      </c>
      <c r="G609" s="2">
        <v>43287</v>
      </c>
      <c r="H609" t="s">
        <v>200</v>
      </c>
      <c r="AB609" t="s">
        <v>141</v>
      </c>
    </row>
    <row r="610" spans="1:28" x14ac:dyDescent="0.25">
      <c r="A610">
        <v>610</v>
      </c>
      <c r="B610" t="s">
        <v>1451</v>
      </c>
      <c r="C610" t="s">
        <v>80</v>
      </c>
      <c r="D610" t="s">
        <v>361</v>
      </c>
      <c r="E610">
        <v>2</v>
      </c>
      <c r="F610" t="s">
        <v>218</v>
      </c>
      <c r="G610" s="2">
        <v>43251</v>
      </c>
      <c r="H610" t="s">
        <v>200</v>
      </c>
      <c r="AB610">
        <v>60.757863270000001</v>
      </c>
    </row>
    <row r="611" spans="1:28" x14ac:dyDescent="0.25">
      <c r="A611">
        <v>611</v>
      </c>
      <c r="B611" t="s">
        <v>1452</v>
      </c>
      <c r="C611" t="s">
        <v>76</v>
      </c>
      <c r="D611" t="s">
        <v>361</v>
      </c>
      <c r="E611">
        <v>3</v>
      </c>
      <c r="F611" t="s">
        <v>218</v>
      </c>
      <c r="G611" s="2">
        <v>43252</v>
      </c>
      <c r="H611" t="s">
        <v>200</v>
      </c>
      <c r="AB611">
        <v>65.325436460000006</v>
      </c>
    </row>
    <row r="612" spans="1:28" x14ac:dyDescent="0.25">
      <c r="A612">
        <v>612</v>
      </c>
      <c r="B612" t="s">
        <v>1453</v>
      </c>
      <c r="C612" t="s">
        <v>1248</v>
      </c>
      <c r="D612" t="s">
        <v>361</v>
      </c>
      <c r="E612">
        <v>4</v>
      </c>
      <c r="F612" t="s">
        <v>218</v>
      </c>
      <c r="G612" s="2">
        <v>43252</v>
      </c>
      <c r="H612" t="s">
        <v>200</v>
      </c>
      <c r="AB612">
        <v>71.669510819999999</v>
      </c>
    </row>
    <row r="613" spans="1:28" x14ac:dyDescent="0.25">
      <c r="A613">
        <v>613</v>
      </c>
      <c r="B613" t="s">
        <v>1454</v>
      </c>
      <c r="C613" t="s">
        <v>1249</v>
      </c>
      <c r="D613" t="s">
        <v>361</v>
      </c>
      <c r="E613">
        <v>5</v>
      </c>
      <c r="F613" t="s">
        <v>218</v>
      </c>
      <c r="G613" s="2">
        <v>43253</v>
      </c>
      <c r="H613" t="s">
        <v>200</v>
      </c>
      <c r="AB613">
        <v>64.335552949999993</v>
      </c>
    </row>
    <row r="614" spans="1:28" x14ac:dyDescent="0.25">
      <c r="A614">
        <v>614</v>
      </c>
      <c r="B614" t="s">
        <v>1455</v>
      </c>
      <c r="C614" t="s">
        <v>1250</v>
      </c>
      <c r="D614" t="s">
        <v>361</v>
      </c>
      <c r="E614">
        <v>6</v>
      </c>
      <c r="F614" t="s">
        <v>218</v>
      </c>
      <c r="G614" s="2">
        <v>43267</v>
      </c>
      <c r="H614" t="s">
        <v>200</v>
      </c>
      <c r="AB614" t="s">
        <v>141</v>
      </c>
    </row>
    <row r="615" spans="1:28" x14ac:dyDescent="0.25">
      <c r="A615">
        <v>615</v>
      </c>
      <c r="B615" t="s">
        <v>1456</v>
      </c>
      <c r="C615" t="s">
        <v>1457</v>
      </c>
      <c r="D615" t="s">
        <v>361</v>
      </c>
      <c r="E615">
        <v>7</v>
      </c>
      <c r="F615" t="s">
        <v>218</v>
      </c>
      <c r="G615" s="2">
        <v>43267</v>
      </c>
      <c r="H615" t="s">
        <v>200</v>
      </c>
      <c r="AB615" t="s">
        <v>141</v>
      </c>
    </row>
    <row r="616" spans="1:28" x14ac:dyDescent="0.25">
      <c r="A616">
        <v>616</v>
      </c>
      <c r="B616" t="s">
        <v>1458</v>
      </c>
      <c r="C616" t="s">
        <v>1459</v>
      </c>
      <c r="D616" t="s">
        <v>361</v>
      </c>
      <c r="E616">
        <v>8</v>
      </c>
      <c r="F616" t="s">
        <v>218</v>
      </c>
      <c r="G616" s="2">
        <v>43271</v>
      </c>
      <c r="H616" t="s">
        <v>200</v>
      </c>
      <c r="AB616" t="s">
        <v>141</v>
      </c>
    </row>
    <row r="617" spans="1:28" x14ac:dyDescent="0.25">
      <c r="A617">
        <v>617</v>
      </c>
      <c r="B617" t="s">
        <v>1460</v>
      </c>
      <c r="C617" t="s">
        <v>1461</v>
      </c>
      <c r="D617" t="s">
        <v>361</v>
      </c>
      <c r="E617">
        <v>9</v>
      </c>
      <c r="F617" t="s">
        <v>218</v>
      </c>
      <c r="G617" s="2">
        <v>43270</v>
      </c>
      <c r="H617" t="s">
        <v>200</v>
      </c>
      <c r="AB617" t="s">
        <v>141</v>
      </c>
    </row>
    <row r="618" spans="1:28" x14ac:dyDescent="0.25">
      <c r="A618">
        <v>618</v>
      </c>
      <c r="B618" t="s">
        <v>1462</v>
      </c>
      <c r="C618" t="s">
        <v>312</v>
      </c>
      <c r="D618" t="s">
        <v>387</v>
      </c>
      <c r="E618">
        <v>1</v>
      </c>
      <c r="F618" t="s">
        <v>236</v>
      </c>
      <c r="G618" s="2">
        <v>43300</v>
      </c>
      <c r="H618" t="s">
        <v>200</v>
      </c>
      <c r="AB618">
        <v>67.577887770000004</v>
      </c>
    </row>
    <row r="619" spans="1:28" x14ac:dyDescent="0.25">
      <c r="A619">
        <v>619</v>
      </c>
      <c r="B619" t="s">
        <v>1463</v>
      </c>
      <c r="C619" t="s">
        <v>295</v>
      </c>
      <c r="D619" t="s">
        <v>387</v>
      </c>
      <c r="E619">
        <v>2</v>
      </c>
      <c r="F619" t="s">
        <v>236</v>
      </c>
      <c r="G619" s="2">
        <v>43300</v>
      </c>
      <c r="H619" t="s">
        <v>200</v>
      </c>
      <c r="AB619">
        <v>65.831180849999996</v>
      </c>
    </row>
    <row r="620" spans="1:28" x14ac:dyDescent="0.25">
      <c r="A620">
        <v>620</v>
      </c>
      <c r="B620" t="s">
        <v>1464</v>
      </c>
      <c r="C620" t="s">
        <v>297</v>
      </c>
      <c r="D620" t="s">
        <v>387</v>
      </c>
      <c r="E620">
        <v>3</v>
      </c>
      <c r="F620" t="s">
        <v>236</v>
      </c>
      <c r="G620" s="2">
        <v>43304</v>
      </c>
      <c r="H620" t="s">
        <v>200</v>
      </c>
      <c r="AB620">
        <v>62.48379431</v>
      </c>
    </row>
    <row r="621" spans="1:28" x14ac:dyDescent="0.25">
      <c r="A621">
        <v>621</v>
      </c>
      <c r="B621" t="s">
        <v>1465</v>
      </c>
      <c r="C621" t="s">
        <v>1251</v>
      </c>
      <c r="D621" t="s">
        <v>387</v>
      </c>
      <c r="E621">
        <v>4</v>
      </c>
      <c r="F621" t="s">
        <v>236</v>
      </c>
      <c r="G621" s="2">
        <v>43304</v>
      </c>
      <c r="H621" t="s">
        <v>200</v>
      </c>
      <c r="AB621">
        <v>69.520427839999996</v>
      </c>
    </row>
    <row r="622" spans="1:28" x14ac:dyDescent="0.25">
      <c r="A622">
        <v>622</v>
      </c>
      <c r="B622" t="s">
        <v>1466</v>
      </c>
      <c r="C622" t="s">
        <v>419</v>
      </c>
      <c r="D622" t="s">
        <v>387</v>
      </c>
      <c r="E622">
        <v>5</v>
      </c>
      <c r="F622" t="s">
        <v>236</v>
      </c>
      <c r="G622" s="2">
        <v>43304</v>
      </c>
      <c r="H622" t="s">
        <v>200</v>
      </c>
      <c r="AB622">
        <v>70.924926159999998</v>
      </c>
    </row>
    <row r="623" spans="1:28" x14ac:dyDescent="0.25">
      <c r="A623">
        <v>623</v>
      </c>
      <c r="B623" t="s">
        <v>1467</v>
      </c>
      <c r="C623" t="s">
        <v>23</v>
      </c>
      <c r="D623" t="s">
        <v>351</v>
      </c>
      <c r="E623">
        <v>1</v>
      </c>
      <c r="F623" t="s">
        <v>223</v>
      </c>
      <c r="G623" s="2">
        <v>43307</v>
      </c>
      <c r="H623" t="s">
        <v>200</v>
      </c>
      <c r="AB623">
        <v>46.894586920000002</v>
      </c>
    </row>
    <row r="624" spans="1:28" x14ac:dyDescent="0.25">
      <c r="A624">
        <v>624</v>
      </c>
      <c r="B624" t="s">
        <v>1468</v>
      </c>
      <c r="C624" t="s">
        <v>499</v>
      </c>
      <c r="D624" t="s">
        <v>351</v>
      </c>
      <c r="E624">
        <v>2</v>
      </c>
      <c r="F624" t="s">
        <v>223</v>
      </c>
      <c r="G624" s="2">
        <v>43307</v>
      </c>
      <c r="H624" t="s">
        <v>200</v>
      </c>
      <c r="AB624">
        <v>54.04728343</v>
      </c>
    </row>
    <row r="625" spans="1:28" x14ac:dyDescent="0.25">
      <c r="A625">
        <v>625</v>
      </c>
      <c r="B625" t="s">
        <v>1469</v>
      </c>
      <c r="C625" t="s">
        <v>1223</v>
      </c>
      <c r="D625" t="s">
        <v>351</v>
      </c>
      <c r="E625">
        <v>3</v>
      </c>
      <c r="F625" t="s">
        <v>223</v>
      </c>
      <c r="G625" s="2">
        <v>43307</v>
      </c>
      <c r="H625" t="s">
        <v>200</v>
      </c>
      <c r="AB625">
        <v>49.510841990000003</v>
      </c>
    </row>
    <row r="626" spans="1:28" x14ac:dyDescent="0.25">
      <c r="A626">
        <v>626</v>
      </c>
      <c r="B626" t="s">
        <v>1470</v>
      </c>
      <c r="C626" t="s">
        <v>1224</v>
      </c>
      <c r="D626" t="s">
        <v>351</v>
      </c>
      <c r="E626">
        <v>4</v>
      </c>
      <c r="F626" t="s">
        <v>223</v>
      </c>
      <c r="G626" s="2">
        <v>43307</v>
      </c>
      <c r="H626" t="s">
        <v>200</v>
      </c>
      <c r="AB626">
        <v>50.785736819999997</v>
      </c>
    </row>
    <row r="627" spans="1:28" x14ac:dyDescent="0.25">
      <c r="A627">
        <v>627</v>
      </c>
      <c r="B627" t="s">
        <v>1471</v>
      </c>
      <c r="C627" t="s">
        <v>470</v>
      </c>
      <c r="D627" t="s">
        <v>351</v>
      </c>
      <c r="E627">
        <v>5</v>
      </c>
      <c r="F627" t="s">
        <v>223</v>
      </c>
      <c r="G627" s="2">
        <v>43307</v>
      </c>
      <c r="H627" t="s">
        <v>200</v>
      </c>
      <c r="AB627">
        <v>52.10046947</v>
      </c>
    </row>
    <row r="628" spans="1:28" x14ac:dyDescent="0.25">
      <c r="A628">
        <v>628</v>
      </c>
      <c r="B628" t="s">
        <v>1472</v>
      </c>
      <c r="C628" t="s">
        <v>4</v>
      </c>
      <c r="D628" t="s">
        <v>340</v>
      </c>
      <c r="E628">
        <v>1</v>
      </c>
      <c r="F628" t="s">
        <v>5</v>
      </c>
      <c r="G628" s="2">
        <v>43281</v>
      </c>
      <c r="H628" t="s">
        <v>200</v>
      </c>
      <c r="AB628" t="s">
        <v>141</v>
      </c>
    </row>
    <row r="629" spans="1:28" x14ac:dyDescent="0.25">
      <c r="A629">
        <v>629</v>
      </c>
      <c r="B629" t="s">
        <v>1473</v>
      </c>
      <c r="C629" t="s">
        <v>1474</v>
      </c>
      <c r="D629" t="s">
        <v>340</v>
      </c>
      <c r="E629">
        <v>10</v>
      </c>
      <c r="F629" t="s">
        <v>5</v>
      </c>
      <c r="G629" s="2">
        <v>43286</v>
      </c>
      <c r="H629" t="s">
        <v>200</v>
      </c>
      <c r="AB629" t="s">
        <v>141</v>
      </c>
    </row>
    <row r="630" spans="1:28" x14ac:dyDescent="0.25">
      <c r="A630">
        <v>630</v>
      </c>
      <c r="B630" t="s">
        <v>1475</v>
      </c>
      <c r="C630" t="s">
        <v>112</v>
      </c>
      <c r="D630" t="s">
        <v>340</v>
      </c>
      <c r="E630">
        <v>2</v>
      </c>
      <c r="F630" t="s">
        <v>5</v>
      </c>
      <c r="G630" s="2">
        <v>43285</v>
      </c>
      <c r="H630" t="s">
        <v>200</v>
      </c>
      <c r="AB630">
        <v>97.758615359999993</v>
      </c>
    </row>
    <row r="631" spans="1:28" x14ac:dyDescent="0.25">
      <c r="A631">
        <v>631</v>
      </c>
      <c r="B631" t="s">
        <v>1476</v>
      </c>
      <c r="C631" t="s">
        <v>121</v>
      </c>
      <c r="D631" t="s">
        <v>340</v>
      </c>
      <c r="E631">
        <v>3</v>
      </c>
      <c r="F631" t="s">
        <v>5</v>
      </c>
      <c r="G631" s="2">
        <v>43285</v>
      </c>
      <c r="H631" t="s">
        <v>200</v>
      </c>
      <c r="AB631">
        <v>99.530127829999998</v>
      </c>
    </row>
    <row r="632" spans="1:28" x14ac:dyDescent="0.25">
      <c r="A632">
        <v>632</v>
      </c>
      <c r="B632" t="s">
        <v>1477</v>
      </c>
      <c r="C632" t="s">
        <v>767</v>
      </c>
      <c r="D632" t="s">
        <v>340</v>
      </c>
      <c r="E632">
        <v>4</v>
      </c>
      <c r="F632" t="s">
        <v>5</v>
      </c>
      <c r="G632" s="2">
        <v>43253</v>
      </c>
      <c r="H632" t="s">
        <v>200</v>
      </c>
      <c r="AB632">
        <v>82.710606690000006</v>
      </c>
    </row>
    <row r="633" spans="1:28" x14ac:dyDescent="0.25">
      <c r="A633">
        <v>633</v>
      </c>
      <c r="B633" t="s">
        <v>1478</v>
      </c>
      <c r="C633" t="s">
        <v>815</v>
      </c>
      <c r="D633" t="s">
        <v>340</v>
      </c>
      <c r="E633">
        <v>5</v>
      </c>
      <c r="F633" t="s">
        <v>5</v>
      </c>
      <c r="G633" s="2">
        <v>43253</v>
      </c>
      <c r="H633" t="s">
        <v>200</v>
      </c>
      <c r="AB633">
        <v>249.67993060000001</v>
      </c>
    </row>
    <row r="634" spans="1:28" x14ac:dyDescent="0.25">
      <c r="A634">
        <v>634</v>
      </c>
      <c r="B634" t="s">
        <v>1479</v>
      </c>
      <c r="C634" t="s">
        <v>1480</v>
      </c>
      <c r="D634" t="s">
        <v>340</v>
      </c>
      <c r="E634">
        <v>6</v>
      </c>
      <c r="F634" t="s">
        <v>5</v>
      </c>
      <c r="G634" s="2">
        <v>43253</v>
      </c>
      <c r="H634" t="s">
        <v>200</v>
      </c>
      <c r="AB634">
        <v>88.493065810000004</v>
      </c>
    </row>
    <row r="635" spans="1:28" x14ac:dyDescent="0.25">
      <c r="A635">
        <v>635</v>
      </c>
      <c r="B635" t="s">
        <v>1481</v>
      </c>
      <c r="C635" t="s">
        <v>1482</v>
      </c>
      <c r="D635" t="s">
        <v>340</v>
      </c>
      <c r="E635">
        <v>7</v>
      </c>
      <c r="F635" t="s">
        <v>5</v>
      </c>
      <c r="G635" s="2">
        <v>43272</v>
      </c>
      <c r="H635" t="s">
        <v>200</v>
      </c>
      <c r="AB635" t="s">
        <v>141</v>
      </c>
    </row>
    <row r="636" spans="1:28" x14ac:dyDescent="0.25">
      <c r="A636">
        <v>636</v>
      </c>
      <c r="B636" t="s">
        <v>1483</v>
      </c>
      <c r="C636" t="s">
        <v>1484</v>
      </c>
      <c r="D636" t="s">
        <v>340</v>
      </c>
      <c r="E636">
        <v>8</v>
      </c>
      <c r="F636" t="s">
        <v>5</v>
      </c>
      <c r="G636" s="2">
        <v>43272</v>
      </c>
      <c r="H636" t="s">
        <v>200</v>
      </c>
      <c r="AB636" t="s">
        <v>141</v>
      </c>
    </row>
    <row r="637" spans="1:28" x14ac:dyDescent="0.25">
      <c r="A637">
        <v>637</v>
      </c>
      <c r="B637" t="s">
        <v>1485</v>
      </c>
      <c r="C637" t="s">
        <v>1486</v>
      </c>
      <c r="D637" t="s">
        <v>340</v>
      </c>
      <c r="E637">
        <v>9</v>
      </c>
      <c r="F637" t="s">
        <v>5</v>
      </c>
      <c r="G637" s="2">
        <v>43285</v>
      </c>
      <c r="H637" t="s">
        <v>200</v>
      </c>
      <c r="AB637">
        <v>92.1905565</v>
      </c>
    </row>
    <row r="638" spans="1:28" x14ac:dyDescent="0.25">
      <c r="A638">
        <v>638</v>
      </c>
      <c r="B638" t="s">
        <v>1487</v>
      </c>
      <c r="C638" t="s">
        <v>1093</v>
      </c>
      <c r="D638" t="s">
        <v>1094</v>
      </c>
      <c r="E638">
        <v>1</v>
      </c>
      <c r="F638" t="s">
        <v>1095</v>
      </c>
      <c r="G638" s="2">
        <v>43291</v>
      </c>
      <c r="H638" t="s">
        <v>200</v>
      </c>
      <c r="AB638">
        <v>92.250781630000006</v>
      </c>
    </row>
    <row r="639" spans="1:28" x14ac:dyDescent="0.25">
      <c r="A639">
        <v>639</v>
      </c>
      <c r="B639" t="s">
        <v>1488</v>
      </c>
      <c r="C639" t="s">
        <v>1096</v>
      </c>
      <c r="D639" t="s">
        <v>1094</v>
      </c>
      <c r="E639">
        <v>2</v>
      </c>
      <c r="F639" t="s">
        <v>1095</v>
      </c>
      <c r="G639" s="2">
        <v>43291</v>
      </c>
      <c r="H639" t="s">
        <v>200</v>
      </c>
      <c r="AB639">
        <v>98.350853189999995</v>
      </c>
    </row>
    <row r="640" spans="1:28" x14ac:dyDescent="0.25">
      <c r="A640">
        <v>640</v>
      </c>
      <c r="B640" t="s">
        <v>1489</v>
      </c>
      <c r="C640" t="s">
        <v>1097</v>
      </c>
      <c r="D640" t="s">
        <v>1094</v>
      </c>
      <c r="E640">
        <v>3</v>
      </c>
      <c r="F640" t="s">
        <v>1095</v>
      </c>
      <c r="G640" s="2">
        <v>43291</v>
      </c>
      <c r="H640" t="s">
        <v>200</v>
      </c>
      <c r="AB640">
        <v>107.65920149999999</v>
      </c>
    </row>
    <row r="641" spans="1:28" x14ac:dyDescent="0.25">
      <c r="A641">
        <v>641</v>
      </c>
      <c r="B641" t="s">
        <v>1490</v>
      </c>
      <c r="C641" t="s">
        <v>1098</v>
      </c>
      <c r="D641" t="s">
        <v>1094</v>
      </c>
      <c r="E641">
        <v>4</v>
      </c>
      <c r="F641" t="s">
        <v>1095</v>
      </c>
      <c r="G641" s="2">
        <v>43291</v>
      </c>
      <c r="H641" t="s">
        <v>200</v>
      </c>
      <c r="AB641">
        <v>102.48544889999999</v>
      </c>
    </row>
    <row r="642" spans="1:28" x14ac:dyDescent="0.25">
      <c r="A642">
        <v>642</v>
      </c>
      <c r="B642" t="s">
        <v>1491</v>
      </c>
      <c r="C642" t="s">
        <v>1099</v>
      </c>
      <c r="D642" t="s">
        <v>1094</v>
      </c>
      <c r="E642">
        <v>5</v>
      </c>
      <c r="F642" t="s">
        <v>1095</v>
      </c>
      <c r="G642" s="2">
        <v>43291</v>
      </c>
      <c r="H642" t="s">
        <v>200</v>
      </c>
      <c r="AB642">
        <v>79.34360744</v>
      </c>
    </row>
    <row r="643" spans="1:28" x14ac:dyDescent="0.25">
      <c r="A643">
        <v>643</v>
      </c>
      <c r="B643" t="s">
        <v>1492</v>
      </c>
      <c r="C643" t="s">
        <v>819</v>
      </c>
      <c r="D643" t="s">
        <v>820</v>
      </c>
      <c r="E643">
        <v>1</v>
      </c>
      <c r="F643" t="s">
        <v>821</v>
      </c>
      <c r="G643" s="2">
        <v>43262</v>
      </c>
      <c r="H643" t="s">
        <v>200</v>
      </c>
      <c r="AB643" t="s">
        <v>141</v>
      </c>
    </row>
    <row r="644" spans="1:28" x14ac:dyDescent="0.25">
      <c r="A644">
        <v>644</v>
      </c>
      <c r="B644" t="s">
        <v>1493</v>
      </c>
      <c r="C644" t="s">
        <v>1252</v>
      </c>
      <c r="D644" t="s">
        <v>386</v>
      </c>
      <c r="E644">
        <v>1</v>
      </c>
      <c r="F644" t="s">
        <v>231</v>
      </c>
      <c r="G644" s="2">
        <v>43270</v>
      </c>
      <c r="H644" t="s">
        <v>200</v>
      </c>
      <c r="AB644">
        <v>75.068332749999996</v>
      </c>
    </row>
    <row r="645" spans="1:28" x14ac:dyDescent="0.25">
      <c r="A645">
        <v>645</v>
      </c>
      <c r="B645" t="s">
        <v>1494</v>
      </c>
      <c r="C645" t="s">
        <v>1253</v>
      </c>
      <c r="D645" t="s">
        <v>386</v>
      </c>
      <c r="E645">
        <v>2</v>
      </c>
      <c r="F645" t="s">
        <v>231</v>
      </c>
      <c r="G645" s="2">
        <v>43270</v>
      </c>
      <c r="H645" t="s">
        <v>200</v>
      </c>
      <c r="AB645">
        <v>76.631943289999995</v>
      </c>
    </row>
    <row r="646" spans="1:28" x14ac:dyDescent="0.25">
      <c r="A646">
        <v>646</v>
      </c>
      <c r="B646" t="s">
        <v>1495</v>
      </c>
      <c r="C646" t="s">
        <v>417</v>
      </c>
      <c r="D646" t="s">
        <v>386</v>
      </c>
      <c r="E646">
        <v>3</v>
      </c>
      <c r="F646" t="s">
        <v>231</v>
      </c>
      <c r="G646" s="2">
        <v>43270</v>
      </c>
      <c r="H646" t="s">
        <v>200</v>
      </c>
      <c r="AB646">
        <v>74.07708135</v>
      </c>
    </row>
    <row r="647" spans="1:28" x14ac:dyDescent="0.25">
      <c r="A647">
        <v>647</v>
      </c>
      <c r="B647" t="s">
        <v>1496</v>
      </c>
      <c r="C647" t="s">
        <v>449</v>
      </c>
      <c r="D647" t="s">
        <v>386</v>
      </c>
      <c r="E647">
        <v>4</v>
      </c>
      <c r="F647" t="s">
        <v>231</v>
      </c>
      <c r="G647" s="2">
        <v>43270</v>
      </c>
      <c r="H647" t="s">
        <v>200</v>
      </c>
      <c r="AB647">
        <v>73.768029389999995</v>
      </c>
    </row>
    <row r="648" spans="1:28" x14ac:dyDescent="0.25">
      <c r="A648">
        <v>648</v>
      </c>
      <c r="B648" t="s">
        <v>1497</v>
      </c>
      <c r="C648" t="s">
        <v>543</v>
      </c>
      <c r="D648" t="s">
        <v>386</v>
      </c>
      <c r="E648">
        <v>5</v>
      </c>
      <c r="F648" t="s">
        <v>231</v>
      </c>
      <c r="G648" s="2">
        <v>43270</v>
      </c>
      <c r="H648" t="s">
        <v>200</v>
      </c>
      <c r="AB648">
        <v>91.394806439999996</v>
      </c>
    </row>
    <row r="649" spans="1:28" x14ac:dyDescent="0.25">
      <c r="A649">
        <v>649</v>
      </c>
      <c r="B649" t="s">
        <v>1498</v>
      </c>
      <c r="C649" t="s">
        <v>439</v>
      </c>
      <c r="D649" t="s">
        <v>440</v>
      </c>
      <c r="E649">
        <v>1</v>
      </c>
      <c r="F649" t="s">
        <v>441</v>
      </c>
      <c r="G649" s="2">
        <v>43299</v>
      </c>
      <c r="H649" t="s">
        <v>200</v>
      </c>
      <c r="AB649">
        <v>93.968985709999998</v>
      </c>
    </row>
    <row r="650" spans="1:28" x14ac:dyDescent="0.25">
      <c r="A650">
        <v>650</v>
      </c>
      <c r="B650" t="s">
        <v>1499</v>
      </c>
      <c r="C650" t="s">
        <v>887</v>
      </c>
      <c r="D650" t="s">
        <v>440</v>
      </c>
      <c r="E650">
        <v>2</v>
      </c>
      <c r="F650" t="s">
        <v>441</v>
      </c>
      <c r="G650" s="2">
        <v>43299</v>
      </c>
      <c r="H650" t="s">
        <v>200</v>
      </c>
      <c r="AB650">
        <v>85.028656560000002</v>
      </c>
    </row>
    <row r="651" spans="1:28" x14ac:dyDescent="0.25">
      <c r="A651">
        <v>651</v>
      </c>
      <c r="B651" t="s">
        <v>1500</v>
      </c>
      <c r="C651" t="s">
        <v>973</v>
      </c>
      <c r="D651" t="s">
        <v>440</v>
      </c>
      <c r="E651">
        <v>3</v>
      </c>
      <c r="F651" t="s">
        <v>441</v>
      </c>
      <c r="G651" s="2">
        <v>43299</v>
      </c>
      <c r="H651" t="s">
        <v>200</v>
      </c>
      <c r="AB651">
        <v>92.873170950000002</v>
      </c>
    </row>
    <row r="652" spans="1:28" x14ac:dyDescent="0.25">
      <c r="A652">
        <v>652</v>
      </c>
      <c r="B652" t="s">
        <v>1501</v>
      </c>
      <c r="C652" t="s">
        <v>1120</v>
      </c>
      <c r="D652" t="s">
        <v>440</v>
      </c>
      <c r="E652">
        <v>4</v>
      </c>
      <c r="F652" t="s">
        <v>441</v>
      </c>
      <c r="G652" s="2">
        <v>43299</v>
      </c>
      <c r="H652" t="s">
        <v>200</v>
      </c>
      <c r="AB652">
        <v>97.097322950000006</v>
      </c>
    </row>
    <row r="653" spans="1:28" x14ac:dyDescent="0.25">
      <c r="A653">
        <v>653</v>
      </c>
      <c r="B653" t="s">
        <v>1502</v>
      </c>
      <c r="C653" t="s">
        <v>1121</v>
      </c>
      <c r="D653" t="s">
        <v>440</v>
      </c>
      <c r="E653">
        <v>5</v>
      </c>
      <c r="F653" t="s">
        <v>441</v>
      </c>
      <c r="G653" s="2">
        <v>43299</v>
      </c>
      <c r="H653" t="s">
        <v>200</v>
      </c>
      <c r="AB653">
        <v>93.980609740000006</v>
      </c>
    </row>
    <row r="654" spans="1:28" x14ac:dyDescent="0.25">
      <c r="A654">
        <v>654</v>
      </c>
      <c r="B654" t="s">
        <v>1503</v>
      </c>
      <c r="C654" t="s">
        <v>1255</v>
      </c>
      <c r="D654" t="s">
        <v>392</v>
      </c>
      <c r="E654">
        <v>1</v>
      </c>
      <c r="F654" t="s">
        <v>1504</v>
      </c>
      <c r="G654" s="2">
        <v>43248</v>
      </c>
      <c r="H654" t="s">
        <v>200</v>
      </c>
      <c r="AB654">
        <v>61.729718239999997</v>
      </c>
    </row>
    <row r="655" spans="1:28" x14ac:dyDescent="0.25">
      <c r="A655">
        <v>655</v>
      </c>
      <c r="B655" t="s">
        <v>1505</v>
      </c>
      <c r="C655" t="s">
        <v>1255</v>
      </c>
      <c r="D655" t="s">
        <v>392</v>
      </c>
      <c r="E655">
        <v>11</v>
      </c>
      <c r="F655" t="s">
        <v>258</v>
      </c>
      <c r="G655" s="2">
        <v>43281</v>
      </c>
      <c r="H655" t="s">
        <v>200</v>
      </c>
      <c r="AB655">
        <v>60.565864410000003</v>
      </c>
    </row>
    <row r="656" spans="1:28" x14ac:dyDescent="0.25">
      <c r="A656">
        <v>656</v>
      </c>
      <c r="B656" t="s">
        <v>1506</v>
      </c>
      <c r="C656" t="s">
        <v>1507</v>
      </c>
      <c r="D656" t="s">
        <v>392</v>
      </c>
      <c r="E656">
        <v>10</v>
      </c>
      <c r="F656" t="s">
        <v>258</v>
      </c>
      <c r="G656" s="2">
        <v>43295</v>
      </c>
      <c r="H656" t="s">
        <v>200</v>
      </c>
      <c r="AB656" t="s">
        <v>141</v>
      </c>
    </row>
    <row r="657" spans="1:28" x14ac:dyDescent="0.25">
      <c r="A657">
        <v>657</v>
      </c>
      <c r="B657" t="s">
        <v>1508</v>
      </c>
      <c r="C657" t="s">
        <v>1256</v>
      </c>
      <c r="D657" t="s">
        <v>392</v>
      </c>
      <c r="E657">
        <v>2</v>
      </c>
      <c r="F657" t="s">
        <v>258</v>
      </c>
      <c r="G657" s="2">
        <v>43281</v>
      </c>
      <c r="H657" t="s">
        <v>200</v>
      </c>
      <c r="AB657">
        <v>50.34429592</v>
      </c>
    </row>
    <row r="658" spans="1:28" x14ac:dyDescent="0.25">
      <c r="A658">
        <v>658</v>
      </c>
      <c r="B658" t="s">
        <v>1509</v>
      </c>
      <c r="C658" t="s">
        <v>308</v>
      </c>
      <c r="D658" t="s">
        <v>392</v>
      </c>
      <c r="E658">
        <v>3</v>
      </c>
      <c r="F658" t="s">
        <v>258</v>
      </c>
      <c r="G658" s="2">
        <v>43280</v>
      </c>
      <c r="H658" t="s">
        <v>200</v>
      </c>
      <c r="AB658">
        <v>57.253851449999999</v>
      </c>
    </row>
    <row r="659" spans="1:28" x14ac:dyDescent="0.25">
      <c r="A659">
        <v>659</v>
      </c>
      <c r="B659" t="s">
        <v>1510</v>
      </c>
      <c r="C659" t="s">
        <v>766</v>
      </c>
      <c r="D659" t="s">
        <v>392</v>
      </c>
      <c r="E659">
        <v>4</v>
      </c>
      <c r="F659" t="s">
        <v>258</v>
      </c>
      <c r="G659" s="2">
        <v>43280</v>
      </c>
      <c r="H659" t="s">
        <v>200</v>
      </c>
      <c r="AB659">
        <v>59.377351099999998</v>
      </c>
    </row>
    <row r="660" spans="1:28" x14ac:dyDescent="0.25">
      <c r="A660">
        <v>660</v>
      </c>
      <c r="B660" t="s">
        <v>1511</v>
      </c>
      <c r="C660" t="s">
        <v>826</v>
      </c>
      <c r="D660" t="s">
        <v>392</v>
      </c>
      <c r="E660">
        <v>5</v>
      </c>
      <c r="F660" t="s">
        <v>258</v>
      </c>
      <c r="G660" s="2">
        <v>43286</v>
      </c>
      <c r="H660" t="s">
        <v>200</v>
      </c>
      <c r="AB660" t="s">
        <v>141</v>
      </c>
    </row>
    <row r="661" spans="1:28" x14ac:dyDescent="0.25">
      <c r="A661">
        <v>661</v>
      </c>
      <c r="B661" t="s">
        <v>1512</v>
      </c>
      <c r="C661" t="s">
        <v>1513</v>
      </c>
      <c r="D661" t="s">
        <v>392</v>
      </c>
      <c r="E661">
        <v>6</v>
      </c>
      <c r="F661" t="s">
        <v>258</v>
      </c>
      <c r="G661" s="2">
        <v>43295</v>
      </c>
      <c r="H661" t="s">
        <v>200</v>
      </c>
      <c r="AB661" t="s">
        <v>141</v>
      </c>
    </row>
    <row r="662" spans="1:28" x14ac:dyDescent="0.25">
      <c r="A662">
        <v>662</v>
      </c>
      <c r="B662" t="s">
        <v>1514</v>
      </c>
      <c r="C662" t="s">
        <v>1515</v>
      </c>
      <c r="D662" t="s">
        <v>392</v>
      </c>
      <c r="E662">
        <v>7</v>
      </c>
      <c r="F662" t="s">
        <v>258</v>
      </c>
      <c r="G662" s="2">
        <v>43295</v>
      </c>
      <c r="H662" t="s">
        <v>200</v>
      </c>
      <c r="AB662" t="s">
        <v>141</v>
      </c>
    </row>
    <row r="663" spans="1:28" x14ac:dyDescent="0.25">
      <c r="A663">
        <v>663</v>
      </c>
      <c r="B663" t="s">
        <v>1516</v>
      </c>
      <c r="C663" t="s">
        <v>1517</v>
      </c>
      <c r="D663" t="s">
        <v>392</v>
      </c>
      <c r="E663">
        <v>8</v>
      </c>
      <c r="F663" t="s">
        <v>258</v>
      </c>
      <c r="G663" s="2">
        <v>43295</v>
      </c>
      <c r="H663" t="s">
        <v>200</v>
      </c>
      <c r="AB663" t="s">
        <v>141</v>
      </c>
    </row>
    <row r="664" spans="1:28" x14ac:dyDescent="0.25">
      <c r="A664">
        <v>664</v>
      </c>
      <c r="B664" t="s">
        <v>1518</v>
      </c>
      <c r="C664" t="s">
        <v>1519</v>
      </c>
      <c r="D664" t="s">
        <v>392</v>
      </c>
      <c r="E664">
        <v>9</v>
      </c>
      <c r="F664" t="s">
        <v>258</v>
      </c>
      <c r="G664" s="2">
        <v>43295</v>
      </c>
      <c r="H664" t="s">
        <v>200</v>
      </c>
      <c r="AB664" t="s">
        <v>141</v>
      </c>
    </row>
    <row r="665" spans="1:28" x14ac:dyDescent="0.25">
      <c r="A665">
        <v>665</v>
      </c>
      <c r="B665" t="s">
        <v>1520</v>
      </c>
      <c r="C665" t="s">
        <v>1521</v>
      </c>
      <c r="D665" t="s">
        <v>390</v>
      </c>
      <c r="F665" t="s">
        <v>241</v>
      </c>
      <c r="G665" s="2">
        <v>43308</v>
      </c>
      <c r="H665" t="s">
        <v>200</v>
      </c>
      <c r="AB665">
        <v>53.398547720000003</v>
      </c>
    </row>
    <row r="666" spans="1:28" x14ac:dyDescent="0.25">
      <c r="A666">
        <v>666</v>
      </c>
      <c r="B666" t="s">
        <v>1522</v>
      </c>
      <c r="C666" t="s">
        <v>1523</v>
      </c>
      <c r="D666" t="s">
        <v>390</v>
      </c>
      <c r="F666" t="s">
        <v>241</v>
      </c>
      <c r="G666" s="2">
        <v>43308</v>
      </c>
      <c r="H666" t="s">
        <v>200</v>
      </c>
      <c r="AB666">
        <v>62.701859169999999</v>
      </c>
    </row>
    <row r="667" spans="1:28" x14ac:dyDescent="0.25">
      <c r="A667">
        <v>667</v>
      </c>
      <c r="B667" t="s">
        <v>1524</v>
      </c>
      <c r="C667" t="s">
        <v>1525</v>
      </c>
      <c r="D667" t="s">
        <v>390</v>
      </c>
      <c r="F667" t="s">
        <v>241</v>
      </c>
      <c r="G667" s="2">
        <v>43308</v>
      </c>
      <c r="H667" t="s">
        <v>200</v>
      </c>
      <c r="AB667">
        <v>71.703187529999994</v>
      </c>
    </row>
    <row r="668" spans="1:28" x14ac:dyDescent="0.25">
      <c r="A668">
        <v>668</v>
      </c>
      <c r="B668" t="s">
        <v>1526</v>
      </c>
      <c r="C668" t="s">
        <v>1527</v>
      </c>
      <c r="D668" t="s">
        <v>390</v>
      </c>
      <c r="F668" t="s">
        <v>241</v>
      </c>
      <c r="G668" s="2">
        <v>43309</v>
      </c>
      <c r="H668" t="s">
        <v>200</v>
      </c>
      <c r="AB668">
        <v>60.929259770000002</v>
      </c>
    </row>
    <row r="669" spans="1:28" x14ac:dyDescent="0.25">
      <c r="A669">
        <v>669</v>
      </c>
      <c r="B669" t="s">
        <v>1528</v>
      </c>
      <c r="C669" t="s">
        <v>1529</v>
      </c>
      <c r="D669" t="s">
        <v>390</v>
      </c>
      <c r="F669" t="s">
        <v>241</v>
      </c>
      <c r="G669" s="2">
        <v>43309</v>
      </c>
      <c r="H669" t="s">
        <v>200</v>
      </c>
      <c r="AB669">
        <v>72.378446170000004</v>
      </c>
    </row>
    <row r="670" spans="1:28" x14ac:dyDescent="0.25">
      <c r="A670">
        <v>670</v>
      </c>
      <c r="B670" t="s">
        <v>1530</v>
      </c>
      <c r="C670" t="s">
        <v>412</v>
      </c>
      <c r="D670" t="s">
        <v>413</v>
      </c>
      <c r="F670" t="s">
        <v>555</v>
      </c>
      <c r="G670" s="2">
        <v>43292</v>
      </c>
      <c r="H670" t="s">
        <v>200</v>
      </c>
      <c r="AB670">
        <v>102.130793</v>
      </c>
    </row>
    <row r="671" spans="1:28" x14ac:dyDescent="0.25">
      <c r="A671">
        <v>671</v>
      </c>
      <c r="B671" t="s">
        <v>1531</v>
      </c>
      <c r="C671" t="s">
        <v>881</v>
      </c>
      <c r="D671" t="s">
        <v>413</v>
      </c>
      <c r="F671" t="s">
        <v>555</v>
      </c>
      <c r="G671" s="2">
        <v>43292</v>
      </c>
      <c r="H671" t="s">
        <v>200</v>
      </c>
      <c r="AB671">
        <v>106.0104398</v>
      </c>
    </row>
    <row r="672" spans="1:28" x14ac:dyDescent="0.25">
      <c r="A672">
        <v>672</v>
      </c>
      <c r="B672" t="s">
        <v>1532</v>
      </c>
      <c r="C672" t="s">
        <v>842</v>
      </c>
      <c r="D672" t="s">
        <v>413</v>
      </c>
      <c r="F672" t="s">
        <v>555</v>
      </c>
      <c r="G672" s="2">
        <v>43292</v>
      </c>
      <c r="H672" t="s">
        <v>200</v>
      </c>
      <c r="AB672">
        <v>123.0369262</v>
      </c>
    </row>
    <row r="673" spans="1:28" x14ac:dyDescent="0.25">
      <c r="A673">
        <v>673</v>
      </c>
      <c r="B673" t="s">
        <v>1533</v>
      </c>
      <c r="C673" t="s">
        <v>838</v>
      </c>
      <c r="D673" t="s">
        <v>413</v>
      </c>
      <c r="F673" t="s">
        <v>555</v>
      </c>
      <c r="G673" s="2">
        <v>43292</v>
      </c>
      <c r="H673" t="s">
        <v>200</v>
      </c>
      <c r="AB673">
        <v>110.52801030000001</v>
      </c>
    </row>
    <row r="674" spans="1:28" x14ac:dyDescent="0.25">
      <c r="A674">
        <v>674</v>
      </c>
      <c r="B674" t="s">
        <v>1534</v>
      </c>
      <c r="C674" t="s">
        <v>883</v>
      </c>
      <c r="D674" t="s">
        <v>413</v>
      </c>
      <c r="F674" t="s">
        <v>555</v>
      </c>
      <c r="G674" s="2">
        <v>43292</v>
      </c>
      <c r="H674" t="s">
        <v>200</v>
      </c>
      <c r="AB674">
        <v>114.6425162</v>
      </c>
    </row>
    <row r="675" spans="1:28" x14ac:dyDescent="0.25">
      <c r="A675">
        <v>675</v>
      </c>
      <c r="B675" t="s">
        <v>1535</v>
      </c>
      <c r="C675" t="s">
        <v>97</v>
      </c>
      <c r="D675" t="s">
        <v>378</v>
      </c>
      <c r="F675" t="s">
        <v>99</v>
      </c>
      <c r="G675" s="2">
        <v>43285</v>
      </c>
      <c r="H675" t="s">
        <v>200</v>
      </c>
      <c r="AB675">
        <v>85.882678179999999</v>
      </c>
    </row>
    <row r="676" spans="1:28" x14ac:dyDescent="0.25">
      <c r="A676">
        <v>676</v>
      </c>
      <c r="B676" t="s">
        <v>1536</v>
      </c>
      <c r="C676" t="s">
        <v>124</v>
      </c>
      <c r="D676" t="s">
        <v>378</v>
      </c>
      <c r="F676" t="s">
        <v>99</v>
      </c>
      <c r="G676" s="2">
        <v>43286</v>
      </c>
      <c r="H676" t="s">
        <v>200</v>
      </c>
      <c r="AB676">
        <v>85.69039472</v>
      </c>
    </row>
    <row r="677" spans="1:28" x14ac:dyDescent="0.25">
      <c r="A677">
        <v>677</v>
      </c>
      <c r="B677" t="s">
        <v>1537</v>
      </c>
      <c r="C677" t="s">
        <v>118</v>
      </c>
      <c r="D677" t="s">
        <v>378</v>
      </c>
      <c r="F677" t="s">
        <v>99</v>
      </c>
      <c r="G677" s="2">
        <v>43286</v>
      </c>
      <c r="H677" t="s">
        <v>200</v>
      </c>
      <c r="AB677">
        <v>77.285926099999998</v>
      </c>
    </row>
    <row r="678" spans="1:28" x14ac:dyDescent="0.25">
      <c r="A678">
        <v>678</v>
      </c>
      <c r="B678" t="s">
        <v>1538</v>
      </c>
      <c r="C678" t="s">
        <v>100</v>
      </c>
      <c r="D678" t="s">
        <v>378</v>
      </c>
      <c r="F678" t="s">
        <v>99</v>
      </c>
      <c r="G678" s="2">
        <v>43295</v>
      </c>
      <c r="H678" t="s">
        <v>200</v>
      </c>
      <c r="AB678">
        <v>70.903917340000007</v>
      </c>
    </row>
    <row r="679" spans="1:28" x14ac:dyDescent="0.25">
      <c r="A679">
        <v>679</v>
      </c>
      <c r="B679" t="s">
        <v>1539</v>
      </c>
      <c r="C679" t="s">
        <v>608</v>
      </c>
      <c r="D679" t="s">
        <v>378</v>
      </c>
      <c r="F679" t="s">
        <v>99</v>
      </c>
      <c r="G679" s="2">
        <v>43295</v>
      </c>
      <c r="H679" t="s">
        <v>200</v>
      </c>
      <c r="AB679">
        <v>76.095195349999997</v>
      </c>
    </row>
    <row r="680" spans="1:28" x14ac:dyDescent="0.25">
      <c r="A680">
        <v>680</v>
      </c>
      <c r="B680" t="s">
        <v>1540</v>
      </c>
      <c r="C680" t="s">
        <v>18</v>
      </c>
      <c r="D680" t="s">
        <v>347</v>
      </c>
      <c r="F680" t="s">
        <v>1541</v>
      </c>
      <c r="G680" s="2">
        <v>43246</v>
      </c>
      <c r="H680" t="s">
        <v>200</v>
      </c>
      <c r="AB680">
        <v>96.122890190000007</v>
      </c>
    </row>
    <row r="681" spans="1:28" x14ac:dyDescent="0.25">
      <c r="A681">
        <v>681</v>
      </c>
      <c r="B681" t="s">
        <v>1542</v>
      </c>
      <c r="C681" t="s">
        <v>1543</v>
      </c>
      <c r="D681" t="s">
        <v>347</v>
      </c>
      <c r="F681" t="s">
        <v>19</v>
      </c>
      <c r="G681" s="2">
        <v>43271</v>
      </c>
      <c r="H681" t="s">
        <v>200</v>
      </c>
      <c r="AB681" t="s">
        <v>141</v>
      </c>
    </row>
    <row r="682" spans="1:28" x14ac:dyDescent="0.25">
      <c r="A682">
        <v>682</v>
      </c>
      <c r="B682" t="s">
        <v>1544</v>
      </c>
      <c r="C682" t="s">
        <v>114</v>
      </c>
      <c r="D682" t="s">
        <v>347</v>
      </c>
      <c r="F682" t="s">
        <v>1541</v>
      </c>
      <c r="G682" s="2">
        <v>43248</v>
      </c>
      <c r="H682" t="s">
        <v>200</v>
      </c>
      <c r="AB682">
        <v>31.784443459999999</v>
      </c>
    </row>
    <row r="683" spans="1:28" x14ac:dyDescent="0.25">
      <c r="A683">
        <v>683</v>
      </c>
      <c r="B683" t="s">
        <v>1545</v>
      </c>
      <c r="C683" t="s">
        <v>83</v>
      </c>
      <c r="D683" t="s">
        <v>347</v>
      </c>
      <c r="F683" t="s">
        <v>19</v>
      </c>
      <c r="G683" s="2">
        <v>43251</v>
      </c>
      <c r="H683" t="s">
        <v>200</v>
      </c>
      <c r="AB683">
        <v>62.08791025</v>
      </c>
    </row>
    <row r="684" spans="1:28" x14ac:dyDescent="0.25">
      <c r="A684">
        <v>684</v>
      </c>
      <c r="B684" t="s">
        <v>1546</v>
      </c>
      <c r="C684" t="s">
        <v>116</v>
      </c>
      <c r="D684" t="s">
        <v>347</v>
      </c>
      <c r="F684" t="s">
        <v>19</v>
      </c>
      <c r="G684" s="2">
        <v>43251</v>
      </c>
      <c r="H684" t="s">
        <v>200</v>
      </c>
      <c r="AB684">
        <v>118.1201222</v>
      </c>
    </row>
    <row r="685" spans="1:28" x14ac:dyDescent="0.25">
      <c r="A685">
        <v>685</v>
      </c>
      <c r="B685" t="s">
        <v>1547</v>
      </c>
      <c r="C685" t="s">
        <v>635</v>
      </c>
      <c r="D685" t="s">
        <v>347</v>
      </c>
      <c r="F685" t="s">
        <v>19</v>
      </c>
      <c r="G685" s="2">
        <v>43251</v>
      </c>
      <c r="H685" t="s">
        <v>200</v>
      </c>
      <c r="AB685">
        <v>62.016736999999999</v>
      </c>
    </row>
    <row r="686" spans="1:28" x14ac:dyDescent="0.25">
      <c r="A686">
        <v>686</v>
      </c>
      <c r="B686" t="s">
        <v>1548</v>
      </c>
      <c r="C686" t="s">
        <v>969</v>
      </c>
      <c r="D686" t="s">
        <v>347</v>
      </c>
      <c r="F686" t="s">
        <v>19</v>
      </c>
      <c r="G686" s="2">
        <v>43271</v>
      </c>
      <c r="H686" t="s">
        <v>200</v>
      </c>
      <c r="AB686" t="s">
        <v>141</v>
      </c>
    </row>
    <row r="687" spans="1:28" x14ac:dyDescent="0.25">
      <c r="A687">
        <v>687</v>
      </c>
      <c r="B687" t="s">
        <v>1549</v>
      </c>
      <c r="C687" t="s">
        <v>1266</v>
      </c>
      <c r="D687" t="s">
        <v>347</v>
      </c>
      <c r="F687" t="s">
        <v>19</v>
      </c>
      <c r="G687" s="2">
        <v>43271</v>
      </c>
      <c r="H687" t="s">
        <v>200</v>
      </c>
      <c r="AB687" t="s">
        <v>141</v>
      </c>
    </row>
    <row r="688" spans="1:28" x14ac:dyDescent="0.25">
      <c r="A688">
        <v>688</v>
      </c>
      <c r="B688" t="s">
        <v>1550</v>
      </c>
      <c r="C688" t="s">
        <v>1551</v>
      </c>
      <c r="D688" t="s">
        <v>347</v>
      </c>
      <c r="F688" t="s">
        <v>19</v>
      </c>
      <c r="G688" s="2">
        <v>43271</v>
      </c>
      <c r="H688" t="s">
        <v>200</v>
      </c>
      <c r="AB688" t="s">
        <v>141</v>
      </c>
    </row>
    <row r="689" spans="1:28" x14ac:dyDescent="0.25">
      <c r="A689">
        <v>689</v>
      </c>
      <c r="B689" t="s">
        <v>1552</v>
      </c>
      <c r="C689" t="s">
        <v>1553</v>
      </c>
      <c r="D689" t="s">
        <v>347</v>
      </c>
      <c r="F689" t="s">
        <v>19</v>
      </c>
      <c r="G689" s="2">
        <v>43271</v>
      </c>
      <c r="H689" t="s">
        <v>200</v>
      </c>
      <c r="AB689" t="s">
        <v>141</v>
      </c>
    </row>
    <row r="690" spans="1:28" x14ac:dyDescent="0.25">
      <c r="A690">
        <v>690</v>
      </c>
      <c r="B690" t="s">
        <v>1554</v>
      </c>
      <c r="C690" t="s">
        <v>615</v>
      </c>
      <c r="D690" t="s">
        <v>625</v>
      </c>
      <c r="F690" t="s">
        <v>617</v>
      </c>
      <c r="G690" s="2">
        <v>43297</v>
      </c>
      <c r="H690" t="s">
        <v>200</v>
      </c>
      <c r="AB690">
        <v>83.038103219999996</v>
      </c>
    </row>
    <row r="691" spans="1:28" x14ac:dyDescent="0.25">
      <c r="A691">
        <v>691</v>
      </c>
      <c r="B691" t="s">
        <v>1555</v>
      </c>
      <c r="C691" t="s">
        <v>624</v>
      </c>
      <c r="D691" t="s">
        <v>625</v>
      </c>
      <c r="F691" t="s">
        <v>617</v>
      </c>
      <c r="G691" s="2">
        <v>43297</v>
      </c>
      <c r="H691" t="s">
        <v>200</v>
      </c>
      <c r="AB691">
        <v>82.069350760000006</v>
      </c>
    </row>
    <row r="692" spans="1:28" x14ac:dyDescent="0.25">
      <c r="A692">
        <v>692</v>
      </c>
      <c r="B692" t="s">
        <v>1556</v>
      </c>
      <c r="C692" t="s">
        <v>737</v>
      </c>
      <c r="D692" t="s">
        <v>625</v>
      </c>
      <c r="F692" t="s">
        <v>617</v>
      </c>
      <c r="G692" s="2">
        <v>43298</v>
      </c>
      <c r="H692" t="s">
        <v>200</v>
      </c>
      <c r="AB692">
        <v>81.582739880000005</v>
      </c>
    </row>
    <row r="693" spans="1:28" x14ac:dyDescent="0.25">
      <c r="A693">
        <v>693</v>
      </c>
      <c r="B693" t="s">
        <v>1557</v>
      </c>
      <c r="C693" t="s">
        <v>764</v>
      </c>
      <c r="D693" t="s">
        <v>625</v>
      </c>
      <c r="F693" t="s">
        <v>617</v>
      </c>
      <c r="G693" s="2">
        <v>43298</v>
      </c>
      <c r="H693" t="s">
        <v>200</v>
      </c>
      <c r="AB693">
        <v>91.990393260000005</v>
      </c>
    </row>
    <row r="694" spans="1:28" x14ac:dyDescent="0.25">
      <c r="A694">
        <v>694</v>
      </c>
      <c r="B694" t="s">
        <v>1558</v>
      </c>
      <c r="C694" t="s">
        <v>757</v>
      </c>
      <c r="D694" t="s">
        <v>625</v>
      </c>
      <c r="F694" t="s">
        <v>617</v>
      </c>
      <c r="G694" s="2">
        <v>43298</v>
      </c>
      <c r="H694" t="s">
        <v>200</v>
      </c>
      <c r="AB694">
        <v>84.534134120000004</v>
      </c>
    </row>
    <row r="695" spans="1:28" x14ac:dyDescent="0.25">
      <c r="A695">
        <v>695</v>
      </c>
      <c r="B695" t="s">
        <v>1559</v>
      </c>
      <c r="C695" t="s">
        <v>109</v>
      </c>
      <c r="D695" t="s">
        <v>362</v>
      </c>
      <c r="F695" t="s">
        <v>363</v>
      </c>
      <c r="G695" s="2">
        <v>43271</v>
      </c>
      <c r="H695" t="s">
        <v>200</v>
      </c>
      <c r="AB695">
        <v>91.866876129999994</v>
      </c>
    </row>
    <row r="696" spans="1:28" x14ac:dyDescent="0.25">
      <c r="A696">
        <v>696</v>
      </c>
      <c r="B696" t="s">
        <v>1560</v>
      </c>
      <c r="C696" t="s">
        <v>120</v>
      </c>
      <c r="D696" t="s">
        <v>362</v>
      </c>
      <c r="F696" t="s">
        <v>363</v>
      </c>
      <c r="G696" s="2">
        <v>43271</v>
      </c>
      <c r="H696" t="s">
        <v>200</v>
      </c>
      <c r="AB696">
        <v>113.0061486</v>
      </c>
    </row>
    <row r="697" spans="1:28" x14ac:dyDescent="0.25">
      <c r="A697">
        <v>697</v>
      </c>
      <c r="B697" t="s">
        <v>1561</v>
      </c>
      <c r="C697" t="s">
        <v>77</v>
      </c>
      <c r="D697" t="s">
        <v>362</v>
      </c>
      <c r="F697" t="s">
        <v>363</v>
      </c>
      <c r="G697" s="2">
        <v>43271</v>
      </c>
      <c r="H697" t="s">
        <v>200</v>
      </c>
      <c r="AB697">
        <v>115.2649686</v>
      </c>
    </row>
    <row r="698" spans="1:28" x14ac:dyDescent="0.25">
      <c r="A698">
        <v>698</v>
      </c>
      <c r="B698" t="s">
        <v>1562</v>
      </c>
      <c r="C698" t="s">
        <v>78</v>
      </c>
      <c r="D698" t="s">
        <v>362</v>
      </c>
      <c r="F698" t="s">
        <v>363</v>
      </c>
      <c r="G698" s="2">
        <v>43271</v>
      </c>
      <c r="H698" t="s">
        <v>200</v>
      </c>
      <c r="AB698">
        <v>115.05371940000001</v>
      </c>
    </row>
    <row r="699" spans="1:28" x14ac:dyDescent="0.25">
      <c r="A699">
        <v>699</v>
      </c>
      <c r="B699" t="s">
        <v>1563</v>
      </c>
      <c r="C699" t="s">
        <v>138</v>
      </c>
      <c r="D699" t="s">
        <v>362</v>
      </c>
      <c r="F699" t="s">
        <v>363</v>
      </c>
      <c r="G699" s="2">
        <v>43272</v>
      </c>
      <c r="H699" t="s">
        <v>200</v>
      </c>
      <c r="AB699">
        <v>105.829202</v>
      </c>
    </row>
    <row r="700" spans="1:28" x14ac:dyDescent="0.25">
      <c r="A700">
        <v>700</v>
      </c>
      <c r="B700" t="s">
        <v>1564</v>
      </c>
      <c r="C700" t="s">
        <v>1268</v>
      </c>
      <c r="D700" t="s">
        <v>385</v>
      </c>
      <c r="F700" t="s">
        <v>321</v>
      </c>
      <c r="G700" s="2">
        <v>43280</v>
      </c>
      <c r="H700" t="s">
        <v>200</v>
      </c>
      <c r="AB700">
        <v>82.425673759999995</v>
      </c>
    </row>
    <row r="701" spans="1:28" x14ac:dyDescent="0.25">
      <c r="A701">
        <v>701</v>
      </c>
      <c r="B701" t="s">
        <v>1565</v>
      </c>
      <c r="C701" t="s">
        <v>1269</v>
      </c>
      <c r="D701" t="s">
        <v>385</v>
      </c>
      <c r="F701" t="s">
        <v>321</v>
      </c>
      <c r="G701" s="2">
        <v>43284</v>
      </c>
      <c r="H701" t="s">
        <v>200</v>
      </c>
      <c r="AB701">
        <v>63.210588960000003</v>
      </c>
    </row>
    <row r="702" spans="1:28" x14ac:dyDescent="0.25">
      <c r="A702">
        <v>702</v>
      </c>
      <c r="B702" t="s">
        <v>1566</v>
      </c>
      <c r="C702" t="s">
        <v>291</v>
      </c>
      <c r="D702" t="s">
        <v>385</v>
      </c>
      <c r="F702" t="s">
        <v>321</v>
      </c>
      <c r="G702" s="2">
        <v>43284</v>
      </c>
      <c r="H702" t="s">
        <v>200</v>
      </c>
      <c r="AB702">
        <v>86.566601349999999</v>
      </c>
    </row>
    <row r="703" spans="1:28" x14ac:dyDescent="0.25">
      <c r="A703">
        <v>703</v>
      </c>
      <c r="B703" t="s">
        <v>1567</v>
      </c>
      <c r="C703" t="s">
        <v>1568</v>
      </c>
      <c r="D703" t="s">
        <v>385</v>
      </c>
      <c r="F703" t="s">
        <v>321</v>
      </c>
      <c r="G703" s="2">
        <v>43284</v>
      </c>
      <c r="H703" t="s">
        <v>200</v>
      </c>
      <c r="AB703">
        <v>61.824703919999997</v>
      </c>
    </row>
    <row r="704" spans="1:28" x14ac:dyDescent="0.25">
      <c r="A704">
        <v>704</v>
      </c>
      <c r="B704" t="s">
        <v>1569</v>
      </c>
      <c r="C704" t="s">
        <v>776</v>
      </c>
      <c r="D704" t="s">
        <v>385</v>
      </c>
      <c r="F704" t="s">
        <v>321</v>
      </c>
      <c r="G704" s="2">
        <v>43284</v>
      </c>
      <c r="H704" t="s">
        <v>200</v>
      </c>
      <c r="AB704">
        <v>79.199004930000001</v>
      </c>
    </row>
    <row r="705" spans="1:28" x14ac:dyDescent="0.25">
      <c r="A705">
        <v>705</v>
      </c>
      <c r="B705" t="s">
        <v>1570</v>
      </c>
      <c r="C705" t="s">
        <v>501</v>
      </c>
      <c r="D705" t="s">
        <v>502</v>
      </c>
      <c r="F705" t="s">
        <v>503</v>
      </c>
      <c r="G705" t="s">
        <v>141</v>
      </c>
      <c r="H705" t="s">
        <v>200</v>
      </c>
      <c r="AB705" t="s">
        <v>141</v>
      </c>
    </row>
    <row r="706" spans="1:28" x14ac:dyDescent="0.25">
      <c r="A706">
        <v>706</v>
      </c>
      <c r="B706" t="s">
        <v>1571</v>
      </c>
      <c r="C706" t="s">
        <v>590</v>
      </c>
      <c r="D706" t="s">
        <v>502</v>
      </c>
      <c r="F706" t="s">
        <v>503</v>
      </c>
      <c r="G706" s="2">
        <v>43286</v>
      </c>
      <c r="H706" t="s">
        <v>200</v>
      </c>
      <c r="AB706">
        <v>76.643499669999997</v>
      </c>
    </row>
    <row r="707" spans="1:28" x14ac:dyDescent="0.25">
      <c r="A707">
        <v>707</v>
      </c>
      <c r="B707" t="s">
        <v>1572</v>
      </c>
      <c r="C707" t="s">
        <v>591</v>
      </c>
      <c r="D707" t="s">
        <v>502</v>
      </c>
      <c r="F707" t="s">
        <v>503</v>
      </c>
      <c r="G707" s="2">
        <v>43286</v>
      </c>
      <c r="H707" t="s">
        <v>200</v>
      </c>
      <c r="AB707" t="s">
        <v>141</v>
      </c>
    </row>
    <row r="708" spans="1:28" x14ac:dyDescent="0.25">
      <c r="A708">
        <v>708</v>
      </c>
      <c r="B708" t="s">
        <v>1573</v>
      </c>
      <c r="C708" t="s">
        <v>595</v>
      </c>
      <c r="D708" t="s">
        <v>502</v>
      </c>
      <c r="F708" t="s">
        <v>503</v>
      </c>
      <c r="G708" s="2">
        <v>43295</v>
      </c>
      <c r="H708" t="s">
        <v>200</v>
      </c>
      <c r="AB708">
        <v>63.09551776</v>
      </c>
    </row>
    <row r="709" spans="1:28" x14ac:dyDescent="0.25">
      <c r="A709">
        <v>709</v>
      </c>
      <c r="B709" t="s">
        <v>1574</v>
      </c>
      <c r="C709" t="s">
        <v>26</v>
      </c>
      <c r="D709" t="s">
        <v>353</v>
      </c>
      <c r="F709" t="s">
        <v>287</v>
      </c>
      <c r="G709" s="2">
        <v>43248</v>
      </c>
      <c r="H709" t="s">
        <v>200</v>
      </c>
      <c r="AB709">
        <v>107.0063351</v>
      </c>
    </row>
    <row r="710" spans="1:28" x14ac:dyDescent="0.25">
      <c r="A710">
        <v>710</v>
      </c>
      <c r="B710" t="s">
        <v>1575</v>
      </c>
      <c r="C710" t="s">
        <v>1576</v>
      </c>
      <c r="D710" t="s">
        <v>353</v>
      </c>
      <c r="F710" t="s">
        <v>287</v>
      </c>
      <c r="G710" s="2">
        <v>43281</v>
      </c>
      <c r="H710" t="s">
        <v>200</v>
      </c>
      <c r="AB710" t="s">
        <v>141</v>
      </c>
    </row>
    <row r="711" spans="1:28" x14ac:dyDescent="0.25">
      <c r="A711">
        <v>711</v>
      </c>
      <c r="B711" t="s">
        <v>1577</v>
      </c>
      <c r="C711" t="s">
        <v>128</v>
      </c>
      <c r="D711" t="s">
        <v>353</v>
      </c>
      <c r="F711" t="s">
        <v>287</v>
      </c>
      <c r="H711" t="s">
        <v>200</v>
      </c>
      <c r="AB711">
        <v>77.368509239999995</v>
      </c>
    </row>
    <row r="712" spans="1:28" x14ac:dyDescent="0.25">
      <c r="A712">
        <v>712</v>
      </c>
      <c r="B712" t="s">
        <v>1578</v>
      </c>
      <c r="C712" t="s">
        <v>482</v>
      </c>
      <c r="D712" t="s">
        <v>353</v>
      </c>
      <c r="F712" t="s">
        <v>287</v>
      </c>
      <c r="H712" t="s">
        <v>200</v>
      </c>
      <c r="AB712">
        <v>80.534793399999998</v>
      </c>
    </row>
    <row r="713" spans="1:28" x14ac:dyDescent="0.25">
      <c r="A713">
        <v>713</v>
      </c>
      <c r="B713" t="s">
        <v>1579</v>
      </c>
      <c r="C713" t="s">
        <v>1272</v>
      </c>
      <c r="D713" t="s">
        <v>353</v>
      </c>
      <c r="F713" t="s">
        <v>287</v>
      </c>
      <c r="H713" t="s">
        <v>200</v>
      </c>
      <c r="AB713">
        <v>77.448455730000006</v>
      </c>
    </row>
    <row r="714" spans="1:28" x14ac:dyDescent="0.25">
      <c r="A714">
        <v>714</v>
      </c>
      <c r="B714" t="s">
        <v>1580</v>
      </c>
      <c r="C714" t="s">
        <v>828</v>
      </c>
      <c r="D714" t="s">
        <v>353</v>
      </c>
      <c r="F714" t="s">
        <v>287</v>
      </c>
      <c r="H714" t="s">
        <v>200</v>
      </c>
      <c r="AB714">
        <v>80.576984859999996</v>
      </c>
    </row>
    <row r="715" spans="1:28" x14ac:dyDescent="0.25">
      <c r="A715">
        <v>715</v>
      </c>
      <c r="B715" t="s">
        <v>1581</v>
      </c>
      <c r="C715" t="s">
        <v>1267</v>
      </c>
      <c r="D715" t="s">
        <v>353</v>
      </c>
      <c r="F715" t="s">
        <v>287</v>
      </c>
      <c r="H715" t="s">
        <v>200</v>
      </c>
      <c r="AB715" t="s">
        <v>141</v>
      </c>
    </row>
    <row r="716" spans="1:28" x14ac:dyDescent="0.25">
      <c r="A716">
        <v>716</v>
      </c>
      <c r="B716" t="s">
        <v>1582</v>
      </c>
      <c r="C716" t="s">
        <v>1583</v>
      </c>
      <c r="D716" t="s">
        <v>353</v>
      </c>
      <c r="F716" t="s">
        <v>287</v>
      </c>
      <c r="H716" t="s">
        <v>200</v>
      </c>
      <c r="AB716" t="s">
        <v>141</v>
      </c>
    </row>
    <row r="717" spans="1:28" x14ac:dyDescent="0.25">
      <c r="A717">
        <v>717</v>
      </c>
      <c r="B717" t="s">
        <v>1584</v>
      </c>
      <c r="C717" t="s">
        <v>1585</v>
      </c>
      <c r="D717" t="s">
        <v>353</v>
      </c>
      <c r="F717" t="s">
        <v>287</v>
      </c>
      <c r="H717" t="s">
        <v>200</v>
      </c>
      <c r="AB717" t="s">
        <v>141</v>
      </c>
    </row>
    <row r="718" spans="1:28" x14ac:dyDescent="0.25">
      <c r="A718">
        <v>718</v>
      </c>
      <c r="B718" t="s">
        <v>1586</v>
      </c>
      <c r="C718" t="s">
        <v>1587</v>
      </c>
      <c r="D718" t="s">
        <v>353</v>
      </c>
      <c r="F718" t="s">
        <v>287</v>
      </c>
      <c r="H718" t="s">
        <v>200</v>
      </c>
      <c r="AB718" t="s">
        <v>141</v>
      </c>
    </row>
  </sheetData>
  <autoFilter ref="A1:AC473" xr:uid="{00000000-0009-0000-0000-000000000000}">
    <sortState ref="A2:AC473">
      <sortCondition ref="A1:A473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9"/>
  <sheetViews>
    <sheetView zoomScaleNormal="100" workbookViewId="0">
      <pane ySplit="1" topLeftCell="A454" activePane="bottomLeft" state="frozen"/>
      <selection activeCell="A349" sqref="A349"/>
      <selection pane="bottomLeft" activeCell="Q479" sqref="Q479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962</v>
      </c>
      <c r="B1" t="s">
        <v>338</v>
      </c>
      <c r="C1" t="s">
        <v>1198</v>
      </c>
      <c r="D1" t="s">
        <v>0</v>
      </c>
      <c r="E1" t="s">
        <v>339</v>
      </c>
      <c r="F1" t="s">
        <v>1</v>
      </c>
      <c r="G1" t="s">
        <v>142</v>
      </c>
      <c r="H1" t="s">
        <v>143</v>
      </c>
      <c r="I1" t="s">
        <v>133</v>
      </c>
      <c r="J1" t="s">
        <v>318</v>
      </c>
      <c r="K1" t="s">
        <v>319</v>
      </c>
      <c r="L1" t="s">
        <v>320</v>
      </c>
      <c r="M1" t="s">
        <v>327</v>
      </c>
      <c r="N1" t="s">
        <v>137</v>
      </c>
      <c r="O1" t="s">
        <v>144</v>
      </c>
      <c r="P1" t="s">
        <v>136</v>
      </c>
      <c r="Q1" t="s">
        <v>140</v>
      </c>
      <c r="R1" t="s">
        <v>139</v>
      </c>
      <c r="S1" t="s">
        <v>549</v>
      </c>
      <c r="T1" t="s">
        <v>333</v>
      </c>
    </row>
    <row r="2" spans="1:20" x14ac:dyDescent="0.25">
      <c r="A2">
        <v>79</v>
      </c>
      <c r="B2" t="s">
        <v>93</v>
      </c>
      <c r="D2" t="s">
        <v>366</v>
      </c>
      <c r="E2">
        <v>1</v>
      </c>
      <c r="F2" t="s">
        <v>281</v>
      </c>
      <c r="G2" t="s">
        <v>141</v>
      </c>
      <c r="H2" t="s">
        <v>141</v>
      </c>
      <c r="I2" t="s">
        <v>135</v>
      </c>
      <c r="J2">
        <v>7.42</v>
      </c>
      <c r="K2">
        <v>4.99</v>
      </c>
      <c r="L2">
        <f t="shared" ref="L2:L65" si="0">(J2-K2)/2</f>
        <v>1.2149999999999999</v>
      </c>
      <c r="M2">
        <f t="shared" ref="M2:M65" si="1">L2/J2</f>
        <v>0.1637466307277628</v>
      </c>
      <c r="N2">
        <v>0.56200000000000006</v>
      </c>
      <c r="O2">
        <v>0.02</v>
      </c>
      <c r="P2">
        <f t="shared" ref="P2:P33" si="2">N2-O2</f>
        <v>0.54200000000000004</v>
      </c>
      <c r="Q2">
        <v>0.248</v>
      </c>
      <c r="R2">
        <f t="shared" ref="R2:R65" si="3">Q2/P2</f>
        <v>0.45756457564575642</v>
      </c>
    </row>
    <row r="3" spans="1:20" x14ac:dyDescent="0.25">
      <c r="A3">
        <v>453</v>
      </c>
      <c r="B3" t="s">
        <v>108</v>
      </c>
      <c r="D3" t="s">
        <v>366</v>
      </c>
      <c r="E3">
        <v>2</v>
      </c>
      <c r="F3" t="s">
        <v>281</v>
      </c>
      <c r="I3" t="s">
        <v>135</v>
      </c>
      <c r="J3">
        <v>6.81</v>
      </c>
      <c r="K3">
        <v>4.9400000000000004</v>
      </c>
      <c r="L3">
        <f t="shared" si="0"/>
        <v>0.93499999999999961</v>
      </c>
      <c r="M3">
        <f t="shared" si="1"/>
        <v>0.13729809104258439</v>
      </c>
      <c r="N3">
        <v>0.66</v>
      </c>
      <c r="O3">
        <v>2.7E-2</v>
      </c>
      <c r="P3">
        <f t="shared" si="2"/>
        <v>0.63300000000000001</v>
      </c>
      <c r="Q3">
        <v>0.23799999999999999</v>
      </c>
      <c r="R3">
        <f t="shared" si="3"/>
        <v>0.37598736176935227</v>
      </c>
    </row>
    <row r="4" spans="1:20" x14ac:dyDescent="0.25">
      <c r="A4">
        <v>147</v>
      </c>
      <c r="B4" t="s">
        <v>84</v>
      </c>
      <c r="D4" t="s">
        <v>366</v>
      </c>
      <c r="E4">
        <v>3</v>
      </c>
      <c r="F4" t="s">
        <v>281</v>
      </c>
      <c r="G4" t="s">
        <v>141</v>
      </c>
      <c r="H4" t="s">
        <v>141</v>
      </c>
      <c r="I4" t="s">
        <v>134</v>
      </c>
      <c r="J4">
        <v>5.38</v>
      </c>
      <c r="K4">
        <v>4.03</v>
      </c>
      <c r="L4">
        <f t="shared" si="0"/>
        <v>0.67499999999999982</v>
      </c>
      <c r="M4">
        <f t="shared" si="1"/>
        <v>0.12546468401486985</v>
      </c>
      <c r="N4">
        <v>0.39</v>
      </c>
      <c r="O4">
        <v>0.03</v>
      </c>
      <c r="P4">
        <f t="shared" si="2"/>
        <v>0.36</v>
      </c>
      <c r="Q4">
        <v>0.188</v>
      </c>
      <c r="R4">
        <f t="shared" si="3"/>
        <v>0.52222222222222225</v>
      </c>
    </row>
    <row r="5" spans="1:20" x14ac:dyDescent="0.25">
      <c r="A5">
        <v>32</v>
      </c>
      <c r="B5" t="s">
        <v>1233</v>
      </c>
      <c r="C5" t="s">
        <v>280</v>
      </c>
      <c r="D5" t="s">
        <v>366</v>
      </c>
      <c r="E5">
        <v>4</v>
      </c>
      <c r="F5" t="s">
        <v>281</v>
      </c>
      <c r="G5" t="s">
        <v>141</v>
      </c>
      <c r="H5" t="s">
        <v>141</v>
      </c>
      <c r="I5" t="s">
        <v>135</v>
      </c>
      <c r="J5">
        <v>5.45</v>
      </c>
      <c r="K5">
        <v>4.3600000000000003</v>
      </c>
      <c r="L5">
        <f t="shared" si="0"/>
        <v>0.54499999999999993</v>
      </c>
      <c r="M5">
        <f t="shared" si="1"/>
        <v>9.9999999999999978E-2</v>
      </c>
      <c r="N5">
        <v>0.75</v>
      </c>
      <c r="O5">
        <v>0.02</v>
      </c>
      <c r="P5">
        <f t="shared" si="2"/>
        <v>0.73</v>
      </c>
      <c r="Q5">
        <v>0.24199999999999999</v>
      </c>
      <c r="R5">
        <f t="shared" si="3"/>
        <v>0.33150684931506852</v>
      </c>
    </row>
    <row r="6" spans="1:20" x14ac:dyDescent="0.25">
      <c r="A6">
        <v>180</v>
      </c>
      <c r="B6" t="s">
        <v>475</v>
      </c>
      <c r="D6" t="s">
        <v>366</v>
      </c>
      <c r="E6">
        <v>5</v>
      </c>
      <c r="F6" t="s">
        <v>281</v>
      </c>
      <c r="G6" t="s">
        <v>141</v>
      </c>
      <c r="H6" t="s">
        <v>141</v>
      </c>
      <c r="I6" t="s">
        <v>135</v>
      </c>
      <c r="J6">
        <v>10.15</v>
      </c>
      <c r="K6">
        <v>6.88</v>
      </c>
      <c r="L6">
        <f t="shared" si="0"/>
        <v>1.6350000000000002</v>
      </c>
      <c r="M6">
        <f t="shared" si="1"/>
        <v>0.16108374384236454</v>
      </c>
      <c r="N6">
        <v>1.333</v>
      </c>
      <c r="O6">
        <v>2.5999999999999999E-2</v>
      </c>
      <c r="P6">
        <f t="shared" si="2"/>
        <v>1.3069999999999999</v>
      </c>
      <c r="Q6">
        <v>0.54</v>
      </c>
      <c r="R6">
        <f t="shared" si="3"/>
        <v>0.41315990818668713</v>
      </c>
    </row>
    <row r="7" spans="1:20" x14ac:dyDescent="0.25">
      <c r="A7">
        <v>442</v>
      </c>
      <c r="B7" t="s">
        <v>1067</v>
      </c>
      <c r="D7" t="s">
        <v>366</v>
      </c>
      <c r="E7">
        <v>6</v>
      </c>
      <c r="F7" t="s">
        <v>281</v>
      </c>
      <c r="I7" t="s">
        <v>135</v>
      </c>
      <c r="J7">
        <v>7</v>
      </c>
      <c r="K7">
        <v>4.75</v>
      </c>
      <c r="L7">
        <f t="shared" si="0"/>
        <v>1.125</v>
      </c>
      <c r="M7">
        <f t="shared" si="1"/>
        <v>0.16071428571428573</v>
      </c>
      <c r="N7">
        <v>0.308</v>
      </c>
      <c r="O7">
        <v>2.7E-2</v>
      </c>
      <c r="P7">
        <f t="shared" si="2"/>
        <v>0.28099999999999997</v>
      </c>
      <c r="Q7">
        <v>0.127</v>
      </c>
      <c r="R7">
        <f t="shared" si="3"/>
        <v>0.45195729537366552</v>
      </c>
    </row>
    <row r="8" spans="1:20" x14ac:dyDescent="0.25">
      <c r="A8">
        <v>152</v>
      </c>
      <c r="B8" t="s">
        <v>536</v>
      </c>
      <c r="D8" t="s">
        <v>505</v>
      </c>
      <c r="E8">
        <v>1</v>
      </c>
      <c r="F8" t="s">
        <v>506</v>
      </c>
      <c r="G8" t="s">
        <v>141</v>
      </c>
      <c r="H8" t="s">
        <v>141</v>
      </c>
      <c r="I8" t="s">
        <v>135</v>
      </c>
      <c r="J8">
        <v>8.19</v>
      </c>
      <c r="K8">
        <v>7.09</v>
      </c>
      <c r="L8">
        <f t="shared" si="0"/>
        <v>0.54999999999999982</v>
      </c>
      <c r="M8">
        <f t="shared" si="1"/>
        <v>6.7155067155067139E-2</v>
      </c>
      <c r="N8">
        <v>0.61099999999999999</v>
      </c>
      <c r="O8">
        <v>2.5999999999999999E-2</v>
      </c>
      <c r="P8">
        <f t="shared" si="2"/>
        <v>0.58499999999999996</v>
      </c>
      <c r="Q8">
        <v>0.52</v>
      </c>
      <c r="R8">
        <f t="shared" si="3"/>
        <v>0.88888888888888895</v>
      </c>
    </row>
    <row r="9" spans="1:20" x14ac:dyDescent="0.25">
      <c r="A9">
        <v>169</v>
      </c>
      <c r="B9" t="s">
        <v>504</v>
      </c>
      <c r="D9" t="s">
        <v>505</v>
      </c>
      <c r="E9">
        <v>2</v>
      </c>
      <c r="F9" t="s">
        <v>506</v>
      </c>
      <c r="G9" t="s">
        <v>141</v>
      </c>
      <c r="H9" t="s">
        <v>141</v>
      </c>
      <c r="I9" t="s">
        <v>135</v>
      </c>
      <c r="J9">
        <v>9.0500000000000007</v>
      </c>
      <c r="K9">
        <v>7.51</v>
      </c>
      <c r="L9">
        <f t="shared" si="0"/>
        <v>0.77000000000000046</v>
      </c>
      <c r="M9">
        <f t="shared" si="1"/>
        <v>8.5082872928176845E-2</v>
      </c>
      <c r="N9">
        <v>0.46</v>
      </c>
      <c r="O9">
        <v>2.5999999999999999E-2</v>
      </c>
      <c r="P9">
        <f t="shared" si="2"/>
        <v>0.434</v>
      </c>
      <c r="Q9">
        <v>0.40100000000000002</v>
      </c>
      <c r="R9">
        <f t="shared" si="3"/>
        <v>0.92396313364055305</v>
      </c>
    </row>
    <row r="10" spans="1:20" x14ac:dyDescent="0.25">
      <c r="A10">
        <v>291</v>
      </c>
      <c r="B10" t="s">
        <v>808</v>
      </c>
      <c r="D10" t="s">
        <v>505</v>
      </c>
      <c r="E10">
        <v>3</v>
      </c>
      <c r="F10" t="s">
        <v>506</v>
      </c>
      <c r="G10" t="s">
        <v>141</v>
      </c>
      <c r="H10" t="s">
        <v>141</v>
      </c>
      <c r="I10" t="s">
        <v>135</v>
      </c>
      <c r="J10">
        <v>7.25</v>
      </c>
      <c r="K10">
        <v>6.32</v>
      </c>
      <c r="L10">
        <f t="shared" si="0"/>
        <v>0.46499999999999986</v>
      </c>
      <c r="M10">
        <f t="shared" si="1"/>
        <v>6.4137931034482745E-2</v>
      </c>
      <c r="N10">
        <v>0.60399999999999998</v>
      </c>
      <c r="O10">
        <v>2.1999999999999999E-2</v>
      </c>
      <c r="P10">
        <f t="shared" si="2"/>
        <v>0.58199999999999996</v>
      </c>
      <c r="Q10">
        <v>0.45</v>
      </c>
      <c r="R10">
        <f t="shared" si="3"/>
        <v>0.77319587628865982</v>
      </c>
    </row>
    <row r="11" spans="1:20" x14ac:dyDescent="0.25">
      <c r="A11">
        <v>328</v>
      </c>
      <c r="B11" t="s">
        <v>878</v>
      </c>
      <c r="D11" t="s">
        <v>505</v>
      </c>
      <c r="E11">
        <v>4</v>
      </c>
      <c r="F11" t="s">
        <v>506</v>
      </c>
      <c r="G11" t="s">
        <v>141</v>
      </c>
      <c r="H11" t="s">
        <v>141</v>
      </c>
      <c r="I11" t="s">
        <v>135</v>
      </c>
      <c r="J11">
        <v>5.01</v>
      </c>
      <c r="K11">
        <v>4.4000000000000004</v>
      </c>
      <c r="L11">
        <f t="shared" si="0"/>
        <v>0.30499999999999972</v>
      </c>
      <c r="M11">
        <f t="shared" si="1"/>
        <v>6.0878243512973995E-2</v>
      </c>
      <c r="N11">
        <v>0.44</v>
      </c>
      <c r="O11">
        <v>2.1999999999999999E-2</v>
      </c>
      <c r="P11">
        <f t="shared" si="2"/>
        <v>0.41799999999999998</v>
      </c>
      <c r="Q11">
        <v>0.36099999999999999</v>
      </c>
      <c r="R11">
        <f t="shared" si="3"/>
        <v>0.86363636363636365</v>
      </c>
    </row>
    <row r="12" spans="1:20" x14ac:dyDescent="0.25">
      <c r="A12">
        <v>429</v>
      </c>
      <c r="B12" t="s">
        <v>1023</v>
      </c>
      <c r="D12" t="s">
        <v>505</v>
      </c>
      <c r="E12">
        <v>5</v>
      </c>
      <c r="F12" t="s">
        <v>506</v>
      </c>
      <c r="G12" t="s">
        <v>141</v>
      </c>
      <c r="H12" t="s">
        <v>141</v>
      </c>
      <c r="I12" t="s">
        <v>135</v>
      </c>
      <c r="J12">
        <v>5.86</v>
      </c>
      <c r="K12">
        <v>5.3</v>
      </c>
      <c r="L12">
        <f t="shared" si="0"/>
        <v>0.28000000000000025</v>
      </c>
      <c r="M12">
        <f t="shared" si="1"/>
        <v>4.7781569965870345E-2</v>
      </c>
      <c r="N12">
        <v>0.98299999999999998</v>
      </c>
      <c r="O12">
        <v>2.7E-2</v>
      </c>
      <c r="P12">
        <f t="shared" si="2"/>
        <v>0.95599999999999996</v>
      </c>
      <c r="Q12">
        <v>0.51300000000000001</v>
      </c>
      <c r="R12">
        <f t="shared" si="3"/>
        <v>0.53661087866108792</v>
      </c>
    </row>
    <row r="13" spans="1:20" x14ac:dyDescent="0.25">
      <c r="A13">
        <v>177</v>
      </c>
      <c r="B13" t="s">
        <v>472</v>
      </c>
      <c r="D13" t="s">
        <v>430</v>
      </c>
      <c r="E13">
        <v>1</v>
      </c>
      <c r="F13" t="s">
        <v>506</v>
      </c>
      <c r="G13" t="s">
        <v>141</v>
      </c>
      <c r="H13" t="s">
        <v>141</v>
      </c>
      <c r="I13" t="s">
        <v>135</v>
      </c>
      <c r="J13">
        <v>5.74</v>
      </c>
      <c r="K13">
        <v>4.7</v>
      </c>
      <c r="L13">
        <f t="shared" si="0"/>
        <v>0.52</v>
      </c>
      <c r="M13">
        <f t="shared" si="1"/>
        <v>9.0592334494773524E-2</v>
      </c>
      <c r="N13">
        <v>0.52</v>
      </c>
      <c r="O13">
        <v>2.5999999999999999E-2</v>
      </c>
      <c r="P13">
        <f t="shared" si="2"/>
        <v>0.49399999999999999</v>
      </c>
      <c r="Q13">
        <v>0.35399999999999998</v>
      </c>
      <c r="R13">
        <f t="shared" si="3"/>
        <v>0.7165991902834008</v>
      </c>
    </row>
    <row r="14" spans="1:20" x14ac:dyDescent="0.25">
      <c r="A14">
        <v>227</v>
      </c>
      <c r="B14" t="s">
        <v>471</v>
      </c>
      <c r="D14" t="s">
        <v>430</v>
      </c>
      <c r="E14">
        <v>2</v>
      </c>
      <c r="F14" t="s">
        <v>431</v>
      </c>
      <c r="G14" t="s">
        <v>141</v>
      </c>
      <c r="H14" t="s">
        <v>141</v>
      </c>
      <c r="I14" t="s">
        <v>135</v>
      </c>
      <c r="J14">
        <v>5.75</v>
      </c>
      <c r="K14">
        <v>4.58</v>
      </c>
      <c r="L14">
        <f t="shared" si="0"/>
        <v>0.58499999999999996</v>
      </c>
      <c r="M14">
        <f t="shared" si="1"/>
        <v>0.1017391304347826</v>
      </c>
      <c r="N14">
        <v>0.47499999999999998</v>
      </c>
      <c r="O14">
        <v>2.5999999999999999E-2</v>
      </c>
      <c r="P14">
        <f t="shared" si="2"/>
        <v>0.44899999999999995</v>
      </c>
      <c r="Q14">
        <v>0.317</v>
      </c>
      <c r="R14">
        <f t="shared" si="3"/>
        <v>0.70601336302895334</v>
      </c>
      <c r="S14" t="s">
        <v>551</v>
      </c>
    </row>
    <row r="15" spans="1:20" x14ac:dyDescent="0.25">
      <c r="A15">
        <v>211</v>
      </c>
      <c r="B15" t="s">
        <v>429</v>
      </c>
      <c r="C15" t="s">
        <v>554</v>
      </c>
      <c r="D15" t="s">
        <v>430</v>
      </c>
      <c r="E15">
        <v>3</v>
      </c>
      <c r="F15" t="s">
        <v>553</v>
      </c>
      <c r="G15" t="s">
        <v>141</v>
      </c>
      <c r="H15" t="s">
        <v>141</v>
      </c>
      <c r="I15" t="s">
        <v>135</v>
      </c>
      <c r="J15">
        <v>9.01</v>
      </c>
      <c r="K15">
        <v>7.41</v>
      </c>
      <c r="L15">
        <f t="shared" si="0"/>
        <v>0.79999999999999982</v>
      </c>
      <c r="M15">
        <f t="shared" si="1"/>
        <v>8.8790233074361805E-2</v>
      </c>
      <c r="N15">
        <v>1.0920000000000001</v>
      </c>
      <c r="O15">
        <v>2.5999999999999999E-2</v>
      </c>
      <c r="P15">
        <f t="shared" si="2"/>
        <v>1.0660000000000001</v>
      </c>
      <c r="Q15">
        <v>0.71299999999999997</v>
      </c>
      <c r="R15">
        <f t="shared" si="3"/>
        <v>0.66885553470919323</v>
      </c>
      <c r="S15" t="s">
        <v>551</v>
      </c>
    </row>
    <row r="16" spans="1:20" x14ac:dyDescent="0.25">
      <c r="A16">
        <v>188</v>
      </c>
      <c r="B16" t="s">
        <v>453</v>
      </c>
      <c r="C16" t="s">
        <v>552</v>
      </c>
      <c r="D16" t="s">
        <v>430</v>
      </c>
      <c r="E16">
        <v>4</v>
      </c>
      <c r="F16" t="s">
        <v>553</v>
      </c>
      <c r="G16" t="s">
        <v>141</v>
      </c>
      <c r="H16" t="s">
        <v>141</v>
      </c>
      <c r="I16" t="s">
        <v>135</v>
      </c>
      <c r="J16">
        <v>7.28</v>
      </c>
      <c r="K16">
        <v>6.15</v>
      </c>
      <c r="L16">
        <f t="shared" si="0"/>
        <v>0.56499999999999995</v>
      </c>
      <c r="M16">
        <f t="shared" si="1"/>
        <v>7.7609890109890098E-2</v>
      </c>
      <c r="N16">
        <v>0.61</v>
      </c>
      <c r="O16">
        <v>2.5999999999999999E-2</v>
      </c>
      <c r="P16">
        <f t="shared" si="2"/>
        <v>0.58399999999999996</v>
      </c>
      <c r="Q16">
        <v>0.42699999999999999</v>
      </c>
      <c r="R16">
        <f t="shared" si="3"/>
        <v>0.73116438356164382</v>
      </c>
      <c r="S16" t="s">
        <v>551</v>
      </c>
    </row>
    <row r="17" spans="1:19" x14ac:dyDescent="0.25">
      <c r="A17">
        <v>401</v>
      </c>
      <c r="B17" t="s">
        <v>954</v>
      </c>
      <c r="D17" t="s">
        <v>430</v>
      </c>
      <c r="E17">
        <v>5</v>
      </c>
      <c r="F17" t="s">
        <v>431</v>
      </c>
      <c r="G17" t="s">
        <v>141</v>
      </c>
      <c r="H17" t="s">
        <v>141</v>
      </c>
      <c r="I17" t="s">
        <v>135</v>
      </c>
      <c r="J17">
        <v>4.6100000000000003</v>
      </c>
      <c r="K17">
        <v>3.62</v>
      </c>
      <c r="L17">
        <f t="shared" si="0"/>
        <v>0.49500000000000011</v>
      </c>
      <c r="M17">
        <f t="shared" si="1"/>
        <v>0.10737527114967464</v>
      </c>
      <c r="N17">
        <v>0.21</v>
      </c>
      <c r="O17">
        <v>2.1999999999999999E-2</v>
      </c>
      <c r="P17">
        <f t="shared" si="2"/>
        <v>0.188</v>
      </c>
      <c r="Q17">
        <v>0.14099999999999999</v>
      </c>
      <c r="R17">
        <f t="shared" si="3"/>
        <v>0.74999999999999989</v>
      </c>
    </row>
    <row r="18" spans="1:19" x14ac:dyDescent="0.25">
      <c r="A18">
        <v>397</v>
      </c>
      <c r="B18" t="s">
        <v>947</v>
      </c>
      <c r="D18" t="s">
        <v>430</v>
      </c>
      <c r="E18">
        <v>6</v>
      </c>
      <c r="F18" t="s">
        <v>431</v>
      </c>
      <c r="G18" t="s">
        <v>141</v>
      </c>
      <c r="H18" t="s">
        <v>141</v>
      </c>
      <c r="I18" t="s">
        <v>135</v>
      </c>
      <c r="J18">
        <v>4.7300000000000004</v>
      </c>
      <c r="K18">
        <v>3.52</v>
      </c>
      <c r="L18">
        <f t="shared" si="0"/>
        <v>0.6050000000000002</v>
      </c>
      <c r="M18">
        <f t="shared" si="1"/>
        <v>0.12790697674418608</v>
      </c>
      <c r="N18">
        <v>0.27400000000000002</v>
      </c>
      <c r="O18">
        <v>2.1999999999999999E-2</v>
      </c>
      <c r="P18">
        <f t="shared" si="2"/>
        <v>0.252</v>
      </c>
      <c r="Q18">
        <v>0.187</v>
      </c>
      <c r="R18">
        <f t="shared" si="3"/>
        <v>0.74206349206349209</v>
      </c>
    </row>
    <row r="19" spans="1:19" x14ac:dyDescent="0.25">
      <c r="A19">
        <v>348</v>
      </c>
      <c r="B19" t="s">
        <v>849</v>
      </c>
      <c r="D19" t="s">
        <v>850</v>
      </c>
      <c r="E19">
        <v>1</v>
      </c>
      <c r="F19" t="s">
        <v>851</v>
      </c>
      <c r="G19" t="s">
        <v>141</v>
      </c>
      <c r="H19" t="s">
        <v>141</v>
      </c>
      <c r="I19" t="s">
        <v>135</v>
      </c>
      <c r="J19">
        <v>8.52</v>
      </c>
      <c r="K19">
        <v>6.04</v>
      </c>
      <c r="L19">
        <f t="shared" si="0"/>
        <v>1.2399999999999998</v>
      </c>
      <c r="M19">
        <f t="shared" si="1"/>
        <v>0.14553990610328638</v>
      </c>
      <c r="N19">
        <v>0.78400000000000003</v>
      </c>
      <c r="O19">
        <v>2.1999999999999999E-2</v>
      </c>
      <c r="P19">
        <f t="shared" si="2"/>
        <v>0.76200000000000001</v>
      </c>
      <c r="Q19">
        <v>0.20200000000000001</v>
      </c>
      <c r="R19">
        <f t="shared" si="3"/>
        <v>0.26509186351706038</v>
      </c>
    </row>
    <row r="20" spans="1:19" x14ac:dyDescent="0.25">
      <c r="A20">
        <v>431</v>
      </c>
      <c r="B20" t="s">
        <v>1025</v>
      </c>
      <c r="D20" t="s">
        <v>850</v>
      </c>
      <c r="E20">
        <v>2</v>
      </c>
      <c r="F20" t="s">
        <v>851</v>
      </c>
      <c r="G20" t="s">
        <v>141</v>
      </c>
      <c r="H20" t="s">
        <v>141</v>
      </c>
      <c r="I20" t="s">
        <v>135</v>
      </c>
      <c r="J20">
        <v>5.96</v>
      </c>
      <c r="K20">
        <v>4.2</v>
      </c>
      <c r="L20">
        <f t="shared" si="0"/>
        <v>0.87999999999999989</v>
      </c>
      <c r="M20">
        <f t="shared" si="1"/>
        <v>0.14765100671140938</v>
      </c>
      <c r="N20">
        <v>0.67300000000000004</v>
      </c>
      <c r="O20">
        <v>2.7E-2</v>
      </c>
      <c r="P20">
        <f t="shared" si="2"/>
        <v>0.64600000000000002</v>
      </c>
      <c r="Q20">
        <v>0.17299999999999999</v>
      </c>
      <c r="R20">
        <f t="shared" si="3"/>
        <v>0.2678018575851393</v>
      </c>
    </row>
    <row r="21" spans="1:19" x14ac:dyDescent="0.25">
      <c r="A21">
        <v>110</v>
      </c>
      <c r="B21" t="s">
        <v>1212</v>
      </c>
      <c r="C21" t="s">
        <v>490</v>
      </c>
      <c r="D21" t="s">
        <v>434</v>
      </c>
      <c r="E21">
        <v>1</v>
      </c>
      <c r="F21" t="s">
        <v>481</v>
      </c>
      <c r="G21" t="s">
        <v>141</v>
      </c>
      <c r="H21" t="s">
        <v>141</v>
      </c>
      <c r="I21" t="s">
        <v>135</v>
      </c>
      <c r="J21">
        <v>8.49</v>
      </c>
      <c r="K21">
        <v>5.0999999999999996</v>
      </c>
      <c r="L21">
        <f t="shared" si="0"/>
        <v>1.6950000000000003</v>
      </c>
      <c r="M21">
        <f t="shared" si="1"/>
        <v>0.19964664310954067</v>
      </c>
      <c r="N21">
        <v>0.46800000000000003</v>
      </c>
      <c r="O21">
        <v>0.03</v>
      </c>
      <c r="P21">
        <f t="shared" si="2"/>
        <v>0.43800000000000006</v>
      </c>
      <c r="Q21">
        <v>0.17299999999999999</v>
      </c>
      <c r="R21">
        <f t="shared" si="3"/>
        <v>0.39497716894977158</v>
      </c>
    </row>
    <row r="22" spans="1:19" x14ac:dyDescent="0.25">
      <c r="A22">
        <v>106</v>
      </c>
      <c r="B22" t="s">
        <v>1211</v>
      </c>
      <c r="C22" t="s">
        <v>488</v>
      </c>
      <c r="D22" t="s">
        <v>434</v>
      </c>
      <c r="E22">
        <v>2</v>
      </c>
      <c r="F22" t="s">
        <v>481</v>
      </c>
      <c r="G22" t="s">
        <v>141</v>
      </c>
      <c r="H22" t="s">
        <v>141</v>
      </c>
      <c r="I22" t="s">
        <v>135</v>
      </c>
      <c r="J22">
        <v>6.08</v>
      </c>
      <c r="K22">
        <v>3.7</v>
      </c>
      <c r="L22">
        <f t="shared" si="0"/>
        <v>1.19</v>
      </c>
      <c r="M22">
        <f t="shared" si="1"/>
        <v>0.1957236842105263</v>
      </c>
      <c r="N22">
        <v>0.38700000000000001</v>
      </c>
      <c r="O22">
        <v>0.03</v>
      </c>
      <c r="P22">
        <f t="shared" si="2"/>
        <v>0.35699999999999998</v>
      </c>
      <c r="Q22">
        <v>0.127</v>
      </c>
      <c r="R22">
        <f t="shared" si="3"/>
        <v>0.35574229691876752</v>
      </c>
    </row>
    <row r="23" spans="1:19" x14ac:dyDescent="0.25">
      <c r="A23">
        <v>212</v>
      </c>
      <c r="B23" t="s">
        <v>433</v>
      </c>
      <c r="D23" t="s">
        <v>434</v>
      </c>
      <c r="E23">
        <v>3</v>
      </c>
      <c r="F23" t="s">
        <v>481</v>
      </c>
      <c r="G23" t="s">
        <v>141</v>
      </c>
      <c r="H23" t="s">
        <v>141</v>
      </c>
      <c r="I23" t="s">
        <v>135</v>
      </c>
      <c r="J23">
        <v>11.8</v>
      </c>
      <c r="K23">
        <v>6.14</v>
      </c>
      <c r="L23">
        <f t="shared" si="0"/>
        <v>2.8300000000000005</v>
      </c>
      <c r="M23">
        <f t="shared" si="1"/>
        <v>0.23983050847457629</v>
      </c>
      <c r="N23">
        <v>1.3939999999999999</v>
      </c>
      <c r="O23">
        <v>2.5999999999999999E-2</v>
      </c>
      <c r="P23">
        <f t="shared" si="2"/>
        <v>1.3679999999999999</v>
      </c>
      <c r="Q23">
        <v>0.54</v>
      </c>
      <c r="R23">
        <f t="shared" si="3"/>
        <v>0.39473684210526322</v>
      </c>
      <c r="S23" t="s">
        <v>551</v>
      </c>
    </row>
    <row r="24" spans="1:19" x14ac:dyDescent="0.25">
      <c r="A24">
        <v>167</v>
      </c>
      <c r="B24" t="s">
        <v>518</v>
      </c>
      <c r="D24" t="s">
        <v>434</v>
      </c>
      <c r="E24">
        <v>4</v>
      </c>
      <c r="F24" t="s">
        <v>481</v>
      </c>
      <c r="G24" t="s">
        <v>141</v>
      </c>
      <c r="H24" t="s">
        <v>141</v>
      </c>
      <c r="I24" t="s">
        <v>135</v>
      </c>
      <c r="J24">
        <v>7.11</v>
      </c>
      <c r="K24">
        <v>3.47</v>
      </c>
      <c r="L24">
        <f t="shared" si="0"/>
        <v>1.82</v>
      </c>
      <c r="M24">
        <f t="shared" si="1"/>
        <v>0.25597749648382562</v>
      </c>
      <c r="N24">
        <v>0.45800000000000002</v>
      </c>
      <c r="O24">
        <v>2.5999999999999999E-2</v>
      </c>
      <c r="P24">
        <f t="shared" si="2"/>
        <v>0.432</v>
      </c>
      <c r="Q24">
        <v>0.159</v>
      </c>
      <c r="R24">
        <f t="shared" si="3"/>
        <v>0.36805555555555558</v>
      </c>
    </row>
    <row r="25" spans="1:19" x14ac:dyDescent="0.25">
      <c r="A25">
        <v>150</v>
      </c>
      <c r="B25" t="s">
        <v>540</v>
      </c>
      <c r="D25" t="s">
        <v>434</v>
      </c>
      <c r="E25">
        <v>5</v>
      </c>
      <c r="F25" t="s">
        <v>481</v>
      </c>
      <c r="G25" t="s">
        <v>141</v>
      </c>
      <c r="H25" t="s">
        <v>141</v>
      </c>
      <c r="I25" t="s">
        <v>135</v>
      </c>
      <c r="J25">
        <v>12.6</v>
      </c>
      <c r="K25">
        <v>6.83</v>
      </c>
      <c r="L25">
        <f t="shared" si="0"/>
        <v>2.8849999999999998</v>
      </c>
      <c r="M25">
        <f t="shared" si="1"/>
        <v>0.22896825396825396</v>
      </c>
      <c r="N25">
        <v>0.68200000000000005</v>
      </c>
      <c r="O25">
        <v>2.5999999999999999E-2</v>
      </c>
      <c r="P25">
        <f t="shared" si="2"/>
        <v>0.65600000000000003</v>
      </c>
      <c r="Q25">
        <v>0.217</v>
      </c>
      <c r="R25">
        <f t="shared" si="3"/>
        <v>0.33079268292682923</v>
      </c>
    </row>
    <row r="26" spans="1:19" x14ac:dyDescent="0.25">
      <c r="A26">
        <v>235</v>
      </c>
      <c r="B26" t="s">
        <v>632</v>
      </c>
      <c r="D26" t="s">
        <v>434</v>
      </c>
      <c r="E26">
        <v>6</v>
      </c>
      <c r="F26" t="s">
        <v>481</v>
      </c>
      <c r="G26" t="s">
        <v>141</v>
      </c>
      <c r="H26" t="s">
        <v>141</v>
      </c>
      <c r="I26" t="s">
        <v>135</v>
      </c>
      <c r="J26">
        <v>8.2100000000000009</v>
      </c>
      <c r="K26">
        <v>3.91</v>
      </c>
      <c r="L26">
        <f t="shared" si="0"/>
        <v>2.1500000000000004</v>
      </c>
      <c r="M26">
        <f t="shared" si="1"/>
        <v>0.26187576126674789</v>
      </c>
      <c r="N26">
        <v>0.68799999999999994</v>
      </c>
      <c r="O26">
        <v>2.1999999999999999E-2</v>
      </c>
      <c r="P26">
        <f t="shared" si="2"/>
        <v>0.66599999999999993</v>
      </c>
      <c r="Q26">
        <v>0.36899999999999999</v>
      </c>
      <c r="R26">
        <f t="shared" si="3"/>
        <v>0.55405405405405406</v>
      </c>
    </row>
    <row r="27" spans="1:19" x14ac:dyDescent="0.25">
      <c r="A27">
        <v>96</v>
      </c>
      <c r="B27" t="s">
        <v>484</v>
      </c>
      <c r="C27" t="s">
        <v>484</v>
      </c>
      <c r="D27" t="s">
        <v>393</v>
      </c>
      <c r="E27">
        <v>1</v>
      </c>
      <c r="F27" t="s">
        <v>261</v>
      </c>
      <c r="G27" t="s">
        <v>141</v>
      </c>
      <c r="H27" t="s">
        <v>141</v>
      </c>
      <c r="I27" t="s">
        <v>135</v>
      </c>
      <c r="J27">
        <v>9.4499999999999993</v>
      </c>
      <c r="K27">
        <v>4.74</v>
      </c>
      <c r="L27">
        <f t="shared" si="0"/>
        <v>2.3549999999999995</v>
      </c>
      <c r="M27">
        <f t="shared" si="1"/>
        <v>0.24920634920634918</v>
      </c>
      <c r="N27">
        <v>0.68799999999999994</v>
      </c>
      <c r="O27">
        <v>0.03</v>
      </c>
      <c r="P27">
        <f t="shared" si="2"/>
        <v>0.65799999999999992</v>
      </c>
      <c r="Q27">
        <v>0.19700000000000001</v>
      </c>
      <c r="R27">
        <f t="shared" si="3"/>
        <v>0.29939209726443772</v>
      </c>
    </row>
    <row r="28" spans="1:19" x14ac:dyDescent="0.25">
      <c r="A28">
        <v>136</v>
      </c>
      <c r="B28" t="s">
        <v>1207</v>
      </c>
      <c r="C28" t="s">
        <v>497</v>
      </c>
      <c r="D28" t="s">
        <v>393</v>
      </c>
      <c r="E28">
        <v>2</v>
      </c>
      <c r="F28" t="s">
        <v>261</v>
      </c>
      <c r="G28" t="s">
        <v>141</v>
      </c>
      <c r="H28" t="s">
        <v>141</v>
      </c>
      <c r="I28" t="s">
        <v>135</v>
      </c>
      <c r="J28">
        <v>10.89</v>
      </c>
      <c r="K28">
        <v>6.8</v>
      </c>
      <c r="L28">
        <f t="shared" si="0"/>
        <v>2.0450000000000004</v>
      </c>
      <c r="M28">
        <f t="shared" si="1"/>
        <v>0.18778696051423327</v>
      </c>
      <c r="N28">
        <v>0.78200000000000003</v>
      </c>
      <c r="O28">
        <v>0.03</v>
      </c>
      <c r="P28">
        <f t="shared" si="2"/>
        <v>0.752</v>
      </c>
      <c r="Q28">
        <v>0.24299999999999999</v>
      </c>
      <c r="R28">
        <f t="shared" si="3"/>
        <v>0.32313829787234044</v>
      </c>
    </row>
    <row r="29" spans="1:19" x14ac:dyDescent="0.25">
      <c r="A29">
        <v>105</v>
      </c>
      <c r="B29" t="s">
        <v>1206</v>
      </c>
      <c r="C29" t="s">
        <v>489</v>
      </c>
      <c r="D29" t="s">
        <v>393</v>
      </c>
      <c r="E29">
        <v>3</v>
      </c>
      <c r="F29" t="s">
        <v>261</v>
      </c>
      <c r="G29" t="s">
        <v>141</v>
      </c>
      <c r="H29" t="s">
        <v>141</v>
      </c>
      <c r="I29" t="s">
        <v>135</v>
      </c>
      <c r="J29">
        <v>10.7</v>
      </c>
      <c r="K29">
        <v>4.8099999999999996</v>
      </c>
      <c r="L29">
        <f t="shared" si="0"/>
        <v>2.9449999999999998</v>
      </c>
      <c r="M29">
        <f t="shared" si="1"/>
        <v>0.27523364485981311</v>
      </c>
      <c r="N29">
        <v>0.77800000000000002</v>
      </c>
      <c r="O29">
        <v>0.03</v>
      </c>
      <c r="P29">
        <f t="shared" si="2"/>
        <v>0.748</v>
      </c>
      <c r="Q29">
        <v>0.27500000000000002</v>
      </c>
      <c r="R29">
        <f t="shared" si="3"/>
        <v>0.36764705882352944</v>
      </c>
    </row>
    <row r="30" spans="1:19" x14ac:dyDescent="0.25">
      <c r="A30">
        <v>100</v>
      </c>
      <c r="B30" t="s">
        <v>485</v>
      </c>
      <c r="C30" t="s">
        <v>1205</v>
      </c>
      <c r="D30" t="s">
        <v>393</v>
      </c>
      <c r="E30">
        <v>4</v>
      </c>
      <c r="F30" t="s">
        <v>261</v>
      </c>
      <c r="G30" t="s">
        <v>141</v>
      </c>
      <c r="H30" t="s">
        <v>141</v>
      </c>
      <c r="I30" t="s">
        <v>135</v>
      </c>
      <c r="J30">
        <v>8.36</v>
      </c>
      <c r="K30">
        <v>5.07</v>
      </c>
      <c r="L30">
        <f t="shared" si="0"/>
        <v>1.6449999999999996</v>
      </c>
      <c r="M30">
        <f t="shared" si="1"/>
        <v>0.19677033492822962</v>
      </c>
      <c r="N30">
        <v>0.99</v>
      </c>
      <c r="O30">
        <v>0.03</v>
      </c>
      <c r="P30">
        <f t="shared" si="2"/>
        <v>0.96</v>
      </c>
      <c r="Q30">
        <v>0.25700000000000001</v>
      </c>
      <c r="R30">
        <f t="shared" si="3"/>
        <v>0.26770833333333333</v>
      </c>
    </row>
    <row r="31" spans="1:19" x14ac:dyDescent="0.25">
      <c r="A31">
        <v>42</v>
      </c>
      <c r="B31" t="s">
        <v>1210</v>
      </c>
      <c r="C31" t="s">
        <v>260</v>
      </c>
      <c r="D31" t="s">
        <v>393</v>
      </c>
      <c r="E31">
        <v>5</v>
      </c>
      <c r="F31" t="s">
        <v>261</v>
      </c>
      <c r="G31" t="s">
        <v>141</v>
      </c>
      <c r="H31" t="s">
        <v>141</v>
      </c>
      <c r="I31" t="s">
        <v>135</v>
      </c>
      <c r="J31">
        <v>8.24</v>
      </c>
      <c r="K31">
        <v>4.6500000000000004</v>
      </c>
      <c r="L31">
        <f t="shared" si="0"/>
        <v>1.7949999999999999</v>
      </c>
      <c r="M31">
        <f t="shared" si="1"/>
        <v>0.2178398058252427</v>
      </c>
      <c r="N31">
        <v>0.95499999999999996</v>
      </c>
      <c r="O31">
        <v>0.02</v>
      </c>
      <c r="P31">
        <f t="shared" si="2"/>
        <v>0.93499999999999994</v>
      </c>
      <c r="Q31">
        <v>0.30099999999999999</v>
      </c>
      <c r="R31">
        <f t="shared" si="3"/>
        <v>0.3219251336898396</v>
      </c>
    </row>
    <row r="32" spans="1:19" x14ac:dyDescent="0.25">
      <c r="A32">
        <v>117</v>
      </c>
      <c r="B32" t="s">
        <v>1208</v>
      </c>
      <c r="C32" t="s">
        <v>492</v>
      </c>
      <c r="D32" t="s">
        <v>393</v>
      </c>
      <c r="E32">
        <v>6</v>
      </c>
      <c r="F32" t="s">
        <v>261</v>
      </c>
      <c r="G32" t="s">
        <v>141</v>
      </c>
      <c r="H32" t="s">
        <v>141</v>
      </c>
      <c r="I32" t="s">
        <v>134</v>
      </c>
      <c r="J32">
        <v>11.2</v>
      </c>
      <c r="K32">
        <v>5.85</v>
      </c>
      <c r="L32">
        <f t="shared" si="0"/>
        <v>2.6749999999999998</v>
      </c>
      <c r="M32">
        <f t="shared" si="1"/>
        <v>0.23883928571428573</v>
      </c>
      <c r="N32">
        <v>0.81299999999999994</v>
      </c>
      <c r="O32">
        <v>0.03</v>
      </c>
      <c r="P32">
        <f t="shared" si="2"/>
        <v>0.78299999999999992</v>
      </c>
      <c r="Q32">
        <v>0.39</v>
      </c>
      <c r="R32">
        <f t="shared" si="3"/>
        <v>0.49808429118773956</v>
      </c>
    </row>
    <row r="33" spans="1:18" x14ac:dyDescent="0.25">
      <c r="A33">
        <v>143</v>
      </c>
      <c r="B33" t="s">
        <v>1209</v>
      </c>
      <c r="C33" t="s">
        <v>500</v>
      </c>
      <c r="D33" t="s">
        <v>393</v>
      </c>
      <c r="E33">
        <v>7</v>
      </c>
      <c r="F33" t="s">
        <v>261</v>
      </c>
      <c r="G33" t="s">
        <v>141</v>
      </c>
      <c r="H33" t="s">
        <v>141</v>
      </c>
      <c r="I33" t="s">
        <v>134</v>
      </c>
      <c r="J33">
        <v>9.6300000000000008</v>
      </c>
      <c r="K33">
        <v>5.81</v>
      </c>
      <c r="L33">
        <f t="shared" si="0"/>
        <v>1.9100000000000006</v>
      </c>
      <c r="M33">
        <f t="shared" si="1"/>
        <v>0.19833852544132921</v>
      </c>
      <c r="N33">
        <v>1.248</v>
      </c>
      <c r="O33">
        <v>0.03</v>
      </c>
      <c r="P33">
        <f t="shared" si="2"/>
        <v>1.218</v>
      </c>
      <c r="Q33">
        <v>0.64300000000000002</v>
      </c>
      <c r="R33">
        <f t="shared" si="3"/>
        <v>0.52791461412151075</v>
      </c>
    </row>
    <row r="34" spans="1:18" x14ac:dyDescent="0.25">
      <c r="A34">
        <v>85</v>
      </c>
      <c r="B34" t="s">
        <v>1213</v>
      </c>
      <c r="C34" t="s">
        <v>336</v>
      </c>
      <c r="D34" t="s">
        <v>544</v>
      </c>
      <c r="E34">
        <v>1</v>
      </c>
      <c r="F34" t="s">
        <v>545</v>
      </c>
      <c r="G34" t="s">
        <v>141</v>
      </c>
      <c r="H34" t="s">
        <v>141</v>
      </c>
      <c r="I34" t="s">
        <v>135</v>
      </c>
      <c r="J34">
        <v>8.1</v>
      </c>
      <c r="K34">
        <v>5.51</v>
      </c>
      <c r="L34">
        <f t="shared" si="0"/>
        <v>1.2949999999999999</v>
      </c>
      <c r="M34">
        <f t="shared" si="1"/>
        <v>0.15987654320987654</v>
      </c>
      <c r="N34">
        <v>0.748</v>
      </c>
      <c r="O34">
        <v>0.02</v>
      </c>
      <c r="P34">
        <f t="shared" ref="P34:P65" si="4">N34-O34</f>
        <v>0.72799999999999998</v>
      </c>
      <c r="Q34">
        <v>0.26500000000000001</v>
      </c>
      <c r="R34">
        <f t="shared" si="3"/>
        <v>0.36401098901098905</v>
      </c>
    </row>
    <row r="35" spans="1:18" x14ac:dyDescent="0.25">
      <c r="A35">
        <v>131</v>
      </c>
      <c r="B35" t="s">
        <v>1214</v>
      </c>
      <c r="C35" t="s">
        <v>496</v>
      </c>
      <c r="D35" t="s">
        <v>544</v>
      </c>
      <c r="E35">
        <v>2</v>
      </c>
      <c r="F35" t="s">
        <v>545</v>
      </c>
      <c r="G35" t="s">
        <v>141</v>
      </c>
      <c r="H35" t="s">
        <v>141</v>
      </c>
      <c r="I35" t="s">
        <v>135</v>
      </c>
      <c r="J35">
        <v>9.24</v>
      </c>
      <c r="K35">
        <v>6.98</v>
      </c>
      <c r="L35">
        <f t="shared" si="0"/>
        <v>1.1299999999999999</v>
      </c>
      <c r="M35">
        <f t="shared" si="1"/>
        <v>0.12229437229437227</v>
      </c>
      <c r="N35">
        <v>0.77800000000000002</v>
      </c>
      <c r="O35">
        <v>0.03</v>
      </c>
      <c r="P35">
        <f t="shared" si="4"/>
        <v>0.748</v>
      </c>
      <c r="Q35">
        <v>0.214</v>
      </c>
      <c r="R35">
        <f t="shared" si="3"/>
        <v>0.28609625668449196</v>
      </c>
    </row>
    <row r="36" spans="1:18" x14ac:dyDescent="0.25">
      <c r="A36">
        <v>272</v>
      </c>
      <c r="B36" t="s">
        <v>749</v>
      </c>
      <c r="D36" t="s">
        <v>544</v>
      </c>
      <c r="E36">
        <v>3</v>
      </c>
      <c r="F36" t="s">
        <v>545</v>
      </c>
      <c r="G36" t="s">
        <v>141</v>
      </c>
      <c r="H36" t="s">
        <v>141</v>
      </c>
      <c r="I36" t="s">
        <v>135</v>
      </c>
      <c r="J36">
        <v>6.55</v>
      </c>
      <c r="K36">
        <v>4.6399999999999997</v>
      </c>
      <c r="L36">
        <f t="shared" si="0"/>
        <v>0.95500000000000007</v>
      </c>
      <c r="M36">
        <f t="shared" si="1"/>
        <v>0.14580152671755728</v>
      </c>
      <c r="N36">
        <v>0.999</v>
      </c>
      <c r="O36">
        <v>2.1999999999999999E-2</v>
      </c>
      <c r="P36">
        <f t="shared" si="4"/>
        <v>0.97699999999999998</v>
      </c>
      <c r="Q36">
        <v>0.311</v>
      </c>
      <c r="R36">
        <f t="shared" si="3"/>
        <v>0.31832139201637666</v>
      </c>
    </row>
    <row r="37" spans="1:18" x14ac:dyDescent="0.25">
      <c r="A37">
        <v>433</v>
      </c>
      <c r="B37" t="s">
        <v>1008</v>
      </c>
      <c r="D37" t="s">
        <v>544</v>
      </c>
      <c r="E37">
        <v>4</v>
      </c>
      <c r="F37" t="s">
        <v>545</v>
      </c>
      <c r="G37" t="s">
        <v>141</v>
      </c>
      <c r="H37" t="s">
        <v>141</v>
      </c>
      <c r="I37" t="s">
        <v>135</v>
      </c>
      <c r="J37">
        <v>8.06</v>
      </c>
      <c r="K37">
        <v>5.64</v>
      </c>
      <c r="L37">
        <f t="shared" si="0"/>
        <v>1.2100000000000004</v>
      </c>
      <c r="M37">
        <f t="shared" si="1"/>
        <v>0.15012406947890822</v>
      </c>
      <c r="N37">
        <v>1.39</v>
      </c>
      <c r="O37">
        <v>2.7E-2</v>
      </c>
      <c r="P37">
        <f t="shared" si="4"/>
        <v>1.363</v>
      </c>
      <c r="Q37">
        <v>0.41199999999999998</v>
      </c>
      <c r="R37">
        <f t="shared" si="3"/>
        <v>0.30227439471753481</v>
      </c>
    </row>
    <row r="38" spans="1:18" x14ac:dyDescent="0.25">
      <c r="A38">
        <v>463</v>
      </c>
      <c r="B38" t="s">
        <v>1088</v>
      </c>
      <c r="D38" t="s">
        <v>544</v>
      </c>
      <c r="E38">
        <v>5</v>
      </c>
      <c r="F38" t="s">
        <v>545</v>
      </c>
      <c r="I38" t="s">
        <v>135</v>
      </c>
      <c r="J38">
        <v>6.22</v>
      </c>
      <c r="K38">
        <v>4.18</v>
      </c>
      <c r="L38">
        <f t="shared" si="0"/>
        <v>1.02</v>
      </c>
      <c r="M38">
        <f t="shared" si="1"/>
        <v>0.16398713826366559</v>
      </c>
      <c r="N38">
        <v>0.59</v>
      </c>
      <c r="O38">
        <v>2.7E-2</v>
      </c>
      <c r="P38">
        <f t="shared" si="4"/>
        <v>0.56299999999999994</v>
      </c>
      <c r="Q38">
        <v>0.19700000000000001</v>
      </c>
      <c r="R38">
        <f t="shared" si="3"/>
        <v>0.34991119005328603</v>
      </c>
    </row>
    <row r="39" spans="1:18" x14ac:dyDescent="0.25">
      <c r="A39">
        <v>409</v>
      </c>
      <c r="B39" t="s">
        <v>919</v>
      </c>
      <c r="D39" t="s">
        <v>920</v>
      </c>
      <c r="E39">
        <v>1</v>
      </c>
      <c r="F39" t="s">
        <v>921</v>
      </c>
      <c r="G39" t="s">
        <v>141</v>
      </c>
      <c r="H39" t="s">
        <v>141</v>
      </c>
      <c r="I39" t="s">
        <v>135</v>
      </c>
      <c r="J39">
        <v>8.26</v>
      </c>
      <c r="K39">
        <v>5.57</v>
      </c>
      <c r="L39">
        <f t="shared" si="0"/>
        <v>1.3449999999999998</v>
      </c>
      <c r="M39">
        <f t="shared" si="1"/>
        <v>0.1628329297820823</v>
      </c>
      <c r="N39">
        <v>0.40600000000000003</v>
      </c>
      <c r="O39">
        <v>2.1999999999999999E-2</v>
      </c>
      <c r="P39">
        <f t="shared" si="4"/>
        <v>0.38400000000000001</v>
      </c>
      <c r="Q39">
        <v>0.28899999999999998</v>
      </c>
      <c r="R39">
        <f t="shared" si="3"/>
        <v>0.75260416666666663</v>
      </c>
    </row>
    <row r="40" spans="1:18" x14ac:dyDescent="0.25">
      <c r="A40">
        <v>411</v>
      </c>
      <c r="B40" t="s">
        <v>923</v>
      </c>
      <c r="D40" t="s">
        <v>920</v>
      </c>
      <c r="E40">
        <v>2</v>
      </c>
      <c r="F40" t="s">
        <v>921</v>
      </c>
      <c r="G40" t="s">
        <v>141</v>
      </c>
      <c r="H40" t="s">
        <v>141</v>
      </c>
      <c r="I40" t="s">
        <v>135</v>
      </c>
      <c r="J40">
        <v>7.73</v>
      </c>
      <c r="K40">
        <v>5.51</v>
      </c>
      <c r="L40">
        <f t="shared" si="0"/>
        <v>1.1100000000000003</v>
      </c>
      <c r="M40">
        <f t="shared" si="1"/>
        <v>0.14359637774902978</v>
      </c>
      <c r="N40">
        <v>0.58299999999999996</v>
      </c>
      <c r="O40">
        <v>2.1999999999999999E-2</v>
      </c>
      <c r="P40">
        <f t="shared" si="4"/>
        <v>0.56099999999999994</v>
      </c>
      <c r="Q40">
        <v>0.32300000000000001</v>
      </c>
      <c r="R40">
        <f t="shared" si="3"/>
        <v>0.5757575757575758</v>
      </c>
    </row>
    <row r="41" spans="1:18" x14ac:dyDescent="0.25">
      <c r="A41">
        <v>394</v>
      </c>
      <c r="B41" t="s">
        <v>925</v>
      </c>
      <c r="D41" t="s">
        <v>920</v>
      </c>
      <c r="E41">
        <v>3</v>
      </c>
      <c r="F41" t="s">
        <v>921</v>
      </c>
      <c r="G41" t="s">
        <v>141</v>
      </c>
      <c r="H41" t="s">
        <v>141</v>
      </c>
      <c r="I41" t="s">
        <v>135</v>
      </c>
      <c r="J41">
        <v>8.0299999999999994</v>
      </c>
      <c r="K41">
        <v>6.16</v>
      </c>
      <c r="L41">
        <f t="shared" si="0"/>
        <v>0.93499999999999961</v>
      </c>
      <c r="M41">
        <f t="shared" si="1"/>
        <v>0.11643835616438353</v>
      </c>
      <c r="N41">
        <v>0.438</v>
      </c>
      <c r="O41">
        <v>2.1999999999999999E-2</v>
      </c>
      <c r="P41">
        <f t="shared" si="4"/>
        <v>0.41599999999999998</v>
      </c>
      <c r="Q41">
        <v>0.25</v>
      </c>
      <c r="R41">
        <f t="shared" si="3"/>
        <v>0.60096153846153844</v>
      </c>
    </row>
    <row r="42" spans="1:18" x14ac:dyDescent="0.25">
      <c r="A42">
        <v>395</v>
      </c>
      <c r="B42" t="s">
        <v>927</v>
      </c>
      <c r="D42" t="s">
        <v>920</v>
      </c>
      <c r="E42">
        <v>4</v>
      </c>
      <c r="F42" t="s">
        <v>921</v>
      </c>
      <c r="G42" t="s">
        <v>141</v>
      </c>
      <c r="H42" t="s">
        <v>141</v>
      </c>
      <c r="I42" t="s">
        <v>135</v>
      </c>
      <c r="J42">
        <v>6.67</v>
      </c>
      <c r="K42">
        <v>4.18</v>
      </c>
      <c r="L42">
        <f t="shared" si="0"/>
        <v>1.2450000000000001</v>
      </c>
      <c r="M42">
        <f t="shared" si="1"/>
        <v>0.18665667166416794</v>
      </c>
      <c r="N42">
        <v>0.47</v>
      </c>
      <c r="O42">
        <v>2.1999999999999999E-2</v>
      </c>
      <c r="P42">
        <f t="shared" si="4"/>
        <v>0.44799999999999995</v>
      </c>
      <c r="Q42">
        <v>0.28499999999999998</v>
      </c>
      <c r="R42">
        <f t="shared" si="3"/>
        <v>0.6361607142857143</v>
      </c>
    </row>
    <row r="43" spans="1:18" x14ac:dyDescent="0.25">
      <c r="A43">
        <v>396</v>
      </c>
      <c r="B43" t="s">
        <v>929</v>
      </c>
      <c r="D43" t="s">
        <v>920</v>
      </c>
      <c r="E43">
        <v>5</v>
      </c>
      <c r="F43" t="s">
        <v>921</v>
      </c>
      <c r="G43" t="s">
        <v>141</v>
      </c>
      <c r="H43" t="s">
        <v>141</v>
      </c>
      <c r="I43" t="s">
        <v>135</v>
      </c>
      <c r="J43">
        <v>10.78</v>
      </c>
      <c r="K43">
        <v>7.5</v>
      </c>
      <c r="L43">
        <f t="shared" si="0"/>
        <v>1.6399999999999997</v>
      </c>
      <c r="M43">
        <f t="shared" si="1"/>
        <v>0.15213358070500926</v>
      </c>
      <c r="N43">
        <v>1.4379999999999999</v>
      </c>
      <c r="O43">
        <v>2.1999999999999999E-2</v>
      </c>
      <c r="P43">
        <f t="shared" si="4"/>
        <v>1.4159999999999999</v>
      </c>
      <c r="Q43">
        <v>0.89</v>
      </c>
      <c r="R43">
        <f t="shared" si="3"/>
        <v>0.62853107344632775</v>
      </c>
    </row>
    <row r="44" spans="1:18" x14ac:dyDescent="0.25">
      <c r="A44">
        <v>112</v>
      </c>
      <c r="B44" t="s">
        <v>96</v>
      </c>
      <c r="C44" t="s">
        <v>491</v>
      </c>
      <c r="D44" t="s">
        <v>376</v>
      </c>
      <c r="E44">
        <v>1</v>
      </c>
      <c r="F44" t="s">
        <v>380</v>
      </c>
      <c r="G44" t="s">
        <v>141</v>
      </c>
      <c r="H44" t="s">
        <v>141</v>
      </c>
      <c r="I44" t="s">
        <v>135</v>
      </c>
      <c r="J44">
        <v>7.1</v>
      </c>
      <c r="K44">
        <v>5.86</v>
      </c>
      <c r="L44">
        <f t="shared" si="0"/>
        <v>0.61999999999999966</v>
      </c>
      <c r="M44">
        <f t="shared" si="1"/>
        <v>8.7323943661971784E-2</v>
      </c>
      <c r="N44">
        <v>0.628</v>
      </c>
      <c r="O44">
        <v>0.03</v>
      </c>
      <c r="P44">
        <f t="shared" si="4"/>
        <v>0.59799999999999998</v>
      </c>
      <c r="Q44">
        <v>0.38700000000000001</v>
      </c>
      <c r="R44">
        <f t="shared" si="3"/>
        <v>0.64715719063545152</v>
      </c>
    </row>
    <row r="45" spans="1:18" x14ac:dyDescent="0.25">
      <c r="A45">
        <v>361</v>
      </c>
      <c r="B45" t="s">
        <v>904</v>
      </c>
      <c r="D45" t="s">
        <v>376</v>
      </c>
      <c r="E45">
        <v>2</v>
      </c>
      <c r="F45" t="s">
        <v>380</v>
      </c>
      <c r="G45" t="s">
        <v>141</v>
      </c>
      <c r="H45" t="s">
        <v>141</v>
      </c>
      <c r="I45" t="s">
        <v>135</v>
      </c>
      <c r="J45">
        <v>8.02</v>
      </c>
      <c r="K45">
        <v>7.05</v>
      </c>
      <c r="L45">
        <f t="shared" si="0"/>
        <v>0.48499999999999988</v>
      </c>
      <c r="M45">
        <f t="shared" si="1"/>
        <v>6.0473815461346621E-2</v>
      </c>
      <c r="N45">
        <v>1.026</v>
      </c>
      <c r="O45">
        <v>2.1999999999999999E-2</v>
      </c>
      <c r="P45">
        <f t="shared" si="4"/>
        <v>1.004</v>
      </c>
      <c r="Q45">
        <v>0.48299999999999998</v>
      </c>
      <c r="R45">
        <f t="shared" si="3"/>
        <v>0.48107569721115534</v>
      </c>
    </row>
    <row r="46" spans="1:18" x14ac:dyDescent="0.25">
      <c r="A46">
        <v>357</v>
      </c>
      <c r="B46" t="s">
        <v>901</v>
      </c>
      <c r="D46" t="s">
        <v>376</v>
      </c>
      <c r="E46">
        <v>3</v>
      </c>
      <c r="F46" t="s">
        <v>380</v>
      </c>
      <c r="G46" t="s">
        <v>141</v>
      </c>
      <c r="H46" t="s">
        <v>141</v>
      </c>
      <c r="I46" t="s">
        <v>135</v>
      </c>
      <c r="J46">
        <v>6.43</v>
      </c>
      <c r="K46">
        <v>5.36</v>
      </c>
      <c r="L46">
        <f t="shared" si="0"/>
        <v>0.5349999999999997</v>
      </c>
      <c r="M46">
        <f t="shared" si="1"/>
        <v>8.3203732503887975E-2</v>
      </c>
      <c r="N46">
        <v>1.1759999999999999</v>
      </c>
      <c r="O46">
        <v>2.1999999999999999E-2</v>
      </c>
      <c r="P46">
        <f t="shared" si="4"/>
        <v>1.1539999999999999</v>
      </c>
      <c r="Q46">
        <v>0.54100000000000004</v>
      </c>
      <c r="R46">
        <f t="shared" si="3"/>
        <v>0.46880415944540732</v>
      </c>
    </row>
    <row r="47" spans="1:18" x14ac:dyDescent="0.25">
      <c r="A47">
        <v>370</v>
      </c>
      <c r="B47" t="s">
        <v>899</v>
      </c>
      <c r="D47" t="s">
        <v>376</v>
      </c>
      <c r="E47">
        <v>4</v>
      </c>
      <c r="F47" t="s">
        <v>380</v>
      </c>
      <c r="G47" t="s">
        <v>141</v>
      </c>
      <c r="H47" t="s">
        <v>141</v>
      </c>
      <c r="I47" t="s">
        <v>135</v>
      </c>
      <c r="J47">
        <v>4.4400000000000004</v>
      </c>
      <c r="K47">
        <v>3.6</v>
      </c>
      <c r="L47">
        <f t="shared" si="0"/>
        <v>0.42000000000000015</v>
      </c>
      <c r="M47">
        <f t="shared" si="1"/>
        <v>9.4594594594594614E-2</v>
      </c>
      <c r="N47">
        <v>0.56599999999999995</v>
      </c>
      <c r="O47">
        <v>2.1999999999999999E-2</v>
      </c>
      <c r="P47">
        <f t="shared" si="4"/>
        <v>0.54399999999999993</v>
      </c>
      <c r="Q47">
        <v>0.33600000000000002</v>
      </c>
      <c r="R47">
        <f t="shared" si="3"/>
        <v>0.61764705882352955</v>
      </c>
    </row>
    <row r="48" spans="1:18" x14ac:dyDescent="0.25">
      <c r="A48">
        <v>363</v>
      </c>
      <c r="B48" t="s">
        <v>905</v>
      </c>
      <c r="D48" t="s">
        <v>376</v>
      </c>
      <c r="E48">
        <v>5</v>
      </c>
      <c r="F48" t="s">
        <v>380</v>
      </c>
      <c r="G48" t="s">
        <v>141</v>
      </c>
      <c r="H48" t="s">
        <v>141</v>
      </c>
      <c r="I48" t="s">
        <v>135</v>
      </c>
      <c r="J48">
        <v>5.81</v>
      </c>
      <c r="K48">
        <v>4.96</v>
      </c>
      <c r="L48">
        <f t="shared" si="0"/>
        <v>0.42499999999999982</v>
      </c>
      <c r="M48">
        <f t="shared" si="1"/>
        <v>7.3149741824440589E-2</v>
      </c>
      <c r="N48">
        <v>0.53900000000000003</v>
      </c>
      <c r="O48">
        <v>2.1999999999999999E-2</v>
      </c>
      <c r="P48">
        <f t="shared" si="4"/>
        <v>0.51700000000000002</v>
      </c>
      <c r="Q48">
        <v>0.26800000000000002</v>
      </c>
      <c r="R48">
        <f t="shared" si="3"/>
        <v>0.51837524177949712</v>
      </c>
    </row>
    <row r="49" spans="1:20" x14ac:dyDescent="0.25">
      <c r="A49">
        <v>436</v>
      </c>
      <c r="B49" t="s">
        <v>1004</v>
      </c>
      <c r="D49" t="s">
        <v>376</v>
      </c>
      <c r="E49">
        <v>6</v>
      </c>
      <c r="F49" t="s">
        <v>380</v>
      </c>
      <c r="G49" t="s">
        <v>141</v>
      </c>
      <c r="H49" t="s">
        <v>141</v>
      </c>
      <c r="I49" t="s">
        <v>135</v>
      </c>
      <c r="J49">
        <v>7.11</v>
      </c>
      <c r="K49">
        <v>5.89</v>
      </c>
      <c r="L49">
        <f t="shared" si="0"/>
        <v>0.61000000000000032</v>
      </c>
      <c r="M49">
        <f t="shared" si="1"/>
        <v>8.5794655414908619E-2</v>
      </c>
      <c r="N49">
        <v>1.573</v>
      </c>
      <c r="O49">
        <v>2.7E-2</v>
      </c>
      <c r="P49">
        <f t="shared" si="4"/>
        <v>1.546</v>
      </c>
      <c r="Q49">
        <v>0.85699999999999998</v>
      </c>
      <c r="R49">
        <f t="shared" si="3"/>
        <v>0.55433376455368688</v>
      </c>
    </row>
    <row r="50" spans="1:20" x14ac:dyDescent="0.25">
      <c r="A50">
        <v>336</v>
      </c>
      <c r="B50" t="s">
        <v>868</v>
      </c>
      <c r="D50" t="s">
        <v>869</v>
      </c>
      <c r="E50">
        <v>1</v>
      </c>
      <c r="F50" t="s">
        <v>870</v>
      </c>
      <c r="G50" t="s">
        <v>141</v>
      </c>
      <c r="H50" t="s">
        <v>141</v>
      </c>
      <c r="I50" t="s">
        <v>135</v>
      </c>
      <c r="J50">
        <v>6.1</v>
      </c>
      <c r="K50">
        <v>4.13</v>
      </c>
      <c r="L50">
        <f t="shared" si="0"/>
        <v>0.98499999999999988</v>
      </c>
      <c r="M50">
        <f t="shared" si="1"/>
        <v>0.16147540983606556</v>
      </c>
      <c r="N50">
        <v>0.56299999999999994</v>
      </c>
      <c r="O50">
        <v>2.1999999999999999E-2</v>
      </c>
      <c r="P50">
        <f t="shared" si="4"/>
        <v>0.54099999999999993</v>
      </c>
      <c r="Q50">
        <v>0.41599999999999998</v>
      </c>
      <c r="R50">
        <f t="shared" si="3"/>
        <v>0.76894639556377087</v>
      </c>
    </row>
    <row r="51" spans="1:20" x14ac:dyDescent="0.25">
      <c r="A51">
        <v>440</v>
      </c>
      <c r="B51" t="s">
        <v>1077</v>
      </c>
      <c r="D51" t="s">
        <v>869</v>
      </c>
      <c r="E51">
        <v>2</v>
      </c>
      <c r="F51" t="s">
        <v>870</v>
      </c>
      <c r="I51" t="s">
        <v>135</v>
      </c>
      <c r="J51">
        <v>7.54</v>
      </c>
      <c r="K51">
        <v>5.64</v>
      </c>
      <c r="L51">
        <f t="shared" si="0"/>
        <v>0.95000000000000018</v>
      </c>
      <c r="M51">
        <f t="shared" si="1"/>
        <v>0.12599469496021223</v>
      </c>
      <c r="N51">
        <v>0.58499999999999996</v>
      </c>
      <c r="O51">
        <v>2.7E-2</v>
      </c>
      <c r="P51">
        <f t="shared" si="4"/>
        <v>0.55799999999999994</v>
      </c>
      <c r="Q51">
        <v>0.44</v>
      </c>
      <c r="R51">
        <f t="shared" si="3"/>
        <v>0.7885304659498209</v>
      </c>
    </row>
    <row r="52" spans="1:20" x14ac:dyDescent="0.25">
      <c r="A52">
        <v>469</v>
      </c>
      <c r="B52" t="s">
        <v>1082</v>
      </c>
      <c r="D52" t="s">
        <v>869</v>
      </c>
      <c r="E52">
        <v>3</v>
      </c>
      <c r="F52" t="s">
        <v>870</v>
      </c>
      <c r="I52" t="s">
        <v>135</v>
      </c>
      <c r="J52">
        <v>8.4499999999999993</v>
      </c>
      <c r="K52">
        <v>6.49</v>
      </c>
      <c r="L52">
        <f t="shared" si="0"/>
        <v>0.97999999999999954</v>
      </c>
      <c r="M52">
        <f t="shared" si="1"/>
        <v>0.11597633136094671</v>
      </c>
      <c r="N52">
        <v>0.85899999999999999</v>
      </c>
      <c r="O52">
        <v>2.7E-2</v>
      </c>
      <c r="P52">
        <f t="shared" si="4"/>
        <v>0.83199999999999996</v>
      </c>
      <c r="Q52">
        <v>0.60499999999999998</v>
      </c>
      <c r="R52">
        <f t="shared" si="3"/>
        <v>0.72716346153846156</v>
      </c>
    </row>
    <row r="53" spans="1:20" x14ac:dyDescent="0.25">
      <c r="A53">
        <v>467</v>
      </c>
      <c r="B53" t="s">
        <v>1085</v>
      </c>
      <c r="D53" t="s">
        <v>869</v>
      </c>
      <c r="E53">
        <v>4</v>
      </c>
      <c r="F53" t="s">
        <v>870</v>
      </c>
      <c r="I53" t="s">
        <v>135</v>
      </c>
      <c r="J53">
        <v>7.87</v>
      </c>
      <c r="K53">
        <v>6.04</v>
      </c>
      <c r="L53">
        <f t="shared" si="0"/>
        <v>0.91500000000000004</v>
      </c>
      <c r="M53">
        <f t="shared" si="1"/>
        <v>0.11626429479034307</v>
      </c>
      <c r="N53">
        <v>0.68</v>
      </c>
      <c r="O53">
        <v>2.7E-2</v>
      </c>
      <c r="P53">
        <f t="shared" si="4"/>
        <v>0.65300000000000002</v>
      </c>
      <c r="Q53">
        <v>0.495</v>
      </c>
      <c r="R53">
        <f t="shared" si="3"/>
        <v>0.75803981623277183</v>
      </c>
    </row>
    <row r="54" spans="1:20" x14ac:dyDescent="0.25">
      <c r="A54">
        <v>462</v>
      </c>
      <c r="B54" t="s">
        <v>1090</v>
      </c>
      <c r="D54" t="s">
        <v>869</v>
      </c>
      <c r="E54">
        <v>5</v>
      </c>
      <c r="F54" t="s">
        <v>870</v>
      </c>
      <c r="I54" t="s">
        <v>135</v>
      </c>
      <c r="J54">
        <v>8.01</v>
      </c>
      <c r="K54">
        <v>6.06</v>
      </c>
      <c r="L54">
        <f t="shared" si="0"/>
        <v>0.97500000000000009</v>
      </c>
      <c r="M54">
        <f t="shared" si="1"/>
        <v>0.12172284644194759</v>
      </c>
      <c r="N54">
        <v>1.2150000000000001</v>
      </c>
      <c r="O54">
        <v>2.7E-2</v>
      </c>
      <c r="P54">
        <f t="shared" si="4"/>
        <v>1.1880000000000002</v>
      </c>
      <c r="Q54">
        <v>0.90400000000000003</v>
      </c>
      <c r="R54">
        <f t="shared" si="3"/>
        <v>0.76094276094276081</v>
      </c>
    </row>
    <row r="55" spans="1:20" x14ac:dyDescent="0.25">
      <c r="A55">
        <v>166</v>
      </c>
      <c r="B55" t="s">
        <v>511</v>
      </c>
      <c r="D55" t="s">
        <v>512</v>
      </c>
      <c r="E55">
        <v>1</v>
      </c>
      <c r="F55" t="s">
        <v>513</v>
      </c>
      <c r="G55" t="s">
        <v>141</v>
      </c>
      <c r="H55" t="s">
        <v>141</v>
      </c>
      <c r="I55" t="s">
        <v>135</v>
      </c>
      <c r="J55">
        <v>6.59</v>
      </c>
      <c r="K55">
        <v>5.66</v>
      </c>
      <c r="L55">
        <f t="shared" si="0"/>
        <v>0.46499999999999986</v>
      </c>
      <c r="M55">
        <f t="shared" si="1"/>
        <v>7.0561456752655516E-2</v>
      </c>
      <c r="N55">
        <v>0.92700000000000005</v>
      </c>
      <c r="O55">
        <v>2.5999999999999999E-2</v>
      </c>
      <c r="P55">
        <f t="shared" si="4"/>
        <v>0.90100000000000002</v>
      </c>
      <c r="Q55">
        <v>0.48099999999999998</v>
      </c>
      <c r="R55">
        <f t="shared" si="3"/>
        <v>0.53385127635960039</v>
      </c>
      <c r="T55" t="s">
        <v>547</v>
      </c>
    </row>
    <row r="56" spans="1:20" x14ac:dyDescent="0.25">
      <c r="A56">
        <v>154</v>
      </c>
      <c r="B56" t="s">
        <v>541</v>
      </c>
      <c r="D56" t="s">
        <v>512</v>
      </c>
      <c r="E56">
        <v>2</v>
      </c>
      <c r="F56" t="s">
        <v>513</v>
      </c>
      <c r="G56" t="s">
        <v>141</v>
      </c>
      <c r="H56" t="s">
        <v>141</v>
      </c>
      <c r="I56" t="s">
        <v>135</v>
      </c>
      <c r="J56">
        <v>7.71</v>
      </c>
      <c r="K56">
        <v>6.41</v>
      </c>
      <c r="L56">
        <f t="shared" si="0"/>
        <v>0.64999999999999991</v>
      </c>
      <c r="M56">
        <f t="shared" si="1"/>
        <v>8.4306095979247722E-2</v>
      </c>
      <c r="N56">
        <v>0.65300000000000002</v>
      </c>
      <c r="O56">
        <v>2.5999999999999999E-2</v>
      </c>
      <c r="P56">
        <f t="shared" si="4"/>
        <v>0.627</v>
      </c>
      <c r="Q56">
        <v>0.36099999999999999</v>
      </c>
      <c r="R56">
        <f t="shared" si="3"/>
        <v>0.57575757575757569</v>
      </c>
    </row>
    <row r="57" spans="1:20" x14ac:dyDescent="0.25">
      <c r="A57">
        <v>162</v>
      </c>
      <c r="B57" t="s">
        <v>520</v>
      </c>
      <c r="D57" t="s">
        <v>512</v>
      </c>
      <c r="E57">
        <v>3</v>
      </c>
      <c r="F57" t="s">
        <v>513</v>
      </c>
      <c r="G57" t="s">
        <v>141</v>
      </c>
      <c r="H57" t="s">
        <v>141</v>
      </c>
      <c r="I57" t="s">
        <v>135</v>
      </c>
      <c r="J57">
        <v>6.67</v>
      </c>
      <c r="K57">
        <v>4.3600000000000003</v>
      </c>
      <c r="L57">
        <f t="shared" si="0"/>
        <v>1.1549999999999998</v>
      </c>
      <c r="M57">
        <f t="shared" si="1"/>
        <v>0.17316341829085455</v>
      </c>
      <c r="N57">
        <v>0.61099999999999999</v>
      </c>
      <c r="O57">
        <v>2.5999999999999999E-2</v>
      </c>
      <c r="P57">
        <f t="shared" si="4"/>
        <v>0.58499999999999996</v>
      </c>
      <c r="Q57">
        <v>0.36299999999999999</v>
      </c>
      <c r="R57">
        <f t="shared" si="3"/>
        <v>0.62051282051282053</v>
      </c>
    </row>
    <row r="58" spans="1:20" x14ac:dyDescent="0.25">
      <c r="A58">
        <v>220</v>
      </c>
      <c r="B58" t="s">
        <v>1202</v>
      </c>
      <c r="C58" t="s">
        <v>735</v>
      </c>
      <c r="D58" t="s">
        <v>512</v>
      </c>
      <c r="E58">
        <v>4</v>
      </c>
      <c r="F58" t="s">
        <v>513</v>
      </c>
      <c r="G58" t="s">
        <v>141</v>
      </c>
      <c r="H58" t="s">
        <v>141</v>
      </c>
      <c r="I58" t="s">
        <v>135</v>
      </c>
      <c r="J58">
        <v>7.45</v>
      </c>
      <c r="K58">
        <v>5.15</v>
      </c>
      <c r="L58">
        <f t="shared" si="0"/>
        <v>1.1499999999999999</v>
      </c>
      <c r="M58">
        <f t="shared" si="1"/>
        <v>0.15436241610738252</v>
      </c>
      <c r="N58">
        <v>0.94499999999999995</v>
      </c>
      <c r="O58">
        <v>2.5999999999999999E-2</v>
      </c>
      <c r="P58">
        <f t="shared" si="4"/>
        <v>0.91899999999999993</v>
      </c>
      <c r="Q58">
        <v>0.66200000000000003</v>
      </c>
      <c r="R58">
        <f t="shared" si="3"/>
        <v>0.72034820457018511</v>
      </c>
      <c r="S58" t="s">
        <v>551</v>
      </c>
    </row>
    <row r="59" spans="1:20" x14ac:dyDescent="0.25">
      <c r="A59">
        <v>298</v>
      </c>
      <c r="B59" t="s">
        <v>818</v>
      </c>
      <c r="D59" t="s">
        <v>512</v>
      </c>
      <c r="E59">
        <v>5</v>
      </c>
      <c r="F59" t="s">
        <v>513</v>
      </c>
      <c r="G59" t="s">
        <v>141</v>
      </c>
      <c r="H59" t="s">
        <v>141</v>
      </c>
      <c r="I59" t="s">
        <v>135</v>
      </c>
      <c r="J59">
        <v>8.64</v>
      </c>
      <c r="K59">
        <v>6.77</v>
      </c>
      <c r="L59">
        <f t="shared" si="0"/>
        <v>0.9350000000000005</v>
      </c>
      <c r="M59">
        <f t="shared" si="1"/>
        <v>0.10821759259259264</v>
      </c>
      <c r="N59">
        <v>0.65500000000000003</v>
      </c>
      <c r="O59">
        <v>2.1999999999999999E-2</v>
      </c>
      <c r="P59">
        <f t="shared" si="4"/>
        <v>0.63300000000000001</v>
      </c>
      <c r="Q59">
        <v>0.40400000000000003</v>
      </c>
      <c r="R59">
        <f t="shared" si="3"/>
        <v>0.6382306477093207</v>
      </c>
    </row>
    <row r="60" spans="1:20" x14ac:dyDescent="0.25">
      <c r="A60">
        <v>197</v>
      </c>
      <c r="B60" t="s">
        <v>446</v>
      </c>
      <c r="D60" t="s">
        <v>425</v>
      </c>
      <c r="E60">
        <v>1</v>
      </c>
      <c r="F60" t="s">
        <v>426</v>
      </c>
      <c r="G60" t="s">
        <v>141</v>
      </c>
      <c r="H60" t="s">
        <v>141</v>
      </c>
      <c r="I60" t="s">
        <v>135</v>
      </c>
      <c r="J60">
        <v>8.09</v>
      </c>
      <c r="K60">
        <v>4.53</v>
      </c>
      <c r="L60">
        <f t="shared" si="0"/>
        <v>1.7799999999999998</v>
      </c>
      <c r="M60">
        <f t="shared" si="1"/>
        <v>0.22002472187886277</v>
      </c>
      <c r="N60">
        <v>0.58199999999999996</v>
      </c>
      <c r="O60">
        <v>2.5999999999999999E-2</v>
      </c>
      <c r="P60">
        <f t="shared" si="4"/>
        <v>0.55599999999999994</v>
      </c>
      <c r="Q60">
        <v>0.30199999999999999</v>
      </c>
      <c r="R60">
        <f t="shared" si="3"/>
        <v>0.54316546762589935</v>
      </c>
      <c r="S60" t="s">
        <v>551</v>
      </c>
    </row>
    <row r="61" spans="1:20" x14ac:dyDescent="0.25">
      <c r="A61">
        <v>222</v>
      </c>
      <c r="B61" t="s">
        <v>424</v>
      </c>
      <c r="D61" t="s">
        <v>425</v>
      </c>
      <c r="E61">
        <v>2</v>
      </c>
      <c r="F61" t="s">
        <v>426</v>
      </c>
      <c r="G61" t="s">
        <v>141</v>
      </c>
      <c r="H61" t="s">
        <v>141</v>
      </c>
      <c r="I61" t="s">
        <v>135</v>
      </c>
      <c r="J61">
        <v>9.89</v>
      </c>
      <c r="K61">
        <v>4.9400000000000004</v>
      </c>
      <c r="L61">
        <f t="shared" si="0"/>
        <v>2.4750000000000001</v>
      </c>
      <c r="M61">
        <f t="shared" si="1"/>
        <v>0.25025278058645095</v>
      </c>
      <c r="N61">
        <v>0.68600000000000005</v>
      </c>
      <c r="O61">
        <v>2.5999999999999999E-2</v>
      </c>
      <c r="P61">
        <f t="shared" si="4"/>
        <v>0.66</v>
      </c>
      <c r="Q61">
        <v>0.40799999999999997</v>
      </c>
      <c r="R61">
        <f t="shared" si="3"/>
        <v>0.61818181818181817</v>
      </c>
      <c r="S61" t="s">
        <v>551</v>
      </c>
    </row>
    <row r="62" spans="1:20" x14ac:dyDescent="0.25">
      <c r="A62">
        <v>258</v>
      </c>
      <c r="B62" t="s">
        <v>600</v>
      </c>
      <c r="D62" t="s">
        <v>425</v>
      </c>
      <c r="E62">
        <v>3</v>
      </c>
      <c r="F62" t="s">
        <v>426</v>
      </c>
      <c r="G62" t="s">
        <v>141</v>
      </c>
      <c r="H62" t="s">
        <v>141</v>
      </c>
      <c r="I62" t="s">
        <v>135</v>
      </c>
      <c r="J62">
        <v>6.73</v>
      </c>
      <c r="K62">
        <v>3.02</v>
      </c>
      <c r="L62">
        <f t="shared" si="0"/>
        <v>1.8550000000000002</v>
      </c>
      <c r="M62">
        <f t="shared" si="1"/>
        <v>0.27563150074294207</v>
      </c>
      <c r="N62">
        <v>0.22600000000000001</v>
      </c>
      <c r="O62">
        <v>2.1999999999999999E-2</v>
      </c>
      <c r="P62">
        <f t="shared" si="4"/>
        <v>0.20400000000000001</v>
      </c>
      <c r="Q62">
        <v>0.125</v>
      </c>
      <c r="R62">
        <f t="shared" si="3"/>
        <v>0.61274509803921562</v>
      </c>
    </row>
    <row r="63" spans="1:20" x14ac:dyDescent="0.25">
      <c r="A63">
        <v>260</v>
      </c>
      <c r="B63" t="s">
        <v>650</v>
      </c>
      <c r="D63" t="s">
        <v>425</v>
      </c>
      <c r="E63">
        <v>4</v>
      </c>
      <c r="F63" t="s">
        <v>426</v>
      </c>
      <c r="G63" t="s">
        <v>141</v>
      </c>
      <c r="H63" t="s">
        <v>141</v>
      </c>
      <c r="I63" t="s">
        <v>135</v>
      </c>
      <c r="J63">
        <v>9.31</v>
      </c>
      <c r="K63">
        <v>4.18</v>
      </c>
      <c r="L63">
        <f t="shared" si="0"/>
        <v>2.5650000000000004</v>
      </c>
      <c r="M63">
        <f t="shared" si="1"/>
        <v>0.27551020408163268</v>
      </c>
      <c r="N63">
        <v>0.67500000000000004</v>
      </c>
      <c r="O63">
        <v>2.1999999999999999E-2</v>
      </c>
      <c r="P63">
        <f t="shared" si="4"/>
        <v>0.65300000000000002</v>
      </c>
      <c r="Q63">
        <v>0.33400000000000002</v>
      </c>
      <c r="R63">
        <f t="shared" si="3"/>
        <v>0.51148545176110261</v>
      </c>
    </row>
    <row r="64" spans="1:20" x14ac:dyDescent="0.25">
      <c r="A64">
        <v>262</v>
      </c>
      <c r="B64" t="s">
        <v>602</v>
      </c>
      <c r="D64" t="s">
        <v>425</v>
      </c>
      <c r="E64">
        <v>5</v>
      </c>
      <c r="F64" t="s">
        <v>426</v>
      </c>
      <c r="G64" t="s">
        <v>141</v>
      </c>
      <c r="H64" t="s">
        <v>141</v>
      </c>
      <c r="I64" t="s">
        <v>135</v>
      </c>
      <c r="J64">
        <v>8.2799999999999994</v>
      </c>
      <c r="K64">
        <v>5.78</v>
      </c>
      <c r="L64">
        <f t="shared" si="0"/>
        <v>1.2499999999999996</v>
      </c>
      <c r="M64">
        <f t="shared" si="1"/>
        <v>0.15096618357487918</v>
      </c>
      <c r="N64">
        <v>0.93200000000000005</v>
      </c>
      <c r="O64">
        <v>2.1999999999999999E-2</v>
      </c>
      <c r="P64">
        <f t="shared" si="4"/>
        <v>0.91</v>
      </c>
      <c r="Q64">
        <v>0.504</v>
      </c>
      <c r="R64">
        <f t="shared" si="3"/>
        <v>0.55384615384615388</v>
      </c>
    </row>
    <row r="65" spans="1:20" x14ac:dyDescent="0.25">
      <c r="A65">
        <v>62</v>
      </c>
      <c r="B65" t="s">
        <v>1234</v>
      </c>
      <c r="C65" t="s">
        <v>247</v>
      </c>
      <c r="D65" t="s">
        <v>389</v>
      </c>
      <c r="E65">
        <v>1</v>
      </c>
      <c r="F65" t="s">
        <v>248</v>
      </c>
      <c r="G65" t="s">
        <v>141</v>
      </c>
      <c r="H65" t="s">
        <v>141</v>
      </c>
      <c r="I65" t="s">
        <v>135</v>
      </c>
      <c r="J65">
        <v>6.29</v>
      </c>
      <c r="K65">
        <v>3.75</v>
      </c>
      <c r="L65">
        <f t="shared" si="0"/>
        <v>1.27</v>
      </c>
      <c r="M65">
        <f t="shared" si="1"/>
        <v>0.20190779014308427</v>
      </c>
      <c r="N65">
        <v>0.27700000000000002</v>
      </c>
      <c r="O65">
        <v>0.02</v>
      </c>
      <c r="P65">
        <f t="shared" si="4"/>
        <v>0.25700000000000001</v>
      </c>
      <c r="Q65">
        <v>0.126</v>
      </c>
      <c r="R65">
        <f t="shared" si="3"/>
        <v>0.49027237354085601</v>
      </c>
    </row>
    <row r="66" spans="1:20" x14ac:dyDescent="0.25">
      <c r="A66">
        <v>439</v>
      </c>
      <c r="B66" t="s">
        <v>995</v>
      </c>
      <c r="D66" t="s">
        <v>774</v>
      </c>
      <c r="E66">
        <v>1</v>
      </c>
      <c r="F66" t="s">
        <v>775</v>
      </c>
      <c r="I66" t="s">
        <v>135</v>
      </c>
      <c r="J66">
        <v>4.7</v>
      </c>
      <c r="K66">
        <v>3.3</v>
      </c>
      <c r="L66">
        <f t="shared" ref="L66:L129" si="5">(J66-K66)/2</f>
        <v>0.70000000000000018</v>
      </c>
      <c r="M66">
        <f t="shared" ref="M66:M129" si="6">L66/J66</f>
        <v>0.14893617021276598</v>
      </c>
      <c r="N66">
        <v>0.38400000000000001</v>
      </c>
      <c r="O66">
        <v>2.7E-2</v>
      </c>
      <c r="P66">
        <f t="shared" ref="P66:P97" si="7">N66-O66</f>
        <v>0.35699999999999998</v>
      </c>
      <c r="Q66">
        <v>0.32400000000000001</v>
      </c>
      <c r="R66">
        <f t="shared" ref="R66:R129" si="8">Q66/P66</f>
        <v>0.90756302521008414</v>
      </c>
    </row>
    <row r="67" spans="1:20" x14ac:dyDescent="0.25">
      <c r="A67">
        <v>317</v>
      </c>
      <c r="B67" t="s">
        <v>773</v>
      </c>
      <c r="D67" t="s">
        <v>774</v>
      </c>
      <c r="E67">
        <v>2</v>
      </c>
      <c r="F67" t="s">
        <v>775</v>
      </c>
      <c r="G67" t="s">
        <v>141</v>
      </c>
      <c r="H67" t="s">
        <v>141</v>
      </c>
      <c r="I67" t="s">
        <v>135</v>
      </c>
      <c r="J67">
        <v>7.97</v>
      </c>
      <c r="K67">
        <v>4.3600000000000003</v>
      </c>
      <c r="L67">
        <f t="shared" si="5"/>
        <v>1.8049999999999997</v>
      </c>
      <c r="M67">
        <f t="shared" si="6"/>
        <v>0.226474278544542</v>
      </c>
      <c r="N67">
        <v>0.72699999999999998</v>
      </c>
      <c r="O67">
        <v>2.1999999999999999E-2</v>
      </c>
      <c r="P67">
        <f t="shared" si="7"/>
        <v>0.70499999999999996</v>
      </c>
      <c r="Q67">
        <v>0.35899999999999999</v>
      </c>
      <c r="R67">
        <f t="shared" si="8"/>
        <v>0.50921985815602833</v>
      </c>
      <c r="T67" t="s">
        <v>914</v>
      </c>
    </row>
    <row r="68" spans="1:20" x14ac:dyDescent="0.25">
      <c r="A68">
        <v>295</v>
      </c>
      <c r="B68" t="s">
        <v>825</v>
      </c>
      <c r="D68" t="s">
        <v>774</v>
      </c>
      <c r="E68">
        <v>3</v>
      </c>
      <c r="F68" t="s">
        <v>775</v>
      </c>
      <c r="G68" t="s">
        <v>141</v>
      </c>
      <c r="H68" t="s">
        <v>141</v>
      </c>
      <c r="I68" t="s">
        <v>135</v>
      </c>
      <c r="J68">
        <v>6.63</v>
      </c>
      <c r="K68">
        <v>4.6399999999999997</v>
      </c>
      <c r="L68">
        <f t="shared" si="5"/>
        <v>0.99500000000000011</v>
      </c>
      <c r="M68">
        <f t="shared" si="6"/>
        <v>0.15007541478129716</v>
      </c>
      <c r="N68">
        <v>0.36799999999999999</v>
      </c>
      <c r="O68">
        <v>2.1999999999999999E-2</v>
      </c>
      <c r="P68">
        <f t="shared" si="7"/>
        <v>0.34599999999999997</v>
      </c>
      <c r="Q68">
        <v>0.27600000000000002</v>
      </c>
      <c r="R68">
        <f t="shared" si="8"/>
        <v>0.79768786127167646</v>
      </c>
    </row>
    <row r="69" spans="1:20" x14ac:dyDescent="0.25">
      <c r="A69">
        <v>290</v>
      </c>
      <c r="B69" t="s">
        <v>809</v>
      </c>
      <c r="D69" t="s">
        <v>774</v>
      </c>
      <c r="E69">
        <v>4</v>
      </c>
      <c r="F69" t="s">
        <v>775</v>
      </c>
      <c r="G69" t="s">
        <v>141</v>
      </c>
      <c r="H69" t="s">
        <v>141</v>
      </c>
      <c r="I69" t="s">
        <v>135</v>
      </c>
      <c r="J69">
        <v>6.83</v>
      </c>
      <c r="K69">
        <v>5.66</v>
      </c>
      <c r="L69">
        <f t="shared" si="5"/>
        <v>0.58499999999999996</v>
      </c>
      <c r="M69">
        <f t="shared" si="6"/>
        <v>8.5651537335285494E-2</v>
      </c>
      <c r="N69">
        <v>0.72599999999999998</v>
      </c>
      <c r="O69">
        <v>2.1999999999999999E-2</v>
      </c>
      <c r="P69">
        <f t="shared" si="7"/>
        <v>0.70399999999999996</v>
      </c>
      <c r="Q69">
        <v>0.442</v>
      </c>
      <c r="R69">
        <f t="shared" si="8"/>
        <v>0.62784090909090917</v>
      </c>
    </row>
    <row r="70" spans="1:20" x14ac:dyDescent="0.25">
      <c r="A70">
        <v>415</v>
      </c>
      <c r="B70" t="s">
        <v>945</v>
      </c>
      <c r="D70" t="s">
        <v>774</v>
      </c>
      <c r="E70">
        <v>5</v>
      </c>
      <c r="F70" t="s">
        <v>775</v>
      </c>
      <c r="G70" t="s">
        <v>141</v>
      </c>
      <c r="H70" t="s">
        <v>141</v>
      </c>
      <c r="I70" t="s">
        <v>135</v>
      </c>
      <c r="J70">
        <v>5.34</v>
      </c>
      <c r="K70">
        <v>3.39</v>
      </c>
      <c r="L70">
        <f t="shared" si="5"/>
        <v>0.97499999999999987</v>
      </c>
      <c r="M70">
        <f t="shared" si="6"/>
        <v>0.18258426966292132</v>
      </c>
      <c r="N70">
        <v>0.33900000000000002</v>
      </c>
      <c r="O70">
        <v>2.1999999999999999E-2</v>
      </c>
      <c r="P70">
        <f t="shared" si="7"/>
        <v>0.317</v>
      </c>
      <c r="Q70">
        <v>0.192</v>
      </c>
      <c r="R70">
        <f t="shared" si="8"/>
        <v>0.60567823343848581</v>
      </c>
    </row>
    <row r="71" spans="1:20" x14ac:dyDescent="0.25">
      <c r="A71">
        <v>123</v>
      </c>
      <c r="B71" t="s">
        <v>113</v>
      </c>
      <c r="D71" t="s">
        <v>382</v>
      </c>
      <c r="E71">
        <v>1</v>
      </c>
      <c r="F71" t="s">
        <v>325</v>
      </c>
      <c r="G71" t="s">
        <v>141</v>
      </c>
      <c r="H71" t="s">
        <v>141</v>
      </c>
      <c r="I71" t="s">
        <v>135</v>
      </c>
      <c r="J71">
        <v>6.23</v>
      </c>
      <c r="K71">
        <v>4.9000000000000004</v>
      </c>
      <c r="L71">
        <f t="shared" si="5"/>
        <v>0.66500000000000004</v>
      </c>
      <c r="M71">
        <f t="shared" si="6"/>
        <v>0.10674157303370786</v>
      </c>
      <c r="N71">
        <v>0.72599999999999998</v>
      </c>
      <c r="O71">
        <v>0.03</v>
      </c>
      <c r="P71">
        <f t="shared" si="7"/>
        <v>0.69599999999999995</v>
      </c>
      <c r="Q71">
        <v>0.51200000000000001</v>
      </c>
      <c r="R71">
        <f t="shared" si="8"/>
        <v>0.73563218390804608</v>
      </c>
    </row>
    <row r="72" spans="1:20" x14ac:dyDescent="0.25">
      <c r="A72">
        <v>50</v>
      </c>
      <c r="B72" t="s">
        <v>1230</v>
      </c>
      <c r="C72" t="s">
        <v>212</v>
      </c>
      <c r="D72" t="s">
        <v>382</v>
      </c>
      <c r="E72">
        <v>2</v>
      </c>
      <c r="F72" t="s">
        <v>325</v>
      </c>
      <c r="G72" t="s">
        <v>141</v>
      </c>
      <c r="H72" t="s">
        <v>141</v>
      </c>
      <c r="I72" t="s">
        <v>135</v>
      </c>
      <c r="J72">
        <v>6.62</v>
      </c>
      <c r="K72">
        <v>4.7699999999999996</v>
      </c>
      <c r="L72">
        <f t="shared" si="5"/>
        <v>0.92500000000000027</v>
      </c>
      <c r="M72">
        <f t="shared" si="6"/>
        <v>0.13972809667673719</v>
      </c>
      <c r="N72">
        <v>0.58599999999999997</v>
      </c>
      <c r="O72">
        <v>0.02</v>
      </c>
      <c r="P72">
        <f t="shared" si="7"/>
        <v>0.56599999999999995</v>
      </c>
      <c r="Q72">
        <v>0.42599999999999999</v>
      </c>
      <c r="R72">
        <f t="shared" si="8"/>
        <v>0.75265017667844525</v>
      </c>
    </row>
    <row r="73" spans="1:20" x14ac:dyDescent="0.25">
      <c r="A73">
        <v>268</v>
      </c>
      <c r="B73" t="s">
        <v>606</v>
      </c>
      <c r="D73" t="s">
        <v>382</v>
      </c>
      <c r="E73">
        <v>3</v>
      </c>
      <c r="F73" t="s">
        <v>325</v>
      </c>
      <c r="G73" t="s">
        <v>141</v>
      </c>
      <c r="H73" t="s">
        <v>141</v>
      </c>
      <c r="I73" t="s">
        <v>135</v>
      </c>
      <c r="J73">
        <v>7.94</v>
      </c>
      <c r="K73">
        <v>6.64</v>
      </c>
      <c r="L73">
        <f t="shared" si="5"/>
        <v>0.65000000000000036</v>
      </c>
      <c r="M73">
        <f t="shared" si="6"/>
        <v>8.1863979848866536E-2</v>
      </c>
      <c r="N73">
        <v>0.50900000000000001</v>
      </c>
      <c r="O73">
        <v>2.1999999999999999E-2</v>
      </c>
      <c r="P73">
        <f t="shared" si="7"/>
        <v>0.48699999999999999</v>
      </c>
      <c r="Q73">
        <v>0.33200000000000002</v>
      </c>
      <c r="R73">
        <f t="shared" si="8"/>
        <v>0.68172484599589322</v>
      </c>
    </row>
    <row r="74" spans="1:20" x14ac:dyDescent="0.25">
      <c r="A74">
        <v>229</v>
      </c>
      <c r="B74" t="s">
        <v>634</v>
      </c>
      <c r="D74" t="s">
        <v>382</v>
      </c>
      <c r="E74">
        <v>4</v>
      </c>
      <c r="F74" t="s">
        <v>325</v>
      </c>
      <c r="G74" t="s">
        <v>141</v>
      </c>
      <c r="H74" t="s">
        <v>141</v>
      </c>
      <c r="I74" t="s">
        <v>135</v>
      </c>
      <c r="J74">
        <v>5.62</v>
      </c>
      <c r="K74">
        <v>4.41</v>
      </c>
      <c r="L74">
        <f t="shared" si="5"/>
        <v>0.60499999999999998</v>
      </c>
      <c r="M74">
        <f t="shared" si="6"/>
        <v>0.10765124555160142</v>
      </c>
      <c r="N74">
        <v>0.38100000000000001</v>
      </c>
      <c r="O74">
        <v>2.1999999999999999E-2</v>
      </c>
      <c r="P74">
        <f t="shared" si="7"/>
        <v>0.35899999999999999</v>
      </c>
      <c r="Q74">
        <v>0.26200000000000001</v>
      </c>
      <c r="R74">
        <f t="shared" si="8"/>
        <v>0.72980501392757668</v>
      </c>
      <c r="S74" t="s">
        <v>551</v>
      </c>
    </row>
    <row r="75" spans="1:20" x14ac:dyDescent="0.25">
      <c r="A75">
        <v>254</v>
      </c>
      <c r="B75" t="s">
        <v>623</v>
      </c>
      <c r="D75" t="s">
        <v>382</v>
      </c>
      <c r="E75">
        <v>5</v>
      </c>
      <c r="F75" t="s">
        <v>325</v>
      </c>
      <c r="G75" t="s">
        <v>141</v>
      </c>
      <c r="H75" t="s">
        <v>141</v>
      </c>
      <c r="I75" t="s">
        <v>135</v>
      </c>
      <c r="J75">
        <v>7.68</v>
      </c>
      <c r="K75">
        <v>6.23</v>
      </c>
      <c r="L75">
        <f t="shared" si="5"/>
        <v>0.72499999999999964</v>
      </c>
      <c r="M75">
        <f t="shared" si="6"/>
        <v>9.440104166666663E-2</v>
      </c>
      <c r="N75">
        <v>0.81799999999999995</v>
      </c>
      <c r="O75">
        <v>2.1999999999999999E-2</v>
      </c>
      <c r="P75">
        <f t="shared" si="7"/>
        <v>0.79599999999999993</v>
      </c>
      <c r="Q75">
        <v>0.55400000000000005</v>
      </c>
      <c r="R75">
        <f t="shared" si="8"/>
        <v>0.69597989949748751</v>
      </c>
    </row>
    <row r="76" spans="1:20" x14ac:dyDescent="0.25">
      <c r="A76">
        <v>133</v>
      </c>
      <c r="B76" t="s">
        <v>117</v>
      </c>
      <c r="D76" t="s">
        <v>383</v>
      </c>
      <c r="E76">
        <v>1</v>
      </c>
      <c r="F76" t="s">
        <v>328</v>
      </c>
      <c r="G76" t="s">
        <v>141</v>
      </c>
      <c r="H76" t="s">
        <v>141</v>
      </c>
      <c r="I76" t="s">
        <v>135</v>
      </c>
      <c r="J76">
        <v>6.46</v>
      </c>
      <c r="K76">
        <v>5.54</v>
      </c>
      <c r="L76">
        <f t="shared" si="5"/>
        <v>0.45999999999999996</v>
      </c>
      <c r="M76">
        <f t="shared" si="6"/>
        <v>7.1207430340557265E-2</v>
      </c>
      <c r="N76">
        <v>0.52100000000000002</v>
      </c>
      <c r="O76">
        <v>0.03</v>
      </c>
      <c r="P76">
        <f t="shared" si="7"/>
        <v>0.49099999999999999</v>
      </c>
      <c r="Q76">
        <v>0.27400000000000002</v>
      </c>
      <c r="R76">
        <f t="shared" si="8"/>
        <v>0.5580448065173117</v>
      </c>
    </row>
    <row r="77" spans="1:20" x14ac:dyDescent="0.25">
      <c r="A77">
        <v>145</v>
      </c>
      <c r="B77" t="s">
        <v>193</v>
      </c>
      <c r="D77" t="s">
        <v>383</v>
      </c>
      <c r="E77">
        <v>2</v>
      </c>
      <c r="F77" t="s">
        <v>328</v>
      </c>
      <c r="G77" t="s">
        <v>141</v>
      </c>
      <c r="H77" t="s">
        <v>141</v>
      </c>
      <c r="I77" t="s">
        <v>134</v>
      </c>
      <c r="J77">
        <v>8.66</v>
      </c>
      <c r="K77">
        <v>6.69</v>
      </c>
      <c r="L77">
        <f t="shared" si="5"/>
        <v>0.98499999999999988</v>
      </c>
      <c r="M77">
        <f t="shared" si="6"/>
        <v>0.11374133949191684</v>
      </c>
      <c r="N77">
        <v>0.185</v>
      </c>
      <c r="O77">
        <v>0.03</v>
      </c>
      <c r="P77">
        <f t="shared" si="7"/>
        <v>0.155</v>
      </c>
      <c r="Q77">
        <v>0.10299999999999999</v>
      </c>
      <c r="R77">
        <f t="shared" si="8"/>
        <v>0.66451612903225799</v>
      </c>
    </row>
    <row r="78" spans="1:20" x14ac:dyDescent="0.25">
      <c r="A78">
        <v>70</v>
      </c>
      <c r="B78" t="s">
        <v>304</v>
      </c>
      <c r="D78" t="s">
        <v>383</v>
      </c>
      <c r="E78">
        <v>3</v>
      </c>
      <c r="F78" t="s">
        <v>328</v>
      </c>
      <c r="G78" t="s">
        <v>141</v>
      </c>
      <c r="H78" t="s">
        <v>141</v>
      </c>
      <c r="I78" t="s">
        <v>135</v>
      </c>
      <c r="J78">
        <v>13.27</v>
      </c>
      <c r="K78">
        <v>9.02</v>
      </c>
      <c r="L78">
        <f t="shared" si="5"/>
        <v>2.125</v>
      </c>
      <c r="M78">
        <f t="shared" si="6"/>
        <v>0.16013564431047475</v>
      </c>
      <c r="N78">
        <v>1.0549999999999999</v>
      </c>
      <c r="O78">
        <v>0.02</v>
      </c>
      <c r="P78">
        <f t="shared" si="7"/>
        <v>1.0349999999999999</v>
      </c>
      <c r="Q78">
        <v>0.55500000000000005</v>
      </c>
      <c r="R78">
        <f t="shared" si="8"/>
        <v>0.53623188405797106</v>
      </c>
    </row>
    <row r="79" spans="1:20" x14ac:dyDescent="0.25">
      <c r="A79">
        <v>219</v>
      </c>
      <c r="B79" t="s">
        <v>447</v>
      </c>
      <c r="D79" t="s">
        <v>383</v>
      </c>
      <c r="E79">
        <v>4</v>
      </c>
      <c r="F79" t="s">
        <v>328</v>
      </c>
      <c r="G79" t="s">
        <v>141</v>
      </c>
      <c r="H79" t="s">
        <v>141</v>
      </c>
      <c r="I79" t="s">
        <v>135</v>
      </c>
      <c r="J79">
        <v>8.3000000000000007</v>
      </c>
      <c r="K79">
        <v>6.75</v>
      </c>
      <c r="L79">
        <f t="shared" si="5"/>
        <v>0.77500000000000036</v>
      </c>
      <c r="M79">
        <f t="shared" si="6"/>
        <v>9.3373493975903651E-2</v>
      </c>
      <c r="N79">
        <v>0.28199999999999997</v>
      </c>
      <c r="O79">
        <v>2.5999999999999999E-2</v>
      </c>
      <c r="P79">
        <f t="shared" si="7"/>
        <v>0.25599999999999995</v>
      </c>
      <c r="Q79">
        <v>0.16800000000000001</v>
      </c>
      <c r="R79">
        <f t="shared" si="8"/>
        <v>0.65625000000000022</v>
      </c>
      <c r="S79" t="s">
        <v>551</v>
      </c>
    </row>
    <row r="80" spans="1:20" x14ac:dyDescent="0.25">
      <c r="A80">
        <v>202</v>
      </c>
      <c r="B80" t="s">
        <v>422</v>
      </c>
      <c r="D80" t="s">
        <v>383</v>
      </c>
      <c r="E80">
        <v>5</v>
      </c>
      <c r="F80" t="s">
        <v>328</v>
      </c>
      <c r="G80" t="s">
        <v>141</v>
      </c>
      <c r="H80" t="s">
        <v>141</v>
      </c>
      <c r="I80" t="s">
        <v>135</v>
      </c>
      <c r="J80">
        <v>9.76</v>
      </c>
      <c r="K80">
        <v>7.43</v>
      </c>
      <c r="L80">
        <f t="shared" si="5"/>
        <v>1.165</v>
      </c>
      <c r="M80">
        <f t="shared" si="6"/>
        <v>0.11936475409836066</v>
      </c>
      <c r="N80">
        <v>0.434</v>
      </c>
      <c r="O80">
        <v>2.5999999999999999E-2</v>
      </c>
      <c r="P80">
        <f t="shared" si="7"/>
        <v>0.40799999999999997</v>
      </c>
      <c r="Q80">
        <v>0.219</v>
      </c>
      <c r="R80">
        <f t="shared" si="8"/>
        <v>0.53676470588235292</v>
      </c>
      <c r="S80" t="s">
        <v>551</v>
      </c>
    </row>
    <row r="81" spans="1:19" x14ac:dyDescent="0.25">
      <c r="A81">
        <v>339</v>
      </c>
      <c r="B81" t="s">
        <v>864</v>
      </c>
      <c r="D81" t="s">
        <v>836</v>
      </c>
      <c r="E81">
        <v>1</v>
      </c>
      <c r="F81" t="s">
        <v>837</v>
      </c>
      <c r="G81" t="s">
        <v>141</v>
      </c>
      <c r="H81" t="s">
        <v>141</v>
      </c>
      <c r="I81" t="s">
        <v>135</v>
      </c>
      <c r="J81">
        <v>7.59</v>
      </c>
      <c r="K81">
        <v>5.7</v>
      </c>
      <c r="L81">
        <f t="shared" si="5"/>
        <v>0.94499999999999984</v>
      </c>
      <c r="M81">
        <f t="shared" si="6"/>
        <v>0.12450592885375492</v>
      </c>
      <c r="N81">
        <v>0.98199999999999998</v>
      </c>
      <c r="O81">
        <v>2.1999999999999999E-2</v>
      </c>
      <c r="P81">
        <f t="shared" si="7"/>
        <v>0.96</v>
      </c>
      <c r="Q81">
        <v>0.60099999999999998</v>
      </c>
      <c r="R81">
        <f t="shared" si="8"/>
        <v>0.62604166666666672</v>
      </c>
    </row>
    <row r="82" spans="1:19" x14ac:dyDescent="0.25">
      <c r="A82">
        <v>332</v>
      </c>
      <c r="B82" t="s">
        <v>835</v>
      </c>
      <c r="D82" t="s">
        <v>836</v>
      </c>
      <c r="E82">
        <v>2</v>
      </c>
      <c r="F82" t="s">
        <v>837</v>
      </c>
      <c r="G82" t="s">
        <v>141</v>
      </c>
      <c r="H82" t="s">
        <v>141</v>
      </c>
      <c r="I82" t="s">
        <v>135</v>
      </c>
      <c r="J82">
        <v>6.38</v>
      </c>
      <c r="K82">
        <v>4.8600000000000003</v>
      </c>
      <c r="L82">
        <f t="shared" si="5"/>
        <v>0.75999999999999979</v>
      </c>
      <c r="M82">
        <f t="shared" si="6"/>
        <v>0.11912225705329151</v>
      </c>
      <c r="N82">
        <v>0.56499999999999995</v>
      </c>
      <c r="O82">
        <v>2.1999999999999999E-2</v>
      </c>
      <c r="P82">
        <f t="shared" si="7"/>
        <v>0.54299999999999993</v>
      </c>
      <c r="Q82">
        <v>0.377</v>
      </c>
      <c r="R82">
        <f t="shared" si="8"/>
        <v>0.69429097605893197</v>
      </c>
    </row>
    <row r="83" spans="1:19" x14ac:dyDescent="0.25">
      <c r="A83">
        <v>334</v>
      </c>
      <c r="B83" t="s">
        <v>856</v>
      </c>
      <c r="D83" t="s">
        <v>836</v>
      </c>
      <c r="E83">
        <v>3</v>
      </c>
      <c r="F83" t="s">
        <v>837</v>
      </c>
      <c r="G83" t="s">
        <v>141</v>
      </c>
      <c r="H83" t="s">
        <v>141</v>
      </c>
      <c r="I83" t="s">
        <v>135</v>
      </c>
      <c r="J83">
        <v>5.3</v>
      </c>
      <c r="K83">
        <v>4.3499999999999996</v>
      </c>
      <c r="L83">
        <f t="shared" si="5"/>
        <v>0.47500000000000009</v>
      </c>
      <c r="M83">
        <f t="shared" si="6"/>
        <v>8.9622641509433984E-2</v>
      </c>
      <c r="N83">
        <v>0.52600000000000002</v>
      </c>
      <c r="O83">
        <v>2.1999999999999999E-2</v>
      </c>
      <c r="P83">
        <f t="shared" si="7"/>
        <v>0.504</v>
      </c>
      <c r="Q83">
        <v>0.30099999999999999</v>
      </c>
      <c r="R83">
        <f t="shared" si="8"/>
        <v>0.59722222222222221</v>
      </c>
    </row>
    <row r="84" spans="1:19" x14ac:dyDescent="0.25">
      <c r="A84">
        <v>346</v>
      </c>
      <c r="B84" t="s">
        <v>854</v>
      </c>
      <c r="D84" t="s">
        <v>836</v>
      </c>
      <c r="E84">
        <v>4</v>
      </c>
      <c r="F84" t="s">
        <v>837</v>
      </c>
      <c r="G84" t="s">
        <v>141</v>
      </c>
      <c r="H84" t="s">
        <v>141</v>
      </c>
      <c r="I84" t="s">
        <v>135</v>
      </c>
      <c r="J84">
        <v>6.71</v>
      </c>
      <c r="K84">
        <v>5.51</v>
      </c>
      <c r="L84">
        <f t="shared" si="5"/>
        <v>0.60000000000000009</v>
      </c>
      <c r="M84">
        <f t="shared" si="6"/>
        <v>8.9418777943368125E-2</v>
      </c>
      <c r="N84">
        <v>0.32</v>
      </c>
      <c r="O84">
        <v>2.1999999999999999E-2</v>
      </c>
      <c r="P84">
        <f t="shared" si="7"/>
        <v>0.29799999999999999</v>
      </c>
      <c r="Q84">
        <v>0.249</v>
      </c>
      <c r="R84">
        <f t="shared" si="8"/>
        <v>0.83557046979865779</v>
      </c>
    </row>
    <row r="85" spans="1:19" x14ac:dyDescent="0.25">
      <c r="A85">
        <v>350</v>
      </c>
      <c r="B85" t="s">
        <v>839</v>
      </c>
      <c r="D85" t="s">
        <v>836</v>
      </c>
      <c r="E85">
        <v>5</v>
      </c>
      <c r="F85" t="s">
        <v>837</v>
      </c>
      <c r="G85" t="s">
        <v>141</v>
      </c>
      <c r="H85" t="s">
        <v>141</v>
      </c>
      <c r="I85" t="s">
        <v>135</v>
      </c>
      <c r="J85">
        <v>7.92</v>
      </c>
      <c r="K85">
        <v>6.42</v>
      </c>
      <c r="L85">
        <f t="shared" si="5"/>
        <v>0.75</v>
      </c>
      <c r="M85">
        <f t="shared" si="6"/>
        <v>9.4696969696969696E-2</v>
      </c>
      <c r="N85">
        <v>0.752</v>
      </c>
      <c r="O85">
        <v>2.1999999999999999E-2</v>
      </c>
      <c r="P85">
        <f t="shared" si="7"/>
        <v>0.73</v>
      </c>
      <c r="Q85">
        <v>0.51200000000000001</v>
      </c>
      <c r="R85">
        <f t="shared" si="8"/>
        <v>0.70136986301369864</v>
      </c>
    </row>
    <row r="86" spans="1:19" x14ac:dyDescent="0.25">
      <c r="A86">
        <v>39</v>
      </c>
      <c r="B86" t="s">
        <v>1235</v>
      </c>
      <c r="C86" t="s">
        <v>268</v>
      </c>
      <c r="D86" t="s">
        <v>395</v>
      </c>
      <c r="E86">
        <v>1</v>
      </c>
      <c r="F86" t="s">
        <v>269</v>
      </c>
      <c r="G86" t="s">
        <v>141</v>
      </c>
      <c r="H86" t="s">
        <v>141</v>
      </c>
      <c r="I86" t="s">
        <v>135</v>
      </c>
      <c r="J86">
        <v>8.24</v>
      </c>
      <c r="K86">
        <v>5.91</v>
      </c>
      <c r="L86">
        <f t="shared" si="5"/>
        <v>1.165</v>
      </c>
      <c r="M86">
        <f t="shared" si="6"/>
        <v>0.14138349514563106</v>
      </c>
      <c r="N86">
        <v>1.0209999999999999</v>
      </c>
      <c r="O86">
        <v>0.02</v>
      </c>
      <c r="P86">
        <f t="shared" si="7"/>
        <v>1.0009999999999999</v>
      </c>
      <c r="Q86">
        <v>0.72899999999999998</v>
      </c>
      <c r="R86">
        <f t="shared" si="8"/>
        <v>0.72827172827172837</v>
      </c>
    </row>
    <row r="87" spans="1:19" x14ac:dyDescent="0.25">
      <c r="A87">
        <v>128</v>
      </c>
      <c r="B87" t="s">
        <v>88</v>
      </c>
      <c r="D87" t="s">
        <v>368</v>
      </c>
      <c r="E87">
        <v>1</v>
      </c>
      <c r="F87" t="s">
        <v>379</v>
      </c>
      <c r="G87" t="s">
        <v>141</v>
      </c>
      <c r="H87" t="s">
        <v>141</v>
      </c>
      <c r="I87" t="s">
        <v>135</v>
      </c>
      <c r="J87">
        <v>9.69</v>
      </c>
      <c r="K87">
        <v>7.39</v>
      </c>
      <c r="L87">
        <f t="shared" si="5"/>
        <v>1.1499999999999999</v>
      </c>
      <c r="M87">
        <f t="shared" si="6"/>
        <v>0.11867905056759545</v>
      </c>
      <c r="N87">
        <v>0.77300000000000002</v>
      </c>
      <c r="O87">
        <v>0.03</v>
      </c>
      <c r="P87">
        <f t="shared" si="7"/>
        <v>0.74299999999999999</v>
      </c>
      <c r="Q87">
        <v>0.49399999999999999</v>
      </c>
      <c r="R87">
        <f t="shared" si="8"/>
        <v>0.66487213997308214</v>
      </c>
    </row>
    <row r="88" spans="1:19" x14ac:dyDescent="0.25">
      <c r="A88">
        <v>226</v>
      </c>
      <c r="B88" t="s">
        <v>438</v>
      </c>
      <c r="D88" t="s">
        <v>368</v>
      </c>
      <c r="E88">
        <v>2</v>
      </c>
      <c r="F88" t="s">
        <v>379</v>
      </c>
      <c r="G88" t="s">
        <v>141</v>
      </c>
      <c r="H88" t="s">
        <v>141</v>
      </c>
      <c r="I88" t="s">
        <v>135</v>
      </c>
      <c r="J88">
        <v>2.85</v>
      </c>
      <c r="K88">
        <v>2.09</v>
      </c>
      <c r="L88">
        <f t="shared" si="5"/>
        <v>0.38000000000000012</v>
      </c>
      <c r="M88">
        <f t="shared" si="6"/>
        <v>0.13333333333333336</v>
      </c>
      <c r="N88">
        <v>0.129</v>
      </c>
      <c r="O88">
        <v>2.5999999999999999E-2</v>
      </c>
      <c r="P88">
        <f t="shared" si="7"/>
        <v>0.10300000000000001</v>
      </c>
      <c r="Q88">
        <v>7.0000000000000007E-2</v>
      </c>
      <c r="R88">
        <f t="shared" si="8"/>
        <v>0.67961165048543692</v>
      </c>
      <c r="S88" t="s">
        <v>551</v>
      </c>
    </row>
    <row r="89" spans="1:19" x14ac:dyDescent="0.25">
      <c r="A89">
        <v>168</v>
      </c>
      <c r="B89" t="s">
        <v>519</v>
      </c>
      <c r="D89" t="s">
        <v>368</v>
      </c>
      <c r="E89">
        <v>3</v>
      </c>
      <c r="F89" t="s">
        <v>379</v>
      </c>
      <c r="G89" t="s">
        <v>141</v>
      </c>
      <c r="H89" t="s">
        <v>141</v>
      </c>
      <c r="I89" t="s">
        <v>135</v>
      </c>
      <c r="J89">
        <v>7.45</v>
      </c>
      <c r="K89">
        <v>5.66</v>
      </c>
      <c r="L89">
        <f t="shared" si="5"/>
        <v>0.89500000000000002</v>
      </c>
      <c r="M89">
        <f t="shared" si="6"/>
        <v>0.12013422818791947</v>
      </c>
      <c r="N89">
        <v>0.69199999999999995</v>
      </c>
      <c r="O89">
        <v>2.5999999999999999E-2</v>
      </c>
      <c r="P89">
        <f t="shared" si="7"/>
        <v>0.66599999999999993</v>
      </c>
      <c r="Q89">
        <v>0.45700000000000002</v>
      </c>
      <c r="R89">
        <f t="shared" si="8"/>
        <v>0.68618618618618632</v>
      </c>
    </row>
    <row r="90" spans="1:19" x14ac:dyDescent="0.25">
      <c r="A90">
        <v>276</v>
      </c>
      <c r="B90" t="s">
        <v>744</v>
      </c>
      <c r="D90" t="s">
        <v>368</v>
      </c>
      <c r="E90">
        <v>4</v>
      </c>
      <c r="F90" t="s">
        <v>379</v>
      </c>
      <c r="G90" t="s">
        <v>141</v>
      </c>
      <c r="H90" t="s">
        <v>141</v>
      </c>
      <c r="I90" t="s">
        <v>135</v>
      </c>
      <c r="J90">
        <v>7.89</v>
      </c>
      <c r="K90">
        <v>6.02</v>
      </c>
      <c r="L90">
        <f t="shared" si="5"/>
        <v>0.93500000000000005</v>
      </c>
      <c r="M90">
        <f t="shared" si="6"/>
        <v>0.11850443599493031</v>
      </c>
      <c r="N90">
        <v>0.35299999999999998</v>
      </c>
      <c r="O90">
        <v>2.1999999999999999E-2</v>
      </c>
      <c r="P90">
        <f t="shared" si="7"/>
        <v>0.33099999999999996</v>
      </c>
      <c r="Q90">
        <v>0.21199999999999999</v>
      </c>
      <c r="R90">
        <f t="shared" si="8"/>
        <v>0.64048338368580071</v>
      </c>
    </row>
    <row r="91" spans="1:19" x14ac:dyDescent="0.25">
      <c r="A91">
        <v>303</v>
      </c>
      <c r="B91" t="s">
        <v>763</v>
      </c>
      <c r="D91" t="s">
        <v>368</v>
      </c>
      <c r="E91">
        <v>5</v>
      </c>
      <c r="F91" t="s">
        <v>379</v>
      </c>
      <c r="G91" t="s">
        <v>141</v>
      </c>
      <c r="H91" t="s">
        <v>141</v>
      </c>
      <c r="I91" t="s">
        <v>135</v>
      </c>
      <c r="J91">
        <v>7.14</v>
      </c>
      <c r="K91">
        <v>4.91</v>
      </c>
      <c r="L91">
        <f t="shared" si="5"/>
        <v>1.1149999999999998</v>
      </c>
      <c r="M91">
        <f t="shared" si="6"/>
        <v>0.15616246498599437</v>
      </c>
      <c r="N91">
        <v>0.63</v>
      </c>
      <c r="O91">
        <v>2.1999999999999999E-2</v>
      </c>
      <c r="P91">
        <f t="shared" si="7"/>
        <v>0.60799999999999998</v>
      </c>
      <c r="Q91">
        <v>0.41899999999999998</v>
      </c>
      <c r="R91">
        <f t="shared" si="8"/>
        <v>0.6891447368421052</v>
      </c>
    </row>
    <row r="92" spans="1:19" x14ac:dyDescent="0.25">
      <c r="A92">
        <v>342</v>
      </c>
      <c r="B92" t="s">
        <v>840</v>
      </c>
      <c r="D92" t="s">
        <v>368</v>
      </c>
      <c r="E92">
        <v>6</v>
      </c>
      <c r="F92" t="s">
        <v>379</v>
      </c>
      <c r="G92" t="s">
        <v>141</v>
      </c>
      <c r="H92" t="s">
        <v>141</v>
      </c>
      <c r="I92" t="s">
        <v>135</v>
      </c>
      <c r="J92">
        <v>6.57</v>
      </c>
      <c r="K92">
        <v>5.0999999999999996</v>
      </c>
      <c r="L92">
        <f t="shared" si="5"/>
        <v>0.73500000000000032</v>
      </c>
      <c r="M92">
        <f t="shared" si="6"/>
        <v>0.11187214611872151</v>
      </c>
      <c r="N92">
        <v>0.78700000000000003</v>
      </c>
      <c r="O92">
        <v>2.1999999999999999E-2</v>
      </c>
      <c r="P92">
        <f t="shared" si="7"/>
        <v>0.76500000000000001</v>
      </c>
      <c r="Q92">
        <v>0.46300000000000002</v>
      </c>
      <c r="R92">
        <f t="shared" si="8"/>
        <v>0.60522875816993471</v>
      </c>
    </row>
    <row r="93" spans="1:19" x14ac:dyDescent="0.25">
      <c r="A93">
        <v>92</v>
      </c>
      <c r="B93" t="s">
        <v>1196</v>
      </c>
      <c r="C93" t="s">
        <v>1199</v>
      </c>
      <c r="D93" t="s">
        <v>638</v>
      </c>
      <c r="E93">
        <v>1</v>
      </c>
      <c r="F93" t="s">
        <v>639</v>
      </c>
      <c r="G93" t="s">
        <v>141</v>
      </c>
      <c r="H93" t="s">
        <v>141</v>
      </c>
      <c r="I93" t="s">
        <v>135</v>
      </c>
      <c r="J93">
        <v>6.88</v>
      </c>
      <c r="K93">
        <v>5.7</v>
      </c>
      <c r="L93">
        <f t="shared" si="5"/>
        <v>0.58999999999999986</v>
      </c>
      <c r="M93">
        <f t="shared" si="6"/>
        <v>8.5755813953488358E-2</v>
      </c>
      <c r="N93">
        <v>0.79</v>
      </c>
      <c r="O93">
        <v>0.03</v>
      </c>
      <c r="P93">
        <f t="shared" si="7"/>
        <v>0.76</v>
      </c>
      <c r="Q93">
        <v>0.53100000000000003</v>
      </c>
      <c r="R93">
        <f t="shared" si="8"/>
        <v>0.6986842105263158</v>
      </c>
    </row>
    <row r="94" spans="1:19" x14ac:dyDescent="0.25">
      <c r="A94">
        <v>98</v>
      </c>
      <c r="B94" t="s">
        <v>1197</v>
      </c>
      <c r="C94" t="s">
        <v>1200</v>
      </c>
      <c r="D94" t="s">
        <v>638</v>
      </c>
      <c r="E94">
        <v>2</v>
      </c>
      <c r="F94" t="s">
        <v>639</v>
      </c>
      <c r="G94" t="s">
        <v>141</v>
      </c>
      <c r="H94" t="s">
        <v>141</v>
      </c>
      <c r="I94" t="s">
        <v>135</v>
      </c>
      <c r="J94">
        <v>6.34</v>
      </c>
      <c r="K94">
        <v>5.2</v>
      </c>
      <c r="L94">
        <f t="shared" si="5"/>
        <v>0.56999999999999984</v>
      </c>
      <c r="M94">
        <f t="shared" si="6"/>
        <v>8.9905362776025219E-2</v>
      </c>
      <c r="N94">
        <v>0.755</v>
      </c>
      <c r="O94">
        <v>0.03</v>
      </c>
      <c r="P94">
        <f t="shared" si="7"/>
        <v>0.72499999999999998</v>
      </c>
      <c r="Q94">
        <v>0.41899999999999998</v>
      </c>
      <c r="R94">
        <f t="shared" si="8"/>
        <v>0.57793103448275862</v>
      </c>
    </row>
    <row r="95" spans="1:19" x14ac:dyDescent="0.25">
      <c r="A95">
        <v>243</v>
      </c>
      <c r="B95" t="s">
        <v>630</v>
      </c>
      <c r="D95" t="s">
        <v>587</v>
      </c>
      <c r="E95">
        <v>1</v>
      </c>
      <c r="F95" t="s">
        <v>588</v>
      </c>
      <c r="G95" t="s">
        <v>141</v>
      </c>
      <c r="H95" t="s">
        <v>141</v>
      </c>
      <c r="I95" t="s">
        <v>135</v>
      </c>
      <c r="J95">
        <v>5.59</v>
      </c>
      <c r="K95">
        <v>4.5999999999999996</v>
      </c>
      <c r="L95">
        <f t="shared" si="5"/>
        <v>0.49500000000000011</v>
      </c>
      <c r="M95">
        <f t="shared" si="6"/>
        <v>8.8550983899821134E-2</v>
      </c>
      <c r="N95">
        <v>0.47299999999999998</v>
      </c>
      <c r="O95">
        <v>2.1999999999999999E-2</v>
      </c>
      <c r="P95">
        <f t="shared" si="7"/>
        <v>0.45099999999999996</v>
      </c>
      <c r="Q95">
        <v>0.33700000000000002</v>
      </c>
      <c r="R95">
        <f t="shared" si="8"/>
        <v>0.74722838137472292</v>
      </c>
    </row>
    <row r="96" spans="1:19" x14ac:dyDescent="0.25">
      <c r="A96">
        <v>240</v>
      </c>
      <c r="B96" t="s">
        <v>589</v>
      </c>
      <c r="D96" t="s">
        <v>587</v>
      </c>
      <c r="E96">
        <v>2</v>
      </c>
      <c r="F96" t="s">
        <v>588</v>
      </c>
      <c r="G96" t="s">
        <v>141</v>
      </c>
      <c r="H96" t="s">
        <v>141</v>
      </c>
      <c r="I96" t="s">
        <v>135</v>
      </c>
      <c r="J96">
        <v>3.38</v>
      </c>
      <c r="K96">
        <v>3.09</v>
      </c>
      <c r="L96">
        <f t="shared" si="5"/>
        <v>0.14500000000000002</v>
      </c>
      <c r="M96">
        <f t="shared" si="6"/>
        <v>4.2899408284023673E-2</v>
      </c>
      <c r="N96">
        <v>0.33200000000000002</v>
      </c>
      <c r="O96">
        <v>2.1999999999999999E-2</v>
      </c>
      <c r="P96">
        <f t="shared" si="7"/>
        <v>0.31</v>
      </c>
      <c r="Q96">
        <v>0.23899999999999999</v>
      </c>
      <c r="R96">
        <f t="shared" si="8"/>
        <v>0.7709677419354839</v>
      </c>
    </row>
    <row r="97" spans="1:19" x14ac:dyDescent="0.25">
      <c r="A97">
        <v>242</v>
      </c>
      <c r="B97" t="s">
        <v>586</v>
      </c>
      <c r="D97" t="s">
        <v>587</v>
      </c>
      <c r="E97">
        <v>3</v>
      </c>
      <c r="F97" t="s">
        <v>588</v>
      </c>
      <c r="G97" t="s">
        <v>141</v>
      </c>
      <c r="H97" t="s">
        <v>141</v>
      </c>
      <c r="I97" t="s">
        <v>135</v>
      </c>
      <c r="J97">
        <v>8.32</v>
      </c>
      <c r="K97">
        <v>7.13</v>
      </c>
      <c r="L97">
        <f t="shared" si="5"/>
        <v>0.5950000000000002</v>
      </c>
      <c r="M97">
        <f t="shared" si="6"/>
        <v>7.15144230769231E-2</v>
      </c>
      <c r="N97">
        <v>0.82299999999999995</v>
      </c>
      <c r="O97">
        <v>2.1999999999999999E-2</v>
      </c>
      <c r="P97">
        <f t="shared" si="7"/>
        <v>0.80099999999999993</v>
      </c>
      <c r="Q97">
        <v>0.495</v>
      </c>
      <c r="R97">
        <f t="shared" si="8"/>
        <v>0.61797752808988771</v>
      </c>
    </row>
    <row r="98" spans="1:19" x14ac:dyDescent="0.25">
      <c r="A98">
        <v>460</v>
      </c>
      <c r="B98" t="s">
        <v>1101</v>
      </c>
      <c r="D98" t="s">
        <v>587</v>
      </c>
      <c r="E98">
        <v>4</v>
      </c>
      <c r="F98" t="s">
        <v>588</v>
      </c>
      <c r="I98" t="s">
        <v>135</v>
      </c>
      <c r="J98">
        <v>4.29</v>
      </c>
      <c r="K98">
        <v>3.49</v>
      </c>
      <c r="L98">
        <f t="shared" si="5"/>
        <v>0.39999999999999991</v>
      </c>
      <c r="M98">
        <f t="shared" si="6"/>
        <v>9.3240093240093219E-2</v>
      </c>
      <c r="N98">
        <v>0.31900000000000001</v>
      </c>
      <c r="O98">
        <v>2.7E-2</v>
      </c>
      <c r="P98">
        <f t="shared" ref="P98:P129" si="9">N98-O98</f>
        <v>0.29199999999999998</v>
      </c>
      <c r="Q98">
        <v>0.20799999999999999</v>
      </c>
      <c r="R98">
        <f t="shared" si="8"/>
        <v>0.71232876712328763</v>
      </c>
    </row>
    <row r="99" spans="1:19" x14ac:dyDescent="0.25">
      <c r="A99">
        <v>459</v>
      </c>
      <c r="B99" t="s">
        <v>1100</v>
      </c>
      <c r="D99" t="s">
        <v>587</v>
      </c>
      <c r="E99">
        <v>5</v>
      </c>
      <c r="F99" t="s">
        <v>588</v>
      </c>
      <c r="I99" t="s">
        <v>135</v>
      </c>
      <c r="J99">
        <v>5.05</v>
      </c>
      <c r="K99">
        <v>4.34</v>
      </c>
      <c r="L99">
        <f t="shared" si="5"/>
        <v>0.35499999999999998</v>
      </c>
      <c r="M99">
        <f t="shared" si="6"/>
        <v>7.029702970297029E-2</v>
      </c>
      <c r="N99">
        <v>0.41799999999999998</v>
      </c>
      <c r="O99">
        <v>2.7E-2</v>
      </c>
      <c r="P99">
        <f t="shared" si="9"/>
        <v>0.39099999999999996</v>
      </c>
      <c r="Q99">
        <v>0.26900000000000002</v>
      </c>
      <c r="R99">
        <f t="shared" si="8"/>
        <v>0.6879795396419438</v>
      </c>
    </row>
    <row r="100" spans="1:19" x14ac:dyDescent="0.25">
      <c r="A100">
        <v>53</v>
      </c>
      <c r="B100" t="s">
        <v>298</v>
      </c>
      <c r="D100" t="s">
        <v>398</v>
      </c>
      <c r="E100">
        <v>1</v>
      </c>
      <c r="F100" t="s">
        <v>326</v>
      </c>
      <c r="G100" t="s">
        <v>141</v>
      </c>
      <c r="H100" t="s">
        <v>141</v>
      </c>
      <c r="I100" t="s">
        <v>135</v>
      </c>
      <c r="J100">
        <v>8.85</v>
      </c>
      <c r="K100">
        <v>7.22</v>
      </c>
      <c r="L100">
        <f t="shared" si="5"/>
        <v>0.81499999999999995</v>
      </c>
      <c r="M100">
        <f t="shared" si="6"/>
        <v>9.2090395480225989E-2</v>
      </c>
      <c r="N100">
        <v>1.1000000000000001</v>
      </c>
      <c r="O100">
        <v>0.02</v>
      </c>
      <c r="P100">
        <f t="shared" si="9"/>
        <v>1.08</v>
      </c>
      <c r="Q100">
        <v>0.47099999999999997</v>
      </c>
      <c r="R100">
        <f t="shared" si="8"/>
        <v>0.43611111111111106</v>
      </c>
    </row>
    <row r="101" spans="1:19" x14ac:dyDescent="0.25">
      <c r="A101">
        <v>155</v>
      </c>
      <c r="B101" t="s">
        <v>537</v>
      </c>
      <c r="D101" t="s">
        <v>398</v>
      </c>
      <c r="E101">
        <v>2</v>
      </c>
      <c r="F101" t="s">
        <v>326</v>
      </c>
      <c r="G101" t="s">
        <v>141</v>
      </c>
      <c r="H101" t="s">
        <v>141</v>
      </c>
      <c r="I101" t="s">
        <v>135</v>
      </c>
      <c r="J101">
        <v>7.91</v>
      </c>
      <c r="K101">
        <v>6.38</v>
      </c>
      <c r="L101">
        <f t="shared" si="5"/>
        <v>0.76500000000000012</v>
      </c>
      <c r="M101">
        <f t="shared" si="6"/>
        <v>9.6713021491782569E-2</v>
      </c>
      <c r="N101">
        <v>1.331</v>
      </c>
      <c r="O101">
        <v>2.5999999999999999E-2</v>
      </c>
      <c r="P101">
        <f t="shared" si="9"/>
        <v>1.3049999999999999</v>
      </c>
      <c r="Q101">
        <v>0.69499999999999995</v>
      </c>
      <c r="R101">
        <f t="shared" si="8"/>
        <v>0.53256704980842906</v>
      </c>
    </row>
    <row r="102" spans="1:19" x14ac:dyDescent="0.25">
      <c r="A102">
        <v>247</v>
      </c>
      <c r="B102" t="s">
        <v>626</v>
      </c>
      <c r="D102" t="s">
        <v>398</v>
      </c>
      <c r="E102">
        <v>3</v>
      </c>
      <c r="F102" t="s">
        <v>326</v>
      </c>
      <c r="G102" t="s">
        <v>141</v>
      </c>
      <c r="H102" t="s">
        <v>141</v>
      </c>
      <c r="I102" t="s">
        <v>135</v>
      </c>
      <c r="J102">
        <v>5.99</v>
      </c>
      <c r="K102">
        <v>4.78</v>
      </c>
      <c r="L102">
        <f t="shared" si="5"/>
        <v>0.60499999999999998</v>
      </c>
      <c r="M102">
        <f t="shared" si="6"/>
        <v>0.1010016694490818</v>
      </c>
      <c r="N102">
        <v>0.55600000000000005</v>
      </c>
      <c r="O102">
        <v>2.1999999999999999E-2</v>
      </c>
      <c r="P102">
        <f t="shared" si="9"/>
        <v>0.53400000000000003</v>
      </c>
      <c r="Q102">
        <v>0.29199999999999998</v>
      </c>
      <c r="R102">
        <f t="shared" si="8"/>
        <v>0.54681647940074896</v>
      </c>
    </row>
    <row r="103" spans="1:19" x14ac:dyDescent="0.25">
      <c r="A103">
        <v>233</v>
      </c>
      <c r="B103" t="s">
        <v>596</v>
      </c>
      <c r="D103" t="s">
        <v>398</v>
      </c>
      <c r="E103">
        <v>4</v>
      </c>
      <c r="F103" t="s">
        <v>326</v>
      </c>
      <c r="G103" t="s">
        <v>141</v>
      </c>
      <c r="H103" t="s">
        <v>141</v>
      </c>
      <c r="I103" t="s">
        <v>135</v>
      </c>
      <c r="J103">
        <v>6.91</v>
      </c>
      <c r="K103">
        <v>6.01</v>
      </c>
      <c r="L103">
        <f t="shared" si="5"/>
        <v>0.45000000000000018</v>
      </c>
      <c r="M103">
        <f t="shared" si="6"/>
        <v>6.5123010130246045E-2</v>
      </c>
      <c r="N103">
        <v>0.52100000000000002</v>
      </c>
      <c r="O103">
        <v>2.1999999999999999E-2</v>
      </c>
      <c r="P103">
        <f t="shared" si="9"/>
        <v>0.499</v>
      </c>
      <c r="Q103">
        <v>0.28100000000000003</v>
      </c>
      <c r="R103">
        <f t="shared" si="8"/>
        <v>0.56312625250501003</v>
      </c>
      <c r="S103" t="s">
        <v>551</v>
      </c>
    </row>
    <row r="104" spans="1:19" x14ac:dyDescent="0.25">
      <c r="A104">
        <v>259</v>
      </c>
      <c r="B104" t="s">
        <v>601</v>
      </c>
      <c r="D104" t="s">
        <v>398</v>
      </c>
      <c r="E104">
        <v>5</v>
      </c>
      <c r="F104" t="s">
        <v>326</v>
      </c>
      <c r="G104" t="s">
        <v>141</v>
      </c>
      <c r="H104" t="s">
        <v>141</v>
      </c>
      <c r="I104" t="s">
        <v>135</v>
      </c>
      <c r="J104">
        <v>4.1100000000000003</v>
      </c>
      <c r="K104">
        <v>3.4</v>
      </c>
      <c r="L104">
        <f t="shared" si="5"/>
        <v>0.3550000000000002</v>
      </c>
      <c r="M104">
        <f t="shared" si="6"/>
        <v>8.6374695863747006E-2</v>
      </c>
      <c r="N104">
        <v>0.47299999999999998</v>
      </c>
      <c r="O104">
        <v>2.1999999999999999E-2</v>
      </c>
      <c r="P104">
        <f t="shared" si="9"/>
        <v>0.45099999999999996</v>
      </c>
      <c r="Q104">
        <v>0.23</v>
      </c>
      <c r="R104">
        <f t="shared" si="8"/>
        <v>0.50997782705099781</v>
      </c>
    </row>
    <row r="105" spans="1:19" x14ac:dyDescent="0.25">
      <c r="A105">
        <v>349</v>
      </c>
      <c r="B105" t="s">
        <v>841</v>
      </c>
      <c r="D105" t="s">
        <v>398</v>
      </c>
      <c r="E105">
        <v>6</v>
      </c>
      <c r="F105" t="s">
        <v>326</v>
      </c>
      <c r="G105" t="s">
        <v>141</v>
      </c>
      <c r="H105" t="s">
        <v>141</v>
      </c>
      <c r="I105" t="s">
        <v>135</v>
      </c>
      <c r="J105">
        <v>6.51</v>
      </c>
      <c r="K105">
        <v>5.38</v>
      </c>
      <c r="L105">
        <f t="shared" si="5"/>
        <v>0.56499999999999995</v>
      </c>
      <c r="M105">
        <f t="shared" si="6"/>
        <v>8.678955453149001E-2</v>
      </c>
      <c r="N105">
        <v>0.65</v>
      </c>
      <c r="O105">
        <v>2.1999999999999999E-2</v>
      </c>
      <c r="P105">
        <f t="shared" si="9"/>
        <v>0.628</v>
      </c>
      <c r="Q105">
        <v>0.32100000000000001</v>
      </c>
      <c r="R105">
        <f t="shared" si="8"/>
        <v>0.51114649681528668</v>
      </c>
    </row>
    <row r="106" spans="1:19" x14ac:dyDescent="0.25">
      <c r="A106">
        <v>161</v>
      </c>
      <c r="B106" t="s">
        <v>527</v>
      </c>
      <c r="D106" t="s">
        <v>528</v>
      </c>
      <c r="E106">
        <v>1</v>
      </c>
      <c r="F106" t="s">
        <v>546</v>
      </c>
      <c r="G106" t="s">
        <v>141</v>
      </c>
      <c r="H106" t="s">
        <v>141</v>
      </c>
      <c r="I106" t="s">
        <v>135</v>
      </c>
      <c r="J106">
        <v>10</v>
      </c>
      <c r="K106">
        <v>5.59</v>
      </c>
      <c r="L106">
        <f t="shared" si="5"/>
        <v>2.2050000000000001</v>
      </c>
      <c r="M106">
        <f t="shared" si="6"/>
        <v>0.2205</v>
      </c>
      <c r="N106">
        <v>0.57199999999999995</v>
      </c>
      <c r="O106">
        <v>2.5999999999999999E-2</v>
      </c>
      <c r="P106">
        <f t="shared" si="9"/>
        <v>0.54599999999999993</v>
      </c>
      <c r="Q106">
        <v>0.247</v>
      </c>
      <c r="R106">
        <f t="shared" si="8"/>
        <v>0.45238095238095244</v>
      </c>
    </row>
    <row r="107" spans="1:19" x14ac:dyDescent="0.25">
      <c r="A107">
        <v>153</v>
      </c>
      <c r="B107" t="s">
        <v>533</v>
      </c>
      <c r="D107" t="s">
        <v>528</v>
      </c>
      <c r="E107">
        <v>2</v>
      </c>
      <c r="F107" t="s">
        <v>546</v>
      </c>
      <c r="G107" t="s">
        <v>141</v>
      </c>
      <c r="H107" t="s">
        <v>141</v>
      </c>
      <c r="I107" t="s">
        <v>135</v>
      </c>
      <c r="J107">
        <v>8.57</v>
      </c>
      <c r="K107">
        <v>5.59</v>
      </c>
      <c r="L107">
        <f t="shared" si="5"/>
        <v>1.4900000000000002</v>
      </c>
      <c r="M107">
        <f t="shared" si="6"/>
        <v>0.17386231038506419</v>
      </c>
      <c r="N107">
        <v>0.66200000000000003</v>
      </c>
      <c r="O107">
        <v>2.5999999999999999E-2</v>
      </c>
      <c r="P107">
        <f t="shared" si="9"/>
        <v>0.63600000000000001</v>
      </c>
      <c r="Q107">
        <v>0.29199999999999998</v>
      </c>
      <c r="R107">
        <f t="shared" si="8"/>
        <v>0.45911949685534587</v>
      </c>
    </row>
    <row r="108" spans="1:19" x14ac:dyDescent="0.25">
      <c r="A108">
        <v>302</v>
      </c>
      <c r="B108" t="s">
        <v>761</v>
      </c>
      <c r="D108" t="s">
        <v>528</v>
      </c>
      <c r="E108">
        <v>3</v>
      </c>
      <c r="F108" t="s">
        <v>762</v>
      </c>
      <c r="G108" t="s">
        <v>141</v>
      </c>
      <c r="H108" t="s">
        <v>141</v>
      </c>
      <c r="I108" t="s">
        <v>135</v>
      </c>
      <c r="J108">
        <v>6.73</v>
      </c>
      <c r="K108">
        <v>4.24</v>
      </c>
      <c r="L108">
        <f t="shared" si="5"/>
        <v>1.2450000000000001</v>
      </c>
      <c r="M108">
        <f t="shared" si="6"/>
        <v>0.18499257057949481</v>
      </c>
      <c r="N108">
        <v>0.498</v>
      </c>
      <c r="O108">
        <v>2.1999999999999999E-2</v>
      </c>
      <c r="P108">
        <f t="shared" si="9"/>
        <v>0.47599999999999998</v>
      </c>
      <c r="Q108">
        <v>0.17399999999999999</v>
      </c>
      <c r="R108">
        <f t="shared" si="8"/>
        <v>0.36554621848739494</v>
      </c>
    </row>
    <row r="109" spans="1:19" x14ac:dyDescent="0.25">
      <c r="A109">
        <v>284</v>
      </c>
      <c r="B109" t="s">
        <v>806</v>
      </c>
      <c r="D109" t="s">
        <v>528</v>
      </c>
      <c r="E109">
        <v>4</v>
      </c>
      <c r="F109" t="s">
        <v>762</v>
      </c>
      <c r="G109" t="s">
        <v>141</v>
      </c>
      <c r="H109" t="s">
        <v>141</v>
      </c>
      <c r="I109" t="s">
        <v>135</v>
      </c>
      <c r="J109">
        <v>10.46</v>
      </c>
      <c r="K109">
        <v>5.47</v>
      </c>
      <c r="L109">
        <f t="shared" si="5"/>
        <v>2.4950000000000006</v>
      </c>
      <c r="M109">
        <f t="shared" si="6"/>
        <v>0.23852772466539202</v>
      </c>
      <c r="N109">
        <v>0.54900000000000004</v>
      </c>
      <c r="O109">
        <v>2.1999999999999999E-2</v>
      </c>
      <c r="P109">
        <f t="shared" si="9"/>
        <v>0.52700000000000002</v>
      </c>
      <c r="Q109">
        <v>0.26500000000000001</v>
      </c>
      <c r="R109">
        <f t="shared" si="8"/>
        <v>0.50284629981024664</v>
      </c>
    </row>
    <row r="110" spans="1:19" x14ac:dyDescent="0.25">
      <c r="A110">
        <v>283</v>
      </c>
      <c r="B110" t="s">
        <v>805</v>
      </c>
      <c r="D110" t="s">
        <v>528</v>
      </c>
      <c r="E110">
        <v>5</v>
      </c>
      <c r="F110" t="s">
        <v>762</v>
      </c>
      <c r="G110" t="s">
        <v>141</v>
      </c>
      <c r="H110" t="s">
        <v>141</v>
      </c>
      <c r="I110" t="s">
        <v>135</v>
      </c>
      <c r="J110">
        <v>8.76</v>
      </c>
      <c r="K110">
        <v>5.2</v>
      </c>
      <c r="L110">
        <f t="shared" si="5"/>
        <v>1.7799999999999998</v>
      </c>
      <c r="M110">
        <f t="shared" si="6"/>
        <v>0.20319634703196346</v>
      </c>
      <c r="N110">
        <v>0.38800000000000001</v>
      </c>
      <c r="O110">
        <v>2.1999999999999999E-2</v>
      </c>
      <c r="P110">
        <f t="shared" si="9"/>
        <v>0.36599999999999999</v>
      </c>
      <c r="Q110">
        <v>0.17100000000000001</v>
      </c>
      <c r="R110">
        <f t="shared" si="8"/>
        <v>0.46721311475409838</v>
      </c>
    </row>
    <row r="111" spans="1:19" x14ac:dyDescent="0.25">
      <c r="A111">
        <v>322</v>
      </c>
      <c r="B111" t="s">
        <v>884</v>
      </c>
      <c r="D111" t="s">
        <v>885</v>
      </c>
      <c r="E111">
        <v>1</v>
      </c>
      <c r="F111" t="s">
        <v>909</v>
      </c>
      <c r="G111" t="s">
        <v>141</v>
      </c>
      <c r="H111" t="s">
        <v>141</v>
      </c>
      <c r="I111" t="s">
        <v>135</v>
      </c>
      <c r="J111">
        <v>7.19</v>
      </c>
      <c r="K111">
        <v>5.75</v>
      </c>
      <c r="L111">
        <f t="shared" si="5"/>
        <v>0.7200000000000002</v>
      </c>
      <c r="M111">
        <f t="shared" si="6"/>
        <v>0.10013908205841449</v>
      </c>
      <c r="N111">
        <v>0.85</v>
      </c>
      <c r="O111">
        <v>2.1999999999999999E-2</v>
      </c>
      <c r="P111">
        <f t="shared" si="9"/>
        <v>0.82799999999999996</v>
      </c>
      <c r="Q111">
        <v>0.61499999999999999</v>
      </c>
      <c r="R111">
        <f t="shared" si="8"/>
        <v>0.74275362318840588</v>
      </c>
    </row>
    <row r="112" spans="1:19" x14ac:dyDescent="0.25">
      <c r="A112">
        <v>386</v>
      </c>
      <c r="B112" t="s">
        <v>985</v>
      </c>
      <c r="D112" t="s">
        <v>885</v>
      </c>
      <c r="E112">
        <v>2</v>
      </c>
      <c r="F112" t="s">
        <v>886</v>
      </c>
      <c r="G112" t="s">
        <v>141</v>
      </c>
      <c r="H112" t="s">
        <v>141</v>
      </c>
      <c r="I112" t="s">
        <v>135</v>
      </c>
      <c r="J112">
        <v>6.88</v>
      </c>
      <c r="K112">
        <v>6.05</v>
      </c>
      <c r="L112">
        <f t="shared" si="5"/>
        <v>0.41500000000000004</v>
      </c>
      <c r="M112">
        <f t="shared" si="6"/>
        <v>6.0319767441860468E-2</v>
      </c>
      <c r="N112">
        <v>0.72299999999999998</v>
      </c>
      <c r="O112">
        <v>2.1999999999999999E-2</v>
      </c>
      <c r="P112">
        <f t="shared" si="9"/>
        <v>0.70099999999999996</v>
      </c>
      <c r="Q112">
        <v>0.5</v>
      </c>
      <c r="R112">
        <f t="shared" si="8"/>
        <v>0.71326676176890158</v>
      </c>
    </row>
    <row r="113" spans="1:18" x14ac:dyDescent="0.25">
      <c r="A113">
        <v>371</v>
      </c>
      <c r="B113" t="s">
        <v>986</v>
      </c>
      <c r="D113" t="s">
        <v>885</v>
      </c>
      <c r="E113">
        <v>3</v>
      </c>
      <c r="F113" t="s">
        <v>886</v>
      </c>
      <c r="G113" t="s">
        <v>141</v>
      </c>
      <c r="H113" t="s">
        <v>141</v>
      </c>
      <c r="I113" t="s">
        <v>135</v>
      </c>
      <c r="J113">
        <v>5.14</v>
      </c>
      <c r="K113">
        <v>4.21</v>
      </c>
      <c r="L113">
        <f t="shared" si="5"/>
        <v>0.46499999999999986</v>
      </c>
      <c r="M113">
        <f t="shared" si="6"/>
        <v>9.0466926070038894E-2</v>
      </c>
      <c r="N113">
        <v>0.308</v>
      </c>
      <c r="O113">
        <v>2.1999999999999999E-2</v>
      </c>
      <c r="P113">
        <f t="shared" si="9"/>
        <v>0.28599999999999998</v>
      </c>
      <c r="Q113">
        <v>0.214</v>
      </c>
      <c r="R113">
        <f t="shared" si="8"/>
        <v>0.74825174825174834</v>
      </c>
    </row>
    <row r="114" spans="1:18" x14ac:dyDescent="0.25">
      <c r="A114">
        <v>410</v>
      </c>
      <c r="B114" t="s">
        <v>982</v>
      </c>
      <c r="D114" t="s">
        <v>885</v>
      </c>
      <c r="E114">
        <v>4</v>
      </c>
      <c r="F114" t="s">
        <v>886</v>
      </c>
      <c r="G114" t="s">
        <v>141</v>
      </c>
      <c r="H114" t="s">
        <v>141</v>
      </c>
      <c r="I114" t="s">
        <v>135</v>
      </c>
      <c r="J114">
        <v>5.75</v>
      </c>
      <c r="K114">
        <v>5.1100000000000003</v>
      </c>
      <c r="L114">
        <f t="shared" si="5"/>
        <v>0.31999999999999984</v>
      </c>
      <c r="M114">
        <f t="shared" si="6"/>
        <v>5.5652173913043453E-2</v>
      </c>
      <c r="N114">
        <v>0.59799999999999998</v>
      </c>
      <c r="O114">
        <v>2.1999999999999999E-2</v>
      </c>
      <c r="P114">
        <f t="shared" si="9"/>
        <v>0.57599999999999996</v>
      </c>
      <c r="Q114">
        <v>0.42199999999999999</v>
      </c>
      <c r="R114">
        <f t="shared" si="8"/>
        <v>0.73263888888888895</v>
      </c>
    </row>
    <row r="115" spans="1:18" x14ac:dyDescent="0.25">
      <c r="A115">
        <v>441</v>
      </c>
      <c r="B115" t="s">
        <v>1071</v>
      </c>
      <c r="D115" t="s">
        <v>885</v>
      </c>
      <c r="E115">
        <v>5</v>
      </c>
      <c r="F115" t="s">
        <v>886</v>
      </c>
      <c r="I115" t="s">
        <v>135</v>
      </c>
      <c r="J115">
        <v>7.36</v>
      </c>
      <c r="K115">
        <v>6.2</v>
      </c>
      <c r="L115">
        <f t="shared" si="5"/>
        <v>0.58000000000000007</v>
      </c>
      <c r="M115">
        <f t="shared" si="6"/>
        <v>7.880434782608696E-2</v>
      </c>
      <c r="N115">
        <v>0.77100000000000002</v>
      </c>
      <c r="O115">
        <v>2.7E-2</v>
      </c>
      <c r="P115">
        <f t="shared" si="9"/>
        <v>0.74399999999999999</v>
      </c>
      <c r="Q115">
        <v>0.55800000000000005</v>
      </c>
      <c r="R115">
        <f t="shared" si="8"/>
        <v>0.75000000000000011</v>
      </c>
    </row>
    <row r="116" spans="1:18" x14ac:dyDescent="0.25">
      <c r="A116">
        <v>296</v>
      </c>
      <c r="B116" t="s">
        <v>822</v>
      </c>
      <c r="D116" t="s">
        <v>823</v>
      </c>
      <c r="E116">
        <v>1</v>
      </c>
      <c r="F116" t="s">
        <v>824</v>
      </c>
      <c r="G116" t="s">
        <v>141</v>
      </c>
      <c r="H116" t="s">
        <v>141</v>
      </c>
      <c r="I116" t="s">
        <v>135</v>
      </c>
      <c r="J116">
        <v>10.56</v>
      </c>
      <c r="K116">
        <v>9.14</v>
      </c>
      <c r="L116">
        <f t="shared" si="5"/>
        <v>0.71</v>
      </c>
      <c r="M116">
        <f t="shared" si="6"/>
        <v>6.7234848484848481E-2</v>
      </c>
      <c r="N116">
        <v>0.93500000000000005</v>
      </c>
      <c r="O116">
        <v>2.1999999999999999E-2</v>
      </c>
      <c r="P116">
        <f t="shared" si="9"/>
        <v>0.91300000000000003</v>
      </c>
      <c r="Q116">
        <v>0.57299999999999995</v>
      </c>
      <c r="R116">
        <f t="shared" si="8"/>
        <v>0.62760131434830224</v>
      </c>
    </row>
    <row r="117" spans="1:18" x14ac:dyDescent="0.25">
      <c r="A117">
        <v>330</v>
      </c>
      <c r="B117" t="s">
        <v>874</v>
      </c>
      <c r="D117" t="s">
        <v>823</v>
      </c>
      <c r="E117">
        <v>2</v>
      </c>
      <c r="F117" t="s">
        <v>824</v>
      </c>
      <c r="G117" t="s">
        <v>141</v>
      </c>
      <c r="H117" t="s">
        <v>141</v>
      </c>
      <c r="I117" t="s">
        <v>135</v>
      </c>
      <c r="J117">
        <v>8.66</v>
      </c>
      <c r="K117">
        <v>8.17</v>
      </c>
      <c r="L117">
        <f t="shared" si="5"/>
        <v>0.24500000000000011</v>
      </c>
      <c r="M117">
        <f t="shared" si="6"/>
        <v>2.8290993071593544E-2</v>
      </c>
      <c r="N117">
        <v>0.27300000000000002</v>
      </c>
      <c r="O117">
        <v>2.1999999999999999E-2</v>
      </c>
      <c r="P117">
        <f t="shared" si="9"/>
        <v>0.251</v>
      </c>
      <c r="Q117">
        <v>0.20200000000000001</v>
      </c>
      <c r="R117">
        <f t="shared" si="8"/>
        <v>0.80478087649402397</v>
      </c>
    </row>
    <row r="118" spans="1:18" x14ac:dyDescent="0.25">
      <c r="A118">
        <v>367</v>
      </c>
      <c r="B118" t="s">
        <v>895</v>
      </c>
      <c r="D118" t="s">
        <v>823</v>
      </c>
      <c r="E118">
        <v>3</v>
      </c>
      <c r="F118" t="s">
        <v>824</v>
      </c>
      <c r="G118" t="s">
        <v>141</v>
      </c>
      <c r="H118" t="s">
        <v>141</v>
      </c>
      <c r="I118" t="s">
        <v>135</v>
      </c>
      <c r="J118">
        <v>8.98</v>
      </c>
      <c r="K118">
        <v>7.75</v>
      </c>
      <c r="L118">
        <f t="shared" si="5"/>
        <v>0.61500000000000021</v>
      </c>
      <c r="M118">
        <f t="shared" si="6"/>
        <v>6.8485523385300687E-2</v>
      </c>
      <c r="N118">
        <v>0.58299999999999996</v>
      </c>
      <c r="O118">
        <v>2.1999999999999999E-2</v>
      </c>
      <c r="P118">
        <f t="shared" si="9"/>
        <v>0.56099999999999994</v>
      </c>
      <c r="Q118">
        <v>0.379</v>
      </c>
      <c r="R118">
        <f t="shared" si="8"/>
        <v>0.67557932263814624</v>
      </c>
    </row>
    <row r="119" spans="1:18" x14ac:dyDescent="0.25">
      <c r="A119">
        <v>369</v>
      </c>
      <c r="B119" t="s">
        <v>896</v>
      </c>
      <c r="D119" t="s">
        <v>823</v>
      </c>
      <c r="E119">
        <v>4</v>
      </c>
      <c r="F119" t="s">
        <v>824</v>
      </c>
      <c r="G119" t="s">
        <v>141</v>
      </c>
      <c r="H119" t="s">
        <v>141</v>
      </c>
      <c r="I119" t="s">
        <v>135</v>
      </c>
      <c r="J119">
        <v>7.9</v>
      </c>
      <c r="K119">
        <v>6.47</v>
      </c>
      <c r="L119">
        <f t="shared" si="5"/>
        <v>0.7150000000000003</v>
      </c>
      <c r="M119">
        <f t="shared" si="6"/>
        <v>9.0506329113924089E-2</v>
      </c>
      <c r="N119">
        <v>0.29399999999999998</v>
      </c>
      <c r="O119">
        <v>2.1999999999999999E-2</v>
      </c>
      <c r="P119">
        <f t="shared" si="9"/>
        <v>0.27199999999999996</v>
      </c>
      <c r="Q119">
        <v>0.154</v>
      </c>
      <c r="R119">
        <f t="shared" si="8"/>
        <v>0.56617647058823539</v>
      </c>
    </row>
    <row r="120" spans="1:18" x14ac:dyDescent="0.25">
      <c r="A120">
        <v>418</v>
      </c>
      <c r="B120" t="s">
        <v>1020</v>
      </c>
      <c r="D120" t="s">
        <v>823</v>
      </c>
      <c r="E120">
        <v>5</v>
      </c>
      <c r="F120" t="s">
        <v>824</v>
      </c>
      <c r="G120" t="s">
        <v>141</v>
      </c>
      <c r="H120" t="s">
        <v>141</v>
      </c>
      <c r="I120" t="s">
        <v>135</v>
      </c>
      <c r="J120">
        <v>9.0399999999999991</v>
      </c>
      <c r="K120">
        <v>8.2899999999999991</v>
      </c>
      <c r="L120">
        <f t="shared" si="5"/>
        <v>0.375</v>
      </c>
      <c r="M120">
        <f t="shared" si="6"/>
        <v>4.1482300884955754E-2</v>
      </c>
      <c r="N120">
        <v>1.2809999999999999</v>
      </c>
      <c r="O120">
        <v>2.7E-2</v>
      </c>
      <c r="P120">
        <f t="shared" si="9"/>
        <v>1.254</v>
      </c>
      <c r="Q120">
        <v>0.81699999999999995</v>
      </c>
      <c r="R120">
        <f t="shared" si="8"/>
        <v>0.65151515151515149</v>
      </c>
    </row>
    <row r="121" spans="1:18" x14ac:dyDescent="0.25">
      <c r="A121">
        <v>275</v>
      </c>
      <c r="B121" t="s">
        <v>745</v>
      </c>
      <c r="D121" t="s">
        <v>746</v>
      </c>
      <c r="E121">
        <v>1</v>
      </c>
      <c r="F121" t="s">
        <v>756</v>
      </c>
      <c r="G121" t="s">
        <v>141</v>
      </c>
      <c r="H121" t="s">
        <v>141</v>
      </c>
      <c r="I121" t="s">
        <v>135</v>
      </c>
      <c r="J121">
        <v>8.1</v>
      </c>
      <c r="K121">
        <v>7.03</v>
      </c>
      <c r="L121">
        <f t="shared" si="5"/>
        <v>0.5349999999999997</v>
      </c>
      <c r="M121">
        <f t="shared" si="6"/>
        <v>6.6049382716049349E-2</v>
      </c>
      <c r="N121">
        <v>0.80700000000000005</v>
      </c>
      <c r="O121">
        <v>2.1999999999999999E-2</v>
      </c>
      <c r="P121">
        <f t="shared" si="9"/>
        <v>0.78500000000000003</v>
      </c>
      <c r="Q121">
        <v>0.43099999999999999</v>
      </c>
      <c r="R121">
        <f t="shared" si="8"/>
        <v>0.54904458598726114</v>
      </c>
    </row>
    <row r="122" spans="1:18" x14ac:dyDescent="0.25">
      <c r="A122">
        <v>451</v>
      </c>
      <c r="B122" t="s">
        <v>1079</v>
      </c>
      <c r="D122" t="s">
        <v>746</v>
      </c>
      <c r="E122">
        <v>2</v>
      </c>
      <c r="F122" t="s">
        <v>756</v>
      </c>
      <c r="I122" t="s">
        <v>135</v>
      </c>
      <c r="J122">
        <v>5.6</v>
      </c>
      <c r="K122">
        <v>4.1500000000000004</v>
      </c>
      <c r="L122">
        <f t="shared" si="5"/>
        <v>0.72499999999999964</v>
      </c>
      <c r="M122">
        <f t="shared" si="6"/>
        <v>0.12946428571428567</v>
      </c>
      <c r="N122">
        <v>0.44800000000000001</v>
      </c>
      <c r="O122">
        <v>2.7E-2</v>
      </c>
      <c r="P122">
        <f t="shared" si="9"/>
        <v>0.42099999999999999</v>
      </c>
      <c r="Q122">
        <v>0.26200000000000001</v>
      </c>
      <c r="R122">
        <f t="shared" si="8"/>
        <v>0.62232779097387181</v>
      </c>
    </row>
    <row r="123" spans="1:18" x14ac:dyDescent="0.25">
      <c r="A123">
        <v>443</v>
      </c>
      <c r="B123" t="s">
        <v>1074</v>
      </c>
      <c r="D123" t="s">
        <v>746</v>
      </c>
      <c r="E123">
        <v>3</v>
      </c>
      <c r="F123" t="s">
        <v>756</v>
      </c>
      <c r="I123" t="s">
        <v>135</v>
      </c>
      <c r="J123">
        <v>4.9800000000000004</v>
      </c>
      <c r="K123">
        <v>3.55</v>
      </c>
      <c r="L123">
        <f t="shared" si="5"/>
        <v>0.7150000000000003</v>
      </c>
      <c r="M123">
        <f t="shared" si="6"/>
        <v>0.14357429718875506</v>
      </c>
      <c r="N123">
        <v>0.41299999999999998</v>
      </c>
      <c r="O123">
        <v>2.7E-2</v>
      </c>
      <c r="P123">
        <f t="shared" si="9"/>
        <v>0.38599999999999995</v>
      </c>
      <c r="Q123">
        <v>0.23400000000000001</v>
      </c>
      <c r="R123">
        <f t="shared" si="8"/>
        <v>0.60621761658031104</v>
      </c>
    </row>
    <row r="124" spans="1:18" x14ac:dyDescent="0.25">
      <c r="A124">
        <v>466</v>
      </c>
      <c r="B124" t="s">
        <v>1086</v>
      </c>
      <c r="D124" t="s">
        <v>746</v>
      </c>
      <c r="E124">
        <v>4</v>
      </c>
      <c r="F124" t="s">
        <v>1075</v>
      </c>
      <c r="I124" t="s">
        <v>135</v>
      </c>
      <c r="J124">
        <v>7.52</v>
      </c>
      <c r="K124">
        <v>5.68</v>
      </c>
      <c r="L124">
        <f t="shared" si="5"/>
        <v>0.91999999999999993</v>
      </c>
      <c r="M124">
        <f t="shared" si="6"/>
        <v>0.12234042553191489</v>
      </c>
      <c r="N124">
        <v>0.61099999999999999</v>
      </c>
      <c r="O124">
        <v>2.7E-2</v>
      </c>
      <c r="P124">
        <f t="shared" si="9"/>
        <v>0.58399999999999996</v>
      </c>
      <c r="Q124">
        <v>0.38900000000000001</v>
      </c>
      <c r="R124">
        <f t="shared" si="8"/>
        <v>0.66609589041095896</v>
      </c>
    </row>
    <row r="125" spans="1:18" x14ac:dyDescent="0.25">
      <c r="A125">
        <v>465</v>
      </c>
      <c r="B125" t="s">
        <v>1087</v>
      </c>
      <c r="D125" t="s">
        <v>746</v>
      </c>
      <c r="E125">
        <v>5</v>
      </c>
      <c r="F125" t="s">
        <v>1075</v>
      </c>
      <c r="I125" t="s">
        <v>135</v>
      </c>
      <c r="J125">
        <v>7.63</v>
      </c>
      <c r="K125">
        <v>6.35</v>
      </c>
      <c r="L125">
        <f t="shared" si="5"/>
        <v>0.64000000000000012</v>
      </c>
      <c r="M125">
        <f t="shared" si="6"/>
        <v>8.3879423328964628E-2</v>
      </c>
      <c r="N125">
        <v>0.745</v>
      </c>
      <c r="O125">
        <v>2.7E-2</v>
      </c>
      <c r="P125">
        <f t="shared" si="9"/>
        <v>0.71799999999999997</v>
      </c>
      <c r="Q125">
        <v>0.52800000000000002</v>
      </c>
      <c r="R125">
        <f t="shared" si="8"/>
        <v>0.73537604456824524</v>
      </c>
    </row>
    <row r="126" spans="1:18" x14ac:dyDescent="0.25">
      <c r="A126">
        <v>157</v>
      </c>
      <c r="B126" t="s">
        <v>534</v>
      </c>
      <c r="D126" t="s">
        <v>535</v>
      </c>
      <c r="E126">
        <v>1</v>
      </c>
      <c r="F126" t="s">
        <v>780</v>
      </c>
      <c r="G126" t="s">
        <v>141</v>
      </c>
      <c r="H126" t="s">
        <v>141</v>
      </c>
      <c r="I126" t="s">
        <v>135</v>
      </c>
      <c r="J126">
        <v>7.35</v>
      </c>
      <c r="K126">
        <v>5.81</v>
      </c>
      <c r="L126">
        <f t="shared" si="5"/>
        <v>0.77</v>
      </c>
      <c r="M126">
        <f t="shared" si="6"/>
        <v>0.10476190476190476</v>
      </c>
      <c r="N126">
        <v>0.79200000000000004</v>
      </c>
      <c r="O126">
        <v>2.5999999999999999E-2</v>
      </c>
      <c r="P126">
        <f t="shared" si="9"/>
        <v>0.76600000000000001</v>
      </c>
      <c r="Q126">
        <v>0.29799999999999999</v>
      </c>
      <c r="R126">
        <f t="shared" si="8"/>
        <v>0.38903394255874674</v>
      </c>
    </row>
    <row r="127" spans="1:18" x14ac:dyDescent="0.25">
      <c r="A127">
        <v>414</v>
      </c>
      <c r="B127" t="s">
        <v>939</v>
      </c>
      <c r="D127" t="s">
        <v>535</v>
      </c>
      <c r="E127">
        <v>2</v>
      </c>
      <c r="F127" t="s">
        <v>780</v>
      </c>
      <c r="G127" t="s">
        <v>141</v>
      </c>
      <c r="H127" t="s">
        <v>141</v>
      </c>
      <c r="I127" t="s">
        <v>135</v>
      </c>
      <c r="J127">
        <v>7.46</v>
      </c>
      <c r="K127">
        <v>5.43</v>
      </c>
      <c r="L127">
        <f t="shared" si="5"/>
        <v>1.0150000000000001</v>
      </c>
      <c r="M127">
        <f t="shared" si="6"/>
        <v>0.13605898123324398</v>
      </c>
      <c r="N127">
        <v>0.45500000000000002</v>
      </c>
      <c r="O127">
        <v>2.1999999999999999E-2</v>
      </c>
      <c r="P127">
        <f t="shared" si="9"/>
        <v>0.433</v>
      </c>
      <c r="Q127">
        <v>0.14299999999999999</v>
      </c>
      <c r="R127">
        <f t="shared" si="8"/>
        <v>0.33025404157043875</v>
      </c>
    </row>
    <row r="128" spans="1:18" x14ac:dyDescent="0.25">
      <c r="A128">
        <v>392</v>
      </c>
      <c r="B128" t="s">
        <v>940</v>
      </c>
      <c r="D128" t="s">
        <v>535</v>
      </c>
      <c r="E128">
        <v>3</v>
      </c>
      <c r="F128" t="s">
        <v>780</v>
      </c>
      <c r="G128" t="s">
        <v>141</v>
      </c>
      <c r="H128" t="s">
        <v>141</v>
      </c>
      <c r="I128" t="s">
        <v>135</v>
      </c>
      <c r="J128">
        <v>7.28</v>
      </c>
      <c r="K128">
        <v>4.9800000000000004</v>
      </c>
      <c r="L128">
        <f t="shared" si="5"/>
        <v>1.1499999999999999</v>
      </c>
      <c r="M128">
        <f t="shared" si="6"/>
        <v>0.15796703296703296</v>
      </c>
      <c r="N128">
        <v>0.60899999999999999</v>
      </c>
      <c r="O128">
        <v>2.1999999999999999E-2</v>
      </c>
      <c r="P128">
        <f t="shared" si="9"/>
        <v>0.58699999999999997</v>
      </c>
      <c r="Q128">
        <v>0.26</v>
      </c>
      <c r="R128">
        <f t="shared" si="8"/>
        <v>0.44293015332197622</v>
      </c>
    </row>
    <row r="129" spans="1:20" x14ac:dyDescent="0.25">
      <c r="A129">
        <v>408</v>
      </c>
      <c r="B129" t="s">
        <v>948</v>
      </c>
      <c r="D129" t="s">
        <v>535</v>
      </c>
      <c r="E129">
        <v>4</v>
      </c>
      <c r="F129" t="s">
        <v>780</v>
      </c>
      <c r="G129" t="s">
        <v>141</v>
      </c>
      <c r="H129" t="s">
        <v>141</v>
      </c>
      <c r="I129" t="s">
        <v>135</v>
      </c>
      <c r="J129">
        <v>7.33</v>
      </c>
      <c r="K129">
        <v>5.17</v>
      </c>
      <c r="L129">
        <f t="shared" si="5"/>
        <v>1.08</v>
      </c>
      <c r="M129">
        <f t="shared" si="6"/>
        <v>0.14733969986357437</v>
      </c>
      <c r="N129">
        <v>0.74199999999999999</v>
      </c>
      <c r="O129">
        <v>2.1999999999999999E-2</v>
      </c>
      <c r="P129">
        <f t="shared" si="9"/>
        <v>0.72</v>
      </c>
      <c r="Q129">
        <v>0.30599999999999999</v>
      </c>
      <c r="R129">
        <f t="shared" si="8"/>
        <v>0.42499999999999999</v>
      </c>
    </row>
    <row r="130" spans="1:20" x14ac:dyDescent="0.25">
      <c r="A130">
        <v>407</v>
      </c>
      <c r="B130" t="s">
        <v>955</v>
      </c>
      <c r="D130" t="s">
        <v>535</v>
      </c>
      <c r="E130">
        <v>5</v>
      </c>
      <c r="F130" t="s">
        <v>780</v>
      </c>
      <c r="G130" t="s">
        <v>141</v>
      </c>
      <c r="H130" t="s">
        <v>141</v>
      </c>
      <c r="I130" t="s">
        <v>135</v>
      </c>
      <c r="J130">
        <v>7.67</v>
      </c>
      <c r="K130">
        <v>5.55</v>
      </c>
      <c r="L130">
        <f t="shared" ref="L130:L193" si="10">(J130-K130)/2</f>
        <v>1.06</v>
      </c>
      <c r="M130">
        <f t="shared" ref="M130:M193" si="11">L130/J130</f>
        <v>0.13820078226857888</v>
      </c>
      <c r="N130">
        <v>0.56799999999999995</v>
      </c>
      <c r="O130">
        <v>2.1999999999999999E-2</v>
      </c>
      <c r="P130">
        <f t="shared" ref="P130:P147" si="12">N130-O130</f>
        <v>0.54599999999999993</v>
      </c>
      <c r="Q130">
        <v>0.29699999999999999</v>
      </c>
      <c r="R130">
        <f t="shared" ref="R130:R193" si="13">Q130/P130</f>
        <v>0.54395604395604402</v>
      </c>
    </row>
    <row r="131" spans="1:20" x14ac:dyDescent="0.25">
      <c r="A131">
        <v>77</v>
      </c>
      <c r="B131" t="s">
        <v>29</v>
      </c>
      <c r="D131" t="s">
        <v>345</v>
      </c>
      <c r="E131">
        <v>1</v>
      </c>
      <c r="F131" t="s">
        <v>60</v>
      </c>
      <c r="G131" t="s">
        <v>141</v>
      </c>
      <c r="H131" t="s">
        <v>141</v>
      </c>
      <c r="I131" t="s">
        <v>135</v>
      </c>
      <c r="J131">
        <v>13.07</v>
      </c>
      <c r="K131">
        <v>8.1</v>
      </c>
      <c r="L131">
        <f t="shared" si="10"/>
        <v>2.4850000000000003</v>
      </c>
      <c r="M131">
        <f t="shared" si="11"/>
        <v>0.19013006885998471</v>
      </c>
      <c r="N131">
        <v>1.548</v>
      </c>
      <c r="O131">
        <v>0.02</v>
      </c>
      <c r="P131">
        <f t="shared" si="12"/>
        <v>1.528</v>
      </c>
      <c r="Q131">
        <v>0.70099999999999996</v>
      </c>
      <c r="R131">
        <f t="shared" si="13"/>
        <v>0.45876963350785338</v>
      </c>
    </row>
    <row r="132" spans="1:20" x14ac:dyDescent="0.25">
      <c r="A132">
        <v>88</v>
      </c>
      <c r="B132" t="s">
        <v>13</v>
      </c>
      <c r="D132" t="s">
        <v>345</v>
      </c>
      <c r="E132">
        <v>2</v>
      </c>
      <c r="F132" t="s">
        <v>60</v>
      </c>
      <c r="G132" t="s">
        <v>141</v>
      </c>
      <c r="H132" t="s">
        <v>141</v>
      </c>
      <c r="I132" t="s">
        <v>135</v>
      </c>
      <c r="J132">
        <v>9.98</v>
      </c>
      <c r="K132">
        <v>6.82</v>
      </c>
      <c r="L132">
        <f t="shared" si="10"/>
        <v>1.58</v>
      </c>
      <c r="M132">
        <f t="shared" si="11"/>
        <v>0.15831663326653306</v>
      </c>
      <c r="N132">
        <v>0.69</v>
      </c>
      <c r="O132">
        <v>0.02</v>
      </c>
      <c r="P132">
        <f t="shared" si="12"/>
        <v>0.66999999999999993</v>
      </c>
      <c r="Q132">
        <v>0.24399999999999999</v>
      </c>
      <c r="R132">
        <f t="shared" si="13"/>
        <v>0.36417910447761198</v>
      </c>
    </row>
    <row r="133" spans="1:20" x14ac:dyDescent="0.25">
      <c r="A133">
        <v>82</v>
      </c>
      <c r="B133" t="s">
        <v>131</v>
      </c>
      <c r="D133" t="s">
        <v>345</v>
      </c>
      <c r="E133">
        <v>3</v>
      </c>
      <c r="F133" t="s">
        <v>60</v>
      </c>
      <c r="G133" t="s">
        <v>141</v>
      </c>
      <c r="H133" t="s">
        <v>141</v>
      </c>
      <c r="I133" t="s">
        <v>135</v>
      </c>
      <c r="J133">
        <v>6.47</v>
      </c>
      <c r="K133">
        <v>3.44</v>
      </c>
      <c r="L133">
        <f t="shared" si="10"/>
        <v>1.5149999999999999</v>
      </c>
      <c r="M133">
        <f t="shared" si="11"/>
        <v>0.23415765069551778</v>
      </c>
      <c r="N133">
        <v>0.434</v>
      </c>
      <c r="O133">
        <v>0.02</v>
      </c>
      <c r="P133">
        <f t="shared" si="12"/>
        <v>0.41399999999999998</v>
      </c>
      <c r="Q133">
        <v>0.161</v>
      </c>
      <c r="R133">
        <f t="shared" si="13"/>
        <v>0.3888888888888889</v>
      </c>
    </row>
    <row r="134" spans="1:20" x14ac:dyDescent="0.25">
      <c r="A134">
        <v>173</v>
      </c>
      <c r="B134" t="s">
        <v>526</v>
      </c>
      <c r="D134" t="s">
        <v>345</v>
      </c>
      <c r="E134">
        <v>4</v>
      </c>
      <c r="F134" t="s">
        <v>60</v>
      </c>
      <c r="G134" t="s">
        <v>141</v>
      </c>
      <c r="H134" t="s">
        <v>141</v>
      </c>
      <c r="I134" t="s">
        <v>135</v>
      </c>
      <c r="J134">
        <v>10.08</v>
      </c>
      <c r="K134">
        <v>5.6</v>
      </c>
      <c r="L134">
        <f t="shared" si="10"/>
        <v>2.2400000000000002</v>
      </c>
      <c r="M134">
        <f t="shared" si="11"/>
        <v>0.22222222222222224</v>
      </c>
      <c r="N134">
        <v>1.0920000000000001</v>
      </c>
      <c r="O134">
        <v>2.5999999999999999E-2</v>
      </c>
      <c r="P134">
        <f t="shared" si="12"/>
        <v>1.0660000000000001</v>
      </c>
      <c r="Q134">
        <v>0.45900000000000002</v>
      </c>
      <c r="R134">
        <f t="shared" si="13"/>
        <v>0.43058161350844276</v>
      </c>
    </row>
    <row r="135" spans="1:20" x14ac:dyDescent="0.25">
      <c r="A135">
        <v>252</v>
      </c>
      <c r="B135" t="s">
        <v>622</v>
      </c>
      <c r="D135" t="s">
        <v>345</v>
      </c>
      <c r="E135">
        <v>5</v>
      </c>
      <c r="F135" t="s">
        <v>60</v>
      </c>
      <c r="G135" t="s">
        <v>141</v>
      </c>
      <c r="H135" t="s">
        <v>141</v>
      </c>
      <c r="I135" t="s">
        <v>135</v>
      </c>
      <c r="J135">
        <v>9.06</v>
      </c>
      <c r="K135">
        <v>5.53</v>
      </c>
      <c r="L135">
        <f t="shared" si="10"/>
        <v>1.7650000000000001</v>
      </c>
      <c r="M135">
        <f t="shared" si="11"/>
        <v>0.19481236203090507</v>
      </c>
      <c r="N135">
        <v>0.86599999999999999</v>
      </c>
      <c r="O135">
        <v>2.1999999999999999E-2</v>
      </c>
      <c r="P135">
        <f t="shared" si="12"/>
        <v>0.84399999999999997</v>
      </c>
      <c r="Q135">
        <v>0.38100000000000001</v>
      </c>
      <c r="R135">
        <f t="shared" si="13"/>
        <v>0.45142180094786732</v>
      </c>
    </row>
    <row r="136" spans="1:20" x14ac:dyDescent="0.25">
      <c r="A136">
        <v>134</v>
      </c>
      <c r="B136" t="s">
        <v>21</v>
      </c>
      <c r="D136" t="s">
        <v>349</v>
      </c>
      <c r="E136">
        <v>1</v>
      </c>
      <c r="F136" t="s">
        <v>61</v>
      </c>
      <c r="G136" t="s">
        <v>141</v>
      </c>
      <c r="H136" t="s">
        <v>141</v>
      </c>
      <c r="I136" t="s">
        <v>135</v>
      </c>
      <c r="J136">
        <v>9.92</v>
      </c>
      <c r="K136">
        <v>6.88</v>
      </c>
      <c r="L136">
        <f t="shared" si="10"/>
        <v>1.52</v>
      </c>
      <c r="M136">
        <f t="shared" si="11"/>
        <v>0.15322580645161291</v>
      </c>
      <c r="N136">
        <v>0.68500000000000005</v>
      </c>
      <c r="O136">
        <v>0.03</v>
      </c>
      <c r="P136">
        <f t="shared" si="12"/>
        <v>0.65500000000000003</v>
      </c>
      <c r="Q136">
        <v>0.251</v>
      </c>
      <c r="R136">
        <f t="shared" si="13"/>
        <v>0.38320610687022899</v>
      </c>
    </row>
    <row r="137" spans="1:20" x14ac:dyDescent="0.25">
      <c r="A137">
        <v>94</v>
      </c>
      <c r="B137" t="s">
        <v>34</v>
      </c>
      <c r="D137" t="s">
        <v>349</v>
      </c>
      <c r="E137">
        <v>2</v>
      </c>
      <c r="F137" t="s">
        <v>61</v>
      </c>
      <c r="G137" t="s">
        <v>141</v>
      </c>
      <c r="H137" t="s">
        <v>141</v>
      </c>
      <c r="I137" t="s">
        <v>135</v>
      </c>
      <c r="J137">
        <v>9.2100000000000009</v>
      </c>
      <c r="K137">
        <v>6.7</v>
      </c>
      <c r="L137">
        <f t="shared" si="10"/>
        <v>1.2550000000000003</v>
      </c>
      <c r="M137">
        <f t="shared" si="11"/>
        <v>0.13626492942453858</v>
      </c>
      <c r="N137">
        <v>0.49</v>
      </c>
      <c r="O137">
        <v>0.03</v>
      </c>
      <c r="P137">
        <f t="shared" si="12"/>
        <v>0.45999999999999996</v>
      </c>
      <c r="Q137">
        <v>0.245</v>
      </c>
      <c r="R137">
        <f t="shared" si="13"/>
        <v>0.53260869565217395</v>
      </c>
    </row>
    <row r="138" spans="1:20" x14ac:dyDescent="0.25">
      <c r="A138">
        <v>84</v>
      </c>
      <c r="B138" t="s">
        <v>123</v>
      </c>
      <c r="D138" t="s">
        <v>349</v>
      </c>
      <c r="E138">
        <v>3</v>
      </c>
      <c r="F138" t="s">
        <v>61</v>
      </c>
      <c r="G138" t="s">
        <v>141</v>
      </c>
      <c r="H138" t="s">
        <v>141</v>
      </c>
      <c r="I138" t="s">
        <v>135</v>
      </c>
      <c r="J138">
        <v>6.82</v>
      </c>
      <c r="K138">
        <v>4.5999999999999996</v>
      </c>
      <c r="L138">
        <f t="shared" si="10"/>
        <v>1.1100000000000003</v>
      </c>
      <c r="M138">
        <f t="shared" si="11"/>
        <v>0.16275659824046926</v>
      </c>
      <c r="N138">
        <v>0.45200000000000001</v>
      </c>
      <c r="O138">
        <v>0.02</v>
      </c>
      <c r="P138">
        <f t="shared" si="12"/>
        <v>0.432</v>
      </c>
      <c r="Q138">
        <v>0.22900000000000001</v>
      </c>
      <c r="R138">
        <f t="shared" si="13"/>
        <v>0.53009259259259267</v>
      </c>
    </row>
    <row r="139" spans="1:20" x14ac:dyDescent="0.25">
      <c r="A139">
        <v>364</v>
      </c>
      <c r="B139" t="s">
        <v>907</v>
      </c>
      <c r="D139" t="s">
        <v>349</v>
      </c>
      <c r="E139">
        <v>4</v>
      </c>
      <c r="F139" t="s">
        <v>61</v>
      </c>
      <c r="G139" t="s">
        <v>141</v>
      </c>
      <c r="H139" t="s">
        <v>141</v>
      </c>
      <c r="I139" t="s">
        <v>135</v>
      </c>
      <c r="J139">
        <v>9.9499999999999993</v>
      </c>
      <c r="K139">
        <v>6.57</v>
      </c>
      <c r="L139">
        <f t="shared" si="10"/>
        <v>1.6899999999999995</v>
      </c>
      <c r="M139">
        <f t="shared" si="11"/>
        <v>0.16984924623115574</v>
      </c>
      <c r="N139">
        <v>0.59199999999999997</v>
      </c>
      <c r="O139">
        <v>2.1999999999999999E-2</v>
      </c>
      <c r="P139">
        <f t="shared" si="12"/>
        <v>0.56999999999999995</v>
      </c>
      <c r="Q139">
        <v>0.223</v>
      </c>
      <c r="R139">
        <f t="shared" si="13"/>
        <v>0.39122807017543865</v>
      </c>
    </row>
    <row r="140" spans="1:20" x14ac:dyDescent="0.25">
      <c r="A140">
        <v>359</v>
      </c>
      <c r="B140" t="s">
        <v>906</v>
      </c>
      <c r="D140" t="s">
        <v>349</v>
      </c>
      <c r="E140">
        <v>5</v>
      </c>
      <c r="F140" t="s">
        <v>61</v>
      </c>
      <c r="G140" t="s">
        <v>141</v>
      </c>
      <c r="H140" t="s">
        <v>141</v>
      </c>
      <c r="I140" t="s">
        <v>135</v>
      </c>
      <c r="J140">
        <v>13.3</v>
      </c>
      <c r="K140">
        <v>9.7200000000000006</v>
      </c>
      <c r="L140">
        <f t="shared" si="10"/>
        <v>1.79</v>
      </c>
      <c r="M140">
        <f t="shared" si="11"/>
        <v>0.13458646616541353</v>
      </c>
      <c r="N140">
        <v>0.20599999999999999</v>
      </c>
      <c r="O140">
        <v>2.1999999999999999E-2</v>
      </c>
      <c r="P140">
        <f t="shared" si="12"/>
        <v>0.184</v>
      </c>
      <c r="Q140">
        <v>9.9000000000000005E-2</v>
      </c>
      <c r="R140">
        <f t="shared" si="13"/>
        <v>0.53804347826086962</v>
      </c>
      <c r="T140" t="s">
        <v>1030</v>
      </c>
    </row>
    <row r="141" spans="1:20" x14ac:dyDescent="0.25">
      <c r="A141">
        <v>72</v>
      </c>
      <c r="B141" t="s">
        <v>22</v>
      </c>
      <c r="D141" t="s">
        <v>350</v>
      </c>
      <c r="E141">
        <v>1</v>
      </c>
      <c r="F141" t="s">
        <v>330</v>
      </c>
      <c r="G141" t="s">
        <v>141</v>
      </c>
      <c r="H141" t="s">
        <v>141</v>
      </c>
      <c r="I141" t="s">
        <v>135</v>
      </c>
      <c r="J141">
        <v>9.4700000000000006</v>
      </c>
      <c r="K141">
        <v>5.46</v>
      </c>
      <c r="L141">
        <f t="shared" si="10"/>
        <v>2.0050000000000003</v>
      </c>
      <c r="M141">
        <f t="shared" si="11"/>
        <v>0.21172122492080256</v>
      </c>
      <c r="N141">
        <v>0.73299999999999998</v>
      </c>
      <c r="O141">
        <v>0.02</v>
      </c>
      <c r="P141">
        <f t="shared" si="12"/>
        <v>0.71299999999999997</v>
      </c>
      <c r="Q141">
        <v>0.37</v>
      </c>
      <c r="R141">
        <f t="shared" si="13"/>
        <v>0.5189340813464236</v>
      </c>
    </row>
    <row r="142" spans="1:20" x14ac:dyDescent="0.25">
      <c r="A142">
        <v>108</v>
      </c>
      <c r="B142" t="s">
        <v>36</v>
      </c>
      <c r="D142" t="s">
        <v>350</v>
      </c>
      <c r="E142">
        <v>2</v>
      </c>
      <c r="F142" t="s">
        <v>330</v>
      </c>
      <c r="G142" t="s">
        <v>141</v>
      </c>
      <c r="H142" t="s">
        <v>141</v>
      </c>
      <c r="I142" t="s">
        <v>135</v>
      </c>
      <c r="J142">
        <v>8.8800000000000008</v>
      </c>
      <c r="K142">
        <v>6.3</v>
      </c>
      <c r="L142">
        <f t="shared" si="10"/>
        <v>1.2900000000000005</v>
      </c>
      <c r="M142">
        <f t="shared" si="11"/>
        <v>0.14527027027027031</v>
      </c>
      <c r="N142">
        <v>0.47499999999999998</v>
      </c>
      <c r="O142">
        <v>0.03</v>
      </c>
      <c r="P142">
        <f t="shared" si="12"/>
        <v>0.44499999999999995</v>
      </c>
      <c r="Q142">
        <v>0.25900000000000001</v>
      </c>
      <c r="R142">
        <f t="shared" si="13"/>
        <v>0.58202247191011247</v>
      </c>
    </row>
    <row r="143" spans="1:20" x14ac:dyDescent="0.25">
      <c r="A143">
        <v>132</v>
      </c>
      <c r="B143" t="s">
        <v>94</v>
      </c>
      <c r="D143" t="s">
        <v>350</v>
      </c>
      <c r="E143">
        <v>3</v>
      </c>
      <c r="F143" t="s">
        <v>330</v>
      </c>
      <c r="G143" t="s">
        <v>141</v>
      </c>
      <c r="H143" t="s">
        <v>141</v>
      </c>
      <c r="I143" t="s">
        <v>135</v>
      </c>
      <c r="J143">
        <v>5.99</v>
      </c>
      <c r="K143">
        <v>3.97</v>
      </c>
      <c r="L143">
        <f t="shared" si="10"/>
        <v>1.01</v>
      </c>
      <c r="M143">
        <f t="shared" si="11"/>
        <v>0.1686143572621035</v>
      </c>
      <c r="N143">
        <v>0.6</v>
      </c>
      <c r="O143">
        <v>0.03</v>
      </c>
      <c r="P143">
        <f t="shared" si="12"/>
        <v>0.56999999999999995</v>
      </c>
      <c r="Q143">
        <v>0.39400000000000002</v>
      </c>
      <c r="R143">
        <f t="shared" si="13"/>
        <v>0.69122807017543864</v>
      </c>
    </row>
    <row r="144" spans="1:20" x14ac:dyDescent="0.25">
      <c r="A144">
        <v>273</v>
      </c>
      <c r="B144" t="s">
        <v>748</v>
      </c>
      <c r="D144" t="s">
        <v>350</v>
      </c>
      <c r="E144">
        <v>4</v>
      </c>
      <c r="F144" t="s">
        <v>330</v>
      </c>
      <c r="G144" t="s">
        <v>141</v>
      </c>
      <c r="H144" t="s">
        <v>141</v>
      </c>
      <c r="I144" t="s">
        <v>135</v>
      </c>
      <c r="J144">
        <v>7.98</v>
      </c>
      <c r="K144">
        <v>5.34</v>
      </c>
      <c r="L144">
        <f t="shared" si="10"/>
        <v>1.3200000000000003</v>
      </c>
      <c r="M144">
        <f t="shared" si="11"/>
        <v>0.16541353383458648</v>
      </c>
      <c r="N144">
        <v>0.36</v>
      </c>
      <c r="O144">
        <v>2.1999999999999999E-2</v>
      </c>
      <c r="P144">
        <f t="shared" si="12"/>
        <v>0.33799999999999997</v>
      </c>
      <c r="Q144">
        <v>0.2</v>
      </c>
      <c r="R144">
        <f t="shared" si="13"/>
        <v>0.59171597633136108</v>
      </c>
    </row>
    <row r="145" spans="1:21" x14ac:dyDescent="0.25">
      <c r="A145">
        <v>313</v>
      </c>
      <c r="B145" t="s">
        <v>758</v>
      </c>
      <c r="D145" t="s">
        <v>350</v>
      </c>
      <c r="E145">
        <v>5</v>
      </c>
      <c r="F145" t="s">
        <v>330</v>
      </c>
      <c r="G145" t="s">
        <v>141</v>
      </c>
      <c r="H145" t="s">
        <v>141</v>
      </c>
      <c r="I145" t="s">
        <v>135</v>
      </c>
      <c r="J145">
        <v>6.23</v>
      </c>
      <c r="K145">
        <v>4.25</v>
      </c>
      <c r="L145">
        <f t="shared" si="10"/>
        <v>0.99000000000000021</v>
      </c>
      <c r="M145">
        <f t="shared" si="11"/>
        <v>0.15890850722311398</v>
      </c>
      <c r="N145">
        <v>0.55800000000000005</v>
      </c>
      <c r="O145">
        <v>2.1999999999999999E-2</v>
      </c>
      <c r="P145">
        <f t="shared" si="12"/>
        <v>0.53600000000000003</v>
      </c>
      <c r="Q145">
        <v>0.34699999999999998</v>
      </c>
      <c r="R145">
        <f t="shared" si="13"/>
        <v>0.64738805970149249</v>
      </c>
    </row>
    <row r="146" spans="1:21" x14ac:dyDescent="0.25">
      <c r="A146">
        <v>90</v>
      </c>
      <c r="B146" t="s">
        <v>111</v>
      </c>
      <c r="C146" t="s">
        <v>24</v>
      </c>
      <c r="D146" t="s">
        <v>346</v>
      </c>
      <c r="E146">
        <v>1</v>
      </c>
      <c r="F146" t="s">
        <v>314</v>
      </c>
      <c r="G146" t="s">
        <v>141</v>
      </c>
      <c r="H146" t="s">
        <v>141</v>
      </c>
      <c r="I146" t="s">
        <v>135</v>
      </c>
      <c r="J146">
        <v>8.83</v>
      </c>
      <c r="K146">
        <v>4.54</v>
      </c>
      <c r="L146">
        <f t="shared" si="10"/>
        <v>2.145</v>
      </c>
      <c r="M146">
        <f t="shared" si="11"/>
        <v>0.24292185730464327</v>
      </c>
      <c r="N146">
        <v>0.56599999999999995</v>
      </c>
      <c r="O146">
        <v>0.03</v>
      </c>
      <c r="P146">
        <f t="shared" si="12"/>
        <v>0.53599999999999992</v>
      </c>
      <c r="Q146">
        <v>0.32700000000000001</v>
      </c>
      <c r="R146">
        <f t="shared" si="13"/>
        <v>0.61007462686567171</v>
      </c>
      <c r="T146" t="s">
        <v>1237</v>
      </c>
    </row>
    <row r="147" spans="1:21" x14ac:dyDescent="0.25">
      <c r="A147">
        <v>138</v>
      </c>
      <c r="B147" t="s">
        <v>129</v>
      </c>
      <c r="D147" t="s">
        <v>364</v>
      </c>
      <c r="E147">
        <v>2</v>
      </c>
      <c r="F147" t="s">
        <v>314</v>
      </c>
      <c r="G147" t="s">
        <v>141</v>
      </c>
      <c r="H147" t="s">
        <v>141</v>
      </c>
      <c r="I147" t="s">
        <v>135</v>
      </c>
      <c r="J147">
        <v>4.6100000000000003</v>
      </c>
      <c r="K147">
        <v>3.82</v>
      </c>
      <c r="L147">
        <f t="shared" si="10"/>
        <v>0.39500000000000024</v>
      </c>
      <c r="M147">
        <f t="shared" si="11"/>
        <v>8.568329718004343E-2</v>
      </c>
      <c r="N147">
        <v>0.4</v>
      </c>
      <c r="O147">
        <v>0.03</v>
      </c>
      <c r="P147">
        <f t="shared" si="12"/>
        <v>0.37</v>
      </c>
      <c r="Q147">
        <v>0.28199999999999997</v>
      </c>
      <c r="R147">
        <f t="shared" si="13"/>
        <v>0.76216216216216215</v>
      </c>
    </row>
    <row r="148" spans="1:21" x14ac:dyDescent="0.25">
      <c r="A148">
        <v>9</v>
      </c>
      <c r="B148" t="s">
        <v>79</v>
      </c>
      <c r="D148" t="s">
        <v>364</v>
      </c>
      <c r="E148">
        <v>3</v>
      </c>
      <c r="F148" t="s">
        <v>314</v>
      </c>
      <c r="G148" t="s">
        <v>141</v>
      </c>
      <c r="H148" t="s">
        <v>141</v>
      </c>
      <c r="I148" t="s">
        <v>135</v>
      </c>
      <c r="J148">
        <v>5.95</v>
      </c>
      <c r="K148">
        <v>4.6399999999999997</v>
      </c>
      <c r="L148">
        <f t="shared" si="10"/>
        <v>0.65500000000000025</v>
      </c>
      <c r="M148">
        <f t="shared" si="11"/>
        <v>0.11008403361344542</v>
      </c>
      <c r="N148">
        <f>0.6+0.277</f>
        <v>0.877</v>
      </c>
      <c r="O148">
        <v>1.6E-2</v>
      </c>
      <c r="P148">
        <f>N148-O140</f>
        <v>0.85499999999999998</v>
      </c>
      <c r="Q148">
        <v>0.74299999999999999</v>
      </c>
      <c r="R148">
        <f t="shared" si="13"/>
        <v>0.86900584795321634</v>
      </c>
    </row>
    <row r="149" spans="1:21" x14ac:dyDescent="0.25">
      <c r="A149">
        <v>57</v>
      </c>
      <c r="B149" t="s">
        <v>313</v>
      </c>
      <c r="D149" t="s">
        <v>364</v>
      </c>
      <c r="E149">
        <v>4</v>
      </c>
      <c r="F149" t="s">
        <v>314</v>
      </c>
      <c r="G149" t="s">
        <v>141</v>
      </c>
      <c r="H149" t="s">
        <v>141</v>
      </c>
      <c r="I149" t="s">
        <v>135</v>
      </c>
      <c r="J149">
        <v>8.6999999999999993</v>
      </c>
      <c r="K149">
        <v>6.2</v>
      </c>
      <c r="L149">
        <f t="shared" si="10"/>
        <v>1.2499999999999996</v>
      </c>
      <c r="M149">
        <f t="shared" si="11"/>
        <v>0.14367816091954019</v>
      </c>
      <c r="N149">
        <v>0.312</v>
      </c>
      <c r="O149">
        <v>0.02</v>
      </c>
      <c r="P149">
        <f t="shared" ref="P149:P155" si="14">N149-O149</f>
        <v>0.29199999999999998</v>
      </c>
      <c r="Q149">
        <v>0.23200000000000001</v>
      </c>
      <c r="R149">
        <f t="shared" si="13"/>
        <v>0.79452054794520555</v>
      </c>
    </row>
    <row r="150" spans="1:21" x14ac:dyDescent="0.25">
      <c r="A150">
        <v>200</v>
      </c>
      <c r="B150" t="s">
        <v>420</v>
      </c>
      <c r="D150" t="s">
        <v>364</v>
      </c>
      <c r="E150">
        <v>5</v>
      </c>
      <c r="F150" t="s">
        <v>314</v>
      </c>
      <c r="G150" t="s">
        <v>141</v>
      </c>
      <c r="H150" t="s">
        <v>141</v>
      </c>
      <c r="I150" t="s">
        <v>135</v>
      </c>
      <c r="J150">
        <v>4.29</v>
      </c>
      <c r="K150">
        <v>3.09</v>
      </c>
      <c r="L150">
        <f t="shared" si="10"/>
        <v>0.60000000000000009</v>
      </c>
      <c r="M150">
        <f t="shared" si="11"/>
        <v>0.13986013986013987</v>
      </c>
      <c r="N150">
        <v>0.39700000000000002</v>
      </c>
      <c r="O150">
        <v>2.5999999999999999E-2</v>
      </c>
      <c r="P150">
        <f t="shared" si="14"/>
        <v>0.371</v>
      </c>
      <c r="Q150">
        <v>0.318</v>
      </c>
      <c r="R150">
        <f t="shared" si="13"/>
        <v>0.85714285714285721</v>
      </c>
      <c r="S150" t="s">
        <v>551</v>
      </c>
    </row>
    <row r="151" spans="1:21" x14ac:dyDescent="0.25">
      <c r="A151">
        <v>267</v>
      </c>
      <c r="B151" t="s">
        <v>604</v>
      </c>
      <c r="D151" t="s">
        <v>605</v>
      </c>
      <c r="E151">
        <v>1</v>
      </c>
      <c r="F151" t="s">
        <v>755</v>
      </c>
      <c r="G151" t="s">
        <v>141</v>
      </c>
      <c r="H151" t="s">
        <v>141</v>
      </c>
      <c r="I151" t="s">
        <v>135</v>
      </c>
      <c r="J151">
        <v>13.41</v>
      </c>
      <c r="K151">
        <v>8.2799999999999994</v>
      </c>
      <c r="L151">
        <f t="shared" si="10"/>
        <v>2.5650000000000004</v>
      </c>
      <c r="M151">
        <f t="shared" si="11"/>
        <v>0.19127516778523493</v>
      </c>
      <c r="N151">
        <v>1.1279999999999999</v>
      </c>
      <c r="O151">
        <v>2.1999999999999999E-2</v>
      </c>
      <c r="P151">
        <f t="shared" si="14"/>
        <v>1.1059999999999999</v>
      </c>
      <c r="Q151">
        <v>0.46899999999999997</v>
      </c>
      <c r="R151">
        <f t="shared" si="13"/>
        <v>0.42405063291139244</v>
      </c>
    </row>
    <row r="152" spans="1:21" x14ac:dyDescent="0.25">
      <c r="A152">
        <v>270</v>
      </c>
      <c r="B152" t="s">
        <v>751</v>
      </c>
      <c r="D152" t="s">
        <v>605</v>
      </c>
      <c r="E152">
        <v>2</v>
      </c>
      <c r="F152" t="s">
        <v>755</v>
      </c>
      <c r="G152" t="s">
        <v>141</v>
      </c>
      <c r="H152" t="s">
        <v>141</v>
      </c>
      <c r="I152" t="s">
        <v>135</v>
      </c>
      <c r="J152">
        <v>10.46</v>
      </c>
      <c r="K152">
        <v>3.33</v>
      </c>
      <c r="L152">
        <f t="shared" si="10"/>
        <v>3.5650000000000004</v>
      </c>
      <c r="M152">
        <f t="shared" si="11"/>
        <v>0.3408221797323136</v>
      </c>
      <c r="N152">
        <v>0.42799999999999999</v>
      </c>
      <c r="O152">
        <v>2.1999999999999999E-2</v>
      </c>
      <c r="P152">
        <f t="shared" si="14"/>
        <v>0.40599999999999997</v>
      </c>
      <c r="Q152">
        <v>0.16600000000000001</v>
      </c>
      <c r="R152">
        <f t="shared" si="13"/>
        <v>0.40886699507389168</v>
      </c>
    </row>
    <row r="153" spans="1:21" x14ac:dyDescent="0.25">
      <c r="A153">
        <v>279</v>
      </c>
      <c r="B153" t="s">
        <v>738</v>
      </c>
      <c r="D153" t="s">
        <v>605</v>
      </c>
      <c r="E153">
        <v>3</v>
      </c>
      <c r="F153" t="s">
        <v>755</v>
      </c>
      <c r="G153" t="s">
        <v>141</v>
      </c>
      <c r="H153" t="s">
        <v>141</v>
      </c>
      <c r="I153" t="s">
        <v>135</v>
      </c>
      <c r="J153">
        <v>10.02</v>
      </c>
      <c r="K153">
        <v>4.68</v>
      </c>
      <c r="L153">
        <f t="shared" si="10"/>
        <v>2.67</v>
      </c>
      <c r="M153">
        <f t="shared" si="11"/>
        <v>0.26646706586826346</v>
      </c>
      <c r="N153">
        <f>0.358+0.482</f>
        <v>0.84</v>
      </c>
      <c r="O153">
        <v>2.1999999999999999E-2</v>
      </c>
      <c r="P153">
        <f t="shared" si="14"/>
        <v>0.81799999999999995</v>
      </c>
      <c r="Q153">
        <v>0.28100000000000003</v>
      </c>
      <c r="R153">
        <f t="shared" si="13"/>
        <v>0.34352078239608808</v>
      </c>
    </row>
    <row r="154" spans="1:21" x14ac:dyDescent="0.25">
      <c r="A154">
        <v>311</v>
      </c>
      <c r="B154" t="s">
        <v>768</v>
      </c>
      <c r="D154" t="s">
        <v>605</v>
      </c>
      <c r="E154">
        <v>4</v>
      </c>
      <c r="F154" t="s">
        <v>755</v>
      </c>
      <c r="G154" t="s">
        <v>141</v>
      </c>
      <c r="H154" t="s">
        <v>141</v>
      </c>
      <c r="I154" t="s">
        <v>135</v>
      </c>
      <c r="J154">
        <v>11.54</v>
      </c>
      <c r="K154">
        <v>4.92</v>
      </c>
      <c r="L154">
        <f t="shared" si="10"/>
        <v>3.3099999999999996</v>
      </c>
      <c r="M154">
        <f t="shared" si="11"/>
        <v>0.28682842287694971</v>
      </c>
      <c r="N154">
        <f>0.301+0.47</f>
        <v>0.77099999999999991</v>
      </c>
      <c r="O154">
        <v>2.1999999999999999E-2</v>
      </c>
      <c r="P154">
        <f t="shared" si="14"/>
        <v>0.74899999999999989</v>
      </c>
      <c r="Q154">
        <v>0.34</v>
      </c>
      <c r="R154">
        <f t="shared" si="13"/>
        <v>0.45393858477970639</v>
      </c>
    </row>
    <row r="155" spans="1:21" x14ac:dyDescent="0.25">
      <c r="A155">
        <v>307</v>
      </c>
      <c r="B155" t="s">
        <v>760</v>
      </c>
      <c r="D155" t="s">
        <v>605</v>
      </c>
      <c r="E155">
        <v>5</v>
      </c>
      <c r="F155" t="s">
        <v>755</v>
      </c>
      <c r="G155" t="s">
        <v>141</v>
      </c>
      <c r="H155" t="s">
        <v>141</v>
      </c>
      <c r="I155" t="s">
        <v>135</v>
      </c>
      <c r="J155">
        <v>7.48</v>
      </c>
      <c r="K155">
        <v>5.0599999999999996</v>
      </c>
      <c r="L155">
        <f t="shared" si="10"/>
        <v>1.2100000000000004</v>
      </c>
      <c r="M155">
        <f t="shared" si="11"/>
        <v>0.16176470588235298</v>
      </c>
      <c r="N155">
        <v>0.39500000000000002</v>
      </c>
      <c r="O155">
        <v>2.1999999999999999E-2</v>
      </c>
      <c r="P155">
        <f t="shared" si="14"/>
        <v>0.373</v>
      </c>
      <c r="Q155">
        <v>0.115</v>
      </c>
      <c r="R155">
        <f t="shared" si="13"/>
        <v>0.3083109919571046</v>
      </c>
    </row>
    <row r="156" spans="1:21" x14ac:dyDescent="0.25">
      <c r="A156">
        <v>2</v>
      </c>
      <c r="B156" t="s">
        <v>24</v>
      </c>
      <c r="D156" t="s">
        <v>346</v>
      </c>
      <c r="E156">
        <v>1</v>
      </c>
      <c r="F156" t="s">
        <v>15</v>
      </c>
      <c r="G156">
        <v>5.5</v>
      </c>
      <c r="H156">
        <v>5.0999999999999996</v>
      </c>
      <c r="I156" t="s">
        <v>134</v>
      </c>
      <c r="J156">
        <v>11.63</v>
      </c>
      <c r="K156">
        <v>4.75</v>
      </c>
      <c r="L156">
        <f t="shared" si="10"/>
        <v>3.4400000000000004</v>
      </c>
      <c r="M156">
        <f t="shared" si="11"/>
        <v>0.295786758383491</v>
      </c>
      <c r="O156">
        <v>1.6E-2</v>
      </c>
      <c r="P156">
        <f>(3.14159*((H156/2)*2) * G156)/1000</f>
        <v>8.8121599499999995E-2</v>
      </c>
      <c r="Q156">
        <v>5.1999999999999998E-2</v>
      </c>
      <c r="R156">
        <f t="shared" si="13"/>
        <v>0.59009369206921847</v>
      </c>
    </row>
    <row r="157" spans="1:21" x14ac:dyDescent="0.25">
      <c r="A157">
        <v>103</v>
      </c>
      <c r="B157" t="s">
        <v>28</v>
      </c>
      <c r="D157" t="s">
        <v>346</v>
      </c>
      <c r="E157">
        <v>2</v>
      </c>
      <c r="F157" t="s">
        <v>15</v>
      </c>
      <c r="G157" t="s">
        <v>141</v>
      </c>
      <c r="H157" t="s">
        <v>141</v>
      </c>
      <c r="I157" t="s">
        <v>135</v>
      </c>
      <c r="J157">
        <v>10.02</v>
      </c>
      <c r="K157">
        <v>4.2</v>
      </c>
      <c r="L157">
        <f t="shared" si="10"/>
        <v>2.9099999999999997</v>
      </c>
      <c r="M157">
        <f t="shared" si="11"/>
        <v>0.29041916167664666</v>
      </c>
      <c r="N157">
        <v>0.55400000000000005</v>
      </c>
      <c r="O157">
        <v>0.03</v>
      </c>
      <c r="P157">
        <f t="shared" ref="P157:P177" si="15">N157-O157</f>
        <v>0.52400000000000002</v>
      </c>
      <c r="Q157">
        <v>0.32500000000000001</v>
      </c>
      <c r="R157">
        <f t="shared" si="13"/>
        <v>0.62022900763358779</v>
      </c>
    </row>
    <row r="158" spans="1:21" x14ac:dyDescent="0.25">
      <c r="A158">
        <v>116</v>
      </c>
      <c r="B158" t="s">
        <v>14</v>
      </c>
      <c r="D158" t="s">
        <v>346</v>
      </c>
      <c r="E158">
        <v>3</v>
      </c>
      <c r="F158" t="s">
        <v>15</v>
      </c>
      <c r="G158" t="s">
        <v>141</v>
      </c>
      <c r="H158" t="s">
        <v>141</v>
      </c>
      <c r="I158" t="s">
        <v>135</v>
      </c>
      <c r="J158">
        <v>11.42</v>
      </c>
      <c r="K158">
        <v>5.07</v>
      </c>
      <c r="L158">
        <f t="shared" si="10"/>
        <v>3.1749999999999998</v>
      </c>
      <c r="M158">
        <f t="shared" si="11"/>
        <v>0.27802101576182137</v>
      </c>
      <c r="N158">
        <v>0.75700000000000001</v>
      </c>
      <c r="O158">
        <v>0.03</v>
      </c>
      <c r="P158">
        <f t="shared" si="15"/>
        <v>0.72699999999999998</v>
      </c>
      <c r="Q158">
        <v>0.40899999999999997</v>
      </c>
      <c r="R158">
        <f t="shared" si="13"/>
        <v>0.56258596973865194</v>
      </c>
      <c r="U158" s="1"/>
    </row>
    <row r="159" spans="1:21" x14ac:dyDescent="0.25">
      <c r="A159">
        <v>111</v>
      </c>
      <c r="B159" t="s">
        <v>107</v>
      </c>
      <c r="D159" t="s">
        <v>346</v>
      </c>
      <c r="E159">
        <v>4</v>
      </c>
      <c r="F159" t="s">
        <v>15</v>
      </c>
      <c r="G159" t="s">
        <v>141</v>
      </c>
      <c r="H159" t="s">
        <v>141</v>
      </c>
      <c r="I159" t="s">
        <v>135</v>
      </c>
      <c r="J159">
        <v>17.46</v>
      </c>
      <c r="K159">
        <v>4.88</v>
      </c>
      <c r="L159">
        <f t="shared" si="10"/>
        <v>6.2900000000000009</v>
      </c>
      <c r="M159">
        <f t="shared" si="11"/>
        <v>0.36025200458190154</v>
      </c>
      <c r="N159">
        <v>0.72099999999999997</v>
      </c>
      <c r="O159">
        <v>0.03</v>
      </c>
      <c r="P159">
        <f t="shared" si="15"/>
        <v>0.69099999999999995</v>
      </c>
      <c r="Q159">
        <v>0.39100000000000001</v>
      </c>
      <c r="R159">
        <f t="shared" si="13"/>
        <v>0.56584659913169322</v>
      </c>
    </row>
    <row r="160" spans="1:21" x14ac:dyDescent="0.25">
      <c r="A160">
        <v>121</v>
      </c>
      <c r="B160" t="s">
        <v>106</v>
      </c>
      <c r="D160" t="s">
        <v>346</v>
      </c>
      <c r="E160">
        <v>5</v>
      </c>
      <c r="F160" t="s">
        <v>15</v>
      </c>
      <c r="G160" t="s">
        <v>141</v>
      </c>
      <c r="H160" t="s">
        <v>141</v>
      </c>
      <c r="I160" t="s">
        <v>134</v>
      </c>
      <c r="J160">
        <v>9.42</v>
      </c>
      <c r="K160">
        <v>5.08</v>
      </c>
      <c r="L160">
        <f t="shared" si="10"/>
        <v>2.17</v>
      </c>
      <c r="M160">
        <f t="shared" si="11"/>
        <v>0.23036093418259024</v>
      </c>
      <c r="N160">
        <v>0.495</v>
      </c>
      <c r="O160">
        <v>0.03</v>
      </c>
      <c r="P160">
        <f t="shared" si="15"/>
        <v>0.46499999999999997</v>
      </c>
      <c r="Q160">
        <v>0.309</v>
      </c>
      <c r="R160">
        <f t="shared" si="13"/>
        <v>0.6645161290322581</v>
      </c>
    </row>
    <row r="161" spans="1:18" x14ac:dyDescent="0.25">
      <c r="A161">
        <v>344</v>
      </c>
      <c r="B161" t="s">
        <v>858</v>
      </c>
      <c r="D161" t="s">
        <v>859</v>
      </c>
      <c r="E161">
        <v>1</v>
      </c>
      <c r="F161" t="s">
        <v>860</v>
      </c>
      <c r="G161" t="s">
        <v>141</v>
      </c>
      <c r="H161" t="s">
        <v>141</v>
      </c>
      <c r="I161" t="s">
        <v>135</v>
      </c>
      <c r="J161">
        <v>5.93</v>
      </c>
      <c r="K161">
        <v>5.03</v>
      </c>
      <c r="L161">
        <f t="shared" si="10"/>
        <v>0.44999999999999973</v>
      </c>
      <c r="M161">
        <f t="shared" si="11"/>
        <v>7.5885328836424917E-2</v>
      </c>
      <c r="N161">
        <v>0.499</v>
      </c>
      <c r="O161">
        <v>2.1999999999999999E-2</v>
      </c>
      <c r="P161">
        <f t="shared" si="15"/>
        <v>0.47699999999999998</v>
      </c>
      <c r="Q161">
        <v>0.32700000000000001</v>
      </c>
      <c r="R161">
        <f t="shared" si="13"/>
        <v>0.68553459119496862</v>
      </c>
    </row>
    <row r="162" spans="1:18" x14ac:dyDescent="0.25">
      <c r="A162">
        <v>326</v>
      </c>
      <c r="B162" t="s">
        <v>880</v>
      </c>
      <c r="D162" t="s">
        <v>859</v>
      </c>
      <c r="E162">
        <v>2</v>
      </c>
      <c r="F162" t="s">
        <v>860</v>
      </c>
      <c r="G162" t="s">
        <v>141</v>
      </c>
      <c r="H162" t="s">
        <v>141</v>
      </c>
      <c r="I162" t="s">
        <v>135</v>
      </c>
      <c r="J162">
        <v>6.12</v>
      </c>
      <c r="K162">
        <v>4.78</v>
      </c>
      <c r="L162">
        <f t="shared" si="10"/>
        <v>0.66999999999999993</v>
      </c>
      <c r="M162">
        <f t="shared" si="11"/>
        <v>0.10947712418300652</v>
      </c>
      <c r="N162">
        <v>0.65</v>
      </c>
      <c r="O162">
        <v>2.1999999999999999E-2</v>
      </c>
      <c r="P162">
        <f t="shared" si="15"/>
        <v>0.628</v>
      </c>
      <c r="Q162">
        <v>0.5</v>
      </c>
      <c r="R162">
        <f t="shared" si="13"/>
        <v>0.79617834394904463</v>
      </c>
    </row>
    <row r="163" spans="1:18" x14ac:dyDescent="0.25">
      <c r="A163">
        <v>427</v>
      </c>
      <c r="B163" t="s">
        <v>1019</v>
      </c>
      <c r="D163" t="s">
        <v>859</v>
      </c>
      <c r="E163">
        <v>3</v>
      </c>
      <c r="F163" t="s">
        <v>860</v>
      </c>
      <c r="G163" t="s">
        <v>141</v>
      </c>
      <c r="H163" t="s">
        <v>141</v>
      </c>
      <c r="I163" t="s">
        <v>135</v>
      </c>
      <c r="J163">
        <v>4.41</v>
      </c>
      <c r="K163">
        <v>4.03</v>
      </c>
      <c r="L163">
        <f t="shared" si="10"/>
        <v>0.18999999999999995</v>
      </c>
      <c r="M163">
        <f t="shared" si="11"/>
        <v>4.3083900226757357E-2</v>
      </c>
      <c r="N163">
        <v>0.60199999999999998</v>
      </c>
      <c r="O163">
        <v>2.7E-2</v>
      </c>
      <c r="P163">
        <f t="shared" si="15"/>
        <v>0.57499999999999996</v>
      </c>
      <c r="Q163">
        <v>0.39300000000000002</v>
      </c>
      <c r="R163">
        <f t="shared" si="13"/>
        <v>0.68347826086956531</v>
      </c>
    </row>
    <row r="164" spans="1:18" x14ac:dyDescent="0.25">
      <c r="A164">
        <v>320</v>
      </c>
      <c r="B164" t="s">
        <v>867</v>
      </c>
      <c r="D164" t="s">
        <v>859</v>
      </c>
      <c r="E164">
        <v>4</v>
      </c>
      <c r="F164" t="s">
        <v>860</v>
      </c>
      <c r="G164" t="s">
        <v>141</v>
      </c>
      <c r="H164" t="s">
        <v>141</v>
      </c>
      <c r="I164" t="s">
        <v>135</v>
      </c>
      <c r="J164">
        <v>7.87</v>
      </c>
      <c r="K164">
        <v>6.92</v>
      </c>
      <c r="L164">
        <f t="shared" si="10"/>
        <v>0.47500000000000009</v>
      </c>
      <c r="M164">
        <f t="shared" si="11"/>
        <v>6.0355781448538766E-2</v>
      </c>
      <c r="N164">
        <v>0.63600000000000001</v>
      </c>
      <c r="O164">
        <v>2.1999999999999999E-2</v>
      </c>
      <c r="P164">
        <f t="shared" si="15"/>
        <v>0.61399999999999999</v>
      </c>
      <c r="Q164">
        <v>0.46200000000000002</v>
      </c>
      <c r="R164">
        <f t="shared" si="13"/>
        <v>0.75244299674267101</v>
      </c>
    </row>
    <row r="165" spans="1:18" x14ac:dyDescent="0.25">
      <c r="A165">
        <v>421</v>
      </c>
      <c r="B165" t="s">
        <v>1018</v>
      </c>
      <c r="D165" t="s">
        <v>859</v>
      </c>
      <c r="E165">
        <v>5</v>
      </c>
      <c r="F165" t="s">
        <v>860</v>
      </c>
      <c r="G165" t="s">
        <v>141</v>
      </c>
      <c r="H165" t="s">
        <v>141</v>
      </c>
      <c r="I165" t="s">
        <v>135</v>
      </c>
      <c r="J165">
        <v>5.23</v>
      </c>
      <c r="K165">
        <v>4.47</v>
      </c>
      <c r="L165">
        <f t="shared" si="10"/>
        <v>0.38000000000000034</v>
      </c>
      <c r="M165">
        <f t="shared" si="11"/>
        <v>7.2657743785850923E-2</v>
      </c>
      <c r="N165">
        <v>0.84199999999999997</v>
      </c>
      <c r="O165">
        <v>2.7E-2</v>
      </c>
      <c r="P165">
        <f t="shared" si="15"/>
        <v>0.81499999999999995</v>
      </c>
      <c r="Q165">
        <v>0.52900000000000003</v>
      </c>
      <c r="R165">
        <f t="shared" si="13"/>
        <v>0.64907975460122702</v>
      </c>
    </row>
    <row r="166" spans="1:18" x14ac:dyDescent="0.25">
      <c r="A166">
        <v>380</v>
      </c>
      <c r="B166" t="s">
        <v>978</v>
      </c>
      <c r="D166" t="s">
        <v>979</v>
      </c>
      <c r="E166">
        <v>1</v>
      </c>
      <c r="F166" t="s">
        <v>980</v>
      </c>
      <c r="G166" t="s">
        <v>141</v>
      </c>
      <c r="H166" t="s">
        <v>141</v>
      </c>
      <c r="I166" t="s">
        <v>135</v>
      </c>
      <c r="J166">
        <v>3.96</v>
      </c>
      <c r="K166">
        <v>3.33</v>
      </c>
      <c r="L166">
        <f t="shared" si="10"/>
        <v>0.31499999999999995</v>
      </c>
      <c r="M166">
        <f t="shared" si="11"/>
        <v>7.954545454545453E-2</v>
      </c>
      <c r="N166">
        <v>0.254</v>
      </c>
      <c r="O166">
        <v>2.1999999999999999E-2</v>
      </c>
      <c r="P166">
        <f t="shared" si="15"/>
        <v>0.23200000000000001</v>
      </c>
      <c r="Q166">
        <v>0.157</v>
      </c>
      <c r="R166">
        <f t="shared" si="13"/>
        <v>0.67672413793103448</v>
      </c>
    </row>
    <row r="167" spans="1:18" x14ac:dyDescent="0.25">
      <c r="A167">
        <v>381</v>
      </c>
      <c r="B167" t="s">
        <v>984</v>
      </c>
      <c r="D167" t="s">
        <v>979</v>
      </c>
      <c r="E167">
        <v>2</v>
      </c>
      <c r="F167" t="s">
        <v>980</v>
      </c>
      <c r="G167" t="s">
        <v>141</v>
      </c>
      <c r="H167" t="s">
        <v>141</v>
      </c>
      <c r="I167" t="s">
        <v>135</v>
      </c>
      <c r="J167">
        <v>6.32</v>
      </c>
      <c r="K167">
        <v>5.14</v>
      </c>
      <c r="L167">
        <f t="shared" si="10"/>
        <v>0.5900000000000003</v>
      </c>
      <c r="M167">
        <f t="shared" si="11"/>
        <v>9.3354430379746875E-2</v>
      </c>
      <c r="N167">
        <v>0.48599999999999999</v>
      </c>
      <c r="O167">
        <v>2.1999999999999999E-2</v>
      </c>
      <c r="P167">
        <f t="shared" si="15"/>
        <v>0.46399999999999997</v>
      </c>
      <c r="Q167">
        <v>0.32800000000000001</v>
      </c>
      <c r="R167">
        <f t="shared" si="13"/>
        <v>0.70689655172413801</v>
      </c>
    </row>
    <row r="168" spans="1:18" x14ac:dyDescent="0.25">
      <c r="A168">
        <v>75</v>
      </c>
      <c r="B168" t="s">
        <v>20</v>
      </c>
      <c r="D168" t="s">
        <v>348</v>
      </c>
      <c r="E168">
        <v>1</v>
      </c>
      <c r="F168" t="s">
        <v>335</v>
      </c>
      <c r="G168" t="s">
        <v>141</v>
      </c>
      <c r="H168" t="s">
        <v>141</v>
      </c>
      <c r="I168" t="s">
        <v>135</v>
      </c>
      <c r="J168">
        <v>9.4499999999999993</v>
      </c>
      <c r="K168">
        <v>7.9</v>
      </c>
      <c r="L168">
        <f t="shared" si="10"/>
        <v>0.77499999999999947</v>
      </c>
      <c r="M168">
        <f t="shared" si="11"/>
        <v>8.2010582010581964E-2</v>
      </c>
      <c r="N168">
        <v>0.54500000000000004</v>
      </c>
      <c r="O168">
        <v>0.02</v>
      </c>
      <c r="P168">
        <f t="shared" si="15"/>
        <v>0.52500000000000002</v>
      </c>
      <c r="Q168">
        <v>0.39300000000000002</v>
      </c>
      <c r="R168">
        <f t="shared" si="13"/>
        <v>0.74857142857142855</v>
      </c>
    </row>
    <row r="169" spans="1:18" x14ac:dyDescent="0.25">
      <c r="A169">
        <v>115</v>
      </c>
      <c r="B169" t="s">
        <v>130</v>
      </c>
      <c r="D169" t="s">
        <v>348</v>
      </c>
      <c r="E169">
        <v>2</v>
      </c>
      <c r="F169" t="s">
        <v>371</v>
      </c>
      <c r="G169" t="s">
        <v>141</v>
      </c>
      <c r="H169" t="s">
        <v>141</v>
      </c>
      <c r="I169" t="s">
        <v>135</v>
      </c>
      <c r="J169">
        <v>6.34</v>
      </c>
      <c r="K169">
        <v>4.66</v>
      </c>
      <c r="L169">
        <f t="shared" si="10"/>
        <v>0.83999999999999986</v>
      </c>
      <c r="M169">
        <f t="shared" si="11"/>
        <v>0.13249211356466875</v>
      </c>
      <c r="N169">
        <v>0.995</v>
      </c>
      <c r="O169">
        <v>0.03</v>
      </c>
      <c r="P169">
        <f t="shared" si="15"/>
        <v>0.96499999999999997</v>
      </c>
      <c r="Q169">
        <v>0.74399999999999999</v>
      </c>
      <c r="R169">
        <f t="shared" si="13"/>
        <v>0.77098445595854925</v>
      </c>
    </row>
    <row r="170" spans="1:18" x14ac:dyDescent="0.25">
      <c r="A170">
        <v>435</v>
      </c>
      <c r="B170" t="s">
        <v>1011</v>
      </c>
      <c r="D170" t="s">
        <v>348</v>
      </c>
      <c r="E170">
        <v>3</v>
      </c>
      <c r="F170" t="s">
        <v>371</v>
      </c>
      <c r="G170" t="s">
        <v>141</v>
      </c>
      <c r="H170" t="s">
        <v>141</v>
      </c>
      <c r="I170" t="s">
        <v>135</v>
      </c>
      <c r="J170">
        <v>7.84</v>
      </c>
      <c r="K170">
        <v>6.67</v>
      </c>
      <c r="L170">
        <f t="shared" si="10"/>
        <v>0.58499999999999996</v>
      </c>
      <c r="M170">
        <f t="shared" si="11"/>
        <v>7.4617346938775503E-2</v>
      </c>
      <c r="N170">
        <v>1.9390000000000001</v>
      </c>
      <c r="O170">
        <v>2.7E-2</v>
      </c>
      <c r="P170">
        <f t="shared" si="15"/>
        <v>1.9120000000000001</v>
      </c>
      <c r="Q170">
        <v>1.2889999999999999</v>
      </c>
      <c r="R170">
        <f t="shared" si="13"/>
        <v>0.67416317991631791</v>
      </c>
    </row>
    <row r="171" spans="1:18" x14ac:dyDescent="0.25">
      <c r="A171">
        <v>430</v>
      </c>
      <c r="B171" t="s">
        <v>1003</v>
      </c>
      <c r="D171" t="s">
        <v>348</v>
      </c>
      <c r="E171">
        <v>4</v>
      </c>
      <c r="F171" t="s">
        <v>371</v>
      </c>
      <c r="G171" t="s">
        <v>141</v>
      </c>
      <c r="H171" t="s">
        <v>141</v>
      </c>
      <c r="I171" t="s">
        <v>135</v>
      </c>
      <c r="J171">
        <v>6.43</v>
      </c>
      <c r="K171">
        <v>5.27</v>
      </c>
      <c r="L171">
        <f t="shared" si="10"/>
        <v>0.58000000000000007</v>
      </c>
      <c r="M171">
        <f t="shared" si="11"/>
        <v>9.0202177293934691E-2</v>
      </c>
      <c r="N171">
        <v>0.7</v>
      </c>
      <c r="O171">
        <v>2.7E-2</v>
      </c>
      <c r="P171">
        <f t="shared" si="15"/>
        <v>0.67299999999999993</v>
      </c>
      <c r="Q171">
        <v>0.45500000000000002</v>
      </c>
      <c r="R171">
        <f t="shared" si="13"/>
        <v>0.67607726597325413</v>
      </c>
    </row>
    <row r="172" spans="1:18" x14ac:dyDescent="0.25">
      <c r="A172">
        <v>423</v>
      </c>
      <c r="B172" t="s">
        <v>1006</v>
      </c>
      <c r="D172" t="s">
        <v>348</v>
      </c>
      <c r="E172">
        <v>5</v>
      </c>
      <c r="F172" t="s">
        <v>371</v>
      </c>
      <c r="G172" t="s">
        <v>141</v>
      </c>
      <c r="H172" t="s">
        <v>141</v>
      </c>
      <c r="I172" t="s">
        <v>135</v>
      </c>
      <c r="J172">
        <v>10.47</v>
      </c>
      <c r="K172">
        <v>8.39</v>
      </c>
      <c r="L172">
        <f t="shared" si="10"/>
        <v>1.04</v>
      </c>
      <c r="M172">
        <f t="shared" si="11"/>
        <v>9.9331423113658071E-2</v>
      </c>
      <c r="N172">
        <v>0.91200000000000003</v>
      </c>
      <c r="O172">
        <v>2.7E-2</v>
      </c>
      <c r="P172">
        <f t="shared" si="15"/>
        <v>0.88500000000000001</v>
      </c>
      <c r="Q172">
        <v>0.76100000000000001</v>
      </c>
      <c r="R172">
        <f t="shared" si="13"/>
        <v>0.85988700564971754</v>
      </c>
    </row>
    <row r="173" spans="1:18" x14ac:dyDescent="0.25">
      <c r="A173">
        <v>91</v>
      </c>
      <c r="B173" t="s">
        <v>152</v>
      </c>
      <c r="D173" t="s">
        <v>341</v>
      </c>
      <c r="E173">
        <v>1</v>
      </c>
      <c r="F173" t="s">
        <v>372</v>
      </c>
      <c r="G173" t="s">
        <v>141</v>
      </c>
      <c r="H173" t="s">
        <v>141</v>
      </c>
      <c r="I173" t="s">
        <v>135</v>
      </c>
      <c r="J173">
        <v>12.82</v>
      </c>
      <c r="K173">
        <v>8.32</v>
      </c>
      <c r="L173">
        <f t="shared" si="10"/>
        <v>2.25</v>
      </c>
      <c r="M173">
        <f t="shared" si="11"/>
        <v>0.17550702028081122</v>
      </c>
      <c r="N173">
        <v>1.6779999999999999</v>
      </c>
      <c r="O173">
        <v>0.03</v>
      </c>
      <c r="P173">
        <f t="shared" si="15"/>
        <v>1.6479999999999999</v>
      </c>
      <c r="Q173">
        <v>1.0029999999999999</v>
      </c>
      <c r="R173">
        <f t="shared" si="13"/>
        <v>0.60861650485436891</v>
      </c>
    </row>
    <row r="174" spans="1:18" x14ac:dyDescent="0.25">
      <c r="A174">
        <v>69</v>
      </c>
      <c r="B174" t="s">
        <v>1240</v>
      </c>
      <c r="C174" t="s">
        <v>205</v>
      </c>
      <c r="D174" t="s">
        <v>341</v>
      </c>
      <c r="E174">
        <v>2</v>
      </c>
      <c r="F174" t="s">
        <v>74</v>
      </c>
      <c r="G174" t="s">
        <v>141</v>
      </c>
      <c r="H174" t="s">
        <v>141</v>
      </c>
      <c r="I174" t="s">
        <v>135</v>
      </c>
      <c r="J174">
        <v>8.82</v>
      </c>
      <c r="K174">
        <v>5.97</v>
      </c>
      <c r="L174">
        <f t="shared" si="10"/>
        <v>1.4250000000000003</v>
      </c>
      <c r="M174">
        <f t="shared" si="11"/>
        <v>0.16156462585034015</v>
      </c>
      <c r="N174">
        <v>0.72099999999999997</v>
      </c>
      <c r="O174">
        <v>0.02</v>
      </c>
      <c r="P174">
        <f t="shared" si="15"/>
        <v>0.70099999999999996</v>
      </c>
      <c r="Q174">
        <v>0.44400000000000001</v>
      </c>
      <c r="R174">
        <f t="shared" si="13"/>
        <v>0.63338088445078466</v>
      </c>
    </row>
    <row r="175" spans="1:18" x14ac:dyDescent="0.25">
      <c r="A175">
        <v>253</v>
      </c>
      <c r="B175" t="s">
        <v>629</v>
      </c>
      <c r="D175" t="s">
        <v>341</v>
      </c>
      <c r="E175">
        <v>3</v>
      </c>
      <c r="F175" t="s">
        <v>372</v>
      </c>
      <c r="G175" t="s">
        <v>141</v>
      </c>
      <c r="H175" t="s">
        <v>141</v>
      </c>
      <c r="I175" t="s">
        <v>135</v>
      </c>
      <c r="J175">
        <v>10.43</v>
      </c>
      <c r="K175">
        <v>8.57</v>
      </c>
      <c r="L175">
        <f t="shared" si="10"/>
        <v>0.92999999999999972</v>
      </c>
      <c r="M175">
        <f t="shared" si="11"/>
        <v>8.9165867689357595E-2</v>
      </c>
      <c r="N175">
        <v>0.88400000000000001</v>
      </c>
      <c r="O175">
        <v>2.1999999999999999E-2</v>
      </c>
      <c r="P175">
        <f t="shared" si="15"/>
        <v>0.86199999999999999</v>
      </c>
      <c r="Q175">
        <v>0.52400000000000002</v>
      </c>
      <c r="R175">
        <f t="shared" si="13"/>
        <v>0.6078886310904873</v>
      </c>
    </row>
    <row r="176" spans="1:18" x14ac:dyDescent="0.25">
      <c r="A176">
        <v>251</v>
      </c>
      <c r="B176" t="s">
        <v>628</v>
      </c>
      <c r="D176" t="s">
        <v>341</v>
      </c>
      <c r="E176">
        <v>4</v>
      </c>
      <c r="F176" t="s">
        <v>372</v>
      </c>
      <c r="G176" t="s">
        <v>141</v>
      </c>
      <c r="H176" t="s">
        <v>141</v>
      </c>
      <c r="I176" t="s">
        <v>135</v>
      </c>
      <c r="J176">
        <v>8.23</v>
      </c>
      <c r="K176">
        <v>6.67</v>
      </c>
      <c r="L176">
        <f t="shared" si="10"/>
        <v>0.78000000000000025</v>
      </c>
      <c r="M176">
        <f t="shared" si="11"/>
        <v>9.4775212636695041E-2</v>
      </c>
      <c r="N176">
        <v>0.6</v>
      </c>
      <c r="O176">
        <v>2.1999999999999999E-2</v>
      </c>
      <c r="P176">
        <f t="shared" si="15"/>
        <v>0.57799999999999996</v>
      </c>
      <c r="Q176">
        <v>0.38800000000000001</v>
      </c>
      <c r="R176">
        <f t="shared" si="13"/>
        <v>0.67128027681660907</v>
      </c>
    </row>
    <row r="177" spans="1:19" x14ac:dyDescent="0.25">
      <c r="A177">
        <v>179</v>
      </c>
      <c r="B177" t="s">
        <v>473</v>
      </c>
      <c r="D177" t="s">
        <v>341</v>
      </c>
      <c r="E177">
        <v>5</v>
      </c>
      <c r="F177" t="s">
        <v>372</v>
      </c>
      <c r="G177" t="s">
        <v>141</v>
      </c>
      <c r="H177" t="s">
        <v>141</v>
      </c>
      <c r="I177" t="s">
        <v>135</v>
      </c>
      <c r="J177">
        <v>9.07</v>
      </c>
      <c r="K177">
        <v>7.31</v>
      </c>
      <c r="L177">
        <f t="shared" si="10"/>
        <v>0.88000000000000034</v>
      </c>
      <c r="M177">
        <f t="shared" si="11"/>
        <v>9.7023153252480746E-2</v>
      </c>
      <c r="N177">
        <v>0.97699999999999998</v>
      </c>
      <c r="O177">
        <v>2.5999999999999999E-2</v>
      </c>
      <c r="P177">
        <f t="shared" si="15"/>
        <v>0.95099999999999996</v>
      </c>
      <c r="Q177">
        <v>0.58499999999999996</v>
      </c>
      <c r="R177">
        <f t="shared" si="13"/>
        <v>0.6151419558359621</v>
      </c>
    </row>
    <row r="178" spans="1:19" x14ac:dyDescent="0.25">
      <c r="A178">
        <v>7</v>
      </c>
      <c r="B178" t="s">
        <v>1265</v>
      </c>
      <c r="C178" t="s">
        <v>73</v>
      </c>
      <c r="D178" t="s">
        <v>341</v>
      </c>
      <c r="E178">
        <v>6</v>
      </c>
      <c r="F178" t="s">
        <v>372</v>
      </c>
      <c r="G178">
        <v>50.05</v>
      </c>
      <c r="H178">
        <v>5.0999999999999996</v>
      </c>
      <c r="I178" t="s">
        <v>134</v>
      </c>
      <c r="J178">
        <v>8.99</v>
      </c>
      <c r="K178">
        <v>6.21</v>
      </c>
      <c r="L178">
        <f t="shared" si="10"/>
        <v>1.3900000000000001</v>
      </c>
      <c r="M178">
        <f t="shared" si="11"/>
        <v>0.1546162402669633</v>
      </c>
      <c r="O178">
        <v>1.6E-2</v>
      </c>
      <c r="P178">
        <f>(3.14159*((H178/2)*2) * G178)/1000</f>
        <v>0.80190655544999978</v>
      </c>
      <c r="Q178">
        <v>0.46</v>
      </c>
      <c r="R178">
        <f t="shared" si="13"/>
        <v>0.57363292128453214</v>
      </c>
    </row>
    <row r="179" spans="1:19" x14ac:dyDescent="0.25">
      <c r="A179">
        <v>389</v>
      </c>
      <c r="B179" t="s">
        <v>935</v>
      </c>
      <c r="D179" t="s">
        <v>936</v>
      </c>
      <c r="E179">
        <v>1</v>
      </c>
      <c r="F179" t="s">
        <v>937</v>
      </c>
      <c r="G179" t="s">
        <v>141</v>
      </c>
      <c r="H179" t="s">
        <v>141</v>
      </c>
      <c r="I179" t="s">
        <v>135</v>
      </c>
      <c r="J179">
        <v>6.55</v>
      </c>
      <c r="K179">
        <v>4.38</v>
      </c>
      <c r="L179">
        <f t="shared" si="10"/>
        <v>1.085</v>
      </c>
      <c r="M179">
        <f t="shared" si="11"/>
        <v>0.16564885496183207</v>
      </c>
      <c r="N179">
        <v>0.56000000000000005</v>
      </c>
      <c r="O179">
        <v>2.1999999999999999E-2</v>
      </c>
      <c r="P179">
        <f>N179-O179</f>
        <v>0.53800000000000003</v>
      </c>
      <c r="Q179">
        <v>0.20699999999999999</v>
      </c>
      <c r="R179">
        <f t="shared" si="13"/>
        <v>0.38475836431226762</v>
      </c>
    </row>
    <row r="180" spans="1:19" x14ac:dyDescent="0.25">
      <c r="A180">
        <v>417</v>
      </c>
      <c r="B180" t="s">
        <v>941</v>
      </c>
      <c r="D180" t="s">
        <v>936</v>
      </c>
      <c r="E180">
        <v>2</v>
      </c>
      <c r="F180" t="s">
        <v>937</v>
      </c>
      <c r="G180" t="s">
        <v>141</v>
      </c>
      <c r="H180" t="s">
        <v>141</v>
      </c>
      <c r="I180" t="s">
        <v>135</v>
      </c>
      <c r="J180">
        <v>9.9499999999999993</v>
      </c>
      <c r="K180">
        <v>7.54</v>
      </c>
      <c r="L180">
        <f t="shared" si="10"/>
        <v>1.2049999999999996</v>
      </c>
      <c r="M180">
        <f t="shared" si="11"/>
        <v>0.12110552763819092</v>
      </c>
      <c r="N180">
        <v>1.323</v>
      </c>
      <c r="O180">
        <v>2.1999999999999999E-2</v>
      </c>
      <c r="P180">
        <f>N180-O180</f>
        <v>1.3009999999999999</v>
      </c>
      <c r="Q180">
        <v>0.38700000000000001</v>
      </c>
      <c r="R180">
        <f t="shared" si="13"/>
        <v>0.29746348962336666</v>
      </c>
    </row>
    <row r="181" spans="1:19" x14ac:dyDescent="0.25">
      <c r="A181">
        <v>406</v>
      </c>
      <c r="B181" t="s">
        <v>943</v>
      </c>
      <c r="D181" t="s">
        <v>936</v>
      </c>
      <c r="E181">
        <v>3</v>
      </c>
      <c r="F181" t="s">
        <v>937</v>
      </c>
      <c r="G181" t="s">
        <v>141</v>
      </c>
      <c r="H181" t="s">
        <v>141</v>
      </c>
      <c r="I181" t="s">
        <v>135</v>
      </c>
      <c r="J181">
        <v>5.43</v>
      </c>
      <c r="K181">
        <v>3.7</v>
      </c>
      <c r="L181">
        <f t="shared" si="10"/>
        <v>0.86499999999999977</v>
      </c>
      <c r="M181">
        <f t="shared" si="11"/>
        <v>0.15930018416206257</v>
      </c>
      <c r="N181">
        <v>0.64300000000000002</v>
      </c>
      <c r="O181">
        <v>2.1999999999999999E-2</v>
      </c>
      <c r="P181">
        <f>N181-O181</f>
        <v>0.621</v>
      </c>
      <c r="Q181">
        <v>0.30299999999999999</v>
      </c>
      <c r="R181">
        <f t="shared" si="13"/>
        <v>0.48792270531400966</v>
      </c>
    </row>
    <row r="182" spans="1:19" x14ac:dyDescent="0.25">
      <c r="A182">
        <v>400</v>
      </c>
      <c r="B182" t="s">
        <v>950</v>
      </c>
      <c r="D182" t="s">
        <v>936</v>
      </c>
      <c r="E182">
        <v>4</v>
      </c>
      <c r="F182" t="s">
        <v>937</v>
      </c>
      <c r="G182" t="s">
        <v>141</v>
      </c>
      <c r="H182" t="s">
        <v>141</v>
      </c>
      <c r="I182" t="s">
        <v>135</v>
      </c>
      <c r="J182">
        <v>7</v>
      </c>
      <c r="K182">
        <v>4.91</v>
      </c>
      <c r="L182">
        <f t="shared" si="10"/>
        <v>1.0449999999999999</v>
      </c>
      <c r="M182">
        <f t="shared" si="11"/>
        <v>0.14928571428571427</v>
      </c>
      <c r="N182">
        <v>0.35299999999999998</v>
      </c>
      <c r="O182">
        <v>2.1999999999999999E-2</v>
      </c>
      <c r="P182">
        <f>N182-O182</f>
        <v>0.33099999999999996</v>
      </c>
      <c r="Q182">
        <v>0.113</v>
      </c>
      <c r="R182">
        <f t="shared" si="13"/>
        <v>0.34138972809667678</v>
      </c>
    </row>
    <row r="183" spans="1:19" x14ac:dyDescent="0.25">
      <c r="A183">
        <v>413</v>
      </c>
      <c r="B183" t="s">
        <v>977</v>
      </c>
      <c r="D183" t="s">
        <v>936</v>
      </c>
      <c r="E183">
        <v>5</v>
      </c>
      <c r="F183" t="s">
        <v>937</v>
      </c>
      <c r="G183" t="s">
        <v>141</v>
      </c>
      <c r="H183" t="s">
        <v>141</v>
      </c>
      <c r="I183" t="s">
        <v>135</v>
      </c>
      <c r="J183">
        <v>6.03</v>
      </c>
      <c r="K183">
        <v>4.25</v>
      </c>
      <c r="L183">
        <f t="shared" si="10"/>
        <v>0.89000000000000012</v>
      </c>
      <c r="M183">
        <f t="shared" si="11"/>
        <v>0.14759535655058045</v>
      </c>
      <c r="N183">
        <v>0.48399999999999999</v>
      </c>
      <c r="O183">
        <v>2.1999999999999999E-2</v>
      </c>
      <c r="P183">
        <f>N183-O183</f>
        <v>0.46199999999999997</v>
      </c>
      <c r="Q183">
        <v>0.22600000000000001</v>
      </c>
      <c r="R183">
        <f t="shared" si="13"/>
        <v>0.48917748917748921</v>
      </c>
    </row>
    <row r="184" spans="1:19" x14ac:dyDescent="0.25">
      <c r="A184">
        <v>8</v>
      </c>
      <c r="B184" t="s">
        <v>802</v>
      </c>
      <c r="C184" t="s">
        <v>81</v>
      </c>
      <c r="D184" t="s">
        <v>636</v>
      </c>
      <c r="E184">
        <v>1</v>
      </c>
      <c r="F184" t="s">
        <v>637</v>
      </c>
      <c r="G184" t="s">
        <v>141</v>
      </c>
      <c r="H184" t="s">
        <v>141</v>
      </c>
      <c r="I184" t="s">
        <v>135</v>
      </c>
      <c r="J184">
        <v>4.76</v>
      </c>
      <c r="K184">
        <v>3.96</v>
      </c>
      <c r="L184">
        <f t="shared" si="10"/>
        <v>0.39999999999999991</v>
      </c>
      <c r="M184">
        <f t="shared" si="11"/>
        <v>8.403361344537813E-2</v>
      </c>
      <c r="N184">
        <f>0.302+0.27+0.343</f>
        <v>0.91500000000000004</v>
      </c>
      <c r="O184">
        <v>1.6E-2</v>
      </c>
      <c r="P184">
        <f>N184-O177</f>
        <v>0.88900000000000001</v>
      </c>
      <c r="Q184">
        <v>0.52300000000000002</v>
      </c>
      <c r="R184">
        <f t="shared" si="13"/>
        <v>0.58830146231721037</v>
      </c>
    </row>
    <row r="185" spans="1:19" x14ac:dyDescent="0.25">
      <c r="A185">
        <v>10</v>
      </c>
      <c r="B185" t="s">
        <v>796</v>
      </c>
      <c r="C185" t="s">
        <v>86</v>
      </c>
      <c r="D185" t="s">
        <v>636</v>
      </c>
      <c r="E185">
        <v>2</v>
      </c>
      <c r="F185" t="s">
        <v>637</v>
      </c>
      <c r="G185" t="s">
        <v>141</v>
      </c>
      <c r="H185" t="s">
        <v>141</v>
      </c>
      <c r="I185" t="s">
        <v>135</v>
      </c>
      <c r="J185">
        <v>10.33</v>
      </c>
      <c r="K185">
        <v>9.0299999999999994</v>
      </c>
      <c r="L185">
        <f t="shared" si="10"/>
        <v>0.65000000000000036</v>
      </c>
      <c r="M185">
        <f t="shared" si="11"/>
        <v>6.2923523717328206E-2</v>
      </c>
      <c r="N185">
        <v>2.9049999999999998</v>
      </c>
      <c r="O185">
        <v>1.6E-2</v>
      </c>
      <c r="P185">
        <f>N185-O176</f>
        <v>2.883</v>
      </c>
      <c r="Q185">
        <v>1.339</v>
      </c>
      <c r="R185">
        <f t="shared" si="13"/>
        <v>0.46444675685050296</v>
      </c>
    </row>
    <row r="186" spans="1:19" x14ac:dyDescent="0.25">
      <c r="A186">
        <v>319</v>
      </c>
      <c r="B186" t="s">
        <v>778</v>
      </c>
      <c r="D186" t="s">
        <v>636</v>
      </c>
      <c r="E186">
        <v>3</v>
      </c>
      <c r="F186" t="s">
        <v>637</v>
      </c>
      <c r="G186" t="s">
        <v>141</v>
      </c>
      <c r="H186" t="s">
        <v>141</v>
      </c>
      <c r="I186" t="s">
        <v>135</v>
      </c>
      <c r="J186">
        <v>10.09</v>
      </c>
      <c r="K186">
        <v>9.02</v>
      </c>
      <c r="L186">
        <f t="shared" si="10"/>
        <v>0.53500000000000014</v>
      </c>
      <c r="M186">
        <f t="shared" si="11"/>
        <v>5.3022794846382573E-2</v>
      </c>
      <c r="N186">
        <v>1.1559999999999999</v>
      </c>
      <c r="O186">
        <v>2.1999999999999999E-2</v>
      </c>
      <c r="P186">
        <f t="shared" ref="P186:P225" si="16">N186-O186</f>
        <v>1.1339999999999999</v>
      </c>
      <c r="Q186">
        <v>0.44400000000000001</v>
      </c>
      <c r="R186">
        <f t="shared" si="13"/>
        <v>0.39153439153439157</v>
      </c>
    </row>
    <row r="187" spans="1:19" x14ac:dyDescent="0.25">
      <c r="A187">
        <v>318</v>
      </c>
      <c r="B187" t="s">
        <v>777</v>
      </c>
      <c r="D187" t="s">
        <v>636</v>
      </c>
      <c r="E187">
        <v>4</v>
      </c>
      <c r="F187" t="s">
        <v>637</v>
      </c>
      <c r="G187" t="s">
        <v>141</v>
      </c>
      <c r="H187" t="s">
        <v>141</v>
      </c>
      <c r="I187" t="s">
        <v>135</v>
      </c>
      <c r="J187">
        <v>8.99</v>
      </c>
      <c r="K187">
        <v>7.35</v>
      </c>
      <c r="L187">
        <f t="shared" si="10"/>
        <v>0.82000000000000028</v>
      </c>
      <c r="M187">
        <f t="shared" si="11"/>
        <v>9.121245828698557E-2</v>
      </c>
      <c r="N187">
        <v>0.85799999999999998</v>
      </c>
      <c r="O187">
        <v>2.1999999999999999E-2</v>
      </c>
      <c r="P187">
        <f t="shared" si="16"/>
        <v>0.83599999999999997</v>
      </c>
      <c r="Q187">
        <v>0.39900000000000002</v>
      </c>
      <c r="R187">
        <f t="shared" si="13"/>
        <v>0.47727272727272729</v>
      </c>
    </row>
    <row r="188" spans="1:19" x14ac:dyDescent="0.25">
      <c r="A188">
        <v>286</v>
      </c>
      <c r="B188" t="s">
        <v>813</v>
      </c>
      <c r="D188" t="s">
        <v>636</v>
      </c>
      <c r="E188">
        <v>5</v>
      </c>
      <c r="F188" t="s">
        <v>637</v>
      </c>
      <c r="G188" t="s">
        <v>141</v>
      </c>
      <c r="H188" t="s">
        <v>141</v>
      </c>
      <c r="I188" t="s">
        <v>135</v>
      </c>
      <c r="J188">
        <v>9.01</v>
      </c>
      <c r="K188">
        <v>7.26</v>
      </c>
      <c r="L188">
        <f t="shared" si="10"/>
        <v>0.875</v>
      </c>
      <c r="M188">
        <f t="shared" si="11"/>
        <v>9.7114317425083238E-2</v>
      </c>
      <c r="N188">
        <v>1.1040000000000001</v>
      </c>
      <c r="O188">
        <v>2.1999999999999999E-2</v>
      </c>
      <c r="P188">
        <f t="shared" si="16"/>
        <v>1.0820000000000001</v>
      </c>
      <c r="Q188">
        <v>0.53900000000000003</v>
      </c>
      <c r="R188">
        <f t="shared" si="13"/>
        <v>0.49815157116451014</v>
      </c>
    </row>
    <row r="189" spans="1:19" x14ac:dyDescent="0.25">
      <c r="A189">
        <v>102</v>
      </c>
      <c r="B189" t="s">
        <v>27</v>
      </c>
      <c r="D189" t="s">
        <v>354</v>
      </c>
      <c r="E189">
        <v>1</v>
      </c>
      <c r="F189" t="s">
        <v>359</v>
      </c>
      <c r="G189" t="s">
        <v>141</v>
      </c>
      <c r="H189" t="s">
        <v>141</v>
      </c>
      <c r="I189" t="s">
        <v>135</v>
      </c>
      <c r="J189">
        <v>7.75</v>
      </c>
      <c r="K189">
        <v>4.42</v>
      </c>
      <c r="L189">
        <f t="shared" si="10"/>
        <v>1.665</v>
      </c>
      <c r="M189">
        <f t="shared" si="11"/>
        <v>0.21483870967741936</v>
      </c>
      <c r="N189">
        <v>0.60399999999999998</v>
      </c>
      <c r="O189">
        <v>0.03</v>
      </c>
      <c r="P189">
        <f t="shared" si="16"/>
        <v>0.57399999999999995</v>
      </c>
      <c r="Q189">
        <v>0.27300000000000002</v>
      </c>
      <c r="R189">
        <f t="shared" si="13"/>
        <v>0.47560975609756106</v>
      </c>
    </row>
    <row r="190" spans="1:19" x14ac:dyDescent="0.25">
      <c r="A190">
        <v>186</v>
      </c>
      <c r="B190" t="s">
        <v>455</v>
      </c>
      <c r="D190" t="s">
        <v>354</v>
      </c>
      <c r="E190">
        <v>2</v>
      </c>
      <c r="F190" t="s">
        <v>359</v>
      </c>
      <c r="G190" t="s">
        <v>141</v>
      </c>
      <c r="H190" t="s">
        <v>141</v>
      </c>
      <c r="I190" t="s">
        <v>135</v>
      </c>
      <c r="J190">
        <v>9.2899999999999991</v>
      </c>
      <c r="K190">
        <v>5</v>
      </c>
      <c r="L190">
        <f t="shared" si="10"/>
        <v>2.1449999999999996</v>
      </c>
      <c r="M190">
        <f t="shared" si="11"/>
        <v>0.23089343379978469</v>
      </c>
      <c r="N190">
        <v>0.40699999999999997</v>
      </c>
      <c r="O190">
        <v>2.5999999999999999E-2</v>
      </c>
      <c r="P190">
        <f t="shared" si="16"/>
        <v>0.38099999999999995</v>
      </c>
      <c r="Q190">
        <v>0.13600000000000001</v>
      </c>
      <c r="R190">
        <f t="shared" si="13"/>
        <v>0.35695538057742787</v>
      </c>
      <c r="S190" t="s">
        <v>550</v>
      </c>
    </row>
    <row r="191" spans="1:19" x14ac:dyDescent="0.25">
      <c r="A191">
        <v>187</v>
      </c>
      <c r="B191" t="s">
        <v>457</v>
      </c>
      <c r="D191" t="s">
        <v>354</v>
      </c>
      <c r="E191">
        <v>3</v>
      </c>
      <c r="F191" t="s">
        <v>359</v>
      </c>
      <c r="G191" t="s">
        <v>141</v>
      </c>
      <c r="H191" t="s">
        <v>141</v>
      </c>
      <c r="I191" t="s">
        <v>135</v>
      </c>
      <c r="J191">
        <v>6.17</v>
      </c>
      <c r="K191">
        <v>3.34</v>
      </c>
      <c r="L191">
        <f t="shared" si="10"/>
        <v>1.415</v>
      </c>
      <c r="M191">
        <f t="shared" si="11"/>
        <v>0.22933549432739062</v>
      </c>
      <c r="N191">
        <v>0.38900000000000001</v>
      </c>
      <c r="O191">
        <v>2.5999999999999999E-2</v>
      </c>
      <c r="P191">
        <f t="shared" si="16"/>
        <v>0.36299999999999999</v>
      </c>
      <c r="Q191">
        <v>0.18</v>
      </c>
      <c r="R191">
        <f t="shared" si="13"/>
        <v>0.49586776859504134</v>
      </c>
      <c r="S191" t="s">
        <v>550</v>
      </c>
    </row>
    <row r="192" spans="1:19" x14ac:dyDescent="0.25">
      <c r="A192">
        <v>205</v>
      </c>
      <c r="B192" t="s">
        <v>416</v>
      </c>
      <c r="D192" t="s">
        <v>354</v>
      </c>
      <c r="E192">
        <v>4</v>
      </c>
      <c r="F192" t="s">
        <v>359</v>
      </c>
      <c r="G192" t="s">
        <v>141</v>
      </c>
      <c r="H192" t="s">
        <v>141</v>
      </c>
      <c r="I192" t="s">
        <v>135</v>
      </c>
      <c r="J192">
        <v>11.02</v>
      </c>
      <c r="K192">
        <v>5.45</v>
      </c>
      <c r="L192">
        <f t="shared" si="10"/>
        <v>2.7849999999999997</v>
      </c>
      <c r="M192">
        <f t="shared" si="11"/>
        <v>0.25272232304900177</v>
      </c>
      <c r="N192">
        <v>0.64200000000000002</v>
      </c>
      <c r="O192">
        <v>2.5999999999999999E-2</v>
      </c>
      <c r="P192">
        <f t="shared" si="16"/>
        <v>0.61599999999999999</v>
      </c>
      <c r="Q192">
        <v>0.24299999999999999</v>
      </c>
      <c r="R192">
        <f t="shared" si="13"/>
        <v>0.39448051948051949</v>
      </c>
      <c r="S192" t="s">
        <v>550</v>
      </c>
    </row>
    <row r="193" spans="1:19" x14ac:dyDescent="0.25">
      <c r="A193">
        <v>432</v>
      </c>
      <c r="B193" t="s">
        <v>1012</v>
      </c>
      <c r="D193" t="s">
        <v>354</v>
      </c>
      <c r="E193">
        <v>5</v>
      </c>
      <c r="F193" t="s">
        <v>359</v>
      </c>
      <c r="G193" t="s">
        <v>141</v>
      </c>
      <c r="H193" t="s">
        <v>141</v>
      </c>
      <c r="I193" t="s">
        <v>135</v>
      </c>
      <c r="J193">
        <v>11.82</v>
      </c>
      <c r="K193">
        <v>5.89</v>
      </c>
      <c r="L193">
        <f t="shared" si="10"/>
        <v>2.9650000000000003</v>
      </c>
      <c r="M193">
        <f t="shared" si="11"/>
        <v>0.25084602368866332</v>
      </c>
      <c r="N193">
        <v>0.45500000000000002</v>
      </c>
      <c r="O193">
        <v>2.7E-2</v>
      </c>
      <c r="P193">
        <f t="shared" si="16"/>
        <v>0.42799999999999999</v>
      </c>
      <c r="Q193">
        <v>0.19600000000000001</v>
      </c>
      <c r="R193">
        <f t="shared" si="13"/>
        <v>0.45794392523364491</v>
      </c>
    </row>
    <row r="194" spans="1:19" x14ac:dyDescent="0.25">
      <c r="A194">
        <v>171</v>
      </c>
      <c r="B194" t="s">
        <v>515</v>
      </c>
      <c r="D194" t="s">
        <v>516</v>
      </c>
      <c r="E194">
        <v>1</v>
      </c>
      <c r="F194" t="s">
        <v>548</v>
      </c>
      <c r="G194" t="s">
        <v>141</v>
      </c>
      <c r="H194" t="s">
        <v>141</v>
      </c>
      <c r="I194" t="s">
        <v>135</v>
      </c>
      <c r="J194">
        <v>7.61</v>
      </c>
      <c r="K194">
        <v>6.27</v>
      </c>
      <c r="L194">
        <f t="shared" ref="L194:L257" si="17">(J194-K194)/2</f>
        <v>0.67000000000000037</v>
      </c>
      <c r="M194">
        <f t="shared" ref="M194:M257" si="18">L194/J194</f>
        <v>8.8042049934297026E-2</v>
      </c>
      <c r="N194">
        <v>0.99299999999999999</v>
      </c>
      <c r="O194">
        <v>2.5999999999999999E-2</v>
      </c>
      <c r="P194">
        <f t="shared" si="16"/>
        <v>0.96699999999999997</v>
      </c>
      <c r="Q194">
        <v>0.58199999999999996</v>
      </c>
      <c r="R194">
        <f t="shared" ref="R194:R257" si="19">Q194/P194</f>
        <v>0.60186142709410551</v>
      </c>
    </row>
    <row r="195" spans="1:19" x14ac:dyDescent="0.25">
      <c r="A195">
        <v>246</v>
      </c>
      <c r="B195" t="s">
        <v>633</v>
      </c>
      <c r="D195" t="s">
        <v>516</v>
      </c>
      <c r="E195">
        <v>2</v>
      </c>
      <c r="F195" t="s">
        <v>548</v>
      </c>
      <c r="G195" t="s">
        <v>141</v>
      </c>
      <c r="H195" t="s">
        <v>141</v>
      </c>
      <c r="I195" t="s">
        <v>135</v>
      </c>
      <c r="J195">
        <v>7.22</v>
      </c>
      <c r="K195">
        <v>5.96</v>
      </c>
      <c r="L195">
        <f t="shared" si="17"/>
        <v>0.62999999999999989</v>
      </c>
      <c r="M195">
        <f t="shared" si="18"/>
        <v>8.7257617728531842E-2</v>
      </c>
      <c r="N195">
        <v>1.83</v>
      </c>
      <c r="O195">
        <v>2.1999999999999999E-2</v>
      </c>
      <c r="P195">
        <f t="shared" si="16"/>
        <v>1.8080000000000001</v>
      </c>
      <c r="Q195">
        <v>0.92</v>
      </c>
      <c r="R195">
        <f t="shared" si="19"/>
        <v>0.50884955752212391</v>
      </c>
    </row>
    <row r="196" spans="1:19" x14ac:dyDescent="0.25">
      <c r="A196">
        <v>299</v>
      </c>
      <c r="B196" t="s">
        <v>817</v>
      </c>
      <c r="D196" t="s">
        <v>516</v>
      </c>
      <c r="E196">
        <v>3</v>
      </c>
      <c r="F196" t="s">
        <v>548</v>
      </c>
      <c r="G196" t="s">
        <v>141</v>
      </c>
      <c r="H196" t="s">
        <v>141</v>
      </c>
      <c r="I196" t="s">
        <v>135</v>
      </c>
      <c r="J196">
        <v>6.76</v>
      </c>
      <c r="K196">
        <v>5.66</v>
      </c>
      <c r="L196">
        <f t="shared" si="17"/>
        <v>0.54999999999999982</v>
      </c>
      <c r="M196">
        <f t="shared" si="18"/>
        <v>8.1360946745562102E-2</v>
      </c>
      <c r="N196">
        <v>0.68100000000000005</v>
      </c>
      <c r="O196">
        <v>2.1999999999999999E-2</v>
      </c>
      <c r="P196">
        <f t="shared" si="16"/>
        <v>0.65900000000000003</v>
      </c>
      <c r="Q196">
        <v>0.42199999999999999</v>
      </c>
      <c r="R196">
        <f t="shared" si="19"/>
        <v>0.64036418816388463</v>
      </c>
    </row>
    <row r="197" spans="1:19" x14ac:dyDescent="0.25">
      <c r="A197">
        <v>309</v>
      </c>
      <c r="B197" t="s">
        <v>816</v>
      </c>
      <c r="D197" t="s">
        <v>516</v>
      </c>
      <c r="E197">
        <v>4</v>
      </c>
      <c r="F197" t="s">
        <v>832</v>
      </c>
      <c r="G197" t="s">
        <v>141</v>
      </c>
      <c r="H197" t="s">
        <v>141</v>
      </c>
      <c r="I197" t="s">
        <v>135</v>
      </c>
      <c r="J197">
        <v>6.43</v>
      </c>
      <c r="K197">
        <v>5.39</v>
      </c>
      <c r="L197">
        <f t="shared" si="17"/>
        <v>0.52</v>
      </c>
      <c r="M197">
        <f t="shared" si="18"/>
        <v>8.0870917573872478E-2</v>
      </c>
      <c r="N197">
        <v>0.53600000000000003</v>
      </c>
      <c r="O197">
        <v>2.1999999999999999E-2</v>
      </c>
      <c r="P197">
        <f t="shared" si="16"/>
        <v>0.51400000000000001</v>
      </c>
      <c r="Q197">
        <v>0.21199999999999999</v>
      </c>
      <c r="R197">
        <f t="shared" si="19"/>
        <v>0.41245136186770426</v>
      </c>
    </row>
    <row r="198" spans="1:19" x14ac:dyDescent="0.25">
      <c r="A198">
        <v>337</v>
      </c>
      <c r="B198" t="s">
        <v>872</v>
      </c>
      <c r="D198" t="s">
        <v>516</v>
      </c>
      <c r="E198">
        <v>5</v>
      </c>
      <c r="F198" t="s">
        <v>832</v>
      </c>
      <c r="G198" t="s">
        <v>141</v>
      </c>
      <c r="H198" t="s">
        <v>141</v>
      </c>
      <c r="I198" t="s">
        <v>135</v>
      </c>
      <c r="J198">
        <v>7.89</v>
      </c>
      <c r="K198">
        <v>6.76</v>
      </c>
      <c r="L198">
        <f t="shared" si="17"/>
        <v>0.56499999999999995</v>
      </c>
      <c r="M198">
        <f t="shared" si="18"/>
        <v>7.1609632446134344E-2</v>
      </c>
      <c r="N198">
        <v>0.73599999999999999</v>
      </c>
      <c r="O198">
        <v>2.1999999999999999E-2</v>
      </c>
      <c r="P198">
        <f t="shared" si="16"/>
        <v>0.71399999999999997</v>
      </c>
      <c r="Q198">
        <v>0.40699999999999997</v>
      </c>
      <c r="R198">
        <f t="shared" si="19"/>
        <v>0.57002801120448177</v>
      </c>
    </row>
    <row r="199" spans="1:19" x14ac:dyDescent="0.25">
      <c r="A199">
        <v>83</v>
      </c>
      <c r="B199" t="s">
        <v>41</v>
      </c>
      <c r="D199" t="s">
        <v>360</v>
      </c>
      <c r="E199">
        <v>1</v>
      </c>
      <c r="F199" t="s">
        <v>228</v>
      </c>
      <c r="G199" t="s">
        <v>141</v>
      </c>
      <c r="H199" t="s">
        <v>141</v>
      </c>
      <c r="I199" t="s">
        <v>135</v>
      </c>
      <c r="J199">
        <v>11.82</v>
      </c>
      <c r="K199">
        <v>3.82</v>
      </c>
      <c r="L199">
        <f t="shared" si="17"/>
        <v>4</v>
      </c>
      <c r="M199">
        <f t="shared" si="18"/>
        <v>0.33840947546531303</v>
      </c>
      <c r="N199">
        <v>0.627</v>
      </c>
      <c r="O199">
        <v>0.02</v>
      </c>
      <c r="P199">
        <f t="shared" si="16"/>
        <v>0.60699999999999998</v>
      </c>
      <c r="Q199">
        <v>0.41199999999999998</v>
      </c>
      <c r="R199">
        <f t="shared" si="19"/>
        <v>0.67874794069192745</v>
      </c>
    </row>
    <row r="200" spans="1:19" x14ac:dyDescent="0.25">
      <c r="A200">
        <v>59</v>
      </c>
      <c r="B200" t="s">
        <v>1241</v>
      </c>
      <c r="C200" t="s">
        <v>227</v>
      </c>
      <c r="D200" t="s">
        <v>360</v>
      </c>
      <c r="E200">
        <v>2</v>
      </c>
      <c r="F200" t="s">
        <v>228</v>
      </c>
      <c r="G200" t="s">
        <v>141</v>
      </c>
      <c r="H200" t="s">
        <v>141</v>
      </c>
      <c r="I200" t="s">
        <v>135</v>
      </c>
      <c r="J200">
        <v>10.69</v>
      </c>
      <c r="K200">
        <v>4.55</v>
      </c>
      <c r="L200">
        <f t="shared" si="17"/>
        <v>3.07</v>
      </c>
      <c r="M200">
        <f t="shared" si="18"/>
        <v>0.28718428437792332</v>
      </c>
      <c r="N200">
        <v>0.373</v>
      </c>
      <c r="O200">
        <v>0.02</v>
      </c>
      <c r="P200">
        <f t="shared" si="16"/>
        <v>0.35299999999999998</v>
      </c>
      <c r="Q200">
        <v>0.26800000000000002</v>
      </c>
      <c r="R200">
        <f t="shared" si="19"/>
        <v>0.7592067988668556</v>
      </c>
    </row>
    <row r="201" spans="1:19" x14ac:dyDescent="0.25">
      <c r="A201">
        <v>51</v>
      </c>
      <c r="B201" t="s">
        <v>1242</v>
      </c>
      <c r="C201" t="s">
        <v>238</v>
      </c>
      <c r="D201" t="s">
        <v>360</v>
      </c>
      <c r="E201">
        <v>3</v>
      </c>
      <c r="F201" t="s">
        <v>228</v>
      </c>
      <c r="G201" t="s">
        <v>141</v>
      </c>
      <c r="H201" t="s">
        <v>141</v>
      </c>
      <c r="I201" t="s">
        <v>135</v>
      </c>
      <c r="J201">
        <v>14.18</v>
      </c>
      <c r="K201">
        <v>5.0999999999999996</v>
      </c>
      <c r="L201">
        <f t="shared" si="17"/>
        <v>4.54</v>
      </c>
      <c r="M201">
        <f t="shared" si="18"/>
        <v>0.32016925246826516</v>
      </c>
      <c r="N201">
        <v>0.52</v>
      </c>
      <c r="O201">
        <v>0.02</v>
      </c>
      <c r="P201">
        <f t="shared" si="16"/>
        <v>0.5</v>
      </c>
      <c r="Q201">
        <v>0.30299999999999999</v>
      </c>
      <c r="R201">
        <f t="shared" si="19"/>
        <v>0.60599999999999998</v>
      </c>
    </row>
    <row r="202" spans="1:19" x14ac:dyDescent="0.25">
      <c r="A202">
        <v>64</v>
      </c>
      <c r="B202" t="s">
        <v>1243</v>
      </c>
      <c r="C202" t="s">
        <v>251</v>
      </c>
      <c r="D202" t="s">
        <v>360</v>
      </c>
      <c r="E202">
        <v>4</v>
      </c>
      <c r="F202" t="s">
        <v>228</v>
      </c>
      <c r="G202" t="s">
        <v>141</v>
      </c>
      <c r="H202" t="s">
        <v>141</v>
      </c>
      <c r="I202" t="s">
        <v>135</v>
      </c>
      <c r="J202">
        <v>10.15</v>
      </c>
      <c r="K202">
        <v>4.34</v>
      </c>
      <c r="L202">
        <f t="shared" si="17"/>
        <v>2.9050000000000002</v>
      </c>
      <c r="M202">
        <f t="shared" si="18"/>
        <v>0.28620689655172415</v>
      </c>
      <c r="N202">
        <v>0.33</v>
      </c>
      <c r="O202">
        <v>0.02</v>
      </c>
      <c r="P202">
        <f t="shared" si="16"/>
        <v>0.31</v>
      </c>
      <c r="Q202">
        <v>0.218</v>
      </c>
      <c r="R202">
        <f t="shared" si="19"/>
        <v>0.70322580645161292</v>
      </c>
    </row>
    <row r="203" spans="1:19" x14ac:dyDescent="0.25">
      <c r="A203">
        <v>19</v>
      </c>
      <c r="B203" t="s">
        <v>303</v>
      </c>
      <c r="D203" t="s">
        <v>360</v>
      </c>
      <c r="E203">
        <v>5</v>
      </c>
      <c r="F203" t="s">
        <v>228</v>
      </c>
      <c r="G203" t="s">
        <v>141</v>
      </c>
      <c r="H203" t="s">
        <v>141</v>
      </c>
      <c r="I203" t="s">
        <v>135</v>
      </c>
      <c r="J203">
        <v>11.81</v>
      </c>
      <c r="K203">
        <v>5.69</v>
      </c>
      <c r="L203">
        <f t="shared" si="17"/>
        <v>3.06</v>
      </c>
      <c r="M203">
        <f t="shared" si="18"/>
        <v>0.2591024555461473</v>
      </c>
      <c r="N203">
        <v>0.63200000000000001</v>
      </c>
      <c r="O203">
        <v>0.02</v>
      </c>
      <c r="P203">
        <f t="shared" si="16"/>
        <v>0.61199999999999999</v>
      </c>
      <c r="Q203">
        <v>0.46200000000000002</v>
      </c>
      <c r="R203">
        <f t="shared" si="19"/>
        <v>0.75490196078431382</v>
      </c>
    </row>
    <row r="204" spans="1:19" x14ac:dyDescent="0.25">
      <c r="A204">
        <v>237</v>
      </c>
      <c r="B204" t="s">
        <v>592</v>
      </c>
      <c r="D204" t="s">
        <v>593</v>
      </c>
      <c r="E204">
        <v>1</v>
      </c>
      <c r="F204" t="s">
        <v>594</v>
      </c>
      <c r="G204" t="s">
        <v>141</v>
      </c>
      <c r="H204" t="s">
        <v>141</v>
      </c>
      <c r="I204" t="s">
        <v>135</v>
      </c>
      <c r="J204">
        <v>12.73</v>
      </c>
      <c r="K204">
        <v>11.22</v>
      </c>
      <c r="L204">
        <f t="shared" si="17"/>
        <v>0.75499999999999989</v>
      </c>
      <c r="M204">
        <f t="shared" si="18"/>
        <v>5.9308719560094258E-2</v>
      </c>
      <c r="N204">
        <v>1.774</v>
      </c>
      <c r="O204">
        <v>2.1999999999999999E-2</v>
      </c>
      <c r="P204">
        <f t="shared" si="16"/>
        <v>1.752</v>
      </c>
      <c r="Q204">
        <v>1.0580000000000001</v>
      </c>
      <c r="R204">
        <f t="shared" si="19"/>
        <v>0.60388127853881279</v>
      </c>
    </row>
    <row r="205" spans="1:19" x14ac:dyDescent="0.25">
      <c r="A205">
        <v>232</v>
      </c>
      <c r="B205" t="s">
        <v>598</v>
      </c>
      <c r="D205" t="s">
        <v>593</v>
      </c>
      <c r="E205">
        <v>2</v>
      </c>
      <c r="F205" t="s">
        <v>594</v>
      </c>
      <c r="G205" t="s">
        <v>141</v>
      </c>
      <c r="H205" t="s">
        <v>141</v>
      </c>
      <c r="I205" t="s">
        <v>135</v>
      </c>
      <c r="J205">
        <v>8.07</v>
      </c>
      <c r="K205">
        <v>6.88</v>
      </c>
      <c r="L205">
        <f t="shared" si="17"/>
        <v>0.5950000000000002</v>
      </c>
      <c r="M205">
        <f t="shared" si="18"/>
        <v>7.3729863692688996E-2</v>
      </c>
      <c r="N205">
        <v>0.91400000000000003</v>
      </c>
      <c r="O205">
        <v>2.1999999999999999E-2</v>
      </c>
      <c r="P205">
        <f t="shared" si="16"/>
        <v>0.89200000000000002</v>
      </c>
      <c r="Q205">
        <v>0.55400000000000005</v>
      </c>
      <c r="R205">
        <f t="shared" si="19"/>
        <v>0.62107623318385652</v>
      </c>
      <c r="S205" t="s">
        <v>551</v>
      </c>
    </row>
    <row r="206" spans="1:19" x14ac:dyDescent="0.25">
      <c r="A206">
        <v>234</v>
      </c>
      <c r="B206" t="s">
        <v>597</v>
      </c>
      <c r="D206" t="s">
        <v>593</v>
      </c>
      <c r="E206">
        <v>3</v>
      </c>
      <c r="F206" t="s">
        <v>594</v>
      </c>
      <c r="G206" t="s">
        <v>141</v>
      </c>
      <c r="H206" t="s">
        <v>141</v>
      </c>
      <c r="I206" t="s">
        <v>135</v>
      </c>
      <c r="J206">
        <v>7.02</v>
      </c>
      <c r="K206">
        <v>5.69</v>
      </c>
      <c r="L206">
        <f t="shared" si="17"/>
        <v>0.66499999999999959</v>
      </c>
      <c r="M206">
        <f t="shared" si="18"/>
        <v>9.4729344729344675E-2</v>
      </c>
      <c r="N206">
        <v>0.88400000000000001</v>
      </c>
      <c r="O206">
        <v>2.1999999999999999E-2</v>
      </c>
      <c r="P206">
        <f t="shared" si="16"/>
        <v>0.86199999999999999</v>
      </c>
      <c r="Q206">
        <v>0.50800000000000001</v>
      </c>
      <c r="R206">
        <f t="shared" si="19"/>
        <v>0.58932714617169379</v>
      </c>
    </row>
    <row r="207" spans="1:19" x14ac:dyDescent="0.25">
      <c r="A207">
        <v>323</v>
      </c>
      <c r="B207" t="s">
        <v>882</v>
      </c>
      <c r="D207" t="s">
        <v>593</v>
      </c>
      <c r="E207">
        <v>4</v>
      </c>
      <c r="F207" t="s">
        <v>594</v>
      </c>
      <c r="G207" t="s">
        <v>141</v>
      </c>
      <c r="H207" t="s">
        <v>141</v>
      </c>
      <c r="I207" t="s">
        <v>135</v>
      </c>
      <c r="J207">
        <v>6.13</v>
      </c>
      <c r="K207">
        <v>4.17</v>
      </c>
      <c r="L207">
        <f t="shared" si="17"/>
        <v>0.98</v>
      </c>
      <c r="M207">
        <f t="shared" si="18"/>
        <v>0.1598694942903752</v>
      </c>
      <c r="N207">
        <v>0.53800000000000003</v>
      </c>
      <c r="O207">
        <v>2.1999999999999999E-2</v>
      </c>
      <c r="P207">
        <f t="shared" si="16"/>
        <v>0.51600000000000001</v>
      </c>
      <c r="Q207">
        <v>0.214</v>
      </c>
      <c r="R207">
        <f t="shared" si="19"/>
        <v>0.4147286821705426</v>
      </c>
    </row>
    <row r="208" spans="1:19" x14ac:dyDescent="0.25">
      <c r="A208">
        <v>338</v>
      </c>
      <c r="B208" t="s">
        <v>871</v>
      </c>
      <c r="D208" t="s">
        <v>593</v>
      </c>
      <c r="E208">
        <v>5</v>
      </c>
      <c r="F208" t="s">
        <v>594</v>
      </c>
      <c r="G208" t="s">
        <v>141</v>
      </c>
      <c r="H208" t="s">
        <v>141</v>
      </c>
      <c r="I208" t="s">
        <v>135</v>
      </c>
      <c r="J208">
        <v>6.21</v>
      </c>
      <c r="K208">
        <v>5.18</v>
      </c>
      <c r="L208">
        <f t="shared" si="17"/>
        <v>0.51500000000000012</v>
      </c>
      <c r="M208">
        <f t="shared" si="18"/>
        <v>8.2930756843800343E-2</v>
      </c>
      <c r="N208">
        <v>0.33400000000000002</v>
      </c>
      <c r="O208">
        <v>2.1999999999999999E-2</v>
      </c>
      <c r="P208">
        <f t="shared" si="16"/>
        <v>0.312</v>
      </c>
      <c r="Q208">
        <v>0.191</v>
      </c>
      <c r="R208">
        <f t="shared" si="19"/>
        <v>0.61217948717948723</v>
      </c>
    </row>
    <row r="209" spans="1:19" x14ac:dyDescent="0.25">
      <c r="A209">
        <v>420</v>
      </c>
      <c r="B209" t="s">
        <v>1024</v>
      </c>
      <c r="D209" t="s">
        <v>1016</v>
      </c>
      <c r="E209">
        <v>1</v>
      </c>
      <c r="F209" t="s">
        <v>1017</v>
      </c>
      <c r="G209" t="s">
        <v>141</v>
      </c>
      <c r="H209" t="s">
        <v>141</v>
      </c>
      <c r="I209" t="s">
        <v>135</v>
      </c>
      <c r="J209">
        <v>4.5199999999999996</v>
      </c>
      <c r="K209">
        <v>3.85</v>
      </c>
      <c r="L209">
        <f t="shared" si="17"/>
        <v>0.33499999999999974</v>
      </c>
      <c r="M209">
        <f t="shared" si="18"/>
        <v>7.4115044247787559E-2</v>
      </c>
      <c r="N209">
        <v>0.67900000000000005</v>
      </c>
      <c r="O209">
        <v>2.7E-2</v>
      </c>
      <c r="P209">
        <f t="shared" si="16"/>
        <v>0.65200000000000002</v>
      </c>
      <c r="Q209">
        <v>0.44900000000000001</v>
      </c>
      <c r="R209">
        <f t="shared" si="19"/>
        <v>0.68865030674846628</v>
      </c>
    </row>
    <row r="210" spans="1:19" x14ac:dyDescent="0.25">
      <c r="A210">
        <v>419</v>
      </c>
      <c r="B210" t="s">
        <v>1015</v>
      </c>
      <c r="D210" t="s">
        <v>1016</v>
      </c>
      <c r="E210">
        <v>2</v>
      </c>
      <c r="F210" t="s">
        <v>1017</v>
      </c>
      <c r="G210" t="s">
        <v>141</v>
      </c>
      <c r="H210" t="s">
        <v>141</v>
      </c>
      <c r="I210" t="s">
        <v>135</v>
      </c>
      <c r="J210">
        <v>3.62</v>
      </c>
      <c r="K210">
        <v>3.21</v>
      </c>
      <c r="L210">
        <f t="shared" si="17"/>
        <v>0.20500000000000007</v>
      </c>
      <c r="M210">
        <f t="shared" si="18"/>
        <v>5.6629834254143661E-2</v>
      </c>
      <c r="N210">
        <v>0.42399999999999999</v>
      </c>
      <c r="O210">
        <v>2.7E-2</v>
      </c>
      <c r="P210">
        <f t="shared" si="16"/>
        <v>0.39699999999999996</v>
      </c>
      <c r="Q210">
        <v>0.309</v>
      </c>
      <c r="R210">
        <f t="shared" si="19"/>
        <v>0.77833753148614615</v>
      </c>
    </row>
    <row r="211" spans="1:19" x14ac:dyDescent="0.25">
      <c r="A211">
        <v>468</v>
      </c>
      <c r="B211" t="s">
        <v>1083</v>
      </c>
      <c r="D211" t="s">
        <v>1016</v>
      </c>
      <c r="E211">
        <v>3</v>
      </c>
      <c r="F211" t="s">
        <v>1017</v>
      </c>
      <c r="I211" t="s">
        <v>135</v>
      </c>
      <c r="J211">
        <v>6.82</v>
      </c>
      <c r="K211">
        <v>6.29</v>
      </c>
      <c r="L211">
        <f t="shared" si="17"/>
        <v>0.26500000000000012</v>
      </c>
      <c r="M211">
        <f t="shared" si="18"/>
        <v>3.8856304985337257E-2</v>
      </c>
      <c r="N211">
        <v>0.98599999999999999</v>
      </c>
      <c r="O211">
        <v>2.7E-2</v>
      </c>
      <c r="P211">
        <f t="shared" si="16"/>
        <v>0.95899999999999996</v>
      </c>
      <c r="Q211">
        <v>0.66400000000000003</v>
      </c>
      <c r="R211">
        <f t="shared" si="19"/>
        <v>0.69238790406673623</v>
      </c>
    </row>
    <row r="212" spans="1:19" x14ac:dyDescent="0.25">
      <c r="A212">
        <v>461</v>
      </c>
      <c r="B212" t="s">
        <v>1091</v>
      </c>
      <c r="D212" t="s">
        <v>1016</v>
      </c>
      <c r="E212">
        <v>4</v>
      </c>
      <c r="F212" t="s">
        <v>1017</v>
      </c>
      <c r="I212" t="s">
        <v>135</v>
      </c>
      <c r="J212">
        <v>6.87</v>
      </c>
      <c r="K212">
        <v>6.16</v>
      </c>
      <c r="L212">
        <f t="shared" si="17"/>
        <v>0.35499999999999998</v>
      </c>
      <c r="M212">
        <f t="shared" si="18"/>
        <v>5.1673944687045122E-2</v>
      </c>
      <c r="N212">
        <v>0.69399999999999995</v>
      </c>
      <c r="O212">
        <v>2.7E-2</v>
      </c>
      <c r="P212">
        <f t="shared" si="16"/>
        <v>0.66699999999999993</v>
      </c>
      <c r="Q212">
        <v>0.35499999999999998</v>
      </c>
      <c r="R212">
        <f t="shared" si="19"/>
        <v>0.53223388305847075</v>
      </c>
    </row>
    <row r="213" spans="1:19" x14ac:dyDescent="0.25">
      <c r="A213">
        <v>464</v>
      </c>
      <c r="B213" t="s">
        <v>1092</v>
      </c>
      <c r="D213" t="s">
        <v>1016</v>
      </c>
      <c r="E213">
        <v>5</v>
      </c>
      <c r="F213" t="s">
        <v>1017</v>
      </c>
      <c r="I213" t="s">
        <v>135</v>
      </c>
      <c r="J213">
        <v>6.73</v>
      </c>
      <c r="K213">
        <v>5.66</v>
      </c>
      <c r="L213">
        <f t="shared" si="17"/>
        <v>0.53500000000000014</v>
      </c>
      <c r="M213">
        <f t="shared" si="18"/>
        <v>7.9494799405646382E-2</v>
      </c>
      <c r="N213">
        <v>0.71099999999999997</v>
      </c>
      <c r="O213">
        <v>2.7E-2</v>
      </c>
      <c r="P213">
        <f t="shared" si="16"/>
        <v>0.68399999999999994</v>
      </c>
      <c r="Q213">
        <v>0.503</v>
      </c>
      <c r="R213">
        <f t="shared" si="19"/>
        <v>0.73538011695906436</v>
      </c>
    </row>
    <row r="214" spans="1:19" x14ac:dyDescent="0.25">
      <c r="A214">
        <v>329</v>
      </c>
      <c r="B214" t="s">
        <v>875</v>
      </c>
      <c r="D214" t="s">
        <v>876</v>
      </c>
      <c r="E214">
        <v>1</v>
      </c>
      <c r="F214" t="s">
        <v>877</v>
      </c>
      <c r="G214" t="s">
        <v>141</v>
      </c>
      <c r="H214" t="s">
        <v>141</v>
      </c>
      <c r="I214" t="s">
        <v>135</v>
      </c>
      <c r="J214">
        <v>7.3</v>
      </c>
      <c r="K214">
        <v>5.57</v>
      </c>
      <c r="L214">
        <f t="shared" si="17"/>
        <v>0.86499999999999977</v>
      </c>
      <c r="M214">
        <f t="shared" si="18"/>
        <v>0.11849315068493148</v>
      </c>
      <c r="N214">
        <v>1.4410000000000001</v>
      </c>
      <c r="O214">
        <v>2.1999999999999999E-2</v>
      </c>
      <c r="P214">
        <f t="shared" si="16"/>
        <v>1.419</v>
      </c>
      <c r="Q214">
        <v>0.91500000000000004</v>
      </c>
      <c r="R214">
        <f t="shared" si="19"/>
        <v>0.64482029598308666</v>
      </c>
    </row>
    <row r="215" spans="1:19" x14ac:dyDescent="0.25">
      <c r="A215">
        <v>428</v>
      </c>
      <c r="B215" t="s">
        <v>1022</v>
      </c>
      <c r="D215" t="s">
        <v>876</v>
      </c>
      <c r="E215">
        <v>2</v>
      </c>
      <c r="F215" t="s">
        <v>877</v>
      </c>
      <c r="G215" t="s">
        <v>141</v>
      </c>
      <c r="H215" t="s">
        <v>141</v>
      </c>
      <c r="I215" t="s">
        <v>135</v>
      </c>
      <c r="J215">
        <v>6.24</v>
      </c>
      <c r="K215">
        <v>5.08</v>
      </c>
      <c r="L215">
        <f t="shared" si="17"/>
        <v>0.58000000000000007</v>
      </c>
      <c r="M215">
        <f t="shared" si="18"/>
        <v>9.2948717948717952E-2</v>
      </c>
      <c r="N215">
        <v>0.76500000000000001</v>
      </c>
      <c r="O215">
        <v>2.7E-2</v>
      </c>
      <c r="P215">
        <f t="shared" si="16"/>
        <v>0.73799999999999999</v>
      </c>
      <c r="Q215">
        <v>0.312</v>
      </c>
      <c r="R215">
        <f t="shared" si="19"/>
        <v>0.42276422764227645</v>
      </c>
    </row>
    <row r="216" spans="1:19" x14ac:dyDescent="0.25">
      <c r="A216">
        <v>426</v>
      </c>
      <c r="B216" t="s">
        <v>1021</v>
      </c>
      <c r="D216" t="s">
        <v>876</v>
      </c>
      <c r="E216">
        <v>3</v>
      </c>
      <c r="F216" t="s">
        <v>877</v>
      </c>
      <c r="G216" t="s">
        <v>141</v>
      </c>
      <c r="H216" t="s">
        <v>141</v>
      </c>
      <c r="I216" t="s">
        <v>135</v>
      </c>
      <c r="J216">
        <v>6.79</v>
      </c>
      <c r="K216">
        <v>4.7300000000000004</v>
      </c>
      <c r="L216">
        <f t="shared" si="17"/>
        <v>1.0299999999999998</v>
      </c>
      <c r="M216">
        <f t="shared" si="18"/>
        <v>0.15169366715758464</v>
      </c>
      <c r="N216">
        <v>0.34899999999999998</v>
      </c>
      <c r="O216">
        <v>2.7E-2</v>
      </c>
      <c r="P216">
        <f t="shared" si="16"/>
        <v>0.32199999999999995</v>
      </c>
      <c r="Q216">
        <v>0.16900000000000001</v>
      </c>
      <c r="R216">
        <f t="shared" si="19"/>
        <v>0.52484472049689457</v>
      </c>
    </row>
    <row r="217" spans="1:19" x14ac:dyDescent="0.25">
      <c r="A217">
        <v>422</v>
      </c>
      <c r="B217" t="s">
        <v>1005</v>
      </c>
      <c r="D217" t="s">
        <v>876</v>
      </c>
      <c r="E217">
        <v>4</v>
      </c>
      <c r="F217" t="s">
        <v>877</v>
      </c>
      <c r="G217" t="s">
        <v>141</v>
      </c>
      <c r="H217" t="s">
        <v>141</v>
      </c>
      <c r="I217" t="s">
        <v>135</v>
      </c>
      <c r="J217">
        <v>7.56</v>
      </c>
      <c r="K217">
        <v>5.67</v>
      </c>
      <c r="L217">
        <f t="shared" si="17"/>
        <v>0.94499999999999984</v>
      </c>
      <c r="M217">
        <f t="shared" si="18"/>
        <v>0.12499999999999999</v>
      </c>
      <c r="N217">
        <v>0.76</v>
      </c>
      <c r="O217">
        <v>2.7E-2</v>
      </c>
      <c r="P217">
        <f t="shared" si="16"/>
        <v>0.73299999999999998</v>
      </c>
      <c r="Q217">
        <v>0.48499999999999999</v>
      </c>
      <c r="R217">
        <f t="shared" si="19"/>
        <v>0.66166439290586632</v>
      </c>
    </row>
    <row r="218" spans="1:19" x14ac:dyDescent="0.25">
      <c r="A218">
        <v>471</v>
      </c>
      <c r="B218" t="s">
        <v>1089</v>
      </c>
      <c r="D218" t="s">
        <v>876</v>
      </c>
      <c r="E218">
        <v>5</v>
      </c>
      <c r="F218" t="s">
        <v>877</v>
      </c>
      <c r="I218" t="s">
        <v>135</v>
      </c>
      <c r="J218">
        <v>8.07</v>
      </c>
      <c r="K218">
        <v>6.25</v>
      </c>
      <c r="L218">
        <f t="shared" si="17"/>
        <v>0.91000000000000014</v>
      </c>
      <c r="M218">
        <f t="shared" si="18"/>
        <v>0.11276332094175961</v>
      </c>
      <c r="N218">
        <v>0.75900000000000001</v>
      </c>
      <c r="O218">
        <v>2.7E-2</v>
      </c>
      <c r="P218">
        <f t="shared" si="16"/>
        <v>0.73199999999999998</v>
      </c>
      <c r="Q218">
        <v>0.32900000000000001</v>
      </c>
      <c r="R218">
        <f t="shared" si="19"/>
        <v>0.44945355191256836</v>
      </c>
    </row>
    <row r="219" spans="1:19" x14ac:dyDescent="0.25">
      <c r="A219">
        <v>288</v>
      </c>
      <c r="B219" t="s">
        <v>810</v>
      </c>
      <c r="D219" t="s">
        <v>811</v>
      </c>
      <c r="E219">
        <v>1</v>
      </c>
      <c r="F219" t="s">
        <v>812</v>
      </c>
      <c r="G219" t="s">
        <v>141</v>
      </c>
      <c r="H219" t="s">
        <v>141</v>
      </c>
      <c r="I219" t="s">
        <v>135</v>
      </c>
      <c r="J219">
        <v>9.33</v>
      </c>
      <c r="K219">
        <v>6.28</v>
      </c>
      <c r="L219">
        <f t="shared" si="17"/>
        <v>1.5249999999999999</v>
      </c>
      <c r="M219">
        <f t="shared" si="18"/>
        <v>0.16345123258306538</v>
      </c>
      <c r="N219">
        <v>0.88</v>
      </c>
      <c r="O219">
        <v>2.1999999999999999E-2</v>
      </c>
      <c r="P219">
        <f t="shared" si="16"/>
        <v>0.85799999999999998</v>
      </c>
      <c r="Q219">
        <v>0.377</v>
      </c>
      <c r="R219">
        <f t="shared" si="19"/>
        <v>0.43939393939393939</v>
      </c>
      <c r="S219" t="s">
        <v>831</v>
      </c>
    </row>
    <row r="220" spans="1:19" x14ac:dyDescent="0.25">
      <c r="A220">
        <v>365</v>
      </c>
      <c r="B220" t="s">
        <v>900</v>
      </c>
      <c r="D220" t="s">
        <v>811</v>
      </c>
      <c r="E220">
        <v>2</v>
      </c>
      <c r="F220" t="s">
        <v>812</v>
      </c>
      <c r="G220" t="s">
        <v>141</v>
      </c>
      <c r="H220" t="s">
        <v>141</v>
      </c>
      <c r="I220" t="s">
        <v>135</v>
      </c>
      <c r="J220">
        <v>7.38</v>
      </c>
      <c r="K220">
        <v>4.8899999999999997</v>
      </c>
      <c r="L220">
        <f t="shared" si="17"/>
        <v>1.2450000000000001</v>
      </c>
      <c r="M220">
        <f t="shared" si="18"/>
        <v>0.16869918699186995</v>
      </c>
      <c r="N220">
        <v>1.268</v>
      </c>
      <c r="O220">
        <v>2.1999999999999999E-2</v>
      </c>
      <c r="P220">
        <f t="shared" si="16"/>
        <v>1.246</v>
      </c>
      <c r="Q220">
        <v>0.44700000000000001</v>
      </c>
      <c r="R220">
        <f t="shared" si="19"/>
        <v>0.35874799357945425</v>
      </c>
    </row>
    <row r="221" spans="1:19" x14ac:dyDescent="0.25">
      <c r="A221">
        <v>362</v>
      </c>
      <c r="B221" t="s">
        <v>902</v>
      </c>
      <c r="D221" t="s">
        <v>811</v>
      </c>
      <c r="E221">
        <v>3</v>
      </c>
      <c r="F221" t="s">
        <v>812</v>
      </c>
      <c r="G221" t="s">
        <v>141</v>
      </c>
      <c r="H221" t="s">
        <v>141</v>
      </c>
      <c r="I221" t="s">
        <v>135</v>
      </c>
      <c r="J221">
        <v>6.07</v>
      </c>
      <c r="K221">
        <v>4.3499999999999996</v>
      </c>
      <c r="L221">
        <f t="shared" si="17"/>
        <v>0.86000000000000032</v>
      </c>
      <c r="M221">
        <f t="shared" si="18"/>
        <v>0.14168039538714997</v>
      </c>
      <c r="N221">
        <v>0.79200000000000004</v>
      </c>
      <c r="O221">
        <v>2.1999999999999999E-2</v>
      </c>
      <c r="P221">
        <f t="shared" si="16"/>
        <v>0.77</v>
      </c>
      <c r="Q221">
        <v>0.40200000000000002</v>
      </c>
      <c r="R221">
        <f t="shared" si="19"/>
        <v>0.52207792207792214</v>
      </c>
    </row>
    <row r="222" spans="1:19" x14ac:dyDescent="0.25">
      <c r="A222">
        <v>449</v>
      </c>
      <c r="B222" t="s">
        <v>1068</v>
      </c>
      <c r="D222" t="s">
        <v>811</v>
      </c>
      <c r="E222">
        <v>4</v>
      </c>
      <c r="F222" t="s">
        <v>812</v>
      </c>
      <c r="I222" t="s">
        <v>135</v>
      </c>
      <c r="J222">
        <v>7.52</v>
      </c>
      <c r="K222">
        <v>5.37</v>
      </c>
      <c r="L222">
        <f t="shared" si="17"/>
        <v>1.0749999999999997</v>
      </c>
      <c r="M222">
        <f t="shared" si="18"/>
        <v>0.14295212765957444</v>
      </c>
      <c r="N222">
        <v>0.69499999999999995</v>
      </c>
      <c r="O222">
        <v>2.7E-2</v>
      </c>
      <c r="P222">
        <f t="shared" si="16"/>
        <v>0.66799999999999993</v>
      </c>
      <c r="Q222">
        <v>0.20300000000000001</v>
      </c>
      <c r="R222">
        <f t="shared" si="19"/>
        <v>0.30389221556886231</v>
      </c>
    </row>
    <row r="223" spans="1:19" x14ac:dyDescent="0.25">
      <c r="A223">
        <v>446</v>
      </c>
      <c r="B223" t="s">
        <v>1080</v>
      </c>
      <c r="D223" t="s">
        <v>811</v>
      </c>
      <c r="E223">
        <v>5</v>
      </c>
      <c r="F223" t="s">
        <v>812</v>
      </c>
      <c r="I223" t="s">
        <v>135</v>
      </c>
      <c r="J223">
        <v>9.23</v>
      </c>
      <c r="K223">
        <v>6.51</v>
      </c>
      <c r="L223">
        <f t="shared" si="17"/>
        <v>1.3600000000000003</v>
      </c>
      <c r="M223">
        <f t="shared" si="18"/>
        <v>0.14734561213434455</v>
      </c>
      <c r="N223">
        <v>0.69099999999999995</v>
      </c>
      <c r="O223">
        <v>2.7E-2</v>
      </c>
      <c r="P223">
        <f t="shared" si="16"/>
        <v>0.66399999999999992</v>
      </c>
      <c r="Q223">
        <v>0.16300000000000001</v>
      </c>
      <c r="R223">
        <f t="shared" si="19"/>
        <v>0.2454819277108434</v>
      </c>
    </row>
    <row r="224" spans="1:19" x14ac:dyDescent="0.25">
      <c r="A224">
        <v>78</v>
      </c>
      <c r="B224" t="s">
        <v>30</v>
      </c>
      <c r="D224" t="s">
        <v>355</v>
      </c>
      <c r="E224">
        <v>1</v>
      </c>
      <c r="F224" t="s">
        <v>62</v>
      </c>
      <c r="G224" t="s">
        <v>141</v>
      </c>
      <c r="H224" t="s">
        <v>141</v>
      </c>
      <c r="I224" t="s">
        <v>135</v>
      </c>
      <c r="J224">
        <v>9.51</v>
      </c>
      <c r="K224">
        <v>7</v>
      </c>
      <c r="L224">
        <f t="shared" si="17"/>
        <v>1.2549999999999999</v>
      </c>
      <c r="M224">
        <f t="shared" si="18"/>
        <v>0.1319663512092534</v>
      </c>
      <c r="N224">
        <v>0.58799999999999997</v>
      </c>
      <c r="O224">
        <v>0.02</v>
      </c>
      <c r="P224">
        <f t="shared" si="16"/>
        <v>0.56799999999999995</v>
      </c>
      <c r="Q224">
        <v>0.35699999999999998</v>
      </c>
      <c r="R224">
        <f t="shared" si="19"/>
        <v>0.62852112676056338</v>
      </c>
    </row>
    <row r="225" spans="1:19" x14ac:dyDescent="0.25">
      <c r="A225">
        <v>114</v>
      </c>
      <c r="B225" t="s">
        <v>89</v>
      </c>
      <c r="D225" t="s">
        <v>355</v>
      </c>
      <c r="E225">
        <v>2</v>
      </c>
      <c r="F225" t="s">
        <v>381</v>
      </c>
      <c r="G225" t="s">
        <v>141</v>
      </c>
      <c r="H225" t="s">
        <v>141</v>
      </c>
      <c r="I225" t="s">
        <v>134</v>
      </c>
      <c r="J225">
        <v>8.6</v>
      </c>
      <c r="K225">
        <v>5.67</v>
      </c>
      <c r="L225">
        <f t="shared" si="17"/>
        <v>1.4649999999999999</v>
      </c>
      <c r="M225">
        <f t="shared" si="18"/>
        <v>0.17034883720930233</v>
      </c>
      <c r="N225">
        <v>0.35099999999999998</v>
      </c>
      <c r="O225">
        <v>0.03</v>
      </c>
      <c r="P225">
        <f t="shared" si="16"/>
        <v>0.32099999999999995</v>
      </c>
      <c r="Q225">
        <v>0.252</v>
      </c>
      <c r="R225">
        <f t="shared" si="19"/>
        <v>0.7850467289719627</v>
      </c>
    </row>
    <row r="226" spans="1:19" x14ac:dyDescent="0.25">
      <c r="A226">
        <v>11</v>
      </c>
      <c r="B226" t="s">
        <v>75</v>
      </c>
      <c r="D226" t="s">
        <v>355</v>
      </c>
      <c r="E226">
        <v>3</v>
      </c>
      <c r="F226" t="s">
        <v>381</v>
      </c>
      <c r="G226">
        <v>11.96</v>
      </c>
      <c r="H226">
        <v>5.0999999999999996</v>
      </c>
      <c r="I226" t="s">
        <v>134</v>
      </c>
      <c r="J226">
        <v>7.61</v>
      </c>
      <c r="K226">
        <v>6.1</v>
      </c>
      <c r="L226">
        <f t="shared" si="17"/>
        <v>0.75500000000000034</v>
      </c>
      <c r="M226">
        <f t="shared" si="18"/>
        <v>9.9211563731931712E-2</v>
      </c>
      <c r="N226">
        <v>0.2</v>
      </c>
      <c r="O226">
        <v>1.6E-2</v>
      </c>
      <c r="P226">
        <f>(3.14159*((H226/2)^2) * G226)/1000</f>
        <v>0.24432114014100001</v>
      </c>
      <c r="Q226">
        <v>0.14699999999999999</v>
      </c>
      <c r="R226">
        <f t="shared" si="19"/>
        <v>0.60166713332773791</v>
      </c>
    </row>
    <row r="227" spans="1:19" x14ac:dyDescent="0.25">
      <c r="A227">
        <v>13</v>
      </c>
      <c r="B227" t="s">
        <v>85</v>
      </c>
      <c r="D227" t="s">
        <v>355</v>
      </c>
      <c r="E227">
        <v>4</v>
      </c>
      <c r="F227" t="s">
        <v>381</v>
      </c>
      <c r="G227">
        <v>26.4</v>
      </c>
      <c r="H227">
        <v>5.0999999999999996</v>
      </c>
      <c r="I227" t="s">
        <v>134</v>
      </c>
      <c r="J227">
        <v>5.37</v>
      </c>
      <c r="K227">
        <v>3.52</v>
      </c>
      <c r="L227">
        <f t="shared" si="17"/>
        <v>0.92500000000000004</v>
      </c>
      <c r="M227">
        <f t="shared" si="18"/>
        <v>0.17225325884543763</v>
      </c>
      <c r="N227">
        <v>0.495</v>
      </c>
      <c r="O227">
        <v>1.6E-2</v>
      </c>
      <c r="P227">
        <f>(3.14159*((H227/2)^2) * G227)/1000</f>
        <v>0.53930418893999987</v>
      </c>
      <c r="Q227">
        <v>0.38400000000000001</v>
      </c>
      <c r="R227">
        <f t="shared" si="19"/>
        <v>0.7120285877154976</v>
      </c>
    </row>
    <row r="228" spans="1:19" x14ac:dyDescent="0.25">
      <c r="A228">
        <v>68</v>
      </c>
      <c r="B228" t="s">
        <v>1244</v>
      </c>
      <c r="C228" t="s">
        <v>215</v>
      </c>
      <c r="D228" t="s">
        <v>355</v>
      </c>
      <c r="E228">
        <v>5</v>
      </c>
      <c r="F228" t="s">
        <v>62</v>
      </c>
      <c r="G228" t="s">
        <v>141</v>
      </c>
      <c r="H228" t="s">
        <v>141</v>
      </c>
      <c r="I228" t="s">
        <v>135</v>
      </c>
      <c r="J228">
        <v>5.88</v>
      </c>
      <c r="K228">
        <v>4.46</v>
      </c>
      <c r="L228">
        <f t="shared" si="17"/>
        <v>0.71</v>
      </c>
      <c r="M228">
        <f t="shared" si="18"/>
        <v>0.12074829931972789</v>
      </c>
      <c r="N228">
        <v>0.438</v>
      </c>
      <c r="O228">
        <v>0.02</v>
      </c>
      <c r="P228">
        <f t="shared" ref="P228:P238" si="20">N228-O228</f>
        <v>0.41799999999999998</v>
      </c>
      <c r="Q228">
        <v>0.19400000000000001</v>
      </c>
      <c r="R228">
        <f t="shared" si="19"/>
        <v>0.4641148325358852</v>
      </c>
    </row>
    <row r="229" spans="1:19" x14ac:dyDescent="0.25">
      <c r="A229">
        <v>73</v>
      </c>
      <c r="B229" t="s">
        <v>6</v>
      </c>
      <c r="D229" t="s">
        <v>377</v>
      </c>
      <c r="E229">
        <v>1</v>
      </c>
      <c r="F229" t="s">
        <v>331</v>
      </c>
      <c r="G229" t="s">
        <v>141</v>
      </c>
      <c r="H229" t="s">
        <v>141</v>
      </c>
      <c r="I229" t="s">
        <v>135</v>
      </c>
      <c r="J229">
        <v>8.86</v>
      </c>
      <c r="K229">
        <v>7.15</v>
      </c>
      <c r="L229">
        <f t="shared" si="17"/>
        <v>0.85499999999999954</v>
      </c>
      <c r="M229">
        <f t="shared" si="18"/>
        <v>9.650112866817151E-2</v>
      </c>
      <c r="N229">
        <v>0.94199999999999995</v>
      </c>
      <c r="O229">
        <v>0.02</v>
      </c>
      <c r="P229">
        <f t="shared" si="20"/>
        <v>0.92199999999999993</v>
      </c>
      <c r="Q229">
        <v>0.57599999999999996</v>
      </c>
      <c r="R229">
        <f t="shared" si="19"/>
        <v>0.62472885032537961</v>
      </c>
    </row>
    <row r="230" spans="1:19" x14ac:dyDescent="0.25">
      <c r="A230">
        <v>265</v>
      </c>
      <c r="B230" t="s">
        <v>607</v>
      </c>
      <c r="D230" t="s">
        <v>377</v>
      </c>
      <c r="E230">
        <v>2</v>
      </c>
      <c r="F230" t="s">
        <v>331</v>
      </c>
      <c r="G230" t="s">
        <v>141</v>
      </c>
      <c r="H230" t="s">
        <v>141</v>
      </c>
      <c r="I230" t="s">
        <v>135</v>
      </c>
      <c r="J230">
        <v>7.64</v>
      </c>
      <c r="K230">
        <v>6.37</v>
      </c>
      <c r="L230">
        <f t="shared" si="17"/>
        <v>0.63499999999999979</v>
      </c>
      <c r="M230">
        <f t="shared" si="18"/>
        <v>8.3115183246073268E-2</v>
      </c>
      <c r="N230">
        <v>0.93500000000000005</v>
      </c>
      <c r="O230">
        <v>2.1999999999999999E-2</v>
      </c>
      <c r="P230">
        <f t="shared" si="20"/>
        <v>0.91300000000000003</v>
      </c>
      <c r="Q230">
        <v>0.5</v>
      </c>
      <c r="R230">
        <f t="shared" si="19"/>
        <v>0.547645125958379</v>
      </c>
    </row>
    <row r="231" spans="1:19" x14ac:dyDescent="0.25">
      <c r="A231">
        <v>248</v>
      </c>
      <c r="B231" t="s">
        <v>621</v>
      </c>
      <c r="D231" t="s">
        <v>377</v>
      </c>
      <c r="E231">
        <v>3</v>
      </c>
      <c r="F231" t="s">
        <v>331</v>
      </c>
      <c r="G231" t="s">
        <v>141</v>
      </c>
      <c r="H231" t="s">
        <v>141</v>
      </c>
      <c r="I231" t="s">
        <v>135</v>
      </c>
      <c r="J231">
        <v>8.6999999999999993</v>
      </c>
      <c r="K231">
        <v>6.81</v>
      </c>
      <c r="L231">
        <f t="shared" si="17"/>
        <v>0.94499999999999984</v>
      </c>
      <c r="M231">
        <f t="shared" si="18"/>
        <v>0.10862068965517241</v>
      </c>
      <c r="N231">
        <v>1.0880000000000001</v>
      </c>
      <c r="O231">
        <v>2.1999999999999999E-2</v>
      </c>
      <c r="P231">
        <f t="shared" si="20"/>
        <v>1.0660000000000001</v>
      </c>
      <c r="Q231">
        <v>0.64600000000000002</v>
      </c>
      <c r="R231">
        <f t="shared" si="19"/>
        <v>0.60600375234521575</v>
      </c>
    </row>
    <row r="232" spans="1:19" x14ac:dyDescent="0.25">
      <c r="A232">
        <v>230</v>
      </c>
      <c r="B232" t="s">
        <v>619</v>
      </c>
      <c r="D232" t="s">
        <v>377</v>
      </c>
      <c r="E232">
        <v>4</v>
      </c>
      <c r="F232" t="s">
        <v>331</v>
      </c>
      <c r="G232" t="s">
        <v>141</v>
      </c>
      <c r="H232" t="s">
        <v>141</v>
      </c>
      <c r="I232" t="s">
        <v>135</v>
      </c>
      <c r="J232">
        <v>6.25</v>
      </c>
      <c r="K232">
        <v>4.76</v>
      </c>
      <c r="L232">
        <f t="shared" si="17"/>
        <v>0.74500000000000011</v>
      </c>
      <c r="M232">
        <f t="shared" si="18"/>
        <v>0.11920000000000001</v>
      </c>
      <c r="N232">
        <v>0.74</v>
      </c>
      <c r="O232">
        <v>2.1999999999999999E-2</v>
      </c>
      <c r="P232">
        <f t="shared" si="20"/>
        <v>0.71799999999999997</v>
      </c>
      <c r="Q232">
        <v>0.35699999999999998</v>
      </c>
      <c r="R232">
        <f t="shared" si="19"/>
        <v>0.49721448467966572</v>
      </c>
      <c r="S232" t="s">
        <v>551</v>
      </c>
    </row>
    <row r="233" spans="1:19" x14ac:dyDescent="0.25">
      <c r="A233">
        <v>301</v>
      </c>
      <c r="B233" t="s">
        <v>759</v>
      </c>
      <c r="D233" t="s">
        <v>377</v>
      </c>
      <c r="E233">
        <v>5</v>
      </c>
      <c r="F233" t="s">
        <v>331</v>
      </c>
      <c r="G233" t="s">
        <v>141</v>
      </c>
      <c r="H233" t="s">
        <v>141</v>
      </c>
      <c r="I233" t="s">
        <v>135</v>
      </c>
      <c r="J233">
        <v>7.28</v>
      </c>
      <c r="K233">
        <v>5.38</v>
      </c>
      <c r="L233">
        <f t="shared" si="17"/>
        <v>0.95000000000000018</v>
      </c>
      <c r="M233">
        <f t="shared" si="18"/>
        <v>0.1304945054945055</v>
      </c>
      <c r="N233">
        <v>0.50900000000000001</v>
      </c>
      <c r="O233">
        <v>2.1999999999999999E-2</v>
      </c>
      <c r="P233">
        <f t="shared" si="20"/>
        <v>0.48699999999999999</v>
      </c>
      <c r="Q233">
        <v>0.218</v>
      </c>
      <c r="R233">
        <f t="shared" si="19"/>
        <v>0.44763860369609859</v>
      </c>
    </row>
    <row r="234" spans="1:19" x14ac:dyDescent="0.25">
      <c r="A234">
        <v>135</v>
      </c>
      <c r="B234" t="s">
        <v>115</v>
      </c>
      <c r="D234" t="s">
        <v>375</v>
      </c>
      <c r="E234">
        <v>1</v>
      </c>
      <c r="F234" t="s">
        <v>494</v>
      </c>
      <c r="G234" t="s">
        <v>141</v>
      </c>
      <c r="H234" t="s">
        <v>141</v>
      </c>
      <c r="I234" t="s">
        <v>135</v>
      </c>
      <c r="J234">
        <v>9.9499999999999993</v>
      </c>
      <c r="K234">
        <v>7.71</v>
      </c>
      <c r="L234">
        <f t="shared" si="17"/>
        <v>1.1199999999999997</v>
      </c>
      <c r="M234">
        <f t="shared" si="18"/>
        <v>0.11256281407035174</v>
      </c>
      <c r="N234">
        <v>1.155</v>
      </c>
      <c r="O234">
        <v>0.03</v>
      </c>
      <c r="P234">
        <f t="shared" si="20"/>
        <v>1.125</v>
      </c>
      <c r="Q234">
        <v>0.65200000000000002</v>
      </c>
      <c r="R234">
        <f t="shared" si="19"/>
        <v>0.5795555555555556</v>
      </c>
    </row>
    <row r="235" spans="1:19" x14ac:dyDescent="0.25">
      <c r="A235">
        <v>124</v>
      </c>
      <c r="B235" t="s">
        <v>90</v>
      </c>
      <c r="D235" t="s">
        <v>375</v>
      </c>
      <c r="E235">
        <v>2</v>
      </c>
      <c r="F235" t="s">
        <v>494</v>
      </c>
      <c r="G235" t="s">
        <v>141</v>
      </c>
      <c r="H235" t="s">
        <v>141</v>
      </c>
      <c r="I235" t="s">
        <v>135</v>
      </c>
      <c r="J235">
        <v>9.31</v>
      </c>
      <c r="K235">
        <v>6.32</v>
      </c>
      <c r="L235">
        <f t="shared" si="17"/>
        <v>1.4950000000000001</v>
      </c>
      <c r="M235">
        <f t="shared" si="18"/>
        <v>0.16058002148227712</v>
      </c>
      <c r="N235">
        <v>0.94199999999999995</v>
      </c>
      <c r="O235">
        <v>0.03</v>
      </c>
      <c r="P235">
        <f t="shared" si="20"/>
        <v>0.91199999999999992</v>
      </c>
      <c r="Q235">
        <v>0.64100000000000001</v>
      </c>
      <c r="R235">
        <f t="shared" si="19"/>
        <v>0.70285087719298256</v>
      </c>
    </row>
    <row r="236" spans="1:19" x14ac:dyDescent="0.25">
      <c r="A236">
        <v>38</v>
      </c>
      <c r="B236" t="s">
        <v>1245</v>
      </c>
      <c r="C236" t="s">
        <v>277</v>
      </c>
      <c r="D236" t="s">
        <v>375</v>
      </c>
      <c r="E236">
        <v>3</v>
      </c>
      <c r="F236" t="s">
        <v>494</v>
      </c>
      <c r="G236" t="s">
        <v>141</v>
      </c>
      <c r="H236" t="s">
        <v>141</v>
      </c>
      <c r="I236" t="s">
        <v>135</v>
      </c>
      <c r="J236">
        <v>10.26</v>
      </c>
      <c r="K236">
        <v>8.35</v>
      </c>
      <c r="L236">
        <f t="shared" si="17"/>
        <v>0.95500000000000007</v>
      </c>
      <c r="M236">
        <f t="shared" si="18"/>
        <v>9.3079922027290457E-2</v>
      </c>
      <c r="N236">
        <v>1.1499999999999999</v>
      </c>
      <c r="O236">
        <v>0.02</v>
      </c>
      <c r="P236">
        <f t="shared" si="20"/>
        <v>1.1299999999999999</v>
      </c>
      <c r="Q236">
        <v>0.52900000000000003</v>
      </c>
      <c r="R236">
        <f t="shared" si="19"/>
        <v>0.46814159292035407</v>
      </c>
    </row>
    <row r="237" spans="1:19" x14ac:dyDescent="0.25">
      <c r="A237">
        <v>148</v>
      </c>
      <c r="B237" t="s">
        <v>539</v>
      </c>
      <c r="D237" t="s">
        <v>375</v>
      </c>
      <c r="E237">
        <v>4</v>
      </c>
      <c r="F237" t="s">
        <v>494</v>
      </c>
      <c r="G237" t="s">
        <v>141</v>
      </c>
      <c r="H237" t="s">
        <v>141</v>
      </c>
      <c r="I237" t="s">
        <v>135</v>
      </c>
      <c r="J237">
        <v>9</v>
      </c>
      <c r="K237">
        <v>6.93</v>
      </c>
      <c r="L237">
        <f t="shared" si="17"/>
        <v>1.0350000000000001</v>
      </c>
      <c r="M237">
        <f t="shared" si="18"/>
        <v>0.11500000000000002</v>
      </c>
      <c r="N237">
        <v>0.61199999999999999</v>
      </c>
      <c r="O237">
        <v>2.5999999999999999E-2</v>
      </c>
      <c r="P237">
        <f t="shared" si="20"/>
        <v>0.58599999999999997</v>
      </c>
      <c r="Q237">
        <v>0.45100000000000001</v>
      </c>
      <c r="R237">
        <f t="shared" si="19"/>
        <v>0.7696245733788396</v>
      </c>
    </row>
    <row r="238" spans="1:19" x14ac:dyDescent="0.25">
      <c r="A238">
        <v>156</v>
      </c>
      <c r="B238" t="s">
        <v>532</v>
      </c>
      <c r="D238" t="s">
        <v>375</v>
      </c>
      <c r="E238">
        <v>5</v>
      </c>
      <c r="F238" t="s">
        <v>494</v>
      </c>
      <c r="G238" t="s">
        <v>141</v>
      </c>
      <c r="H238" t="s">
        <v>141</v>
      </c>
      <c r="I238" t="s">
        <v>135</v>
      </c>
      <c r="J238">
        <v>6.89</v>
      </c>
      <c r="K238">
        <v>4.87</v>
      </c>
      <c r="L238">
        <f t="shared" si="17"/>
        <v>1.0099999999999998</v>
      </c>
      <c r="M238">
        <f t="shared" si="18"/>
        <v>0.14658925979680695</v>
      </c>
      <c r="N238">
        <v>0.99</v>
      </c>
      <c r="O238">
        <v>2.5999999999999999E-2</v>
      </c>
      <c r="P238">
        <f t="shared" si="20"/>
        <v>0.96399999999999997</v>
      </c>
      <c r="Q238">
        <v>0.61199999999999999</v>
      </c>
      <c r="R238">
        <f t="shared" si="19"/>
        <v>0.63485477178423233</v>
      </c>
    </row>
    <row r="239" spans="1:19" x14ac:dyDescent="0.25">
      <c r="A239">
        <v>1</v>
      </c>
      <c r="B239" t="s">
        <v>25</v>
      </c>
      <c r="D239" t="s">
        <v>352</v>
      </c>
      <c r="E239">
        <v>1</v>
      </c>
      <c r="F239" t="s">
        <v>332</v>
      </c>
      <c r="G239">
        <v>8.6199999999999992</v>
      </c>
      <c r="H239">
        <v>5.0999999999999996</v>
      </c>
      <c r="I239" t="s">
        <v>134</v>
      </c>
      <c r="J239">
        <v>6.27</v>
      </c>
      <c r="K239">
        <v>4.51</v>
      </c>
      <c r="L239">
        <f t="shared" si="17"/>
        <v>0.87999999999999989</v>
      </c>
      <c r="M239">
        <f t="shared" si="18"/>
        <v>0.14035087719298245</v>
      </c>
      <c r="O239">
        <v>1.6E-2</v>
      </c>
      <c r="P239">
        <f>(3.14159*((H239/2)*2) * G239)/1000</f>
        <v>0.13811057957999995</v>
      </c>
      <c r="Q239">
        <v>8.4000000000000005E-2</v>
      </c>
      <c r="R239">
        <f t="shared" si="19"/>
        <v>0.60820829407455623</v>
      </c>
    </row>
    <row r="240" spans="1:19" x14ac:dyDescent="0.25">
      <c r="A240">
        <v>368</v>
      </c>
      <c r="B240" t="s">
        <v>894</v>
      </c>
      <c r="D240" t="s">
        <v>352</v>
      </c>
      <c r="E240">
        <v>2</v>
      </c>
      <c r="F240" t="s">
        <v>332</v>
      </c>
      <c r="G240" t="s">
        <v>141</v>
      </c>
      <c r="H240" t="s">
        <v>141</v>
      </c>
      <c r="I240" t="s">
        <v>135</v>
      </c>
      <c r="J240">
        <v>7.79</v>
      </c>
      <c r="K240">
        <v>5.98</v>
      </c>
      <c r="L240">
        <f t="shared" si="17"/>
        <v>0.9049999999999998</v>
      </c>
      <c r="M240">
        <f t="shared" si="18"/>
        <v>0.11617458279845953</v>
      </c>
      <c r="N240">
        <v>0.48799999999999999</v>
      </c>
      <c r="O240">
        <v>2.1999999999999999E-2</v>
      </c>
      <c r="P240">
        <f t="shared" ref="P240:P247" si="21">N240-O240</f>
        <v>0.46599999999999997</v>
      </c>
      <c r="Q240">
        <v>0.33700000000000002</v>
      </c>
      <c r="R240">
        <f t="shared" si="19"/>
        <v>0.72317596566523612</v>
      </c>
    </row>
    <row r="241" spans="1:19" x14ac:dyDescent="0.25">
      <c r="A241">
        <v>416</v>
      </c>
      <c r="B241" t="s">
        <v>983</v>
      </c>
      <c r="D241" t="s">
        <v>352</v>
      </c>
      <c r="E241">
        <v>4</v>
      </c>
      <c r="F241" t="s">
        <v>332</v>
      </c>
      <c r="G241" t="s">
        <v>141</v>
      </c>
      <c r="H241" t="s">
        <v>141</v>
      </c>
      <c r="I241" t="s">
        <v>135</v>
      </c>
      <c r="J241">
        <v>7.13</v>
      </c>
      <c r="K241">
        <v>5.52</v>
      </c>
      <c r="L241">
        <f t="shared" si="17"/>
        <v>0.80500000000000016</v>
      </c>
      <c r="M241">
        <f t="shared" si="18"/>
        <v>0.11290322580645164</v>
      </c>
      <c r="N241">
        <v>0.495</v>
      </c>
      <c r="O241">
        <v>2.1999999999999999E-2</v>
      </c>
      <c r="P241">
        <f t="shared" si="21"/>
        <v>0.47299999999999998</v>
      </c>
      <c r="Q241">
        <v>0.30499999999999999</v>
      </c>
      <c r="R241">
        <f t="shared" si="19"/>
        <v>0.64482029598308666</v>
      </c>
    </row>
    <row r="242" spans="1:19" x14ac:dyDescent="0.25">
      <c r="A242">
        <v>470</v>
      </c>
      <c r="B242" t="s">
        <v>1081</v>
      </c>
      <c r="D242" t="s">
        <v>352</v>
      </c>
      <c r="E242">
        <v>5</v>
      </c>
      <c r="F242" t="s">
        <v>332</v>
      </c>
      <c r="I242" t="s">
        <v>135</v>
      </c>
      <c r="J242">
        <v>6.62</v>
      </c>
      <c r="K242">
        <v>4.8600000000000003</v>
      </c>
      <c r="L242">
        <f t="shared" si="17"/>
        <v>0.87999999999999989</v>
      </c>
      <c r="M242">
        <f t="shared" si="18"/>
        <v>0.13293051359516614</v>
      </c>
      <c r="N242">
        <v>0.75800000000000001</v>
      </c>
      <c r="O242">
        <v>2.7E-2</v>
      </c>
      <c r="P242">
        <f t="shared" si="21"/>
        <v>0.73099999999999998</v>
      </c>
      <c r="Q242">
        <v>0.57999999999999996</v>
      </c>
      <c r="R242">
        <f t="shared" si="19"/>
        <v>0.79343365253077969</v>
      </c>
    </row>
    <row r="243" spans="1:19" x14ac:dyDescent="0.25">
      <c r="A243">
        <v>61</v>
      </c>
      <c r="B243" t="s">
        <v>1246</v>
      </c>
      <c r="C243" t="s">
        <v>242</v>
      </c>
      <c r="D243" t="s">
        <v>388</v>
      </c>
      <c r="E243">
        <v>1</v>
      </c>
      <c r="F243" t="s">
        <v>323</v>
      </c>
      <c r="G243" t="s">
        <v>141</v>
      </c>
      <c r="H243" t="s">
        <v>141</v>
      </c>
      <c r="I243" t="s">
        <v>135</v>
      </c>
      <c r="J243">
        <v>11.81</v>
      </c>
      <c r="K243">
        <v>9.52</v>
      </c>
      <c r="L243">
        <f t="shared" si="17"/>
        <v>1.1450000000000005</v>
      </c>
      <c r="M243">
        <f t="shared" si="18"/>
        <v>9.6951735817104187E-2</v>
      </c>
      <c r="N243">
        <v>1.3420000000000001</v>
      </c>
      <c r="O243">
        <v>0.02</v>
      </c>
      <c r="P243">
        <f t="shared" si="21"/>
        <v>1.3220000000000001</v>
      </c>
      <c r="Q243">
        <v>0.86199999999999999</v>
      </c>
      <c r="R243">
        <f t="shared" si="19"/>
        <v>0.6520423600605143</v>
      </c>
    </row>
    <row r="244" spans="1:19" x14ac:dyDescent="0.25">
      <c r="A244">
        <v>60</v>
      </c>
      <c r="B244" t="s">
        <v>1247</v>
      </c>
      <c r="C244" t="s">
        <v>245</v>
      </c>
      <c r="D244" t="s">
        <v>388</v>
      </c>
      <c r="E244">
        <v>2</v>
      </c>
      <c r="F244" t="s">
        <v>323</v>
      </c>
      <c r="G244" t="s">
        <v>141</v>
      </c>
      <c r="H244" t="s">
        <v>141</v>
      </c>
      <c r="I244" t="s">
        <v>135</v>
      </c>
      <c r="J244">
        <v>10.74</v>
      </c>
      <c r="K244">
        <v>7.05</v>
      </c>
      <c r="L244">
        <f t="shared" si="17"/>
        <v>1.8450000000000002</v>
      </c>
      <c r="M244">
        <f t="shared" si="18"/>
        <v>0.17178770949720673</v>
      </c>
      <c r="N244">
        <v>1.024</v>
      </c>
      <c r="O244">
        <v>0.02</v>
      </c>
      <c r="P244">
        <f t="shared" si="21"/>
        <v>1.004</v>
      </c>
      <c r="Q244">
        <v>0.63200000000000001</v>
      </c>
      <c r="R244">
        <f t="shared" si="19"/>
        <v>0.62948207171314741</v>
      </c>
    </row>
    <row r="245" spans="1:19" x14ac:dyDescent="0.25">
      <c r="A245">
        <v>40</v>
      </c>
      <c r="B245" t="s">
        <v>283</v>
      </c>
      <c r="D245" t="s">
        <v>388</v>
      </c>
      <c r="E245">
        <v>3</v>
      </c>
      <c r="F245" t="s">
        <v>323</v>
      </c>
      <c r="G245" t="s">
        <v>141</v>
      </c>
      <c r="H245" t="s">
        <v>141</v>
      </c>
      <c r="I245" t="s">
        <v>135</v>
      </c>
      <c r="J245">
        <v>9.83</v>
      </c>
      <c r="K245">
        <v>7.28</v>
      </c>
      <c r="L245">
        <f t="shared" si="17"/>
        <v>1.2749999999999999</v>
      </c>
      <c r="M245">
        <f t="shared" si="18"/>
        <v>0.12970498474059003</v>
      </c>
      <c r="N245">
        <v>0.58599999999999997</v>
      </c>
      <c r="O245">
        <v>0.02</v>
      </c>
      <c r="P245">
        <f t="shared" si="21"/>
        <v>0.56599999999999995</v>
      </c>
      <c r="Q245">
        <v>0.372</v>
      </c>
      <c r="R245">
        <f t="shared" si="19"/>
        <v>0.65724381625441697</v>
      </c>
    </row>
    <row r="246" spans="1:19" x14ac:dyDescent="0.25">
      <c r="A246">
        <v>215</v>
      </c>
      <c r="B246" t="s">
        <v>421</v>
      </c>
      <c r="D246" t="s">
        <v>388</v>
      </c>
      <c r="E246">
        <v>4</v>
      </c>
      <c r="F246" t="s">
        <v>243</v>
      </c>
      <c r="G246" t="s">
        <v>141</v>
      </c>
      <c r="H246" t="s">
        <v>141</v>
      </c>
      <c r="I246" t="s">
        <v>135</v>
      </c>
      <c r="J246">
        <v>9.08</v>
      </c>
      <c r="K246">
        <v>6.5</v>
      </c>
      <c r="L246">
        <f t="shared" si="17"/>
        <v>1.29</v>
      </c>
      <c r="M246">
        <f t="shared" si="18"/>
        <v>0.14207048458149779</v>
      </c>
      <c r="N246">
        <v>0.85399999999999998</v>
      </c>
      <c r="O246">
        <v>2.5999999999999999E-2</v>
      </c>
      <c r="P246">
        <f t="shared" si="21"/>
        <v>0.82799999999999996</v>
      </c>
      <c r="Q246">
        <v>0.51700000000000002</v>
      </c>
      <c r="R246">
        <f t="shared" si="19"/>
        <v>0.62439613526570048</v>
      </c>
      <c r="S246" t="s">
        <v>551</v>
      </c>
    </row>
    <row r="247" spans="1:19" x14ac:dyDescent="0.25">
      <c r="A247">
        <v>175</v>
      </c>
      <c r="B247" t="s">
        <v>514</v>
      </c>
      <c r="D247" t="s">
        <v>388</v>
      </c>
      <c r="E247">
        <v>5</v>
      </c>
      <c r="F247" t="s">
        <v>243</v>
      </c>
      <c r="G247" t="s">
        <v>141</v>
      </c>
      <c r="H247" t="s">
        <v>141</v>
      </c>
      <c r="I247" t="s">
        <v>135</v>
      </c>
      <c r="J247">
        <v>5.96</v>
      </c>
      <c r="K247">
        <v>4.74</v>
      </c>
      <c r="L247">
        <f t="shared" si="17"/>
        <v>0.60999999999999988</v>
      </c>
      <c r="M247">
        <f t="shared" si="18"/>
        <v>0.10234899328859058</v>
      </c>
      <c r="N247">
        <v>0.98499999999999999</v>
      </c>
      <c r="O247">
        <v>2.5999999999999999E-2</v>
      </c>
      <c r="P247">
        <f t="shared" si="21"/>
        <v>0.95899999999999996</v>
      </c>
      <c r="Q247">
        <v>0.62</v>
      </c>
      <c r="R247">
        <f t="shared" si="19"/>
        <v>0.6465067778936392</v>
      </c>
    </row>
    <row r="248" spans="1:19" x14ac:dyDescent="0.25">
      <c r="A248">
        <v>12</v>
      </c>
      <c r="B248" t="s">
        <v>87</v>
      </c>
      <c r="D248" t="s">
        <v>367</v>
      </c>
      <c r="E248">
        <v>1</v>
      </c>
      <c r="F248" t="s">
        <v>266</v>
      </c>
      <c r="G248">
        <v>11.67</v>
      </c>
      <c r="H248">
        <v>5.15</v>
      </c>
      <c r="I248" t="s">
        <v>134</v>
      </c>
      <c r="J248">
        <v>4.75</v>
      </c>
      <c r="K248">
        <v>3.59</v>
      </c>
      <c r="L248">
        <f t="shared" si="17"/>
        <v>0.58000000000000007</v>
      </c>
      <c r="M248">
        <f t="shared" si="18"/>
        <v>0.12210526315789476</v>
      </c>
      <c r="N248">
        <v>0.17499999999999999</v>
      </c>
      <c r="O248">
        <v>1.6E-2</v>
      </c>
      <c r="P248">
        <f>(3.14159*((H248/2)^2) * G248)/1000</f>
        <v>0.24309432961106253</v>
      </c>
      <c r="Q248">
        <v>0.13700000000000001</v>
      </c>
      <c r="R248">
        <f t="shared" si="19"/>
        <v>0.56356723836048506</v>
      </c>
    </row>
    <row r="249" spans="1:19" x14ac:dyDescent="0.25">
      <c r="A249">
        <v>34</v>
      </c>
      <c r="B249" t="s">
        <v>1216</v>
      </c>
      <c r="C249" t="s">
        <v>265</v>
      </c>
      <c r="D249" t="s">
        <v>367</v>
      </c>
      <c r="E249">
        <v>2</v>
      </c>
      <c r="F249" t="s">
        <v>266</v>
      </c>
      <c r="G249" t="s">
        <v>141</v>
      </c>
      <c r="H249" t="s">
        <v>141</v>
      </c>
      <c r="I249" t="s">
        <v>135</v>
      </c>
      <c r="J249">
        <v>9.66</v>
      </c>
      <c r="K249">
        <v>7.4</v>
      </c>
      <c r="L249">
        <f t="shared" si="17"/>
        <v>1.1299999999999999</v>
      </c>
      <c r="M249">
        <f t="shared" si="18"/>
        <v>0.11697722567287784</v>
      </c>
      <c r="N249">
        <v>1.532</v>
      </c>
      <c r="O249">
        <v>0.02</v>
      </c>
      <c r="P249">
        <f>N249-O249</f>
        <v>1.512</v>
      </c>
      <c r="Q249">
        <v>0.76500000000000001</v>
      </c>
      <c r="R249">
        <f t="shared" si="19"/>
        <v>0.50595238095238093</v>
      </c>
    </row>
    <row r="250" spans="1:19" x14ac:dyDescent="0.25">
      <c r="A250">
        <v>21</v>
      </c>
      <c r="B250" t="s">
        <v>1217</v>
      </c>
      <c r="C250" t="s">
        <v>302</v>
      </c>
      <c r="D250" t="s">
        <v>367</v>
      </c>
      <c r="E250">
        <v>3</v>
      </c>
      <c r="F250" t="s">
        <v>266</v>
      </c>
      <c r="G250" t="s">
        <v>141</v>
      </c>
      <c r="H250" t="s">
        <v>141</v>
      </c>
      <c r="I250" t="s">
        <v>135</v>
      </c>
      <c r="J250">
        <v>11.93</v>
      </c>
      <c r="K250">
        <v>8.6199999999999992</v>
      </c>
      <c r="L250">
        <f t="shared" si="17"/>
        <v>1.6550000000000002</v>
      </c>
      <c r="M250">
        <f t="shared" si="18"/>
        <v>0.13872590108968988</v>
      </c>
      <c r="N250">
        <v>1.68</v>
      </c>
      <c r="O250">
        <v>0.02</v>
      </c>
      <c r="P250">
        <f>N250-O250</f>
        <v>1.66</v>
      </c>
      <c r="Q250">
        <v>0.86</v>
      </c>
      <c r="R250">
        <f t="shared" si="19"/>
        <v>0.51807228915662651</v>
      </c>
    </row>
    <row r="251" spans="1:19" x14ac:dyDescent="0.25">
      <c r="A251">
        <v>224</v>
      </c>
      <c r="B251" t="s">
        <v>302</v>
      </c>
      <c r="D251" t="s">
        <v>367</v>
      </c>
      <c r="E251">
        <v>4</v>
      </c>
      <c r="F251" t="s">
        <v>266</v>
      </c>
      <c r="G251" t="s">
        <v>141</v>
      </c>
      <c r="H251" t="s">
        <v>141</v>
      </c>
      <c r="I251" t="s">
        <v>135</v>
      </c>
      <c r="J251">
        <v>5.97</v>
      </c>
      <c r="K251">
        <v>4.17</v>
      </c>
      <c r="L251">
        <f t="shared" si="17"/>
        <v>0.89999999999999991</v>
      </c>
      <c r="M251">
        <f t="shared" si="18"/>
        <v>0.15075376884422109</v>
      </c>
      <c r="N251">
        <v>0.49099999999999999</v>
      </c>
      <c r="O251">
        <v>2.5999999999999999E-2</v>
      </c>
      <c r="P251">
        <f>N251-O251</f>
        <v>0.46499999999999997</v>
      </c>
      <c r="Q251">
        <v>0.27800000000000002</v>
      </c>
      <c r="R251">
        <f t="shared" si="19"/>
        <v>0.59784946236559144</v>
      </c>
      <c r="S251" t="s">
        <v>551</v>
      </c>
    </row>
    <row r="252" spans="1:19" x14ac:dyDescent="0.25">
      <c r="A252">
        <v>193</v>
      </c>
      <c r="B252" t="s">
        <v>451</v>
      </c>
      <c r="C252" t="s">
        <v>451</v>
      </c>
      <c r="D252" t="s">
        <v>367</v>
      </c>
      <c r="E252">
        <v>5</v>
      </c>
      <c r="F252" t="s">
        <v>266</v>
      </c>
      <c r="G252" t="s">
        <v>141</v>
      </c>
      <c r="H252" t="s">
        <v>141</v>
      </c>
      <c r="I252" t="s">
        <v>135</v>
      </c>
      <c r="J252">
        <v>5.3</v>
      </c>
      <c r="K252">
        <v>3.65</v>
      </c>
      <c r="L252">
        <f t="shared" si="17"/>
        <v>0.82499999999999996</v>
      </c>
      <c r="M252">
        <f t="shared" si="18"/>
        <v>0.15566037735849056</v>
      </c>
      <c r="N252">
        <v>0.315</v>
      </c>
      <c r="O252">
        <v>2.5999999999999999E-2</v>
      </c>
      <c r="P252">
        <f>N252-O252</f>
        <v>0.28899999999999998</v>
      </c>
      <c r="Q252">
        <v>0.20799999999999999</v>
      </c>
      <c r="R252">
        <f t="shared" si="19"/>
        <v>0.7197231833910035</v>
      </c>
      <c r="S252" t="s">
        <v>551</v>
      </c>
    </row>
    <row r="253" spans="1:19" x14ac:dyDescent="0.25">
      <c r="A253">
        <v>5</v>
      </c>
      <c r="B253" t="s">
        <v>1218</v>
      </c>
      <c r="C253" t="s">
        <v>70</v>
      </c>
      <c r="D253" t="s">
        <v>367</v>
      </c>
      <c r="E253">
        <v>6</v>
      </c>
      <c r="F253" t="s">
        <v>71</v>
      </c>
      <c r="G253">
        <v>12</v>
      </c>
      <c r="H253">
        <v>5.0999999999999996</v>
      </c>
      <c r="I253" t="s">
        <v>134</v>
      </c>
      <c r="J253">
        <v>5.55</v>
      </c>
      <c r="K253">
        <v>3.55</v>
      </c>
      <c r="L253">
        <f t="shared" si="17"/>
        <v>1</v>
      </c>
      <c r="M253">
        <f t="shared" si="18"/>
        <v>0.1801801801801802</v>
      </c>
      <c r="O253">
        <v>1.6E-2</v>
      </c>
      <c r="P253">
        <f>(3.14159*((H253/2)*2) * G253)/1000</f>
        <v>0.19226530799999994</v>
      </c>
      <c r="Q253">
        <v>9.5000000000000001E-2</v>
      </c>
      <c r="R253">
        <f t="shared" si="19"/>
        <v>0.49410890081116471</v>
      </c>
    </row>
    <row r="254" spans="1:19" x14ac:dyDescent="0.25">
      <c r="A254">
        <v>25</v>
      </c>
      <c r="B254" t="s">
        <v>296</v>
      </c>
      <c r="D254" t="s">
        <v>397</v>
      </c>
      <c r="E254">
        <v>1</v>
      </c>
      <c r="F254" t="s">
        <v>293</v>
      </c>
      <c r="G254" t="s">
        <v>141</v>
      </c>
      <c r="H254" t="s">
        <v>141</v>
      </c>
      <c r="I254" t="s">
        <v>135</v>
      </c>
      <c r="J254">
        <v>8.18</v>
      </c>
      <c r="K254">
        <v>3.66</v>
      </c>
      <c r="L254">
        <f t="shared" si="17"/>
        <v>2.2599999999999998</v>
      </c>
      <c r="M254">
        <f t="shared" si="18"/>
        <v>0.27628361858190709</v>
      </c>
      <c r="N254">
        <v>0.41599999999999998</v>
      </c>
      <c r="O254">
        <v>0.02</v>
      </c>
      <c r="P254">
        <f t="shared" ref="P254:P281" si="22">N254-O254</f>
        <v>0.39599999999999996</v>
      </c>
      <c r="Q254">
        <v>0.21299999999999999</v>
      </c>
      <c r="R254">
        <f t="shared" si="19"/>
        <v>0.53787878787878796</v>
      </c>
    </row>
    <row r="255" spans="1:19" x14ac:dyDescent="0.25">
      <c r="A255">
        <v>30</v>
      </c>
      <c r="B255" t="s">
        <v>292</v>
      </c>
      <c r="D255" t="s">
        <v>397</v>
      </c>
      <c r="E255">
        <v>2</v>
      </c>
      <c r="F255" t="s">
        <v>293</v>
      </c>
      <c r="G255" t="s">
        <v>141</v>
      </c>
      <c r="H255" t="s">
        <v>141</v>
      </c>
      <c r="I255" t="s">
        <v>135</v>
      </c>
      <c r="J255">
        <v>7.55</v>
      </c>
      <c r="K255">
        <v>5.43</v>
      </c>
      <c r="L255">
        <f t="shared" si="17"/>
        <v>1.06</v>
      </c>
      <c r="M255">
        <f t="shared" si="18"/>
        <v>0.1403973509933775</v>
      </c>
      <c r="N255">
        <v>0.63100000000000001</v>
      </c>
      <c r="O255">
        <v>0.02</v>
      </c>
      <c r="P255">
        <f t="shared" si="22"/>
        <v>0.61099999999999999</v>
      </c>
      <c r="Q255">
        <v>0.33400000000000002</v>
      </c>
      <c r="R255">
        <f t="shared" si="19"/>
        <v>0.54664484451718498</v>
      </c>
    </row>
    <row r="256" spans="1:19" x14ac:dyDescent="0.25">
      <c r="A256">
        <v>26</v>
      </c>
      <c r="B256" t="s">
        <v>294</v>
      </c>
      <c r="D256" t="s">
        <v>397</v>
      </c>
      <c r="E256">
        <v>3</v>
      </c>
      <c r="F256" t="s">
        <v>293</v>
      </c>
      <c r="G256" t="s">
        <v>141</v>
      </c>
      <c r="H256" t="s">
        <v>141</v>
      </c>
      <c r="I256" t="s">
        <v>135</v>
      </c>
      <c r="J256">
        <v>12.06</v>
      </c>
      <c r="K256">
        <v>8.14</v>
      </c>
      <c r="L256">
        <f t="shared" si="17"/>
        <v>1.96</v>
      </c>
      <c r="M256">
        <f t="shared" si="18"/>
        <v>0.16252072968490877</v>
      </c>
      <c r="N256">
        <v>0.79500000000000004</v>
      </c>
      <c r="O256">
        <v>0.02</v>
      </c>
      <c r="P256">
        <f t="shared" si="22"/>
        <v>0.77500000000000002</v>
      </c>
      <c r="Q256">
        <v>0.38500000000000001</v>
      </c>
      <c r="R256">
        <f t="shared" si="19"/>
        <v>0.49677419354838709</v>
      </c>
    </row>
    <row r="257" spans="1:19" x14ac:dyDescent="0.25">
      <c r="A257">
        <v>55</v>
      </c>
      <c r="B257" t="s">
        <v>311</v>
      </c>
      <c r="D257" t="s">
        <v>397</v>
      </c>
      <c r="E257">
        <v>4</v>
      </c>
      <c r="F257" t="s">
        <v>293</v>
      </c>
      <c r="G257" t="s">
        <v>141</v>
      </c>
      <c r="H257" t="s">
        <v>141</v>
      </c>
      <c r="I257" t="s">
        <v>135</v>
      </c>
      <c r="J257">
        <v>12.44</v>
      </c>
      <c r="K257">
        <v>8.08</v>
      </c>
      <c r="L257">
        <f t="shared" si="17"/>
        <v>2.1799999999999997</v>
      </c>
      <c r="M257">
        <f t="shared" si="18"/>
        <v>0.17524115755627009</v>
      </c>
      <c r="N257">
        <v>0.57499999999999996</v>
      </c>
      <c r="O257">
        <v>0.02</v>
      </c>
      <c r="P257">
        <f t="shared" si="22"/>
        <v>0.55499999999999994</v>
      </c>
      <c r="Q257">
        <v>0.27800000000000002</v>
      </c>
      <c r="R257">
        <f t="shared" si="19"/>
        <v>0.500900900900901</v>
      </c>
    </row>
    <row r="258" spans="1:19" x14ac:dyDescent="0.25">
      <c r="A258">
        <v>163</v>
      </c>
      <c r="B258" t="s">
        <v>530</v>
      </c>
      <c r="D258" t="s">
        <v>397</v>
      </c>
      <c r="E258">
        <v>5</v>
      </c>
      <c r="F258" t="s">
        <v>293</v>
      </c>
      <c r="G258" t="s">
        <v>141</v>
      </c>
      <c r="H258" t="s">
        <v>141</v>
      </c>
      <c r="I258" t="s">
        <v>135</v>
      </c>
      <c r="J258">
        <v>11.8</v>
      </c>
      <c r="K258">
        <v>5.95</v>
      </c>
      <c r="L258">
        <f t="shared" ref="L258:L321" si="23">(J258-K258)/2</f>
        <v>2.9250000000000003</v>
      </c>
      <c r="M258">
        <f t="shared" ref="M258:M321" si="24">L258/J258</f>
        <v>0.2478813559322034</v>
      </c>
      <c r="N258">
        <v>0.40600000000000003</v>
      </c>
      <c r="O258">
        <v>2.5999999999999999E-2</v>
      </c>
      <c r="P258">
        <f t="shared" si="22"/>
        <v>0.38</v>
      </c>
      <c r="Q258">
        <v>0.19700000000000001</v>
      </c>
      <c r="R258">
        <f t="shared" ref="R258:R321" si="25">Q258/P258</f>
        <v>0.518421052631579</v>
      </c>
    </row>
    <row r="259" spans="1:19" x14ac:dyDescent="0.25">
      <c r="A259">
        <v>27</v>
      </c>
      <c r="B259" t="s">
        <v>289</v>
      </c>
      <c r="D259" t="s">
        <v>396</v>
      </c>
      <c r="E259">
        <v>1</v>
      </c>
      <c r="F259" t="s">
        <v>290</v>
      </c>
      <c r="G259" t="s">
        <v>141</v>
      </c>
      <c r="H259" t="s">
        <v>141</v>
      </c>
      <c r="I259" t="s">
        <v>135</v>
      </c>
      <c r="J259">
        <v>10.3</v>
      </c>
      <c r="K259">
        <v>9.09</v>
      </c>
      <c r="L259">
        <f t="shared" si="23"/>
        <v>0.60500000000000043</v>
      </c>
      <c r="M259">
        <f t="shared" si="24"/>
        <v>5.8737864077669941E-2</v>
      </c>
      <c r="N259">
        <v>1.649</v>
      </c>
      <c r="O259">
        <v>0.02</v>
      </c>
      <c r="P259">
        <f t="shared" si="22"/>
        <v>1.629</v>
      </c>
      <c r="Q259">
        <v>0.94499999999999995</v>
      </c>
      <c r="R259">
        <f t="shared" si="25"/>
        <v>0.58011049723756902</v>
      </c>
    </row>
    <row r="260" spans="1:19" x14ac:dyDescent="0.25">
      <c r="A260">
        <v>20</v>
      </c>
      <c r="B260" t="s">
        <v>301</v>
      </c>
      <c r="D260" t="s">
        <v>396</v>
      </c>
      <c r="E260">
        <v>2</v>
      </c>
      <c r="F260" t="s">
        <v>290</v>
      </c>
      <c r="G260" t="s">
        <v>141</v>
      </c>
      <c r="H260" t="s">
        <v>141</v>
      </c>
      <c r="I260" t="s">
        <v>135</v>
      </c>
      <c r="J260">
        <v>7.39</v>
      </c>
      <c r="K260">
        <v>6.33</v>
      </c>
      <c r="L260">
        <f t="shared" si="23"/>
        <v>0.5299999999999998</v>
      </c>
      <c r="M260">
        <f t="shared" si="24"/>
        <v>7.1718538565629208E-2</v>
      </c>
      <c r="N260">
        <v>0.96099999999999997</v>
      </c>
      <c r="O260">
        <v>0.02</v>
      </c>
      <c r="P260">
        <f t="shared" si="22"/>
        <v>0.94099999999999995</v>
      </c>
      <c r="Q260">
        <v>0.69899999999999995</v>
      </c>
      <c r="R260">
        <f t="shared" si="25"/>
        <v>0.74282678002125402</v>
      </c>
    </row>
    <row r="261" spans="1:19" x14ac:dyDescent="0.25">
      <c r="A261">
        <v>191</v>
      </c>
      <c r="B261" t="s">
        <v>452</v>
      </c>
      <c r="D261" t="s">
        <v>396</v>
      </c>
      <c r="E261">
        <v>3</v>
      </c>
      <c r="F261" t="s">
        <v>290</v>
      </c>
      <c r="G261" t="s">
        <v>141</v>
      </c>
      <c r="H261" t="s">
        <v>141</v>
      </c>
      <c r="I261" t="s">
        <v>135</v>
      </c>
      <c r="J261">
        <v>7.75</v>
      </c>
      <c r="K261">
        <v>6.84</v>
      </c>
      <c r="L261">
        <f t="shared" si="23"/>
        <v>0.45500000000000007</v>
      </c>
      <c r="M261">
        <f t="shared" si="24"/>
        <v>5.8709677419354851E-2</v>
      </c>
      <c r="N261">
        <v>0.97599999999999998</v>
      </c>
      <c r="O261">
        <v>2.5999999999999999E-2</v>
      </c>
      <c r="P261">
        <f t="shared" si="22"/>
        <v>0.95</v>
      </c>
      <c r="Q261">
        <v>0.66900000000000004</v>
      </c>
      <c r="R261">
        <f t="shared" si="25"/>
        <v>0.70421052631578951</v>
      </c>
      <c r="S261" t="s">
        <v>551</v>
      </c>
    </row>
    <row r="262" spans="1:19" x14ac:dyDescent="0.25">
      <c r="A262">
        <v>312</v>
      </c>
      <c r="B262" t="s">
        <v>769</v>
      </c>
      <c r="D262" t="s">
        <v>396</v>
      </c>
      <c r="E262">
        <v>4</v>
      </c>
      <c r="F262" t="s">
        <v>290</v>
      </c>
      <c r="G262" t="s">
        <v>141</v>
      </c>
      <c r="H262" t="s">
        <v>141</v>
      </c>
      <c r="I262" t="s">
        <v>135</v>
      </c>
      <c r="J262">
        <v>5.01</v>
      </c>
      <c r="K262">
        <v>4.05</v>
      </c>
      <c r="L262">
        <f t="shared" si="23"/>
        <v>0.48</v>
      </c>
      <c r="M262">
        <f t="shared" si="24"/>
        <v>9.580838323353294E-2</v>
      </c>
      <c r="N262">
        <v>0.85499999999999998</v>
      </c>
      <c r="O262">
        <v>2.1999999999999999E-2</v>
      </c>
      <c r="P262">
        <f t="shared" si="22"/>
        <v>0.83299999999999996</v>
      </c>
      <c r="Q262">
        <v>0.6</v>
      </c>
      <c r="R262">
        <f t="shared" si="25"/>
        <v>0.72028811524609848</v>
      </c>
    </row>
    <row r="263" spans="1:19" x14ac:dyDescent="0.25">
      <c r="A263">
        <v>287</v>
      </c>
      <c r="B263" t="s">
        <v>829</v>
      </c>
      <c r="D263" t="s">
        <v>396</v>
      </c>
      <c r="E263">
        <v>5</v>
      </c>
      <c r="F263" t="s">
        <v>290</v>
      </c>
      <c r="G263" t="s">
        <v>141</v>
      </c>
      <c r="H263" t="s">
        <v>141</v>
      </c>
      <c r="I263" t="s">
        <v>135</v>
      </c>
      <c r="J263">
        <v>9.36</v>
      </c>
      <c r="K263">
        <v>7.85</v>
      </c>
      <c r="L263">
        <f t="shared" si="23"/>
        <v>0.75499999999999989</v>
      </c>
      <c r="M263">
        <f t="shared" si="24"/>
        <v>8.0662393162393153E-2</v>
      </c>
      <c r="N263">
        <v>0.89900000000000002</v>
      </c>
      <c r="O263">
        <v>2.1999999999999999E-2</v>
      </c>
      <c r="P263">
        <f t="shared" si="22"/>
        <v>0.877</v>
      </c>
      <c r="Q263">
        <v>0.59899999999999998</v>
      </c>
      <c r="R263">
        <f t="shared" si="25"/>
        <v>0.68301026225769668</v>
      </c>
    </row>
    <row r="264" spans="1:19" x14ac:dyDescent="0.25">
      <c r="A264">
        <v>101</v>
      </c>
      <c r="B264" t="s">
        <v>486</v>
      </c>
      <c r="D264" t="s">
        <v>344</v>
      </c>
      <c r="E264">
        <v>1</v>
      </c>
      <c r="F264" t="s">
        <v>487</v>
      </c>
      <c r="G264" t="s">
        <v>141</v>
      </c>
      <c r="H264" t="s">
        <v>141</v>
      </c>
      <c r="I264" t="s">
        <v>135</v>
      </c>
      <c r="J264">
        <v>8.2200000000000006</v>
      </c>
      <c r="K264">
        <v>6.61</v>
      </c>
      <c r="L264">
        <f t="shared" si="23"/>
        <v>0.80500000000000016</v>
      </c>
      <c r="M264">
        <f t="shared" si="24"/>
        <v>9.793187347931874E-2</v>
      </c>
      <c r="N264">
        <v>1.5720000000000001</v>
      </c>
      <c r="O264">
        <v>0.03</v>
      </c>
      <c r="P264">
        <f t="shared" si="22"/>
        <v>1.542</v>
      </c>
      <c r="Q264">
        <v>1.129</v>
      </c>
      <c r="R264">
        <f t="shared" si="25"/>
        <v>0.73216601815823601</v>
      </c>
    </row>
    <row r="265" spans="1:19" x14ac:dyDescent="0.25">
      <c r="A265">
        <v>130</v>
      </c>
      <c r="B265" t="s">
        <v>495</v>
      </c>
      <c r="D265" t="s">
        <v>344</v>
      </c>
      <c r="E265">
        <v>2</v>
      </c>
      <c r="F265" t="s">
        <v>487</v>
      </c>
      <c r="G265" t="s">
        <v>141</v>
      </c>
      <c r="H265" t="s">
        <v>141</v>
      </c>
      <c r="I265" t="s">
        <v>135</v>
      </c>
      <c r="J265">
        <v>7.85</v>
      </c>
      <c r="K265">
        <v>6.38</v>
      </c>
      <c r="L265">
        <f t="shared" si="23"/>
        <v>0.73499999999999988</v>
      </c>
      <c r="M265">
        <f t="shared" si="24"/>
        <v>9.3630573248407636E-2</v>
      </c>
      <c r="N265">
        <v>0.82799999999999996</v>
      </c>
      <c r="O265">
        <v>0.03</v>
      </c>
      <c r="P265">
        <f t="shared" si="22"/>
        <v>0.79799999999999993</v>
      </c>
      <c r="Q265">
        <v>0.61</v>
      </c>
      <c r="R265">
        <f t="shared" si="25"/>
        <v>0.76441102756892232</v>
      </c>
    </row>
    <row r="266" spans="1:19" x14ac:dyDescent="0.25">
      <c r="A266">
        <v>257</v>
      </c>
      <c r="B266" t="s">
        <v>613</v>
      </c>
      <c r="D266" t="s">
        <v>344</v>
      </c>
      <c r="E266">
        <v>3</v>
      </c>
      <c r="F266" t="s">
        <v>487</v>
      </c>
      <c r="G266" t="s">
        <v>141</v>
      </c>
      <c r="H266" t="s">
        <v>141</v>
      </c>
      <c r="I266" t="s">
        <v>135</v>
      </c>
      <c r="J266">
        <v>7.2</v>
      </c>
      <c r="K266">
        <v>5.82</v>
      </c>
      <c r="L266">
        <f t="shared" si="23"/>
        <v>0.69</v>
      </c>
      <c r="M266">
        <f t="shared" si="24"/>
        <v>9.5833333333333326E-2</v>
      </c>
      <c r="N266">
        <v>1</v>
      </c>
      <c r="O266">
        <v>2.1999999999999999E-2</v>
      </c>
      <c r="P266">
        <f t="shared" si="22"/>
        <v>0.97799999999999998</v>
      </c>
      <c r="Q266">
        <v>0.78100000000000003</v>
      </c>
      <c r="R266">
        <f t="shared" si="25"/>
        <v>0.7985685071574643</v>
      </c>
    </row>
    <row r="267" spans="1:19" x14ac:dyDescent="0.25">
      <c r="A267">
        <v>139</v>
      </c>
      <c r="B267" t="s">
        <v>1215</v>
      </c>
      <c r="C267" t="s">
        <v>498</v>
      </c>
      <c r="D267" t="s">
        <v>344</v>
      </c>
      <c r="E267">
        <v>4</v>
      </c>
      <c r="F267" t="s">
        <v>487</v>
      </c>
      <c r="G267" t="s">
        <v>141</v>
      </c>
      <c r="H267" t="s">
        <v>141</v>
      </c>
      <c r="I267" t="s">
        <v>134</v>
      </c>
      <c r="J267">
        <v>7.03</v>
      </c>
      <c r="K267">
        <v>5.08</v>
      </c>
      <c r="L267">
        <f t="shared" si="23"/>
        <v>0.97500000000000009</v>
      </c>
      <c r="M267">
        <f t="shared" si="24"/>
        <v>0.13869132290184921</v>
      </c>
      <c r="N267">
        <v>0.52900000000000003</v>
      </c>
      <c r="O267">
        <v>0.03</v>
      </c>
      <c r="P267">
        <f t="shared" si="22"/>
        <v>0.499</v>
      </c>
      <c r="Q267">
        <v>0.435</v>
      </c>
      <c r="R267">
        <f t="shared" si="25"/>
        <v>0.87174348697394788</v>
      </c>
    </row>
    <row r="268" spans="1:19" x14ac:dyDescent="0.25">
      <c r="A268">
        <v>316</v>
      </c>
      <c r="B268" t="s">
        <v>772</v>
      </c>
      <c r="D268" t="s">
        <v>344</v>
      </c>
      <c r="E268">
        <v>5</v>
      </c>
      <c r="F268" t="s">
        <v>487</v>
      </c>
      <c r="G268" t="s">
        <v>141</v>
      </c>
      <c r="H268" t="s">
        <v>141</v>
      </c>
      <c r="I268" t="s">
        <v>135</v>
      </c>
      <c r="J268">
        <v>7.27</v>
      </c>
      <c r="K268">
        <v>5.86</v>
      </c>
      <c r="L268">
        <f t="shared" si="23"/>
        <v>0.70499999999999963</v>
      </c>
      <c r="M268">
        <f t="shared" si="24"/>
        <v>9.6973865199449755E-2</v>
      </c>
      <c r="N268">
        <v>0.72399999999999998</v>
      </c>
      <c r="O268">
        <v>2.1999999999999999E-2</v>
      </c>
      <c r="P268">
        <f t="shared" si="22"/>
        <v>0.70199999999999996</v>
      </c>
      <c r="Q268">
        <v>0.51900000000000002</v>
      </c>
      <c r="R268">
        <f t="shared" si="25"/>
        <v>0.73931623931623935</v>
      </c>
    </row>
    <row r="269" spans="1:19" x14ac:dyDescent="0.25">
      <c r="A269">
        <v>402</v>
      </c>
      <c r="B269" t="s">
        <v>951</v>
      </c>
      <c r="D269" t="s">
        <v>952</v>
      </c>
      <c r="E269">
        <v>1</v>
      </c>
      <c r="F269" t="s">
        <v>953</v>
      </c>
      <c r="G269" t="s">
        <v>141</v>
      </c>
      <c r="H269" t="s">
        <v>141</v>
      </c>
      <c r="I269" t="s">
        <v>135</v>
      </c>
      <c r="J269">
        <v>4.93</v>
      </c>
      <c r="K269">
        <v>3.95</v>
      </c>
      <c r="L269">
        <f t="shared" si="23"/>
        <v>0.48999999999999977</v>
      </c>
      <c r="M269">
        <f t="shared" si="24"/>
        <v>9.9391480730223081E-2</v>
      </c>
      <c r="N269">
        <v>0.443</v>
      </c>
      <c r="O269">
        <v>2.1999999999999999E-2</v>
      </c>
      <c r="P269">
        <f t="shared" si="22"/>
        <v>0.42099999999999999</v>
      </c>
      <c r="Q269">
        <v>0.30099999999999999</v>
      </c>
      <c r="R269">
        <f t="shared" si="25"/>
        <v>0.71496437054631834</v>
      </c>
    </row>
    <row r="270" spans="1:19" x14ac:dyDescent="0.25">
      <c r="A270">
        <v>379</v>
      </c>
      <c r="B270" t="s">
        <v>966</v>
      </c>
      <c r="D270" t="s">
        <v>952</v>
      </c>
      <c r="E270">
        <v>2</v>
      </c>
      <c r="F270" t="s">
        <v>953</v>
      </c>
      <c r="G270" t="s">
        <v>141</v>
      </c>
      <c r="H270" t="s">
        <v>141</v>
      </c>
      <c r="I270" t="s">
        <v>135</v>
      </c>
      <c r="J270">
        <v>5.92</v>
      </c>
      <c r="K270">
        <v>4.67</v>
      </c>
      <c r="L270">
        <f t="shared" si="23"/>
        <v>0.625</v>
      </c>
      <c r="M270">
        <f t="shared" si="24"/>
        <v>0.10557432432432433</v>
      </c>
      <c r="N270">
        <v>0.47699999999999998</v>
      </c>
      <c r="O270">
        <v>2.1999999999999999E-2</v>
      </c>
      <c r="P270">
        <f t="shared" si="22"/>
        <v>0.45499999999999996</v>
      </c>
      <c r="Q270">
        <v>0.39900000000000002</v>
      </c>
      <c r="R270">
        <f t="shared" si="25"/>
        <v>0.87692307692307703</v>
      </c>
    </row>
    <row r="271" spans="1:19" x14ac:dyDescent="0.25">
      <c r="A271">
        <v>383</v>
      </c>
      <c r="B271" t="s">
        <v>974</v>
      </c>
      <c r="D271" t="s">
        <v>952</v>
      </c>
      <c r="E271">
        <v>3</v>
      </c>
      <c r="F271" t="s">
        <v>953</v>
      </c>
      <c r="G271" t="s">
        <v>141</v>
      </c>
      <c r="H271" t="s">
        <v>141</v>
      </c>
      <c r="I271" t="s">
        <v>135</v>
      </c>
      <c r="J271">
        <v>7.61</v>
      </c>
      <c r="K271">
        <v>6.01</v>
      </c>
      <c r="L271">
        <f t="shared" si="23"/>
        <v>0.80000000000000027</v>
      </c>
      <c r="M271">
        <f t="shared" si="24"/>
        <v>0.10512483574244419</v>
      </c>
      <c r="N271">
        <v>0.41699999999999998</v>
      </c>
      <c r="O271">
        <v>2.1999999999999999E-2</v>
      </c>
      <c r="P271">
        <f t="shared" si="22"/>
        <v>0.39499999999999996</v>
      </c>
      <c r="Q271">
        <v>0.32500000000000001</v>
      </c>
      <c r="R271">
        <f t="shared" si="25"/>
        <v>0.82278481012658233</v>
      </c>
    </row>
    <row r="272" spans="1:19" x14ac:dyDescent="0.25">
      <c r="A272">
        <v>393</v>
      </c>
      <c r="B272" t="s">
        <v>981</v>
      </c>
      <c r="D272" t="s">
        <v>952</v>
      </c>
      <c r="E272">
        <v>4</v>
      </c>
      <c r="F272" t="s">
        <v>953</v>
      </c>
      <c r="G272" t="s">
        <v>141</v>
      </c>
      <c r="H272" t="s">
        <v>141</v>
      </c>
      <c r="I272" t="s">
        <v>135</v>
      </c>
      <c r="J272">
        <v>7.33</v>
      </c>
      <c r="K272">
        <v>5.48</v>
      </c>
      <c r="L272">
        <f t="shared" si="23"/>
        <v>0.92499999999999982</v>
      </c>
      <c r="M272">
        <f t="shared" si="24"/>
        <v>0.12619372442019097</v>
      </c>
      <c r="N272">
        <v>0.64</v>
      </c>
      <c r="O272">
        <v>2.1999999999999999E-2</v>
      </c>
      <c r="P272">
        <f t="shared" si="22"/>
        <v>0.61799999999999999</v>
      </c>
      <c r="Q272">
        <v>0.46100000000000002</v>
      </c>
      <c r="R272">
        <f t="shared" si="25"/>
        <v>0.74595469255663438</v>
      </c>
    </row>
    <row r="273" spans="1:20" x14ac:dyDescent="0.25">
      <c r="A273">
        <v>378</v>
      </c>
      <c r="B273" t="s">
        <v>968</v>
      </c>
      <c r="D273" t="s">
        <v>952</v>
      </c>
      <c r="E273">
        <v>5</v>
      </c>
      <c r="F273" t="s">
        <v>953</v>
      </c>
      <c r="G273" t="s">
        <v>141</v>
      </c>
      <c r="H273" t="s">
        <v>141</v>
      </c>
      <c r="I273" t="s">
        <v>135</v>
      </c>
      <c r="J273">
        <v>5.51</v>
      </c>
      <c r="K273">
        <v>4.3</v>
      </c>
      <c r="L273">
        <f t="shared" si="23"/>
        <v>0.60499999999999998</v>
      </c>
      <c r="M273">
        <f t="shared" si="24"/>
        <v>0.10980036297640654</v>
      </c>
      <c r="N273">
        <v>0.45300000000000001</v>
      </c>
      <c r="O273">
        <v>2.1999999999999999E-2</v>
      </c>
      <c r="P273">
        <f t="shared" si="22"/>
        <v>0.43099999999999999</v>
      </c>
      <c r="Q273">
        <v>0.34</v>
      </c>
      <c r="R273">
        <f t="shared" si="25"/>
        <v>0.78886310904872392</v>
      </c>
    </row>
    <row r="274" spans="1:20" x14ac:dyDescent="0.25">
      <c r="A274">
        <v>399</v>
      </c>
      <c r="B274" t="s">
        <v>910</v>
      </c>
      <c r="D274" t="s">
        <v>911</v>
      </c>
      <c r="E274">
        <v>1</v>
      </c>
      <c r="F274" t="s">
        <v>949</v>
      </c>
      <c r="G274" t="s">
        <v>141</v>
      </c>
      <c r="H274" t="s">
        <v>141</v>
      </c>
      <c r="I274" t="s">
        <v>135</v>
      </c>
      <c r="J274">
        <v>6.93</v>
      </c>
      <c r="K274">
        <v>5.53</v>
      </c>
      <c r="L274">
        <f t="shared" si="23"/>
        <v>0.69999999999999973</v>
      </c>
      <c r="M274">
        <f t="shared" si="24"/>
        <v>0.10101010101010098</v>
      </c>
      <c r="N274">
        <v>0.52600000000000002</v>
      </c>
      <c r="O274">
        <v>2.1999999999999999E-2</v>
      </c>
      <c r="P274">
        <f t="shared" si="22"/>
        <v>0.504</v>
      </c>
      <c r="Q274">
        <v>0.28299999999999997</v>
      </c>
      <c r="R274">
        <f t="shared" si="25"/>
        <v>0.5615079365079364</v>
      </c>
    </row>
    <row r="275" spans="1:20" x14ac:dyDescent="0.25">
      <c r="A275">
        <v>385</v>
      </c>
      <c r="B275" t="s">
        <v>976</v>
      </c>
      <c r="D275" t="s">
        <v>911</v>
      </c>
      <c r="E275">
        <v>2</v>
      </c>
      <c r="F275" t="s">
        <v>949</v>
      </c>
      <c r="G275" t="s">
        <v>141</v>
      </c>
      <c r="H275" t="s">
        <v>141</v>
      </c>
      <c r="I275" t="s">
        <v>135</v>
      </c>
      <c r="J275">
        <v>6.67</v>
      </c>
      <c r="K275">
        <v>5.38</v>
      </c>
      <c r="L275">
        <f t="shared" si="23"/>
        <v>0.64500000000000002</v>
      </c>
      <c r="M275">
        <f t="shared" si="24"/>
        <v>9.6701649175412296E-2</v>
      </c>
      <c r="N275">
        <v>0.56699999999999995</v>
      </c>
      <c r="O275">
        <v>2.1999999999999999E-2</v>
      </c>
      <c r="P275">
        <f t="shared" si="22"/>
        <v>0.54499999999999993</v>
      </c>
      <c r="Q275">
        <v>0.33400000000000002</v>
      </c>
      <c r="R275">
        <f t="shared" si="25"/>
        <v>0.61284403669724785</v>
      </c>
    </row>
    <row r="276" spans="1:20" x14ac:dyDescent="0.25">
      <c r="A276">
        <v>372</v>
      </c>
      <c r="B276" t="s">
        <v>972</v>
      </c>
      <c r="D276" t="s">
        <v>911</v>
      </c>
      <c r="E276">
        <v>3</v>
      </c>
      <c r="F276" t="s">
        <v>949</v>
      </c>
      <c r="G276" t="s">
        <v>141</v>
      </c>
      <c r="H276" t="s">
        <v>141</v>
      </c>
      <c r="I276" t="s">
        <v>135</v>
      </c>
      <c r="J276">
        <v>5.52</v>
      </c>
      <c r="K276">
        <v>4.5199999999999996</v>
      </c>
      <c r="L276">
        <f t="shared" si="23"/>
        <v>0.5</v>
      </c>
      <c r="M276">
        <f t="shared" si="24"/>
        <v>9.057971014492755E-2</v>
      </c>
      <c r="N276">
        <v>0.49</v>
      </c>
      <c r="O276">
        <v>2.1999999999999999E-2</v>
      </c>
      <c r="P276">
        <f t="shared" si="22"/>
        <v>0.46799999999999997</v>
      </c>
      <c r="Q276">
        <v>0.24399999999999999</v>
      </c>
      <c r="R276">
        <f t="shared" si="25"/>
        <v>0.5213675213675214</v>
      </c>
    </row>
    <row r="277" spans="1:20" x14ac:dyDescent="0.25">
      <c r="A277">
        <v>390</v>
      </c>
      <c r="B277" t="s">
        <v>967</v>
      </c>
      <c r="D277" t="s">
        <v>911</v>
      </c>
      <c r="E277">
        <v>4</v>
      </c>
      <c r="F277" t="s">
        <v>949</v>
      </c>
      <c r="G277" t="s">
        <v>141</v>
      </c>
      <c r="H277" t="s">
        <v>141</v>
      </c>
      <c r="I277" t="s">
        <v>135</v>
      </c>
      <c r="J277">
        <v>7.42</v>
      </c>
      <c r="K277">
        <v>5.93</v>
      </c>
      <c r="L277">
        <f t="shared" si="23"/>
        <v>0.74500000000000011</v>
      </c>
      <c r="M277">
        <f t="shared" si="24"/>
        <v>0.10040431266846363</v>
      </c>
      <c r="N277">
        <v>0.86099999999999999</v>
      </c>
      <c r="O277">
        <v>2.1999999999999999E-2</v>
      </c>
      <c r="P277">
        <f t="shared" si="22"/>
        <v>0.83899999999999997</v>
      </c>
      <c r="Q277">
        <v>0.436</v>
      </c>
      <c r="R277">
        <f t="shared" si="25"/>
        <v>0.51966626936829563</v>
      </c>
    </row>
    <row r="278" spans="1:20" x14ac:dyDescent="0.25">
      <c r="A278">
        <v>377</v>
      </c>
      <c r="B278" t="s">
        <v>965</v>
      </c>
      <c r="D278" t="s">
        <v>911</v>
      </c>
      <c r="E278">
        <v>5</v>
      </c>
      <c r="F278" t="s">
        <v>949</v>
      </c>
      <c r="G278" t="s">
        <v>141</v>
      </c>
      <c r="H278" t="s">
        <v>141</v>
      </c>
      <c r="I278" t="s">
        <v>135</v>
      </c>
      <c r="J278">
        <v>8.5</v>
      </c>
      <c r="K278">
        <v>7.26</v>
      </c>
      <c r="L278">
        <f t="shared" si="23"/>
        <v>0.62000000000000011</v>
      </c>
      <c r="M278">
        <f t="shared" si="24"/>
        <v>7.2941176470588245E-2</v>
      </c>
      <c r="N278">
        <v>0.63</v>
      </c>
      <c r="O278">
        <v>2.1999999999999999E-2</v>
      </c>
      <c r="P278">
        <f t="shared" si="22"/>
        <v>0.60799999999999998</v>
      </c>
      <c r="Q278">
        <v>0.34200000000000003</v>
      </c>
      <c r="R278">
        <f t="shared" si="25"/>
        <v>0.56250000000000011</v>
      </c>
    </row>
    <row r="279" spans="1:20" x14ac:dyDescent="0.25">
      <c r="A279">
        <v>333</v>
      </c>
      <c r="B279" t="s">
        <v>888</v>
      </c>
      <c r="C279" t="s">
        <v>910</v>
      </c>
      <c r="D279" t="s">
        <v>911</v>
      </c>
      <c r="E279">
        <v>1</v>
      </c>
      <c r="F279" t="s">
        <v>890</v>
      </c>
      <c r="G279" t="s">
        <v>141</v>
      </c>
      <c r="H279" t="s">
        <v>141</v>
      </c>
      <c r="I279" t="s">
        <v>135</v>
      </c>
      <c r="J279">
        <v>6.28</v>
      </c>
      <c r="K279">
        <v>5.14</v>
      </c>
      <c r="L279">
        <f t="shared" si="23"/>
        <v>0.57000000000000028</v>
      </c>
      <c r="M279">
        <f t="shared" si="24"/>
        <v>9.0764331210191118E-2</v>
      </c>
      <c r="N279">
        <v>0.35599999999999998</v>
      </c>
      <c r="O279">
        <v>2.1999999999999999E-2</v>
      </c>
      <c r="P279">
        <f t="shared" si="22"/>
        <v>0.33399999999999996</v>
      </c>
      <c r="Q279">
        <v>0.22900000000000001</v>
      </c>
      <c r="R279">
        <f t="shared" si="25"/>
        <v>0.68562874251497019</v>
      </c>
    </row>
    <row r="280" spans="1:20" x14ac:dyDescent="0.25">
      <c r="A280">
        <v>129</v>
      </c>
      <c r="B280" t="s">
        <v>105</v>
      </c>
      <c r="D280" t="s">
        <v>361</v>
      </c>
      <c r="E280">
        <v>1</v>
      </c>
      <c r="F280" t="s">
        <v>218</v>
      </c>
      <c r="G280" t="s">
        <v>141</v>
      </c>
      <c r="H280" t="s">
        <v>141</v>
      </c>
      <c r="I280" t="s">
        <v>135</v>
      </c>
      <c r="J280">
        <v>8.94</v>
      </c>
      <c r="K280">
        <v>7.06</v>
      </c>
      <c r="L280">
        <f t="shared" si="23"/>
        <v>0.94</v>
      </c>
      <c r="M280">
        <f t="shared" si="24"/>
        <v>0.10514541387024609</v>
      </c>
      <c r="N280">
        <v>0.91400000000000003</v>
      </c>
      <c r="O280">
        <v>0.03</v>
      </c>
      <c r="P280">
        <f t="shared" si="22"/>
        <v>0.88400000000000001</v>
      </c>
      <c r="Q280">
        <v>0.58299999999999996</v>
      </c>
      <c r="R280">
        <f t="shared" si="25"/>
        <v>0.6595022624434389</v>
      </c>
    </row>
    <row r="281" spans="1:20" x14ac:dyDescent="0.25">
      <c r="A281">
        <v>113</v>
      </c>
      <c r="B281" t="s">
        <v>80</v>
      </c>
      <c r="D281" t="s">
        <v>361</v>
      </c>
      <c r="E281">
        <v>2</v>
      </c>
      <c r="F281" t="s">
        <v>218</v>
      </c>
      <c r="G281" t="s">
        <v>141</v>
      </c>
      <c r="H281" t="s">
        <v>141</v>
      </c>
      <c r="I281" t="s">
        <v>134</v>
      </c>
      <c r="J281">
        <v>7.7</v>
      </c>
      <c r="K281">
        <v>6.15</v>
      </c>
      <c r="L281">
        <f t="shared" si="23"/>
        <v>0.77499999999999991</v>
      </c>
      <c r="M281">
        <f t="shared" si="24"/>
        <v>0.10064935064935064</v>
      </c>
      <c r="N281">
        <v>0.54</v>
      </c>
      <c r="O281">
        <v>0.03</v>
      </c>
      <c r="P281">
        <f t="shared" si="22"/>
        <v>0.51</v>
      </c>
      <c r="Q281">
        <v>0.35899999999999999</v>
      </c>
      <c r="R281">
        <f t="shared" si="25"/>
        <v>0.70392156862745092</v>
      </c>
    </row>
    <row r="282" spans="1:20" x14ac:dyDescent="0.25">
      <c r="A282">
        <v>17</v>
      </c>
      <c r="B282" t="s">
        <v>76</v>
      </c>
      <c r="D282" t="s">
        <v>361</v>
      </c>
      <c r="E282">
        <v>3</v>
      </c>
      <c r="F282" t="s">
        <v>218</v>
      </c>
      <c r="G282">
        <v>34.79</v>
      </c>
      <c r="H282">
        <v>5.0999999999999996</v>
      </c>
      <c r="I282" t="s">
        <v>134</v>
      </c>
      <c r="J282">
        <v>6.37</v>
      </c>
      <c r="K282">
        <v>4.83</v>
      </c>
      <c r="L282">
        <f t="shared" si="23"/>
        <v>0.77</v>
      </c>
      <c r="M282">
        <f t="shared" si="24"/>
        <v>0.12087912087912088</v>
      </c>
      <c r="N282">
        <v>0.68300000000000005</v>
      </c>
      <c r="O282">
        <v>1.6E-2</v>
      </c>
      <c r="P282">
        <f>(3.14159*((H282/2)^2) * G282)/1000</f>
        <v>0.71069669444024985</v>
      </c>
      <c r="Q282">
        <v>0.39</v>
      </c>
      <c r="R282">
        <f t="shared" si="25"/>
        <v>0.54875730118199995</v>
      </c>
    </row>
    <row r="283" spans="1:20" x14ac:dyDescent="0.25">
      <c r="A283">
        <v>67</v>
      </c>
      <c r="B283" t="s">
        <v>1248</v>
      </c>
      <c r="C283" t="s">
        <v>217</v>
      </c>
      <c r="D283" t="s">
        <v>361</v>
      </c>
      <c r="E283">
        <v>4</v>
      </c>
      <c r="F283" t="s">
        <v>218</v>
      </c>
      <c r="G283" t="s">
        <v>141</v>
      </c>
      <c r="H283" t="s">
        <v>141</v>
      </c>
      <c r="I283" t="s">
        <v>135</v>
      </c>
      <c r="J283">
        <v>9.39</v>
      </c>
      <c r="K283">
        <v>7.96</v>
      </c>
      <c r="L283">
        <f t="shared" si="23"/>
        <v>0.7150000000000003</v>
      </c>
      <c r="M283">
        <f t="shared" si="24"/>
        <v>7.614483493077745E-2</v>
      </c>
      <c r="N283">
        <v>0.99</v>
      </c>
      <c r="O283">
        <v>0.02</v>
      </c>
      <c r="P283">
        <f t="shared" ref="P283:P302" si="26">N283-O283</f>
        <v>0.97</v>
      </c>
      <c r="Q283">
        <v>0.54700000000000004</v>
      </c>
      <c r="R283">
        <f t="shared" si="25"/>
        <v>0.56391752577319598</v>
      </c>
    </row>
    <row r="284" spans="1:20" x14ac:dyDescent="0.25">
      <c r="A284">
        <v>65</v>
      </c>
      <c r="B284" t="s">
        <v>1249</v>
      </c>
      <c r="C284" t="s">
        <v>220</v>
      </c>
      <c r="D284" t="s">
        <v>361</v>
      </c>
      <c r="E284">
        <v>5</v>
      </c>
      <c r="F284" t="s">
        <v>218</v>
      </c>
      <c r="G284" t="s">
        <v>141</v>
      </c>
      <c r="H284" t="s">
        <v>141</v>
      </c>
      <c r="I284" t="s">
        <v>135</v>
      </c>
      <c r="J284">
        <v>7.63</v>
      </c>
      <c r="K284">
        <v>5.44</v>
      </c>
      <c r="L284">
        <f t="shared" si="23"/>
        <v>1.0949999999999998</v>
      </c>
      <c r="M284">
        <f t="shared" si="24"/>
        <v>0.14351245085190037</v>
      </c>
      <c r="N284">
        <v>0.67500000000000004</v>
      </c>
      <c r="O284">
        <v>0.02</v>
      </c>
      <c r="P284">
        <f t="shared" si="26"/>
        <v>0.65500000000000003</v>
      </c>
      <c r="Q284">
        <v>0.41099999999999998</v>
      </c>
      <c r="R284">
        <f t="shared" si="25"/>
        <v>0.62748091603053424</v>
      </c>
    </row>
    <row r="285" spans="1:20" x14ac:dyDescent="0.25">
      <c r="A285">
        <v>33</v>
      </c>
      <c r="B285" t="s">
        <v>1250</v>
      </c>
      <c r="C285" t="s">
        <v>267</v>
      </c>
      <c r="D285" t="s">
        <v>361</v>
      </c>
      <c r="E285">
        <v>6</v>
      </c>
      <c r="F285" t="s">
        <v>218</v>
      </c>
      <c r="G285" t="s">
        <v>141</v>
      </c>
      <c r="H285" t="s">
        <v>141</v>
      </c>
      <c r="I285" t="s">
        <v>135</v>
      </c>
      <c r="J285">
        <v>9.17</v>
      </c>
      <c r="K285">
        <v>7.49</v>
      </c>
      <c r="L285">
        <f t="shared" si="23"/>
        <v>0.83999999999999986</v>
      </c>
      <c r="M285">
        <f t="shared" si="24"/>
        <v>9.160305343511449E-2</v>
      </c>
      <c r="N285">
        <v>1.3779999999999999</v>
      </c>
      <c r="O285">
        <v>0.02</v>
      </c>
      <c r="P285">
        <f t="shared" si="26"/>
        <v>1.3579999999999999</v>
      </c>
      <c r="Q285">
        <v>0.79300000000000004</v>
      </c>
      <c r="R285">
        <f t="shared" si="25"/>
        <v>0.58394698085419738</v>
      </c>
    </row>
    <row r="286" spans="1:20" x14ac:dyDescent="0.25">
      <c r="A286">
        <v>358</v>
      </c>
      <c r="B286" t="s">
        <v>857</v>
      </c>
      <c r="D286" t="s">
        <v>844</v>
      </c>
      <c r="E286">
        <v>1</v>
      </c>
      <c r="F286" t="s">
        <v>845</v>
      </c>
      <c r="G286" t="s">
        <v>141</v>
      </c>
      <c r="H286" t="s">
        <v>141</v>
      </c>
      <c r="I286" t="s">
        <v>135</v>
      </c>
      <c r="J286">
        <v>6.03</v>
      </c>
      <c r="K286">
        <v>4.8499999999999996</v>
      </c>
      <c r="L286">
        <f t="shared" si="23"/>
        <v>0.5900000000000003</v>
      </c>
      <c r="M286">
        <f t="shared" si="24"/>
        <v>9.7844112769485944E-2</v>
      </c>
      <c r="N286">
        <v>0.40300000000000002</v>
      </c>
      <c r="O286">
        <v>2.1999999999999999E-2</v>
      </c>
      <c r="P286">
        <f t="shared" si="26"/>
        <v>0.38100000000000001</v>
      </c>
      <c r="Q286">
        <v>0.23899999999999999</v>
      </c>
      <c r="R286">
        <f t="shared" si="25"/>
        <v>0.62729658792650911</v>
      </c>
      <c r="T286" t="s">
        <v>1029</v>
      </c>
    </row>
    <row r="287" spans="1:20" x14ac:dyDescent="0.25">
      <c r="A287">
        <v>343</v>
      </c>
      <c r="B287" t="s">
        <v>866</v>
      </c>
      <c r="D287" t="s">
        <v>844</v>
      </c>
      <c r="E287">
        <v>2</v>
      </c>
      <c r="F287" t="s">
        <v>845</v>
      </c>
      <c r="G287" t="s">
        <v>141</v>
      </c>
      <c r="H287" t="s">
        <v>141</v>
      </c>
      <c r="I287" t="s">
        <v>135</v>
      </c>
      <c r="J287">
        <v>6.7</v>
      </c>
      <c r="K287">
        <v>4.62</v>
      </c>
      <c r="L287">
        <f t="shared" si="23"/>
        <v>1.04</v>
      </c>
      <c r="M287">
        <f t="shared" si="24"/>
        <v>0.15522388059701492</v>
      </c>
      <c r="N287">
        <v>0.39800000000000002</v>
      </c>
      <c r="O287">
        <v>2.1999999999999999E-2</v>
      </c>
      <c r="P287">
        <f t="shared" si="26"/>
        <v>0.376</v>
      </c>
      <c r="Q287">
        <v>0.19500000000000001</v>
      </c>
      <c r="R287">
        <f t="shared" si="25"/>
        <v>0.51861702127659581</v>
      </c>
    </row>
    <row r="288" spans="1:20" x14ac:dyDescent="0.25">
      <c r="A288">
        <v>360</v>
      </c>
      <c r="B288" t="s">
        <v>853</v>
      </c>
      <c r="D288" t="s">
        <v>844</v>
      </c>
      <c r="E288">
        <v>3</v>
      </c>
      <c r="F288" t="s">
        <v>845</v>
      </c>
      <c r="G288" t="s">
        <v>141</v>
      </c>
      <c r="H288" t="s">
        <v>141</v>
      </c>
      <c r="I288" t="s">
        <v>135</v>
      </c>
      <c r="J288">
        <v>7.69</v>
      </c>
      <c r="K288">
        <v>6.24</v>
      </c>
      <c r="L288">
        <f t="shared" si="23"/>
        <v>0.72500000000000009</v>
      </c>
      <c r="M288">
        <f t="shared" si="24"/>
        <v>9.4278283485045522E-2</v>
      </c>
      <c r="N288">
        <v>0.50800000000000001</v>
      </c>
      <c r="O288">
        <v>2.1999999999999999E-2</v>
      </c>
      <c r="P288">
        <f t="shared" si="26"/>
        <v>0.48599999999999999</v>
      </c>
      <c r="Q288">
        <v>0.33100000000000002</v>
      </c>
      <c r="R288">
        <f t="shared" si="25"/>
        <v>0.68106995884773669</v>
      </c>
    </row>
    <row r="289" spans="1:20" x14ac:dyDescent="0.25">
      <c r="A289">
        <v>351</v>
      </c>
      <c r="B289" t="s">
        <v>843</v>
      </c>
      <c r="D289" t="s">
        <v>844</v>
      </c>
      <c r="E289">
        <v>4</v>
      </c>
      <c r="F289" t="s">
        <v>845</v>
      </c>
      <c r="G289" t="s">
        <v>141</v>
      </c>
      <c r="H289" t="s">
        <v>141</v>
      </c>
      <c r="I289" t="s">
        <v>135</v>
      </c>
      <c r="J289">
        <v>6.08</v>
      </c>
      <c r="K289">
        <v>4.9000000000000004</v>
      </c>
      <c r="L289">
        <f t="shared" si="23"/>
        <v>0.58999999999999986</v>
      </c>
      <c r="M289">
        <f t="shared" si="24"/>
        <v>9.7039473684210495E-2</v>
      </c>
      <c r="N289">
        <v>0.313</v>
      </c>
      <c r="O289">
        <v>2.1999999999999999E-2</v>
      </c>
      <c r="P289">
        <f t="shared" si="26"/>
        <v>0.29099999999999998</v>
      </c>
      <c r="Q289">
        <v>0.20100000000000001</v>
      </c>
      <c r="R289">
        <f t="shared" si="25"/>
        <v>0.69072164948453618</v>
      </c>
    </row>
    <row r="290" spans="1:20" x14ac:dyDescent="0.25">
      <c r="A290">
        <v>327</v>
      </c>
      <c r="B290" t="s">
        <v>879</v>
      </c>
      <c r="D290" t="s">
        <v>844</v>
      </c>
      <c r="E290">
        <v>5</v>
      </c>
      <c r="F290" t="s">
        <v>845</v>
      </c>
      <c r="G290" t="s">
        <v>141</v>
      </c>
      <c r="H290" t="s">
        <v>141</v>
      </c>
      <c r="I290" t="s">
        <v>135</v>
      </c>
      <c r="J290">
        <v>5.93</v>
      </c>
      <c r="K290">
        <v>4.3</v>
      </c>
      <c r="L290">
        <f t="shared" si="23"/>
        <v>0.81499999999999995</v>
      </c>
      <c r="M290">
        <f t="shared" si="24"/>
        <v>0.13743676222596965</v>
      </c>
      <c r="N290">
        <v>0.38600000000000001</v>
      </c>
      <c r="O290">
        <v>2.1999999999999999E-2</v>
      </c>
      <c r="P290">
        <f t="shared" si="26"/>
        <v>0.36399999999999999</v>
      </c>
      <c r="Q290">
        <v>0.192</v>
      </c>
      <c r="R290">
        <f t="shared" si="25"/>
        <v>0.52747252747252749</v>
      </c>
    </row>
    <row r="291" spans="1:20" x14ac:dyDescent="0.25">
      <c r="A291">
        <v>341</v>
      </c>
      <c r="B291" t="s">
        <v>916</v>
      </c>
      <c r="D291" t="s">
        <v>844</v>
      </c>
      <c r="E291">
        <v>6</v>
      </c>
      <c r="F291" t="s">
        <v>845</v>
      </c>
      <c r="G291" t="s">
        <v>141</v>
      </c>
      <c r="H291" t="s">
        <v>141</v>
      </c>
      <c r="I291" t="s">
        <v>135</v>
      </c>
      <c r="J291">
        <v>5.9</v>
      </c>
      <c r="K291">
        <v>4.0999999999999996</v>
      </c>
      <c r="L291">
        <f t="shared" si="23"/>
        <v>0.90000000000000036</v>
      </c>
      <c r="M291">
        <f t="shared" si="24"/>
        <v>0.15254237288135597</v>
      </c>
      <c r="N291">
        <v>0.41499999999999998</v>
      </c>
      <c r="O291">
        <v>2.1999999999999999E-2</v>
      </c>
      <c r="P291">
        <f t="shared" si="26"/>
        <v>0.39299999999999996</v>
      </c>
      <c r="Q291">
        <v>0.219</v>
      </c>
      <c r="R291">
        <f t="shared" si="25"/>
        <v>0.5572519083969466</v>
      </c>
      <c r="T291" t="s">
        <v>912</v>
      </c>
    </row>
    <row r="292" spans="1:20" x14ac:dyDescent="0.25">
      <c r="A292">
        <v>58</v>
      </c>
      <c r="B292" t="s">
        <v>312</v>
      </c>
      <c r="D292" t="s">
        <v>387</v>
      </c>
      <c r="E292">
        <v>1</v>
      </c>
      <c r="F292" t="s">
        <v>236</v>
      </c>
      <c r="G292" t="s">
        <v>141</v>
      </c>
      <c r="H292" t="s">
        <v>141</v>
      </c>
      <c r="I292" t="s">
        <v>135</v>
      </c>
      <c r="J292">
        <v>9.8800000000000008</v>
      </c>
      <c r="K292">
        <v>8.1999999999999993</v>
      </c>
      <c r="L292">
        <f t="shared" si="23"/>
        <v>0.84000000000000075</v>
      </c>
      <c r="M292">
        <f t="shared" si="24"/>
        <v>8.5020242914979824E-2</v>
      </c>
      <c r="N292">
        <v>1.3120000000000001</v>
      </c>
      <c r="O292">
        <v>0.02</v>
      </c>
      <c r="P292">
        <f t="shared" si="26"/>
        <v>1.292</v>
      </c>
      <c r="Q292">
        <v>0.97199999999999998</v>
      </c>
      <c r="R292">
        <f t="shared" si="25"/>
        <v>0.75232198142414852</v>
      </c>
    </row>
    <row r="293" spans="1:20" x14ac:dyDescent="0.25">
      <c r="A293">
        <v>29</v>
      </c>
      <c r="B293" t="s">
        <v>295</v>
      </c>
      <c r="D293" t="s">
        <v>387</v>
      </c>
      <c r="E293">
        <v>2</v>
      </c>
      <c r="F293" t="s">
        <v>236</v>
      </c>
      <c r="G293" t="s">
        <v>141</v>
      </c>
      <c r="H293" t="s">
        <v>141</v>
      </c>
      <c r="I293" t="s">
        <v>135</v>
      </c>
      <c r="J293">
        <v>12.54</v>
      </c>
      <c r="K293">
        <v>10.31</v>
      </c>
      <c r="L293">
        <f t="shared" si="23"/>
        <v>1.1149999999999993</v>
      </c>
      <c r="M293">
        <f t="shared" si="24"/>
        <v>8.8915470494417809E-2</v>
      </c>
      <c r="N293">
        <v>2.3740000000000001</v>
      </c>
      <c r="O293">
        <v>0.02</v>
      </c>
      <c r="P293">
        <f t="shared" si="26"/>
        <v>2.3540000000000001</v>
      </c>
      <c r="Q293">
        <v>1.5209999999999999</v>
      </c>
      <c r="R293">
        <f t="shared" si="25"/>
        <v>0.64613423959218341</v>
      </c>
    </row>
    <row r="294" spans="1:20" x14ac:dyDescent="0.25">
      <c r="A294">
        <v>23</v>
      </c>
      <c r="B294" t="s">
        <v>297</v>
      </c>
      <c r="D294" t="s">
        <v>387</v>
      </c>
      <c r="E294">
        <v>3</v>
      </c>
      <c r="F294" t="s">
        <v>236</v>
      </c>
      <c r="G294" t="s">
        <v>141</v>
      </c>
      <c r="H294" t="s">
        <v>141</v>
      </c>
      <c r="I294" t="s">
        <v>135</v>
      </c>
      <c r="J294">
        <v>9.6300000000000008</v>
      </c>
      <c r="K294">
        <v>7.91</v>
      </c>
      <c r="L294">
        <f t="shared" si="23"/>
        <v>0.86000000000000032</v>
      </c>
      <c r="M294">
        <f t="shared" si="24"/>
        <v>8.9304257528556613E-2</v>
      </c>
      <c r="N294">
        <v>1.4079999999999999</v>
      </c>
      <c r="O294">
        <v>0.02</v>
      </c>
      <c r="P294">
        <f t="shared" si="26"/>
        <v>1.3879999999999999</v>
      </c>
      <c r="Q294">
        <v>0.874</v>
      </c>
      <c r="R294">
        <f t="shared" si="25"/>
        <v>0.62968299711815567</v>
      </c>
    </row>
    <row r="295" spans="1:20" x14ac:dyDescent="0.25">
      <c r="A295">
        <v>63</v>
      </c>
      <c r="B295" t="s">
        <v>1251</v>
      </c>
      <c r="C295" t="s">
        <v>235</v>
      </c>
      <c r="D295" t="s">
        <v>387</v>
      </c>
      <c r="E295">
        <v>4</v>
      </c>
      <c r="F295" t="s">
        <v>236</v>
      </c>
      <c r="G295" t="s">
        <v>141</v>
      </c>
      <c r="H295" t="s">
        <v>141</v>
      </c>
      <c r="I295" t="s">
        <v>135</v>
      </c>
      <c r="J295">
        <v>7.77</v>
      </c>
      <c r="K295">
        <v>6.52</v>
      </c>
      <c r="L295">
        <f t="shared" si="23"/>
        <v>0.625</v>
      </c>
      <c r="M295">
        <f t="shared" si="24"/>
        <v>8.0437580437580439E-2</v>
      </c>
      <c r="N295">
        <v>1.1279999999999999</v>
      </c>
      <c r="O295">
        <v>0.02</v>
      </c>
      <c r="P295">
        <f t="shared" si="26"/>
        <v>1.1079999999999999</v>
      </c>
      <c r="Q295">
        <v>0.69799999999999995</v>
      </c>
      <c r="R295">
        <f t="shared" si="25"/>
        <v>0.62996389891696758</v>
      </c>
    </row>
    <row r="296" spans="1:20" x14ac:dyDescent="0.25">
      <c r="A296">
        <v>201</v>
      </c>
      <c r="B296" t="s">
        <v>419</v>
      </c>
      <c r="D296" t="s">
        <v>387</v>
      </c>
      <c r="E296">
        <v>5</v>
      </c>
      <c r="F296" t="s">
        <v>236</v>
      </c>
      <c r="G296" t="s">
        <v>141</v>
      </c>
      <c r="H296" t="s">
        <v>141</v>
      </c>
      <c r="I296" t="s">
        <v>135</v>
      </c>
      <c r="J296">
        <v>12.23</v>
      </c>
      <c r="K296">
        <v>10</v>
      </c>
      <c r="L296">
        <f t="shared" si="23"/>
        <v>1.1150000000000002</v>
      </c>
      <c r="M296">
        <f t="shared" si="24"/>
        <v>9.1169255928045798E-2</v>
      </c>
      <c r="N296">
        <v>1.6040000000000001</v>
      </c>
      <c r="O296">
        <v>2.5999999999999999E-2</v>
      </c>
      <c r="P296">
        <f t="shared" si="26"/>
        <v>1.5780000000000001</v>
      </c>
      <c r="Q296">
        <v>0.93300000000000005</v>
      </c>
      <c r="R296">
        <f t="shared" si="25"/>
        <v>0.59125475285171103</v>
      </c>
      <c r="S296" t="s">
        <v>551</v>
      </c>
    </row>
    <row r="297" spans="1:20" x14ac:dyDescent="0.25">
      <c r="A297">
        <v>356</v>
      </c>
      <c r="B297" t="s">
        <v>862</v>
      </c>
      <c r="D297" t="s">
        <v>847</v>
      </c>
      <c r="E297">
        <v>1</v>
      </c>
      <c r="F297" t="s">
        <v>848</v>
      </c>
      <c r="G297" t="s">
        <v>141</v>
      </c>
      <c r="H297" t="s">
        <v>141</v>
      </c>
      <c r="I297" t="s">
        <v>135</v>
      </c>
      <c r="J297">
        <v>7.89</v>
      </c>
      <c r="K297">
        <v>5.81</v>
      </c>
      <c r="L297">
        <f t="shared" si="23"/>
        <v>1.04</v>
      </c>
      <c r="M297">
        <f t="shared" si="24"/>
        <v>0.13181242078580482</v>
      </c>
      <c r="N297">
        <v>0.65800000000000003</v>
      </c>
      <c r="O297">
        <v>2.1999999999999999E-2</v>
      </c>
      <c r="P297">
        <f t="shared" si="26"/>
        <v>0.63600000000000001</v>
      </c>
      <c r="Q297">
        <v>0.23899999999999999</v>
      </c>
      <c r="R297">
        <f t="shared" si="25"/>
        <v>0.37578616352201255</v>
      </c>
    </row>
    <row r="298" spans="1:20" x14ac:dyDescent="0.25">
      <c r="A298">
        <v>335</v>
      </c>
      <c r="B298" t="s">
        <v>861</v>
      </c>
      <c r="D298" t="s">
        <v>847</v>
      </c>
      <c r="E298">
        <v>2</v>
      </c>
      <c r="F298" t="s">
        <v>848</v>
      </c>
      <c r="G298" t="s">
        <v>141</v>
      </c>
      <c r="H298" t="s">
        <v>141</v>
      </c>
      <c r="I298" t="s">
        <v>135</v>
      </c>
      <c r="J298">
        <v>5</v>
      </c>
      <c r="K298">
        <v>3.65</v>
      </c>
      <c r="L298">
        <f t="shared" si="23"/>
        <v>0.67500000000000004</v>
      </c>
      <c r="M298">
        <f t="shared" si="24"/>
        <v>0.13500000000000001</v>
      </c>
      <c r="N298">
        <v>0.34699999999999998</v>
      </c>
      <c r="O298">
        <v>2.1999999999999999E-2</v>
      </c>
      <c r="P298">
        <f t="shared" si="26"/>
        <v>0.32499999999999996</v>
      </c>
      <c r="Q298">
        <v>0.222</v>
      </c>
      <c r="R298">
        <f t="shared" si="25"/>
        <v>0.68307692307692314</v>
      </c>
    </row>
    <row r="299" spans="1:20" x14ac:dyDescent="0.25">
      <c r="A299">
        <v>347</v>
      </c>
      <c r="B299" t="s">
        <v>846</v>
      </c>
      <c r="D299" t="s">
        <v>847</v>
      </c>
      <c r="E299">
        <v>3</v>
      </c>
      <c r="F299" t="s">
        <v>848</v>
      </c>
      <c r="G299" t="s">
        <v>141</v>
      </c>
      <c r="H299" t="s">
        <v>141</v>
      </c>
      <c r="I299" t="s">
        <v>135</v>
      </c>
      <c r="J299">
        <v>7.82</v>
      </c>
      <c r="K299">
        <v>5.32</v>
      </c>
      <c r="L299">
        <f t="shared" si="23"/>
        <v>1.25</v>
      </c>
      <c r="M299">
        <f t="shared" si="24"/>
        <v>0.15984654731457801</v>
      </c>
      <c r="N299">
        <v>0.57899999999999996</v>
      </c>
      <c r="O299">
        <v>2.1999999999999999E-2</v>
      </c>
      <c r="P299">
        <f t="shared" si="26"/>
        <v>0.55699999999999994</v>
      </c>
      <c r="Q299">
        <v>0.26500000000000001</v>
      </c>
      <c r="R299">
        <f t="shared" si="25"/>
        <v>0.47576301615798933</v>
      </c>
    </row>
    <row r="300" spans="1:20" x14ac:dyDescent="0.25">
      <c r="A300">
        <v>353</v>
      </c>
      <c r="B300" t="s">
        <v>855</v>
      </c>
      <c r="D300" t="s">
        <v>847</v>
      </c>
      <c r="E300">
        <v>4</v>
      </c>
      <c r="F300" t="s">
        <v>848</v>
      </c>
      <c r="G300" t="s">
        <v>141</v>
      </c>
      <c r="H300" t="s">
        <v>141</v>
      </c>
      <c r="I300" t="s">
        <v>135</v>
      </c>
      <c r="J300">
        <v>9.26</v>
      </c>
      <c r="K300">
        <v>7.61</v>
      </c>
      <c r="L300">
        <f t="shared" si="23"/>
        <v>0.82499999999999973</v>
      </c>
      <c r="M300">
        <f t="shared" si="24"/>
        <v>8.9092872570194354E-2</v>
      </c>
      <c r="N300">
        <v>0.85599999999999998</v>
      </c>
      <c r="O300">
        <v>2.1999999999999999E-2</v>
      </c>
      <c r="P300">
        <f t="shared" si="26"/>
        <v>0.83399999999999996</v>
      </c>
      <c r="Q300">
        <v>0.36399999999999999</v>
      </c>
      <c r="R300">
        <f t="shared" si="25"/>
        <v>0.43645083932853718</v>
      </c>
    </row>
    <row r="301" spans="1:20" x14ac:dyDescent="0.25">
      <c r="A301">
        <v>354</v>
      </c>
      <c r="B301" t="s">
        <v>852</v>
      </c>
      <c r="D301" t="s">
        <v>847</v>
      </c>
      <c r="E301">
        <v>5</v>
      </c>
      <c r="F301" t="s">
        <v>848</v>
      </c>
      <c r="G301" t="s">
        <v>141</v>
      </c>
      <c r="H301" t="s">
        <v>141</v>
      </c>
      <c r="I301" t="s">
        <v>135</v>
      </c>
      <c r="J301">
        <v>8.2899999999999991</v>
      </c>
      <c r="K301">
        <v>6.77</v>
      </c>
      <c r="L301">
        <f t="shared" si="23"/>
        <v>0.75999999999999979</v>
      </c>
      <c r="M301">
        <f t="shared" si="24"/>
        <v>9.1676718938480076E-2</v>
      </c>
      <c r="N301">
        <v>0.66600000000000004</v>
      </c>
      <c r="O301">
        <v>2.1999999999999999E-2</v>
      </c>
      <c r="P301">
        <f t="shared" si="26"/>
        <v>0.64400000000000002</v>
      </c>
      <c r="Q301">
        <v>0.25600000000000001</v>
      </c>
      <c r="R301">
        <f t="shared" si="25"/>
        <v>0.39751552795031053</v>
      </c>
    </row>
    <row r="302" spans="1:20" x14ac:dyDescent="0.25">
      <c r="A302">
        <v>345</v>
      </c>
      <c r="B302" t="s">
        <v>915</v>
      </c>
      <c r="D302" t="s">
        <v>847</v>
      </c>
      <c r="E302">
        <v>6</v>
      </c>
      <c r="F302" t="s">
        <v>848</v>
      </c>
      <c r="G302" t="s">
        <v>141</v>
      </c>
      <c r="H302" t="s">
        <v>141</v>
      </c>
      <c r="I302" t="s">
        <v>135</v>
      </c>
      <c r="J302">
        <v>7.24</v>
      </c>
      <c r="K302">
        <v>5.42</v>
      </c>
      <c r="L302">
        <f t="shared" si="23"/>
        <v>0.91000000000000014</v>
      </c>
      <c r="M302">
        <f t="shared" si="24"/>
        <v>0.12569060773480664</v>
      </c>
      <c r="N302">
        <v>0.42299999999999999</v>
      </c>
      <c r="O302">
        <v>2.1999999999999999E-2</v>
      </c>
      <c r="P302">
        <f t="shared" si="26"/>
        <v>0.40099999999999997</v>
      </c>
      <c r="Q302">
        <v>0.22600000000000001</v>
      </c>
      <c r="R302">
        <f t="shared" si="25"/>
        <v>0.56359102244389037</v>
      </c>
      <c r="T302" t="s">
        <v>913</v>
      </c>
    </row>
    <row r="303" spans="1:20" x14ac:dyDescent="0.25">
      <c r="A303">
        <v>3</v>
      </c>
      <c r="B303" t="s">
        <v>1222</v>
      </c>
      <c r="C303" t="s">
        <v>22</v>
      </c>
      <c r="D303" t="s">
        <v>350</v>
      </c>
      <c r="E303">
        <v>1</v>
      </c>
      <c r="F303" t="s">
        <v>330</v>
      </c>
      <c r="G303">
        <v>5.01</v>
      </c>
      <c r="H303">
        <v>5.0999999999999996</v>
      </c>
      <c r="I303" t="s">
        <v>134</v>
      </c>
      <c r="J303">
        <v>6.62</v>
      </c>
      <c r="K303">
        <v>3.89</v>
      </c>
      <c r="L303">
        <f t="shared" si="23"/>
        <v>1.365</v>
      </c>
      <c r="M303">
        <f t="shared" si="24"/>
        <v>0.20619335347432025</v>
      </c>
      <c r="O303">
        <v>1.6E-2</v>
      </c>
      <c r="P303">
        <f>(3.14159*((H303/2)*2) * G303)/1000</f>
        <v>8.0270766089999987E-2</v>
      </c>
      <c r="Q303">
        <v>3.7999999999999999E-2</v>
      </c>
      <c r="R303">
        <f t="shared" si="25"/>
        <v>0.47339774928015771</v>
      </c>
      <c r="T303" t="s">
        <v>1236</v>
      </c>
    </row>
    <row r="304" spans="1:20" x14ac:dyDescent="0.25">
      <c r="A304">
        <v>74</v>
      </c>
      <c r="B304" t="s">
        <v>1222</v>
      </c>
      <c r="C304" t="s">
        <v>25</v>
      </c>
      <c r="D304" t="s">
        <v>352</v>
      </c>
      <c r="E304">
        <v>3</v>
      </c>
      <c r="F304" t="s">
        <v>332</v>
      </c>
      <c r="G304" t="s">
        <v>141</v>
      </c>
      <c r="H304" t="s">
        <v>141</v>
      </c>
      <c r="I304" t="s">
        <v>135</v>
      </c>
      <c r="J304">
        <v>12.4</v>
      </c>
      <c r="K304">
        <v>8.66</v>
      </c>
      <c r="L304">
        <f t="shared" si="23"/>
        <v>1.87</v>
      </c>
      <c r="M304">
        <f t="shared" si="24"/>
        <v>0.15080645161290324</v>
      </c>
      <c r="N304">
        <v>1.367</v>
      </c>
      <c r="O304">
        <v>0.02</v>
      </c>
      <c r="P304">
        <f t="shared" ref="P304:P335" si="27">N304-O304</f>
        <v>1.347</v>
      </c>
      <c r="Q304">
        <v>0.90400000000000003</v>
      </c>
      <c r="R304">
        <f t="shared" si="25"/>
        <v>0.67112100965107646</v>
      </c>
      <c r="T304" t="s">
        <v>334</v>
      </c>
    </row>
    <row r="305" spans="1:20" x14ac:dyDescent="0.25">
      <c r="A305">
        <v>456</v>
      </c>
      <c r="B305" t="s">
        <v>1222</v>
      </c>
      <c r="D305" t="s">
        <v>362</v>
      </c>
      <c r="E305">
        <v>2</v>
      </c>
      <c r="F305" t="s">
        <v>363</v>
      </c>
      <c r="I305" t="s">
        <v>135</v>
      </c>
      <c r="J305">
        <v>5.97</v>
      </c>
      <c r="K305">
        <v>4.24</v>
      </c>
      <c r="L305">
        <f t="shared" si="23"/>
        <v>0.86499999999999977</v>
      </c>
      <c r="M305">
        <f t="shared" si="24"/>
        <v>0.14489112227805692</v>
      </c>
      <c r="N305">
        <v>0.55100000000000005</v>
      </c>
      <c r="O305">
        <v>2.7E-2</v>
      </c>
      <c r="P305">
        <f t="shared" si="27"/>
        <v>0.52400000000000002</v>
      </c>
      <c r="Q305">
        <v>0.308</v>
      </c>
      <c r="R305">
        <f t="shared" si="25"/>
        <v>0.58778625954198471</v>
      </c>
      <c r="T305" t="s">
        <v>1270</v>
      </c>
    </row>
    <row r="306" spans="1:20" x14ac:dyDescent="0.25">
      <c r="A306">
        <v>104</v>
      </c>
      <c r="B306" t="s">
        <v>23</v>
      </c>
      <c r="D306" t="s">
        <v>351</v>
      </c>
      <c r="E306">
        <v>1</v>
      </c>
      <c r="F306" t="s">
        <v>223</v>
      </c>
      <c r="G306" t="s">
        <v>141</v>
      </c>
      <c r="H306" t="s">
        <v>141</v>
      </c>
      <c r="I306" t="s">
        <v>135</v>
      </c>
      <c r="J306">
        <v>9.5299999999999994</v>
      </c>
      <c r="K306">
        <v>4.47</v>
      </c>
      <c r="L306">
        <f t="shared" si="23"/>
        <v>2.5299999999999998</v>
      </c>
      <c r="M306">
        <f t="shared" si="24"/>
        <v>0.26547743966421827</v>
      </c>
      <c r="N306">
        <v>0.79300000000000004</v>
      </c>
      <c r="O306">
        <v>0.03</v>
      </c>
      <c r="P306">
        <f t="shared" si="27"/>
        <v>0.76300000000000001</v>
      </c>
      <c r="Q306">
        <v>0.38900000000000001</v>
      </c>
      <c r="R306">
        <f t="shared" si="25"/>
        <v>0.509829619921363</v>
      </c>
    </row>
    <row r="307" spans="1:20" x14ac:dyDescent="0.25">
      <c r="A307">
        <v>141</v>
      </c>
      <c r="B307" t="s">
        <v>499</v>
      </c>
      <c r="D307" t="s">
        <v>351</v>
      </c>
      <c r="E307">
        <v>2</v>
      </c>
      <c r="F307" t="s">
        <v>223</v>
      </c>
      <c r="G307" t="s">
        <v>141</v>
      </c>
      <c r="H307" t="s">
        <v>141</v>
      </c>
      <c r="I307" t="s">
        <v>134</v>
      </c>
      <c r="J307">
        <v>6.78</v>
      </c>
      <c r="K307">
        <v>3.61</v>
      </c>
      <c r="L307">
        <f t="shared" si="23"/>
        <v>1.5850000000000002</v>
      </c>
      <c r="M307">
        <f t="shared" si="24"/>
        <v>0.23377581120943955</v>
      </c>
      <c r="N307">
        <v>0.84699999999999998</v>
      </c>
      <c r="O307">
        <v>0.03</v>
      </c>
      <c r="P307">
        <f t="shared" si="27"/>
        <v>0.81699999999999995</v>
      </c>
      <c r="Q307">
        <v>0.57799999999999996</v>
      </c>
      <c r="R307">
        <f t="shared" si="25"/>
        <v>0.70746634026927779</v>
      </c>
    </row>
    <row r="308" spans="1:20" x14ac:dyDescent="0.25">
      <c r="A308">
        <v>52</v>
      </c>
      <c r="B308" t="s">
        <v>1223</v>
      </c>
      <c r="C308" t="s">
        <v>222</v>
      </c>
      <c r="D308" t="s">
        <v>351</v>
      </c>
      <c r="E308">
        <v>3</v>
      </c>
      <c r="F308" t="s">
        <v>223</v>
      </c>
      <c r="G308" t="s">
        <v>141</v>
      </c>
      <c r="H308" t="s">
        <v>141</v>
      </c>
      <c r="I308" t="s">
        <v>135</v>
      </c>
      <c r="J308">
        <v>8.93</v>
      </c>
      <c r="K308">
        <v>5.01</v>
      </c>
      <c r="L308">
        <f t="shared" si="23"/>
        <v>1.96</v>
      </c>
      <c r="M308">
        <f t="shared" si="24"/>
        <v>0.219484882418813</v>
      </c>
      <c r="N308">
        <v>0.27800000000000002</v>
      </c>
      <c r="O308">
        <v>0.02</v>
      </c>
      <c r="P308">
        <f t="shared" si="27"/>
        <v>0.25800000000000001</v>
      </c>
      <c r="Q308">
        <v>0.126</v>
      </c>
      <c r="R308">
        <f t="shared" si="25"/>
        <v>0.48837209302325579</v>
      </c>
    </row>
    <row r="309" spans="1:20" x14ac:dyDescent="0.25">
      <c r="A309">
        <v>56</v>
      </c>
      <c r="B309" t="s">
        <v>1224</v>
      </c>
      <c r="C309" t="s">
        <v>225</v>
      </c>
      <c r="D309" t="s">
        <v>351</v>
      </c>
      <c r="E309">
        <v>4</v>
      </c>
      <c r="F309" t="s">
        <v>223</v>
      </c>
      <c r="G309" t="s">
        <v>141</v>
      </c>
      <c r="H309" t="s">
        <v>141</v>
      </c>
      <c r="I309" t="s">
        <v>135</v>
      </c>
      <c r="J309">
        <v>19.149999999999999</v>
      </c>
      <c r="K309">
        <v>10.08</v>
      </c>
      <c r="L309">
        <f t="shared" si="23"/>
        <v>4.5349999999999993</v>
      </c>
      <c r="M309">
        <f t="shared" si="24"/>
        <v>0.23681462140992166</v>
      </c>
      <c r="N309">
        <v>1.27</v>
      </c>
      <c r="O309">
        <v>0.02</v>
      </c>
      <c r="P309">
        <f t="shared" si="27"/>
        <v>1.25</v>
      </c>
      <c r="Q309">
        <v>0.874</v>
      </c>
      <c r="R309">
        <f t="shared" si="25"/>
        <v>0.69920000000000004</v>
      </c>
    </row>
    <row r="310" spans="1:20" x14ac:dyDescent="0.25">
      <c r="A310">
        <v>208</v>
      </c>
      <c r="B310" t="s">
        <v>470</v>
      </c>
      <c r="D310" t="s">
        <v>351</v>
      </c>
      <c r="E310">
        <v>5</v>
      </c>
      <c r="F310" t="s">
        <v>223</v>
      </c>
      <c r="G310" t="s">
        <v>141</v>
      </c>
      <c r="H310" t="s">
        <v>141</v>
      </c>
      <c r="I310" t="s">
        <v>135</v>
      </c>
      <c r="J310">
        <v>8.41</v>
      </c>
      <c r="K310">
        <v>4.84</v>
      </c>
      <c r="L310">
        <f t="shared" si="23"/>
        <v>1.7850000000000001</v>
      </c>
      <c r="M310">
        <f t="shared" si="24"/>
        <v>0.2122473246135553</v>
      </c>
      <c r="N310">
        <v>0.32400000000000001</v>
      </c>
      <c r="O310">
        <v>2.5999999999999999E-2</v>
      </c>
      <c r="P310">
        <f t="shared" si="27"/>
        <v>0.29799999999999999</v>
      </c>
      <c r="Q310">
        <v>0.16400000000000001</v>
      </c>
      <c r="R310">
        <f t="shared" si="25"/>
        <v>0.55033557046979875</v>
      </c>
      <c r="S310" t="s">
        <v>551</v>
      </c>
    </row>
    <row r="311" spans="1:20" x14ac:dyDescent="0.25">
      <c r="A311">
        <v>47</v>
      </c>
      <c r="B311" t="s">
        <v>1225</v>
      </c>
      <c r="C311" t="s">
        <v>316</v>
      </c>
      <c r="D311" t="s">
        <v>351</v>
      </c>
      <c r="E311">
        <v>6</v>
      </c>
      <c r="F311" t="s">
        <v>223</v>
      </c>
      <c r="G311" t="s">
        <v>141</v>
      </c>
      <c r="H311" t="s">
        <v>141</v>
      </c>
      <c r="I311" t="s">
        <v>135</v>
      </c>
      <c r="J311">
        <v>7.13</v>
      </c>
      <c r="K311">
        <v>4.58</v>
      </c>
      <c r="L311">
        <f t="shared" si="23"/>
        <v>1.2749999999999999</v>
      </c>
      <c r="M311">
        <f t="shared" si="24"/>
        <v>0.17882187938288918</v>
      </c>
      <c r="N311">
        <v>0.40799999999999997</v>
      </c>
      <c r="O311">
        <v>0.02</v>
      </c>
      <c r="P311">
        <f t="shared" si="27"/>
        <v>0.38799999999999996</v>
      </c>
      <c r="Q311">
        <v>0.22900000000000001</v>
      </c>
      <c r="R311">
        <f t="shared" si="25"/>
        <v>0.59020618556701043</v>
      </c>
    </row>
    <row r="312" spans="1:20" x14ac:dyDescent="0.25">
      <c r="A312">
        <v>95</v>
      </c>
      <c r="B312" t="s">
        <v>4</v>
      </c>
      <c r="D312" t="s">
        <v>340</v>
      </c>
      <c r="E312">
        <v>1</v>
      </c>
      <c r="F312" t="s">
        <v>5</v>
      </c>
      <c r="G312" t="s">
        <v>141</v>
      </c>
      <c r="H312" t="s">
        <v>141</v>
      </c>
      <c r="I312" t="s">
        <v>135</v>
      </c>
      <c r="J312">
        <v>9.16</v>
      </c>
      <c r="K312">
        <v>7.74</v>
      </c>
      <c r="L312">
        <f t="shared" si="23"/>
        <v>0.71</v>
      </c>
      <c r="M312">
        <f t="shared" si="24"/>
        <v>7.7510917030567686E-2</v>
      </c>
      <c r="N312">
        <v>0.78800000000000003</v>
      </c>
      <c r="O312">
        <v>0.03</v>
      </c>
      <c r="P312">
        <f t="shared" si="27"/>
        <v>0.75800000000000001</v>
      </c>
      <c r="Q312">
        <v>0.42499999999999999</v>
      </c>
      <c r="R312">
        <f t="shared" si="25"/>
        <v>0.56068601583113453</v>
      </c>
    </row>
    <row r="313" spans="1:20" x14ac:dyDescent="0.25">
      <c r="A313">
        <v>118</v>
      </c>
      <c r="B313" t="s">
        <v>112</v>
      </c>
      <c r="D313" t="s">
        <v>340</v>
      </c>
      <c r="E313">
        <v>2</v>
      </c>
      <c r="F313" t="s">
        <v>5</v>
      </c>
      <c r="G313" t="s">
        <v>141</v>
      </c>
      <c r="H313" t="s">
        <v>141</v>
      </c>
      <c r="I313" t="s">
        <v>134</v>
      </c>
      <c r="J313">
        <v>7.87</v>
      </c>
      <c r="K313">
        <v>5.99</v>
      </c>
      <c r="L313">
        <f t="shared" si="23"/>
        <v>0.94</v>
      </c>
      <c r="M313">
        <f t="shared" si="24"/>
        <v>0.11944091486658195</v>
      </c>
      <c r="N313">
        <v>0.66500000000000004</v>
      </c>
      <c r="O313">
        <v>0.03</v>
      </c>
      <c r="P313">
        <f t="shared" si="27"/>
        <v>0.63500000000000001</v>
      </c>
      <c r="Q313">
        <v>0.38200000000000001</v>
      </c>
      <c r="R313">
        <f t="shared" si="25"/>
        <v>0.60157480314960632</v>
      </c>
    </row>
    <row r="314" spans="1:20" x14ac:dyDescent="0.25">
      <c r="A314">
        <v>146</v>
      </c>
      <c r="B314" t="s">
        <v>121</v>
      </c>
      <c r="D314" t="s">
        <v>340</v>
      </c>
      <c r="E314">
        <v>3</v>
      </c>
      <c r="F314" t="s">
        <v>5</v>
      </c>
      <c r="G314" t="s">
        <v>141</v>
      </c>
      <c r="H314" t="s">
        <v>141</v>
      </c>
      <c r="I314" t="s">
        <v>134</v>
      </c>
      <c r="J314">
        <v>4.84</v>
      </c>
      <c r="K314">
        <v>3.86</v>
      </c>
      <c r="L314">
        <f t="shared" si="23"/>
        <v>0.49</v>
      </c>
      <c r="M314">
        <f t="shared" si="24"/>
        <v>0.1012396694214876</v>
      </c>
      <c r="N314">
        <v>0.748</v>
      </c>
      <c r="O314">
        <v>0.03</v>
      </c>
      <c r="P314">
        <f t="shared" si="27"/>
        <v>0.71799999999999997</v>
      </c>
      <c r="Q314">
        <v>0.36099999999999999</v>
      </c>
      <c r="R314">
        <f t="shared" si="25"/>
        <v>0.50278551532033422</v>
      </c>
    </row>
    <row r="315" spans="1:20" x14ac:dyDescent="0.25">
      <c r="A315">
        <v>310</v>
      </c>
      <c r="B315" t="s">
        <v>767</v>
      </c>
      <c r="D315" t="s">
        <v>340</v>
      </c>
      <c r="E315">
        <v>4</v>
      </c>
      <c r="F315" t="s">
        <v>5</v>
      </c>
      <c r="G315" t="s">
        <v>141</v>
      </c>
      <c r="H315" t="s">
        <v>141</v>
      </c>
      <c r="I315" t="s">
        <v>135</v>
      </c>
      <c r="J315">
        <v>6.95</v>
      </c>
      <c r="K315">
        <v>5.95</v>
      </c>
      <c r="L315">
        <f t="shared" si="23"/>
        <v>0.5</v>
      </c>
      <c r="M315">
        <f t="shared" si="24"/>
        <v>7.1942446043165464E-2</v>
      </c>
      <c r="N315">
        <v>0.58099999999999996</v>
      </c>
      <c r="O315">
        <v>2.1999999999999999E-2</v>
      </c>
      <c r="P315">
        <f t="shared" si="27"/>
        <v>0.55899999999999994</v>
      </c>
      <c r="Q315">
        <v>0.309</v>
      </c>
      <c r="R315">
        <f t="shared" si="25"/>
        <v>0.55277280858676214</v>
      </c>
    </row>
    <row r="316" spans="1:20" x14ac:dyDescent="0.25">
      <c r="A316">
        <v>281</v>
      </c>
      <c r="B316" t="s">
        <v>815</v>
      </c>
      <c r="D316" t="s">
        <v>340</v>
      </c>
      <c r="E316">
        <v>5</v>
      </c>
      <c r="F316" t="s">
        <v>5</v>
      </c>
      <c r="G316" t="s">
        <v>141</v>
      </c>
      <c r="H316" t="s">
        <v>141</v>
      </c>
      <c r="I316" t="s">
        <v>135</v>
      </c>
      <c r="J316">
        <v>6.65</v>
      </c>
      <c r="K316">
        <v>5.27</v>
      </c>
      <c r="L316">
        <f t="shared" si="23"/>
        <v>0.69000000000000039</v>
      </c>
      <c r="M316">
        <f t="shared" si="24"/>
        <v>0.10375939849624065</v>
      </c>
      <c r="N316">
        <v>0.42299999999999999</v>
      </c>
      <c r="O316">
        <v>2.1999999999999999E-2</v>
      </c>
      <c r="P316">
        <f t="shared" si="27"/>
        <v>0.40099999999999997</v>
      </c>
      <c r="Q316">
        <v>0.19900000000000001</v>
      </c>
      <c r="R316">
        <f t="shared" si="25"/>
        <v>0.4962593516209477</v>
      </c>
    </row>
    <row r="317" spans="1:20" x14ac:dyDescent="0.25">
      <c r="A317">
        <v>184</v>
      </c>
      <c r="B317" t="s">
        <v>1219</v>
      </c>
      <c r="C317" t="s">
        <v>480</v>
      </c>
      <c r="D317" t="s">
        <v>1220</v>
      </c>
      <c r="E317">
        <v>1</v>
      </c>
      <c r="F317" t="s">
        <v>1221</v>
      </c>
      <c r="G317" t="s">
        <v>141</v>
      </c>
      <c r="H317" t="s">
        <v>141</v>
      </c>
      <c r="I317" t="s">
        <v>135</v>
      </c>
      <c r="J317">
        <v>8.77</v>
      </c>
      <c r="K317">
        <v>5.63</v>
      </c>
      <c r="L317">
        <f t="shared" si="23"/>
        <v>1.5699999999999998</v>
      </c>
      <c r="M317">
        <f t="shared" si="24"/>
        <v>0.1790193842645382</v>
      </c>
      <c r="N317">
        <v>0.59099999999999997</v>
      </c>
      <c r="O317">
        <v>2.5999999999999999E-2</v>
      </c>
      <c r="P317">
        <f t="shared" si="27"/>
        <v>0.56499999999999995</v>
      </c>
      <c r="Q317">
        <v>0.28399999999999997</v>
      </c>
      <c r="R317">
        <f t="shared" si="25"/>
        <v>0.50265486725663722</v>
      </c>
      <c r="S317" t="s">
        <v>551</v>
      </c>
    </row>
    <row r="318" spans="1:20" x14ac:dyDescent="0.25">
      <c r="A318">
        <v>452</v>
      </c>
      <c r="B318" t="s">
        <v>1093</v>
      </c>
      <c r="D318" t="s">
        <v>1094</v>
      </c>
      <c r="E318">
        <v>1</v>
      </c>
      <c r="F318" t="s">
        <v>1095</v>
      </c>
      <c r="I318" t="s">
        <v>135</v>
      </c>
      <c r="J318">
        <v>6.03</v>
      </c>
      <c r="K318">
        <v>4.54</v>
      </c>
      <c r="L318">
        <f t="shared" si="23"/>
        <v>0.74500000000000011</v>
      </c>
      <c r="M318">
        <f t="shared" si="24"/>
        <v>0.12354892205638475</v>
      </c>
      <c r="N318">
        <v>0.46100000000000002</v>
      </c>
      <c r="O318">
        <v>2.7E-2</v>
      </c>
      <c r="P318">
        <f t="shared" si="27"/>
        <v>0.434</v>
      </c>
      <c r="Q318">
        <v>0.24</v>
      </c>
      <c r="R318">
        <f t="shared" si="25"/>
        <v>0.55299539170506906</v>
      </c>
    </row>
    <row r="319" spans="1:20" x14ac:dyDescent="0.25">
      <c r="A319">
        <v>454</v>
      </c>
      <c r="B319" t="s">
        <v>1096</v>
      </c>
      <c r="D319" t="s">
        <v>1094</v>
      </c>
      <c r="E319">
        <v>1</v>
      </c>
      <c r="F319" t="s">
        <v>1095</v>
      </c>
      <c r="I319" t="s">
        <v>135</v>
      </c>
      <c r="J319">
        <v>6.27</v>
      </c>
      <c r="K319">
        <v>4.57</v>
      </c>
      <c r="L319">
        <f t="shared" si="23"/>
        <v>0.84999999999999964</v>
      </c>
      <c r="M319">
        <f t="shared" si="24"/>
        <v>0.13556618819776708</v>
      </c>
      <c r="N319">
        <v>0.51800000000000002</v>
      </c>
      <c r="O319">
        <v>2.7E-2</v>
      </c>
      <c r="P319">
        <f t="shared" si="27"/>
        <v>0.49099999999999999</v>
      </c>
      <c r="Q319">
        <v>0.28899999999999998</v>
      </c>
      <c r="R319">
        <f t="shared" si="25"/>
        <v>0.58859470468431774</v>
      </c>
    </row>
    <row r="320" spans="1:20" x14ac:dyDescent="0.25">
      <c r="A320">
        <v>455</v>
      </c>
      <c r="B320" t="s">
        <v>1097</v>
      </c>
      <c r="D320" t="s">
        <v>1094</v>
      </c>
      <c r="E320">
        <v>3</v>
      </c>
      <c r="F320" t="s">
        <v>1095</v>
      </c>
      <c r="I320" t="s">
        <v>135</v>
      </c>
      <c r="J320">
        <v>6.83</v>
      </c>
      <c r="K320">
        <v>5.39</v>
      </c>
      <c r="L320">
        <f t="shared" si="23"/>
        <v>0.7200000000000002</v>
      </c>
      <c r="M320">
        <f t="shared" si="24"/>
        <v>0.10541727672035142</v>
      </c>
      <c r="N320">
        <v>0.72</v>
      </c>
      <c r="O320">
        <v>2.7E-2</v>
      </c>
      <c r="P320">
        <f t="shared" si="27"/>
        <v>0.69299999999999995</v>
      </c>
      <c r="Q320">
        <v>0.39400000000000002</v>
      </c>
      <c r="R320">
        <f t="shared" si="25"/>
        <v>0.56854256854256857</v>
      </c>
    </row>
    <row r="321" spans="1:19" x14ac:dyDescent="0.25">
      <c r="A321">
        <v>457</v>
      </c>
      <c r="B321" t="s">
        <v>1098</v>
      </c>
      <c r="D321" t="s">
        <v>1094</v>
      </c>
      <c r="E321">
        <v>4</v>
      </c>
      <c r="F321" t="s">
        <v>1095</v>
      </c>
      <c r="I321" t="s">
        <v>135</v>
      </c>
      <c r="J321">
        <v>6.59</v>
      </c>
      <c r="K321">
        <v>4.99</v>
      </c>
      <c r="L321">
        <f t="shared" si="23"/>
        <v>0.79999999999999982</v>
      </c>
      <c r="M321">
        <f t="shared" si="24"/>
        <v>0.12139605462822456</v>
      </c>
      <c r="N321">
        <v>0.61199999999999999</v>
      </c>
      <c r="O321">
        <v>2.7E-2</v>
      </c>
      <c r="P321">
        <f t="shared" si="27"/>
        <v>0.58499999999999996</v>
      </c>
      <c r="Q321">
        <v>0.29899999999999999</v>
      </c>
      <c r="R321">
        <f t="shared" si="25"/>
        <v>0.51111111111111107</v>
      </c>
    </row>
    <row r="322" spans="1:19" x14ac:dyDescent="0.25">
      <c r="A322">
        <v>458</v>
      </c>
      <c r="B322" t="s">
        <v>1099</v>
      </c>
      <c r="D322" t="s">
        <v>1094</v>
      </c>
      <c r="E322">
        <v>5</v>
      </c>
      <c r="F322" t="s">
        <v>1095</v>
      </c>
      <c r="I322" t="s">
        <v>135</v>
      </c>
      <c r="J322">
        <v>10.58</v>
      </c>
      <c r="K322">
        <v>8.24</v>
      </c>
      <c r="L322">
        <f t="shared" ref="L322:L385" si="28">(J322-K322)/2</f>
        <v>1.17</v>
      </c>
      <c r="M322">
        <f t="shared" ref="M322:M385" si="29">L322/J322</f>
        <v>0.110586011342155</v>
      </c>
      <c r="N322">
        <v>0.93300000000000005</v>
      </c>
      <c r="O322">
        <v>2.7E-2</v>
      </c>
      <c r="P322">
        <f t="shared" si="27"/>
        <v>0.90600000000000003</v>
      </c>
      <c r="Q322">
        <v>0.57799999999999996</v>
      </c>
      <c r="R322">
        <f t="shared" ref="R322:R385" si="30">Q322/P322</f>
        <v>0.63796909492273723</v>
      </c>
    </row>
    <row r="323" spans="1:19" x14ac:dyDescent="0.25">
      <c r="A323">
        <v>172</v>
      </c>
      <c r="B323" t="s">
        <v>521</v>
      </c>
      <c r="D323" t="s">
        <v>522</v>
      </c>
      <c r="E323">
        <v>1</v>
      </c>
      <c r="F323" t="s">
        <v>781</v>
      </c>
      <c r="G323" t="s">
        <v>141</v>
      </c>
      <c r="H323" t="s">
        <v>141</v>
      </c>
      <c r="I323" t="s">
        <v>135</v>
      </c>
      <c r="J323">
        <v>6.69</v>
      </c>
      <c r="K323">
        <v>5.51</v>
      </c>
      <c r="L323">
        <f t="shared" si="28"/>
        <v>0.5900000000000003</v>
      </c>
      <c r="M323">
        <f t="shared" si="29"/>
        <v>8.8191330343796753E-2</v>
      </c>
      <c r="N323">
        <v>0.42699999999999999</v>
      </c>
      <c r="O323">
        <v>2.5999999999999999E-2</v>
      </c>
      <c r="P323">
        <f t="shared" si="27"/>
        <v>0.40099999999999997</v>
      </c>
      <c r="Q323">
        <v>0.17100000000000001</v>
      </c>
      <c r="R323">
        <f t="shared" si="30"/>
        <v>0.42643391521197016</v>
      </c>
    </row>
    <row r="324" spans="1:19" x14ac:dyDescent="0.25">
      <c r="A324">
        <v>297</v>
      </c>
      <c r="B324" t="s">
        <v>819</v>
      </c>
      <c r="D324" t="s">
        <v>820</v>
      </c>
      <c r="E324">
        <v>1</v>
      </c>
      <c r="F324" t="s">
        <v>821</v>
      </c>
      <c r="G324" t="s">
        <v>141</v>
      </c>
      <c r="H324" t="s">
        <v>141</v>
      </c>
      <c r="I324" t="s">
        <v>135</v>
      </c>
      <c r="J324">
        <v>7.62</v>
      </c>
      <c r="K324">
        <v>6.18</v>
      </c>
      <c r="L324">
        <f t="shared" si="28"/>
        <v>0.7200000000000002</v>
      </c>
      <c r="M324">
        <f t="shared" si="29"/>
        <v>9.4488188976377979E-2</v>
      </c>
      <c r="N324">
        <v>0.69299999999999995</v>
      </c>
      <c r="O324">
        <v>2.1999999999999999E-2</v>
      </c>
      <c r="P324">
        <f t="shared" si="27"/>
        <v>0.67099999999999993</v>
      </c>
      <c r="Q324">
        <v>0.51300000000000001</v>
      </c>
      <c r="R324">
        <f t="shared" si="30"/>
        <v>0.7645305514157974</v>
      </c>
    </row>
    <row r="325" spans="1:19" x14ac:dyDescent="0.25">
      <c r="A325">
        <v>424</v>
      </c>
      <c r="B325" t="s">
        <v>1007</v>
      </c>
      <c r="D325" t="s">
        <v>820</v>
      </c>
      <c r="E325">
        <v>2</v>
      </c>
      <c r="F325" t="s">
        <v>821</v>
      </c>
      <c r="G325" t="s">
        <v>141</v>
      </c>
      <c r="H325" t="s">
        <v>141</v>
      </c>
      <c r="I325" t="s">
        <v>135</v>
      </c>
      <c r="J325">
        <v>4.3899999999999997</v>
      </c>
      <c r="K325">
        <v>3.8</v>
      </c>
      <c r="L325">
        <f t="shared" si="28"/>
        <v>0.29499999999999993</v>
      </c>
      <c r="M325">
        <f t="shared" si="29"/>
        <v>6.7198177676537574E-2</v>
      </c>
      <c r="N325">
        <v>0.66</v>
      </c>
      <c r="O325">
        <v>2.7E-2</v>
      </c>
      <c r="P325">
        <f t="shared" si="27"/>
        <v>0.63300000000000001</v>
      </c>
      <c r="Q325">
        <v>0.315</v>
      </c>
      <c r="R325">
        <f t="shared" si="30"/>
        <v>0.49763033175355448</v>
      </c>
    </row>
    <row r="326" spans="1:19" x14ac:dyDescent="0.25">
      <c r="A326">
        <v>425</v>
      </c>
      <c r="B326" t="s">
        <v>1009</v>
      </c>
      <c r="D326" t="s">
        <v>820</v>
      </c>
      <c r="E326">
        <v>3</v>
      </c>
      <c r="F326" t="s">
        <v>821</v>
      </c>
      <c r="G326" t="s">
        <v>141</v>
      </c>
      <c r="H326" t="s">
        <v>141</v>
      </c>
      <c r="I326" t="s">
        <v>135</v>
      </c>
      <c r="J326">
        <v>6.85</v>
      </c>
      <c r="K326">
        <v>5.22</v>
      </c>
      <c r="L326">
        <f t="shared" si="28"/>
        <v>0.81499999999999995</v>
      </c>
      <c r="M326">
        <f t="shared" si="29"/>
        <v>0.11897810218978103</v>
      </c>
      <c r="N326">
        <v>0.502</v>
      </c>
      <c r="O326">
        <v>2.7E-2</v>
      </c>
      <c r="P326">
        <f t="shared" si="27"/>
        <v>0.47499999999999998</v>
      </c>
      <c r="Q326">
        <v>0.35399999999999998</v>
      </c>
      <c r="R326">
        <f t="shared" si="30"/>
        <v>0.74526315789473685</v>
      </c>
    </row>
    <row r="327" spans="1:19" x14ac:dyDescent="0.25">
      <c r="A327">
        <v>445</v>
      </c>
      <c r="B327" t="s">
        <v>1070</v>
      </c>
      <c r="D327" t="s">
        <v>820</v>
      </c>
      <c r="E327">
        <v>4</v>
      </c>
      <c r="F327" t="s">
        <v>821</v>
      </c>
      <c r="I327" t="s">
        <v>135</v>
      </c>
      <c r="J327">
        <v>7.79</v>
      </c>
      <c r="K327">
        <v>5.7</v>
      </c>
      <c r="L327">
        <f t="shared" si="28"/>
        <v>1.0449999999999999</v>
      </c>
      <c r="M327">
        <f t="shared" si="29"/>
        <v>0.13414634146341461</v>
      </c>
      <c r="N327">
        <v>0.64900000000000002</v>
      </c>
      <c r="O327">
        <v>2.7E-2</v>
      </c>
      <c r="P327">
        <f t="shared" si="27"/>
        <v>0.622</v>
      </c>
      <c r="Q327">
        <v>0.41199999999999998</v>
      </c>
      <c r="R327">
        <f t="shared" si="30"/>
        <v>0.66237942122186488</v>
      </c>
    </row>
    <row r="328" spans="1:19" x14ac:dyDescent="0.25">
      <c r="A328">
        <v>444</v>
      </c>
      <c r="B328" t="s">
        <v>1073</v>
      </c>
      <c r="D328" t="s">
        <v>820</v>
      </c>
      <c r="E328">
        <v>5</v>
      </c>
      <c r="F328" t="s">
        <v>821</v>
      </c>
      <c r="I328" t="s">
        <v>135</v>
      </c>
      <c r="J328">
        <v>9.4600000000000009</v>
      </c>
      <c r="K328">
        <v>7.16</v>
      </c>
      <c r="L328">
        <f t="shared" si="28"/>
        <v>1.1500000000000004</v>
      </c>
      <c r="M328">
        <f t="shared" si="29"/>
        <v>0.12156448202959834</v>
      </c>
      <c r="N328">
        <v>0.82899999999999996</v>
      </c>
      <c r="O328">
        <v>2.7E-2</v>
      </c>
      <c r="P328">
        <f t="shared" si="27"/>
        <v>0.80199999999999994</v>
      </c>
      <c r="Q328">
        <v>0.65400000000000003</v>
      </c>
      <c r="R328">
        <f t="shared" si="30"/>
        <v>0.81546134663341652</v>
      </c>
    </row>
    <row r="329" spans="1:19" x14ac:dyDescent="0.25">
      <c r="A329">
        <v>41</v>
      </c>
      <c r="B329" t="s">
        <v>1252</v>
      </c>
      <c r="C329" t="s">
        <v>230</v>
      </c>
      <c r="D329" t="s">
        <v>386</v>
      </c>
      <c r="E329">
        <v>1</v>
      </c>
      <c r="F329" t="s">
        <v>231</v>
      </c>
      <c r="G329" t="s">
        <v>141</v>
      </c>
      <c r="H329" t="s">
        <v>141</v>
      </c>
      <c r="I329" t="s">
        <v>135</v>
      </c>
      <c r="J329">
        <v>7.06</v>
      </c>
      <c r="K329">
        <v>4.78</v>
      </c>
      <c r="L329">
        <f t="shared" si="28"/>
        <v>1.1399999999999997</v>
      </c>
      <c r="M329">
        <f t="shared" si="29"/>
        <v>0.16147308781869685</v>
      </c>
      <c r="N329">
        <v>0.89400000000000002</v>
      </c>
      <c r="O329">
        <v>0.02</v>
      </c>
      <c r="P329">
        <f t="shared" si="27"/>
        <v>0.874</v>
      </c>
      <c r="Q329">
        <v>0.51800000000000002</v>
      </c>
      <c r="R329">
        <f t="shared" si="30"/>
        <v>0.59267734553775742</v>
      </c>
    </row>
    <row r="330" spans="1:19" x14ac:dyDescent="0.25">
      <c r="A330">
        <v>45</v>
      </c>
      <c r="B330" t="s">
        <v>1253</v>
      </c>
      <c r="C330" t="s">
        <v>288</v>
      </c>
      <c r="D330" t="s">
        <v>386</v>
      </c>
      <c r="E330">
        <v>2</v>
      </c>
      <c r="F330" t="s">
        <v>231</v>
      </c>
      <c r="G330" t="s">
        <v>141</v>
      </c>
      <c r="H330" t="s">
        <v>141</v>
      </c>
      <c r="I330" t="s">
        <v>135</v>
      </c>
      <c r="J330">
        <v>7.68</v>
      </c>
      <c r="K330">
        <v>5.0599999999999996</v>
      </c>
      <c r="L330">
        <f t="shared" si="28"/>
        <v>1.31</v>
      </c>
      <c r="M330">
        <f t="shared" si="29"/>
        <v>0.17057291666666669</v>
      </c>
      <c r="N330">
        <v>0.70299999999999996</v>
      </c>
      <c r="O330">
        <v>0.02</v>
      </c>
      <c r="P330">
        <f t="shared" si="27"/>
        <v>0.68299999999999994</v>
      </c>
      <c r="Q330">
        <v>0.41399999999999998</v>
      </c>
      <c r="R330">
        <f t="shared" si="30"/>
        <v>0.60614934114202057</v>
      </c>
    </row>
    <row r="331" spans="1:19" x14ac:dyDescent="0.25">
      <c r="A331">
        <v>210</v>
      </c>
      <c r="B331" t="s">
        <v>417</v>
      </c>
      <c r="D331" t="s">
        <v>386</v>
      </c>
      <c r="E331">
        <v>3</v>
      </c>
      <c r="F331" t="s">
        <v>231</v>
      </c>
      <c r="G331" t="s">
        <v>141</v>
      </c>
      <c r="H331" t="s">
        <v>141</v>
      </c>
      <c r="I331" t="s">
        <v>135</v>
      </c>
      <c r="J331">
        <v>9.2100000000000009</v>
      </c>
      <c r="K331">
        <v>5.88</v>
      </c>
      <c r="L331">
        <f t="shared" si="28"/>
        <v>1.6650000000000005</v>
      </c>
      <c r="M331">
        <f t="shared" si="29"/>
        <v>0.18078175895765475</v>
      </c>
      <c r="N331">
        <v>0.38300000000000001</v>
      </c>
      <c r="O331">
        <v>2.5999999999999999E-2</v>
      </c>
      <c r="P331">
        <f t="shared" si="27"/>
        <v>0.35699999999999998</v>
      </c>
      <c r="Q331">
        <v>0.24</v>
      </c>
      <c r="R331">
        <f t="shared" si="30"/>
        <v>0.67226890756302526</v>
      </c>
      <c r="S331" t="s">
        <v>551</v>
      </c>
    </row>
    <row r="332" spans="1:19" x14ac:dyDescent="0.25">
      <c r="A332">
        <v>194</v>
      </c>
      <c r="B332" t="s">
        <v>449</v>
      </c>
      <c r="D332" t="s">
        <v>386</v>
      </c>
      <c r="E332">
        <v>4</v>
      </c>
      <c r="F332" t="s">
        <v>231</v>
      </c>
      <c r="G332" t="s">
        <v>141</v>
      </c>
      <c r="H332" t="s">
        <v>141</v>
      </c>
      <c r="I332" t="s">
        <v>135</v>
      </c>
      <c r="J332">
        <v>8.9</v>
      </c>
      <c r="K332">
        <v>7.02</v>
      </c>
      <c r="L332">
        <f t="shared" si="28"/>
        <v>0.94000000000000039</v>
      </c>
      <c r="M332">
        <f t="shared" si="29"/>
        <v>0.10561797752808992</v>
      </c>
      <c r="N332">
        <v>0.56299999999999994</v>
      </c>
      <c r="O332">
        <v>2.5999999999999999E-2</v>
      </c>
      <c r="P332">
        <f t="shared" si="27"/>
        <v>0.53699999999999992</v>
      </c>
      <c r="Q332">
        <v>0.34499999999999997</v>
      </c>
      <c r="R332">
        <f t="shared" si="30"/>
        <v>0.64245810055865926</v>
      </c>
      <c r="S332" t="s">
        <v>551</v>
      </c>
    </row>
    <row r="333" spans="1:19" x14ac:dyDescent="0.25">
      <c r="A333">
        <v>170</v>
      </c>
      <c r="B333" t="s">
        <v>543</v>
      </c>
      <c r="D333" t="s">
        <v>386</v>
      </c>
      <c r="E333">
        <v>5</v>
      </c>
      <c r="F333" t="s">
        <v>231</v>
      </c>
      <c r="G333" t="s">
        <v>141</v>
      </c>
      <c r="H333" t="s">
        <v>141</v>
      </c>
      <c r="I333" t="s">
        <v>135</v>
      </c>
      <c r="J333">
        <v>9.09</v>
      </c>
      <c r="K333">
        <v>4.79</v>
      </c>
      <c r="L333">
        <f t="shared" si="28"/>
        <v>2.15</v>
      </c>
      <c r="M333">
        <f t="shared" si="29"/>
        <v>0.23652365236523651</v>
      </c>
      <c r="N333">
        <v>0.74099999999999999</v>
      </c>
      <c r="O333">
        <v>2.5999999999999999E-2</v>
      </c>
      <c r="P333">
        <f t="shared" si="27"/>
        <v>0.71499999999999997</v>
      </c>
      <c r="Q333">
        <v>0.44700000000000001</v>
      </c>
      <c r="R333">
        <f t="shared" si="30"/>
        <v>0.62517482517482525</v>
      </c>
    </row>
    <row r="334" spans="1:19" x14ac:dyDescent="0.25">
      <c r="A334">
        <v>387</v>
      </c>
      <c r="B334" t="s">
        <v>931</v>
      </c>
      <c r="D334" t="s">
        <v>932</v>
      </c>
      <c r="E334">
        <v>1</v>
      </c>
      <c r="F334" t="s">
        <v>933</v>
      </c>
      <c r="G334" t="s">
        <v>141</v>
      </c>
      <c r="H334" t="s">
        <v>141</v>
      </c>
      <c r="I334" t="s">
        <v>135</v>
      </c>
      <c r="J334">
        <v>8.61</v>
      </c>
      <c r="K334">
        <v>6.46</v>
      </c>
      <c r="L334">
        <f t="shared" si="28"/>
        <v>1.0749999999999997</v>
      </c>
      <c r="M334">
        <f t="shared" si="29"/>
        <v>0.12485481997677117</v>
      </c>
      <c r="N334">
        <v>0.71299999999999997</v>
      </c>
      <c r="O334">
        <v>2.1999999999999999E-2</v>
      </c>
      <c r="P334">
        <f t="shared" si="27"/>
        <v>0.69099999999999995</v>
      </c>
      <c r="Q334">
        <v>0.46400000000000002</v>
      </c>
      <c r="R334">
        <f t="shared" si="30"/>
        <v>0.67149059334298122</v>
      </c>
    </row>
    <row r="335" spans="1:19" x14ac:dyDescent="0.25">
      <c r="A335">
        <v>403</v>
      </c>
      <c r="B335" t="s">
        <v>956</v>
      </c>
      <c r="D335" t="s">
        <v>932</v>
      </c>
      <c r="E335">
        <v>2</v>
      </c>
      <c r="F335" t="s">
        <v>933</v>
      </c>
      <c r="G335" t="s">
        <v>141</v>
      </c>
      <c r="H335" t="s">
        <v>141</v>
      </c>
      <c r="I335" t="s">
        <v>135</v>
      </c>
      <c r="J335">
        <v>5.79</v>
      </c>
      <c r="K335">
        <v>4.8099999999999996</v>
      </c>
      <c r="L335">
        <f t="shared" si="28"/>
        <v>0.49000000000000021</v>
      </c>
      <c r="M335">
        <f t="shared" si="29"/>
        <v>8.4628670120898142E-2</v>
      </c>
      <c r="N335">
        <v>0.59799999999999998</v>
      </c>
      <c r="O335">
        <v>2.1999999999999999E-2</v>
      </c>
      <c r="P335">
        <f t="shared" si="27"/>
        <v>0.57599999999999996</v>
      </c>
      <c r="Q335">
        <v>0.31900000000000001</v>
      </c>
      <c r="R335">
        <f t="shared" si="30"/>
        <v>0.55381944444444453</v>
      </c>
    </row>
    <row r="336" spans="1:19" x14ac:dyDescent="0.25">
      <c r="A336">
        <v>382</v>
      </c>
      <c r="B336" t="s">
        <v>975</v>
      </c>
      <c r="D336" t="s">
        <v>932</v>
      </c>
      <c r="E336">
        <v>3</v>
      </c>
      <c r="F336" t="s">
        <v>933</v>
      </c>
      <c r="G336" t="s">
        <v>141</v>
      </c>
      <c r="H336" t="s">
        <v>141</v>
      </c>
      <c r="I336" t="s">
        <v>135</v>
      </c>
      <c r="J336">
        <v>6.06</v>
      </c>
      <c r="K336">
        <v>4.78</v>
      </c>
      <c r="L336">
        <f t="shared" si="28"/>
        <v>0.63999999999999968</v>
      </c>
      <c r="M336">
        <f t="shared" si="29"/>
        <v>0.10561056105610557</v>
      </c>
      <c r="N336">
        <v>0.38200000000000001</v>
      </c>
      <c r="O336">
        <v>2.1999999999999999E-2</v>
      </c>
      <c r="P336">
        <f t="shared" ref="P336:P367" si="31">N336-O336</f>
        <v>0.36</v>
      </c>
      <c r="Q336">
        <v>0.19600000000000001</v>
      </c>
      <c r="R336">
        <f t="shared" si="30"/>
        <v>0.54444444444444451</v>
      </c>
    </row>
    <row r="337" spans="1:20" x14ac:dyDescent="0.25">
      <c r="A337">
        <v>374</v>
      </c>
      <c r="B337" t="s">
        <v>970</v>
      </c>
      <c r="D337" t="s">
        <v>932</v>
      </c>
      <c r="E337">
        <v>4</v>
      </c>
      <c r="F337" t="s">
        <v>933</v>
      </c>
      <c r="G337" t="s">
        <v>141</v>
      </c>
      <c r="H337" t="s">
        <v>141</v>
      </c>
      <c r="I337" t="s">
        <v>135</v>
      </c>
      <c r="J337">
        <v>8.57</v>
      </c>
      <c r="K337">
        <v>7.05</v>
      </c>
      <c r="L337">
        <f t="shared" si="28"/>
        <v>0.76000000000000023</v>
      </c>
      <c r="M337">
        <f t="shared" si="29"/>
        <v>8.8681446907817998E-2</v>
      </c>
      <c r="N337">
        <v>1.2150000000000001</v>
      </c>
      <c r="O337">
        <v>2.1999999999999999E-2</v>
      </c>
      <c r="P337">
        <f t="shared" si="31"/>
        <v>1.1930000000000001</v>
      </c>
      <c r="Q337">
        <v>0.42799999999999999</v>
      </c>
      <c r="R337">
        <f t="shared" si="30"/>
        <v>0.35875943000838223</v>
      </c>
    </row>
    <row r="338" spans="1:20" x14ac:dyDescent="0.25">
      <c r="A338">
        <v>375</v>
      </c>
      <c r="B338" t="s">
        <v>964</v>
      </c>
      <c r="D338" t="s">
        <v>932</v>
      </c>
      <c r="E338">
        <v>5</v>
      </c>
      <c r="F338" t="s">
        <v>933</v>
      </c>
      <c r="G338" t="s">
        <v>141</v>
      </c>
      <c r="H338" t="s">
        <v>141</v>
      </c>
      <c r="I338" t="s">
        <v>135</v>
      </c>
      <c r="J338">
        <v>10.07</v>
      </c>
      <c r="K338">
        <v>7.1</v>
      </c>
      <c r="L338">
        <f t="shared" si="28"/>
        <v>1.4850000000000003</v>
      </c>
      <c r="M338">
        <f t="shared" si="29"/>
        <v>0.14746772591857005</v>
      </c>
      <c r="N338">
        <v>0.59799999999999998</v>
      </c>
      <c r="O338">
        <v>2.1999999999999999E-2</v>
      </c>
      <c r="P338">
        <f t="shared" si="31"/>
        <v>0.57599999999999996</v>
      </c>
      <c r="Q338">
        <v>0.27300000000000002</v>
      </c>
      <c r="R338">
        <f t="shared" si="30"/>
        <v>0.47395833333333343</v>
      </c>
    </row>
    <row r="339" spans="1:20" x14ac:dyDescent="0.25">
      <c r="A339">
        <v>198</v>
      </c>
      <c r="B339" t="s">
        <v>462</v>
      </c>
      <c r="D339" t="s">
        <v>463</v>
      </c>
      <c r="E339">
        <v>1</v>
      </c>
      <c r="F339" t="s">
        <v>464</v>
      </c>
      <c r="G339" t="s">
        <v>141</v>
      </c>
      <c r="H339" t="s">
        <v>141</v>
      </c>
      <c r="I339" t="s">
        <v>135</v>
      </c>
      <c r="J339">
        <v>8.92</v>
      </c>
      <c r="K339">
        <v>5.71</v>
      </c>
      <c r="L339">
        <f t="shared" si="28"/>
        <v>1.605</v>
      </c>
      <c r="M339">
        <f t="shared" si="29"/>
        <v>0.17993273542600896</v>
      </c>
      <c r="N339">
        <v>0.56399999999999995</v>
      </c>
      <c r="O339">
        <v>2.5999999999999999E-2</v>
      </c>
      <c r="P339">
        <f t="shared" si="31"/>
        <v>0.53799999999999992</v>
      </c>
      <c r="Q339">
        <v>0.26700000000000002</v>
      </c>
      <c r="R339">
        <f t="shared" si="30"/>
        <v>0.49628252788104099</v>
      </c>
      <c r="S339" t="s">
        <v>550</v>
      </c>
    </row>
    <row r="340" spans="1:20" x14ac:dyDescent="0.25">
      <c r="A340">
        <v>183</v>
      </c>
      <c r="B340" t="s">
        <v>467</v>
      </c>
      <c r="D340" t="s">
        <v>463</v>
      </c>
      <c r="E340">
        <v>2</v>
      </c>
      <c r="F340" t="s">
        <v>782</v>
      </c>
      <c r="G340" t="s">
        <v>141</v>
      </c>
      <c r="H340" t="s">
        <v>141</v>
      </c>
      <c r="I340" t="s">
        <v>135</v>
      </c>
      <c r="J340">
        <v>8.36</v>
      </c>
      <c r="K340">
        <v>4.97</v>
      </c>
      <c r="L340">
        <f t="shared" si="28"/>
        <v>1.6949999999999998</v>
      </c>
      <c r="M340">
        <f t="shared" si="29"/>
        <v>0.20275119617224879</v>
      </c>
      <c r="N340">
        <v>0.52800000000000002</v>
      </c>
      <c r="O340">
        <v>2.5999999999999999E-2</v>
      </c>
      <c r="P340">
        <f t="shared" si="31"/>
        <v>0.502</v>
      </c>
      <c r="Q340">
        <v>0.31</v>
      </c>
      <c r="R340">
        <f t="shared" si="30"/>
        <v>0.61752988047808766</v>
      </c>
      <c r="S340" t="s">
        <v>550</v>
      </c>
    </row>
    <row r="341" spans="1:20" x14ac:dyDescent="0.25">
      <c r="A341">
        <v>278</v>
      </c>
      <c r="B341" t="s">
        <v>740</v>
      </c>
      <c r="D341" t="s">
        <v>463</v>
      </c>
      <c r="E341">
        <v>3</v>
      </c>
      <c r="F341" t="s">
        <v>464</v>
      </c>
      <c r="G341" t="s">
        <v>141</v>
      </c>
      <c r="H341" t="s">
        <v>141</v>
      </c>
      <c r="I341" t="s">
        <v>135</v>
      </c>
      <c r="J341">
        <v>5.95</v>
      </c>
      <c r="K341">
        <v>3.12</v>
      </c>
      <c r="L341">
        <f t="shared" si="28"/>
        <v>1.415</v>
      </c>
      <c r="M341">
        <f t="shared" si="29"/>
        <v>0.23781512605042016</v>
      </c>
      <c r="N341">
        <v>0.27500000000000002</v>
      </c>
      <c r="O341">
        <v>2.1999999999999999E-2</v>
      </c>
      <c r="P341">
        <f t="shared" si="31"/>
        <v>0.253</v>
      </c>
      <c r="Q341">
        <v>0.16600000000000001</v>
      </c>
      <c r="R341">
        <f t="shared" si="30"/>
        <v>0.65612648221343872</v>
      </c>
      <c r="S341" t="s">
        <v>550</v>
      </c>
    </row>
    <row r="342" spans="1:20" x14ac:dyDescent="0.25">
      <c r="A342">
        <v>405</v>
      </c>
      <c r="B342" t="s">
        <v>944</v>
      </c>
      <c r="D342" t="s">
        <v>463</v>
      </c>
      <c r="E342">
        <v>4</v>
      </c>
      <c r="F342" t="s">
        <v>464</v>
      </c>
      <c r="G342" t="s">
        <v>141</v>
      </c>
      <c r="H342" t="s">
        <v>141</v>
      </c>
      <c r="I342" t="s">
        <v>135</v>
      </c>
      <c r="J342">
        <v>8.74</v>
      </c>
      <c r="K342">
        <v>4.96</v>
      </c>
      <c r="L342">
        <f t="shared" si="28"/>
        <v>1.8900000000000001</v>
      </c>
      <c r="M342">
        <f t="shared" si="29"/>
        <v>0.21624713958810068</v>
      </c>
      <c r="N342">
        <v>0.51800000000000002</v>
      </c>
      <c r="O342">
        <v>2.1999999999999999E-2</v>
      </c>
      <c r="P342">
        <f t="shared" si="31"/>
        <v>0.496</v>
      </c>
      <c r="Q342">
        <v>0.27200000000000002</v>
      </c>
      <c r="R342">
        <f t="shared" si="30"/>
        <v>0.54838709677419362</v>
      </c>
    </row>
    <row r="343" spans="1:20" x14ac:dyDescent="0.25">
      <c r="A343">
        <v>388</v>
      </c>
      <c r="B343" t="s">
        <v>958</v>
      </c>
      <c r="D343" t="s">
        <v>463</v>
      </c>
      <c r="E343">
        <v>5</v>
      </c>
      <c r="F343" t="s">
        <v>464</v>
      </c>
      <c r="G343" t="s">
        <v>141</v>
      </c>
      <c r="H343" t="s">
        <v>141</v>
      </c>
      <c r="I343" t="s">
        <v>135</v>
      </c>
      <c r="J343">
        <v>10.28</v>
      </c>
      <c r="K343">
        <v>6.17</v>
      </c>
      <c r="L343">
        <f t="shared" si="28"/>
        <v>2.0549999999999997</v>
      </c>
      <c r="M343">
        <f t="shared" si="29"/>
        <v>0.19990272373540854</v>
      </c>
      <c r="N343">
        <v>0.377</v>
      </c>
      <c r="O343">
        <v>2.1999999999999999E-2</v>
      </c>
      <c r="P343">
        <f t="shared" si="31"/>
        <v>0.35499999999999998</v>
      </c>
      <c r="Q343">
        <v>0.16</v>
      </c>
      <c r="R343">
        <f t="shared" si="30"/>
        <v>0.45070422535211269</v>
      </c>
    </row>
    <row r="344" spans="1:20" x14ac:dyDescent="0.25">
      <c r="A344">
        <v>376</v>
      </c>
      <c r="B344" t="s">
        <v>971</v>
      </c>
      <c r="D344" t="s">
        <v>463</v>
      </c>
      <c r="E344">
        <v>6</v>
      </c>
      <c r="F344" t="s">
        <v>464</v>
      </c>
      <c r="G344" t="s">
        <v>141</v>
      </c>
      <c r="H344" t="s">
        <v>141</v>
      </c>
      <c r="I344" t="s">
        <v>135</v>
      </c>
      <c r="J344">
        <v>10.67</v>
      </c>
      <c r="K344">
        <v>6.87</v>
      </c>
      <c r="L344">
        <f t="shared" si="28"/>
        <v>1.9</v>
      </c>
      <c r="M344">
        <f t="shared" si="29"/>
        <v>0.17806935332708529</v>
      </c>
      <c r="N344">
        <v>0.73399999999999999</v>
      </c>
      <c r="O344">
        <v>2.1999999999999999E-2</v>
      </c>
      <c r="P344">
        <f t="shared" si="31"/>
        <v>0.71199999999999997</v>
      </c>
      <c r="Q344">
        <v>0.31</v>
      </c>
      <c r="R344">
        <f t="shared" si="30"/>
        <v>0.4353932584269663</v>
      </c>
    </row>
    <row r="345" spans="1:20" x14ac:dyDescent="0.25">
      <c r="A345">
        <v>225</v>
      </c>
      <c r="B345" t="s">
        <v>439</v>
      </c>
      <c r="D345" t="s">
        <v>440</v>
      </c>
      <c r="E345">
        <v>1</v>
      </c>
      <c r="F345" t="s">
        <v>441</v>
      </c>
      <c r="G345" t="s">
        <v>141</v>
      </c>
      <c r="H345" t="s">
        <v>141</v>
      </c>
      <c r="I345" t="s">
        <v>135</v>
      </c>
      <c r="J345">
        <v>9.4499999999999993</v>
      </c>
      <c r="K345">
        <v>7.65</v>
      </c>
      <c r="L345">
        <f t="shared" si="28"/>
        <v>0.89999999999999947</v>
      </c>
      <c r="M345">
        <f t="shared" si="29"/>
        <v>9.5238095238095191E-2</v>
      </c>
      <c r="N345">
        <v>1.466</v>
      </c>
      <c r="O345">
        <v>2.5999999999999999E-2</v>
      </c>
      <c r="P345">
        <f t="shared" si="31"/>
        <v>1.44</v>
      </c>
      <c r="Q345">
        <v>0.77200000000000002</v>
      </c>
      <c r="R345">
        <f t="shared" si="30"/>
        <v>0.53611111111111109</v>
      </c>
      <c r="S345" t="s">
        <v>551</v>
      </c>
    </row>
    <row r="346" spans="1:20" x14ac:dyDescent="0.25">
      <c r="A346">
        <v>321</v>
      </c>
      <c r="B346" t="s">
        <v>887</v>
      </c>
      <c r="D346" t="s">
        <v>440</v>
      </c>
      <c r="E346">
        <v>2</v>
      </c>
      <c r="F346" t="s">
        <v>441</v>
      </c>
      <c r="G346" t="s">
        <v>141</v>
      </c>
      <c r="H346" t="s">
        <v>141</v>
      </c>
      <c r="I346" t="s">
        <v>135</v>
      </c>
      <c r="J346">
        <v>8.61</v>
      </c>
      <c r="K346">
        <v>6.62</v>
      </c>
      <c r="L346">
        <f t="shared" si="28"/>
        <v>0.99499999999999966</v>
      </c>
      <c r="M346">
        <f t="shared" si="29"/>
        <v>0.11556329849012772</v>
      </c>
      <c r="N346">
        <v>1.3009999999999999</v>
      </c>
      <c r="O346">
        <v>2.1999999999999999E-2</v>
      </c>
      <c r="P346">
        <f t="shared" si="31"/>
        <v>1.2789999999999999</v>
      </c>
      <c r="Q346">
        <v>0.59799999999999998</v>
      </c>
      <c r="R346">
        <f t="shared" si="30"/>
        <v>0.46755277560594216</v>
      </c>
    </row>
    <row r="347" spans="1:20" x14ac:dyDescent="0.25">
      <c r="A347">
        <v>384</v>
      </c>
      <c r="B347" t="s">
        <v>973</v>
      </c>
      <c r="D347" t="s">
        <v>440</v>
      </c>
      <c r="E347">
        <v>3</v>
      </c>
      <c r="F347" t="s">
        <v>441</v>
      </c>
      <c r="G347" t="s">
        <v>141</v>
      </c>
      <c r="H347" t="s">
        <v>141</v>
      </c>
      <c r="I347" t="s">
        <v>135</v>
      </c>
      <c r="J347">
        <v>7.32</v>
      </c>
      <c r="K347">
        <v>5.71</v>
      </c>
      <c r="L347">
        <f t="shared" si="28"/>
        <v>0.80500000000000016</v>
      </c>
      <c r="M347">
        <f t="shared" si="29"/>
        <v>0.10997267759562843</v>
      </c>
      <c r="N347">
        <v>0.56100000000000005</v>
      </c>
      <c r="O347">
        <v>2.1999999999999999E-2</v>
      </c>
      <c r="P347">
        <f t="shared" si="31"/>
        <v>0.53900000000000003</v>
      </c>
      <c r="Q347">
        <v>0.252</v>
      </c>
      <c r="R347">
        <f t="shared" si="30"/>
        <v>0.46753246753246752</v>
      </c>
    </row>
    <row r="348" spans="1:20" x14ac:dyDescent="0.25">
      <c r="A348">
        <v>472</v>
      </c>
      <c r="B348" t="s">
        <v>1120</v>
      </c>
      <c r="D348" t="s">
        <v>440</v>
      </c>
      <c r="E348">
        <v>4</v>
      </c>
      <c r="F348" t="s">
        <v>441</v>
      </c>
      <c r="I348" t="s">
        <v>135</v>
      </c>
      <c r="J348">
        <v>5.76</v>
      </c>
      <c r="K348">
        <v>3.89</v>
      </c>
      <c r="L348">
        <f t="shared" si="28"/>
        <v>0.93499999999999983</v>
      </c>
      <c r="M348">
        <f t="shared" si="29"/>
        <v>0.16232638888888887</v>
      </c>
      <c r="N348">
        <v>0.54200000000000004</v>
      </c>
      <c r="O348">
        <v>2.7E-2</v>
      </c>
      <c r="P348">
        <f t="shared" si="31"/>
        <v>0.51500000000000001</v>
      </c>
      <c r="Q348">
        <v>0.314</v>
      </c>
      <c r="R348">
        <f t="shared" si="30"/>
        <v>0.60970873786407764</v>
      </c>
    </row>
    <row r="349" spans="1:20" x14ac:dyDescent="0.25">
      <c r="A349">
        <v>473</v>
      </c>
      <c r="B349" t="s">
        <v>1121</v>
      </c>
      <c r="D349" t="s">
        <v>440</v>
      </c>
      <c r="E349">
        <v>5</v>
      </c>
      <c r="F349" t="s">
        <v>441</v>
      </c>
      <c r="I349" t="s">
        <v>135</v>
      </c>
      <c r="J349">
        <v>7.6</v>
      </c>
      <c r="K349">
        <v>5.66</v>
      </c>
      <c r="L349">
        <f t="shared" si="28"/>
        <v>0.96999999999999975</v>
      </c>
      <c r="M349">
        <f t="shared" si="29"/>
        <v>0.1276315789473684</v>
      </c>
      <c r="N349">
        <v>1.135</v>
      </c>
      <c r="O349">
        <v>2.7E-2</v>
      </c>
      <c r="P349">
        <f t="shared" si="31"/>
        <v>1.1080000000000001</v>
      </c>
      <c r="Q349">
        <v>0.60899999999999999</v>
      </c>
      <c r="R349">
        <f t="shared" si="30"/>
        <v>0.54963898916967502</v>
      </c>
    </row>
    <row r="350" spans="1:20" x14ac:dyDescent="0.25">
      <c r="A350">
        <v>209</v>
      </c>
      <c r="B350" t="s">
        <v>478</v>
      </c>
      <c r="C350" t="s">
        <v>1201</v>
      </c>
      <c r="D350" t="s">
        <v>477</v>
      </c>
      <c r="E350">
        <v>1</v>
      </c>
      <c r="F350" t="s">
        <v>479</v>
      </c>
      <c r="G350" t="s">
        <v>141</v>
      </c>
      <c r="H350" t="s">
        <v>141</v>
      </c>
      <c r="I350" t="s">
        <v>135</v>
      </c>
      <c r="J350">
        <v>11.63</v>
      </c>
      <c r="K350">
        <v>10.26</v>
      </c>
      <c r="L350">
        <f t="shared" si="28"/>
        <v>0.6850000000000005</v>
      </c>
      <c r="M350">
        <f t="shared" si="29"/>
        <v>5.8899398108340537E-2</v>
      </c>
      <c r="N350">
        <v>1.2270000000000001</v>
      </c>
      <c r="O350">
        <v>2.5999999999999999E-2</v>
      </c>
      <c r="P350">
        <f t="shared" si="31"/>
        <v>1.2010000000000001</v>
      </c>
      <c r="Q350">
        <v>0.73</v>
      </c>
      <c r="R350">
        <f t="shared" si="30"/>
        <v>0.6078268109908409</v>
      </c>
      <c r="S350" t="s">
        <v>551</v>
      </c>
      <c r="T350" t="s">
        <v>783</v>
      </c>
    </row>
    <row r="351" spans="1:20" x14ac:dyDescent="0.25">
      <c r="A351">
        <v>250</v>
      </c>
      <c r="B351" t="s">
        <v>618</v>
      </c>
      <c r="D351" t="s">
        <v>611</v>
      </c>
      <c r="E351">
        <v>1</v>
      </c>
      <c r="F351" t="s">
        <v>612</v>
      </c>
      <c r="G351" t="s">
        <v>141</v>
      </c>
      <c r="H351" t="s">
        <v>141</v>
      </c>
      <c r="I351" t="s">
        <v>135</v>
      </c>
      <c r="J351">
        <v>13.47</v>
      </c>
      <c r="K351">
        <v>9.73</v>
      </c>
      <c r="L351">
        <f t="shared" si="28"/>
        <v>1.87</v>
      </c>
      <c r="M351">
        <f t="shared" si="29"/>
        <v>0.13882702301410543</v>
      </c>
      <c r="N351">
        <v>1.496</v>
      </c>
      <c r="O351">
        <v>2.1999999999999999E-2</v>
      </c>
      <c r="P351">
        <f t="shared" si="31"/>
        <v>1.474</v>
      </c>
      <c r="Q351">
        <v>0.93500000000000005</v>
      </c>
      <c r="R351">
        <f t="shared" si="30"/>
        <v>0.63432835820895528</v>
      </c>
    </row>
    <row r="352" spans="1:20" x14ac:dyDescent="0.25">
      <c r="A352">
        <v>263</v>
      </c>
      <c r="B352" t="s">
        <v>610</v>
      </c>
      <c r="D352" t="s">
        <v>611</v>
      </c>
      <c r="E352">
        <v>2</v>
      </c>
      <c r="F352" t="s">
        <v>612</v>
      </c>
      <c r="G352" t="s">
        <v>141</v>
      </c>
      <c r="H352" t="s">
        <v>141</v>
      </c>
      <c r="I352" t="s">
        <v>135</v>
      </c>
      <c r="J352">
        <v>7.94</v>
      </c>
      <c r="K352">
        <v>6.58</v>
      </c>
      <c r="L352">
        <f t="shared" si="28"/>
        <v>0.68000000000000016</v>
      </c>
      <c r="M352">
        <f t="shared" si="29"/>
        <v>8.5642317380352662E-2</v>
      </c>
      <c r="N352">
        <v>0.84</v>
      </c>
      <c r="O352">
        <v>2.1999999999999999E-2</v>
      </c>
      <c r="P352">
        <f t="shared" si="31"/>
        <v>0.81799999999999995</v>
      </c>
      <c r="Q352">
        <v>0.49399999999999999</v>
      </c>
      <c r="R352">
        <f t="shared" si="30"/>
        <v>0.60391198044009786</v>
      </c>
    </row>
    <row r="353" spans="1:19" x14ac:dyDescent="0.25">
      <c r="A353">
        <v>289</v>
      </c>
      <c r="B353" t="s">
        <v>827</v>
      </c>
      <c r="D353" t="s">
        <v>611</v>
      </c>
      <c r="E353">
        <v>3</v>
      </c>
      <c r="F353" t="s">
        <v>612</v>
      </c>
      <c r="G353" t="s">
        <v>141</v>
      </c>
      <c r="H353" t="s">
        <v>141</v>
      </c>
      <c r="I353" t="s">
        <v>135</v>
      </c>
      <c r="J353">
        <v>8.35</v>
      </c>
      <c r="K353">
        <v>6.49</v>
      </c>
      <c r="L353">
        <f t="shared" si="28"/>
        <v>0.92999999999999972</v>
      </c>
      <c r="M353">
        <f t="shared" si="29"/>
        <v>0.11137724550898201</v>
      </c>
      <c r="N353">
        <v>0.78600000000000003</v>
      </c>
      <c r="O353">
        <v>2.1999999999999999E-2</v>
      </c>
      <c r="P353">
        <f t="shared" si="31"/>
        <v>0.76400000000000001</v>
      </c>
      <c r="Q353">
        <v>0.50600000000000001</v>
      </c>
      <c r="R353">
        <f t="shared" si="30"/>
        <v>0.66230366492146597</v>
      </c>
    </row>
    <row r="354" spans="1:19" x14ac:dyDescent="0.25">
      <c r="A354">
        <v>282</v>
      </c>
      <c r="B354" t="s">
        <v>830</v>
      </c>
      <c r="D354" t="s">
        <v>611</v>
      </c>
      <c r="E354">
        <v>4</v>
      </c>
      <c r="F354" t="s">
        <v>612</v>
      </c>
      <c r="G354" t="s">
        <v>141</v>
      </c>
      <c r="H354" t="s">
        <v>141</v>
      </c>
      <c r="I354" t="s">
        <v>135</v>
      </c>
      <c r="J354">
        <v>8.4499999999999993</v>
      </c>
      <c r="K354">
        <v>6.7</v>
      </c>
      <c r="L354">
        <f t="shared" si="28"/>
        <v>0.87499999999999956</v>
      </c>
      <c r="M354">
        <f t="shared" si="29"/>
        <v>0.10355029585798813</v>
      </c>
      <c r="N354">
        <v>1.075</v>
      </c>
      <c r="O354">
        <v>2.1999999999999999E-2</v>
      </c>
      <c r="P354">
        <f t="shared" si="31"/>
        <v>1.0529999999999999</v>
      </c>
      <c r="Q354">
        <v>0.68</v>
      </c>
      <c r="R354">
        <f t="shared" si="30"/>
        <v>0.64577397910731249</v>
      </c>
    </row>
    <row r="355" spans="1:19" x14ac:dyDescent="0.25">
      <c r="A355">
        <v>292</v>
      </c>
      <c r="B355" t="s">
        <v>807</v>
      </c>
      <c r="D355" t="s">
        <v>611</v>
      </c>
      <c r="E355">
        <v>5</v>
      </c>
      <c r="F355" t="s">
        <v>612</v>
      </c>
      <c r="G355" t="s">
        <v>141</v>
      </c>
      <c r="H355" t="s">
        <v>141</v>
      </c>
      <c r="I355" t="s">
        <v>135</v>
      </c>
      <c r="J355">
        <v>6.71</v>
      </c>
      <c r="K355">
        <v>5.13</v>
      </c>
      <c r="L355">
        <f t="shared" si="28"/>
        <v>0.79</v>
      </c>
      <c r="M355">
        <f t="shared" si="29"/>
        <v>0.11773472429210134</v>
      </c>
      <c r="N355">
        <v>0.996</v>
      </c>
      <c r="O355">
        <v>2.1999999999999999E-2</v>
      </c>
      <c r="P355">
        <f t="shared" si="31"/>
        <v>0.97399999999999998</v>
      </c>
      <c r="Q355">
        <v>0.56200000000000006</v>
      </c>
      <c r="R355">
        <f t="shared" si="30"/>
        <v>0.57700205338809041</v>
      </c>
    </row>
    <row r="356" spans="1:19" x14ac:dyDescent="0.25">
      <c r="A356">
        <v>86</v>
      </c>
      <c r="B356" t="s">
        <v>37</v>
      </c>
      <c r="D356" t="s">
        <v>357</v>
      </c>
      <c r="E356">
        <v>1</v>
      </c>
      <c r="F356" t="s">
        <v>337</v>
      </c>
      <c r="G356" t="s">
        <v>141</v>
      </c>
      <c r="H356" t="s">
        <v>141</v>
      </c>
      <c r="I356" t="s">
        <v>135</v>
      </c>
      <c r="J356">
        <v>7.49</v>
      </c>
      <c r="K356">
        <v>4.92</v>
      </c>
      <c r="L356">
        <f t="shared" si="28"/>
        <v>1.2850000000000001</v>
      </c>
      <c r="M356">
        <f t="shared" si="29"/>
        <v>0.17156208277703605</v>
      </c>
      <c r="N356">
        <v>0.64300000000000002</v>
      </c>
      <c r="O356">
        <v>0.02</v>
      </c>
      <c r="P356">
        <f t="shared" si="31"/>
        <v>0.623</v>
      </c>
      <c r="Q356">
        <v>0.33100000000000002</v>
      </c>
      <c r="R356">
        <f t="shared" si="30"/>
        <v>0.5313001605136437</v>
      </c>
    </row>
    <row r="357" spans="1:19" x14ac:dyDescent="0.25">
      <c r="A357">
        <v>142</v>
      </c>
      <c r="B357" t="s">
        <v>191</v>
      </c>
      <c r="D357" t="s">
        <v>357</v>
      </c>
      <c r="E357">
        <v>2</v>
      </c>
      <c r="F357" t="s">
        <v>337</v>
      </c>
      <c r="G357" t="s">
        <v>141</v>
      </c>
      <c r="H357" t="s">
        <v>141</v>
      </c>
      <c r="I357" t="s">
        <v>134</v>
      </c>
      <c r="J357">
        <v>9.2200000000000006</v>
      </c>
      <c r="K357">
        <v>6.85</v>
      </c>
      <c r="L357">
        <f t="shared" si="28"/>
        <v>1.1850000000000005</v>
      </c>
      <c r="M357">
        <f t="shared" si="29"/>
        <v>0.12852494577006512</v>
      </c>
      <c r="N357">
        <v>0.70299999999999996</v>
      </c>
      <c r="O357">
        <v>0.03</v>
      </c>
      <c r="P357">
        <f t="shared" si="31"/>
        <v>0.67299999999999993</v>
      </c>
      <c r="Q357">
        <v>0.48</v>
      </c>
      <c r="R357">
        <f t="shared" si="30"/>
        <v>0.71322436849925708</v>
      </c>
    </row>
    <row r="358" spans="1:19" x14ac:dyDescent="0.25">
      <c r="A358">
        <v>176</v>
      </c>
      <c r="B358" t="s">
        <v>474</v>
      </c>
      <c r="D358" t="s">
        <v>357</v>
      </c>
      <c r="E358">
        <v>3</v>
      </c>
      <c r="F358" t="s">
        <v>337</v>
      </c>
      <c r="G358" t="s">
        <v>141</v>
      </c>
      <c r="H358" t="s">
        <v>141</v>
      </c>
      <c r="I358" t="s">
        <v>135</v>
      </c>
      <c r="J358">
        <v>8.8000000000000007</v>
      </c>
      <c r="K358">
        <v>6.59</v>
      </c>
      <c r="L358">
        <f t="shared" si="28"/>
        <v>1.1050000000000004</v>
      </c>
      <c r="M358">
        <f t="shared" si="29"/>
        <v>0.12556818181818186</v>
      </c>
      <c r="N358">
        <v>1.0820000000000001</v>
      </c>
      <c r="O358">
        <v>2.5999999999999999E-2</v>
      </c>
      <c r="P358">
        <f t="shared" si="31"/>
        <v>1.056</v>
      </c>
      <c r="Q358">
        <v>0.51300000000000001</v>
      </c>
      <c r="R358">
        <f t="shared" si="30"/>
        <v>0.48579545454545453</v>
      </c>
    </row>
    <row r="359" spans="1:19" x14ac:dyDescent="0.25">
      <c r="A359">
        <v>274</v>
      </c>
      <c r="B359" t="s">
        <v>747</v>
      </c>
      <c r="D359" t="s">
        <v>357</v>
      </c>
      <c r="E359">
        <v>4</v>
      </c>
      <c r="F359" t="s">
        <v>337</v>
      </c>
      <c r="G359" t="s">
        <v>141</v>
      </c>
      <c r="H359" t="s">
        <v>141</v>
      </c>
      <c r="I359" t="s">
        <v>135</v>
      </c>
      <c r="J359">
        <v>10.26</v>
      </c>
      <c r="K359">
        <v>8.44</v>
      </c>
      <c r="L359">
        <f t="shared" si="28"/>
        <v>0.91000000000000014</v>
      </c>
      <c r="M359">
        <f t="shared" si="29"/>
        <v>8.8693957115009756E-2</v>
      </c>
      <c r="N359">
        <v>1.284</v>
      </c>
      <c r="O359">
        <v>2.1999999999999999E-2</v>
      </c>
      <c r="P359">
        <f t="shared" si="31"/>
        <v>1.262</v>
      </c>
      <c r="Q359">
        <v>0.67400000000000004</v>
      </c>
      <c r="R359">
        <f t="shared" si="30"/>
        <v>0.53407290015847864</v>
      </c>
    </row>
    <row r="360" spans="1:19" x14ac:dyDescent="0.25">
      <c r="A360">
        <v>314</v>
      </c>
      <c r="B360" t="s">
        <v>770</v>
      </c>
      <c r="D360" t="s">
        <v>357</v>
      </c>
      <c r="E360">
        <v>5</v>
      </c>
      <c r="F360" t="s">
        <v>337</v>
      </c>
      <c r="G360" t="s">
        <v>141</v>
      </c>
      <c r="H360" t="s">
        <v>141</v>
      </c>
      <c r="I360" t="s">
        <v>135</v>
      </c>
      <c r="J360">
        <v>8.07</v>
      </c>
      <c r="K360">
        <v>5.96</v>
      </c>
      <c r="L360">
        <f t="shared" si="28"/>
        <v>1.0550000000000002</v>
      </c>
      <c r="M360">
        <f t="shared" si="29"/>
        <v>0.13073110285006198</v>
      </c>
      <c r="N360">
        <v>0.89600000000000002</v>
      </c>
      <c r="O360">
        <v>2.1999999999999999E-2</v>
      </c>
      <c r="P360">
        <f t="shared" si="31"/>
        <v>0.874</v>
      </c>
      <c r="Q360">
        <v>0.45700000000000002</v>
      </c>
      <c r="R360">
        <f t="shared" si="30"/>
        <v>0.52288329519450805</v>
      </c>
    </row>
    <row r="361" spans="1:19" x14ac:dyDescent="0.25">
      <c r="A361">
        <v>178</v>
      </c>
      <c r="B361" t="s">
        <v>476</v>
      </c>
      <c r="D361" t="s">
        <v>460</v>
      </c>
      <c r="E361">
        <v>1</v>
      </c>
      <c r="F361" t="s">
        <v>461</v>
      </c>
      <c r="G361" t="s">
        <v>141</v>
      </c>
      <c r="H361" t="s">
        <v>141</v>
      </c>
      <c r="I361" t="s">
        <v>135</v>
      </c>
      <c r="J361">
        <v>8.06</v>
      </c>
      <c r="K361">
        <v>5.6</v>
      </c>
      <c r="L361">
        <f t="shared" si="28"/>
        <v>1.2300000000000004</v>
      </c>
      <c r="M361">
        <f t="shared" si="29"/>
        <v>0.15260545905707201</v>
      </c>
      <c r="N361">
        <v>0.95499999999999996</v>
      </c>
      <c r="O361">
        <v>2.5999999999999999E-2</v>
      </c>
      <c r="P361">
        <f t="shared" si="31"/>
        <v>0.92899999999999994</v>
      </c>
      <c r="Q361">
        <v>0.57299999999999995</v>
      </c>
      <c r="R361">
        <f t="shared" si="30"/>
        <v>0.61679224973089342</v>
      </c>
    </row>
    <row r="362" spans="1:19" x14ac:dyDescent="0.25">
      <c r="A362">
        <v>185</v>
      </c>
      <c r="B362" t="s">
        <v>459</v>
      </c>
      <c r="D362" t="s">
        <v>460</v>
      </c>
      <c r="E362">
        <v>2</v>
      </c>
      <c r="F362" t="s">
        <v>461</v>
      </c>
      <c r="G362" t="s">
        <v>141</v>
      </c>
      <c r="H362" t="s">
        <v>141</v>
      </c>
      <c r="I362" t="s">
        <v>135</v>
      </c>
      <c r="J362">
        <v>9.4700000000000006</v>
      </c>
      <c r="K362">
        <v>7.04</v>
      </c>
      <c r="L362">
        <f t="shared" si="28"/>
        <v>1.2150000000000003</v>
      </c>
      <c r="M362">
        <f t="shared" si="29"/>
        <v>0.12829989440337911</v>
      </c>
      <c r="N362">
        <v>0.84799999999999998</v>
      </c>
      <c r="O362">
        <v>2.5999999999999999E-2</v>
      </c>
      <c r="P362">
        <f t="shared" si="31"/>
        <v>0.82199999999999995</v>
      </c>
      <c r="Q362">
        <v>0.46400000000000002</v>
      </c>
      <c r="R362">
        <f t="shared" si="30"/>
        <v>0.56447688564476894</v>
      </c>
      <c r="S362" t="s">
        <v>551</v>
      </c>
    </row>
    <row r="363" spans="1:19" x14ac:dyDescent="0.25">
      <c r="A363">
        <v>391</v>
      </c>
      <c r="B363" t="s">
        <v>938</v>
      </c>
      <c r="D363" t="s">
        <v>460</v>
      </c>
      <c r="E363">
        <v>3</v>
      </c>
      <c r="F363" t="s">
        <v>461</v>
      </c>
      <c r="G363" t="s">
        <v>141</v>
      </c>
      <c r="H363" t="s">
        <v>141</v>
      </c>
      <c r="I363" t="s">
        <v>135</v>
      </c>
      <c r="J363">
        <v>6.05</v>
      </c>
      <c r="K363">
        <v>5.21</v>
      </c>
      <c r="L363">
        <f t="shared" si="28"/>
        <v>0.41999999999999993</v>
      </c>
      <c r="M363">
        <f t="shared" si="29"/>
        <v>6.942148760330577E-2</v>
      </c>
      <c r="N363">
        <v>0.38700000000000001</v>
      </c>
      <c r="O363">
        <v>2.1999999999999999E-2</v>
      </c>
      <c r="P363">
        <f t="shared" si="31"/>
        <v>0.36499999999999999</v>
      </c>
      <c r="Q363">
        <v>0.22600000000000001</v>
      </c>
      <c r="R363">
        <f t="shared" si="30"/>
        <v>0.61917808219178083</v>
      </c>
    </row>
    <row r="364" spans="1:19" x14ac:dyDescent="0.25">
      <c r="A364">
        <v>412</v>
      </c>
      <c r="B364" t="s">
        <v>942</v>
      </c>
      <c r="D364" t="s">
        <v>460</v>
      </c>
      <c r="E364">
        <v>4</v>
      </c>
      <c r="F364" t="s">
        <v>461</v>
      </c>
      <c r="G364" t="s">
        <v>141</v>
      </c>
      <c r="H364" t="s">
        <v>141</v>
      </c>
      <c r="I364" t="s">
        <v>135</v>
      </c>
      <c r="J364">
        <v>7.77</v>
      </c>
      <c r="K364">
        <v>5.78</v>
      </c>
      <c r="L364">
        <f t="shared" si="28"/>
        <v>0.99499999999999966</v>
      </c>
      <c r="M364">
        <f t="shared" si="29"/>
        <v>0.12805662805662801</v>
      </c>
      <c r="N364">
        <v>0.89400000000000002</v>
      </c>
      <c r="O364">
        <v>2.1999999999999999E-2</v>
      </c>
      <c r="P364">
        <f t="shared" si="31"/>
        <v>0.872</v>
      </c>
      <c r="Q364">
        <v>0.52400000000000002</v>
      </c>
      <c r="R364">
        <f t="shared" si="30"/>
        <v>0.60091743119266061</v>
      </c>
    </row>
    <row r="365" spans="1:19" x14ac:dyDescent="0.25">
      <c r="A365">
        <v>404</v>
      </c>
      <c r="B365" t="s">
        <v>957</v>
      </c>
      <c r="D365" t="s">
        <v>460</v>
      </c>
      <c r="E365">
        <v>5</v>
      </c>
      <c r="F365" t="s">
        <v>461</v>
      </c>
      <c r="G365" t="s">
        <v>141</v>
      </c>
      <c r="H365" t="s">
        <v>141</v>
      </c>
      <c r="I365" t="s">
        <v>135</v>
      </c>
      <c r="J365">
        <v>6.78</v>
      </c>
      <c r="K365">
        <v>5.4</v>
      </c>
      <c r="L365">
        <f t="shared" si="28"/>
        <v>0.69</v>
      </c>
      <c r="M365">
        <f t="shared" si="29"/>
        <v>0.10176991150442477</v>
      </c>
      <c r="N365">
        <v>0.745</v>
      </c>
      <c r="O365">
        <v>2.1999999999999999E-2</v>
      </c>
      <c r="P365">
        <f t="shared" si="31"/>
        <v>0.72299999999999998</v>
      </c>
      <c r="Q365">
        <v>0.36699999999999999</v>
      </c>
      <c r="R365">
        <f t="shared" si="30"/>
        <v>0.50760719225449513</v>
      </c>
    </row>
    <row r="366" spans="1:19" x14ac:dyDescent="0.25">
      <c r="A366">
        <v>28</v>
      </c>
      <c r="B366" t="s">
        <v>656</v>
      </c>
      <c r="C366" t="s">
        <v>102</v>
      </c>
      <c r="D366" t="s">
        <v>391</v>
      </c>
      <c r="E366">
        <v>1</v>
      </c>
      <c r="F366" t="s">
        <v>322</v>
      </c>
      <c r="G366" t="s">
        <v>141</v>
      </c>
      <c r="H366" t="s">
        <v>141</v>
      </c>
      <c r="I366" t="s">
        <v>135</v>
      </c>
      <c r="J366">
        <v>6.73</v>
      </c>
      <c r="K366">
        <v>5.12</v>
      </c>
      <c r="L366">
        <f t="shared" si="28"/>
        <v>0.80500000000000016</v>
      </c>
      <c r="M366">
        <f t="shared" si="29"/>
        <v>0.11961367013372959</v>
      </c>
      <c r="N366">
        <v>0.73</v>
      </c>
      <c r="O366">
        <v>0.02</v>
      </c>
      <c r="P366">
        <f t="shared" si="31"/>
        <v>0.71</v>
      </c>
      <c r="Q366">
        <v>0.40200000000000002</v>
      </c>
      <c r="R366">
        <f t="shared" si="30"/>
        <v>0.56619718309859157</v>
      </c>
    </row>
    <row r="367" spans="1:19" x14ac:dyDescent="0.25">
      <c r="A367">
        <v>119</v>
      </c>
      <c r="B367" t="s">
        <v>1228</v>
      </c>
      <c r="C367" t="s">
        <v>95</v>
      </c>
      <c r="D367" t="s">
        <v>391</v>
      </c>
      <c r="E367">
        <v>3</v>
      </c>
      <c r="F367" t="s">
        <v>266</v>
      </c>
      <c r="G367" t="s">
        <v>141</v>
      </c>
      <c r="H367" t="s">
        <v>141</v>
      </c>
      <c r="I367" t="s">
        <v>135</v>
      </c>
      <c r="J367">
        <v>6.31</v>
      </c>
      <c r="K367">
        <v>4.8899999999999997</v>
      </c>
      <c r="L367">
        <f t="shared" si="28"/>
        <v>0.71</v>
      </c>
      <c r="M367">
        <f t="shared" si="29"/>
        <v>0.11251980982567354</v>
      </c>
      <c r="N367">
        <v>0.46200000000000002</v>
      </c>
      <c r="O367">
        <v>0.03</v>
      </c>
      <c r="P367">
        <f t="shared" si="31"/>
        <v>0.43200000000000005</v>
      </c>
      <c r="Q367">
        <v>0.24299999999999999</v>
      </c>
      <c r="R367">
        <f t="shared" si="30"/>
        <v>0.56249999999999989</v>
      </c>
    </row>
    <row r="368" spans="1:19" x14ac:dyDescent="0.25">
      <c r="A368">
        <v>285</v>
      </c>
      <c r="B368" t="s">
        <v>814</v>
      </c>
      <c r="D368" t="s">
        <v>391</v>
      </c>
      <c r="E368">
        <v>4</v>
      </c>
      <c r="F368" t="s">
        <v>324</v>
      </c>
      <c r="G368" t="s">
        <v>141</v>
      </c>
      <c r="H368" t="s">
        <v>141</v>
      </c>
      <c r="I368" t="s">
        <v>135</v>
      </c>
      <c r="J368">
        <v>7.43</v>
      </c>
      <c r="K368">
        <v>4.5599999999999996</v>
      </c>
      <c r="L368">
        <f t="shared" si="28"/>
        <v>1.4350000000000001</v>
      </c>
      <c r="M368">
        <f t="shared" si="29"/>
        <v>0.19313593539703905</v>
      </c>
      <c r="N368">
        <v>0.46200000000000002</v>
      </c>
      <c r="O368">
        <v>2.1999999999999999E-2</v>
      </c>
      <c r="P368">
        <f t="shared" ref="P368:P399" si="32">N368-O368</f>
        <v>0.44</v>
      </c>
      <c r="Q368">
        <v>0.29599999999999999</v>
      </c>
      <c r="R368">
        <f t="shared" si="30"/>
        <v>0.67272727272727273</v>
      </c>
    </row>
    <row r="369" spans="1:20" x14ac:dyDescent="0.25">
      <c r="A369">
        <v>277</v>
      </c>
      <c r="B369" t="s">
        <v>1229</v>
      </c>
      <c r="C369" t="s">
        <v>743</v>
      </c>
      <c r="D369" t="s">
        <v>391</v>
      </c>
      <c r="E369">
        <v>5</v>
      </c>
      <c r="F369" t="s">
        <v>324</v>
      </c>
      <c r="G369" t="s">
        <v>141</v>
      </c>
      <c r="H369" t="s">
        <v>141</v>
      </c>
      <c r="I369" t="s">
        <v>135</v>
      </c>
      <c r="J369">
        <v>7.02</v>
      </c>
      <c r="K369">
        <v>5.39</v>
      </c>
      <c r="L369">
        <f t="shared" si="28"/>
        <v>0.81499999999999995</v>
      </c>
      <c r="M369">
        <f t="shared" si="29"/>
        <v>0.11609686609686609</v>
      </c>
      <c r="N369">
        <v>0.67200000000000004</v>
      </c>
      <c r="O369">
        <v>2.1999999999999999E-2</v>
      </c>
      <c r="P369">
        <f t="shared" si="32"/>
        <v>0.65</v>
      </c>
      <c r="Q369">
        <v>0.42699999999999999</v>
      </c>
      <c r="R369">
        <f t="shared" si="30"/>
        <v>0.65692307692307683</v>
      </c>
    </row>
    <row r="370" spans="1:20" x14ac:dyDescent="0.25">
      <c r="A370">
        <v>127</v>
      </c>
      <c r="B370" t="s">
        <v>1227</v>
      </c>
      <c r="C370" t="s">
        <v>102</v>
      </c>
      <c r="D370" t="s">
        <v>391</v>
      </c>
      <c r="E370">
        <v>6</v>
      </c>
      <c r="F370" t="s">
        <v>322</v>
      </c>
      <c r="G370" t="s">
        <v>141</v>
      </c>
      <c r="H370" t="s">
        <v>141</v>
      </c>
      <c r="I370" t="s">
        <v>135</v>
      </c>
      <c r="J370">
        <v>5.63</v>
      </c>
      <c r="K370">
        <v>4.5199999999999996</v>
      </c>
      <c r="L370">
        <f t="shared" si="28"/>
        <v>0.55500000000000016</v>
      </c>
      <c r="M370">
        <f t="shared" si="29"/>
        <v>9.8579040852575517E-2</v>
      </c>
      <c r="N370">
        <v>0.40500000000000003</v>
      </c>
      <c r="O370">
        <v>0.03</v>
      </c>
      <c r="P370">
        <f t="shared" si="32"/>
        <v>0.375</v>
      </c>
      <c r="Q370">
        <v>0.23799999999999999</v>
      </c>
      <c r="R370">
        <f t="shared" si="30"/>
        <v>0.6346666666666666</v>
      </c>
    </row>
    <row r="371" spans="1:20" x14ac:dyDescent="0.25">
      <c r="A371">
        <v>44</v>
      </c>
      <c r="B371" t="s">
        <v>1226</v>
      </c>
      <c r="C371" t="s">
        <v>254</v>
      </c>
      <c r="D371" t="s">
        <v>391</v>
      </c>
      <c r="E371">
        <v>2</v>
      </c>
      <c r="F371" t="s">
        <v>324</v>
      </c>
      <c r="G371" t="s">
        <v>141</v>
      </c>
      <c r="H371" t="s">
        <v>141</v>
      </c>
      <c r="I371" t="s">
        <v>135</v>
      </c>
      <c r="J371">
        <v>8.31</v>
      </c>
      <c r="K371">
        <v>6.28</v>
      </c>
      <c r="L371">
        <f t="shared" si="28"/>
        <v>1.0150000000000001</v>
      </c>
      <c r="M371">
        <f t="shared" si="29"/>
        <v>0.12214199759326114</v>
      </c>
      <c r="N371">
        <v>1.575</v>
      </c>
      <c r="O371">
        <v>0.02</v>
      </c>
      <c r="P371">
        <f t="shared" si="32"/>
        <v>1.5549999999999999</v>
      </c>
      <c r="Q371">
        <v>1.002</v>
      </c>
      <c r="R371">
        <f t="shared" si="30"/>
        <v>0.64437299035369777</v>
      </c>
    </row>
    <row r="372" spans="1:20" x14ac:dyDescent="0.25">
      <c r="A372">
        <v>213</v>
      </c>
      <c r="B372" t="s">
        <v>443</v>
      </c>
      <c r="D372" t="s">
        <v>444</v>
      </c>
      <c r="E372">
        <v>1</v>
      </c>
      <c r="F372" t="s">
        <v>445</v>
      </c>
      <c r="G372" t="s">
        <v>141</v>
      </c>
      <c r="H372" t="s">
        <v>141</v>
      </c>
      <c r="I372" t="s">
        <v>135</v>
      </c>
      <c r="J372">
        <v>9.51</v>
      </c>
      <c r="K372">
        <v>6.04</v>
      </c>
      <c r="L372">
        <f t="shared" si="28"/>
        <v>1.7349999999999999</v>
      </c>
      <c r="M372">
        <f t="shared" si="29"/>
        <v>0.18243953732912724</v>
      </c>
      <c r="N372">
        <v>0.52200000000000002</v>
      </c>
      <c r="O372">
        <v>2.5999999999999999E-2</v>
      </c>
      <c r="P372">
        <f t="shared" si="32"/>
        <v>0.496</v>
      </c>
      <c r="Q372">
        <v>0.29599999999999999</v>
      </c>
      <c r="R372">
        <f t="shared" si="30"/>
        <v>0.59677419354838712</v>
      </c>
      <c r="S372" t="s">
        <v>551</v>
      </c>
    </row>
    <row r="373" spans="1:20" x14ac:dyDescent="0.25">
      <c r="A373">
        <v>181</v>
      </c>
      <c r="B373" t="s">
        <v>469</v>
      </c>
      <c r="D373" t="s">
        <v>444</v>
      </c>
      <c r="E373">
        <v>2</v>
      </c>
      <c r="F373" t="s">
        <v>445</v>
      </c>
      <c r="G373" t="s">
        <v>141</v>
      </c>
      <c r="H373" t="s">
        <v>141</v>
      </c>
      <c r="I373" t="s">
        <v>135</v>
      </c>
      <c r="J373">
        <v>7.34</v>
      </c>
      <c r="K373">
        <v>4.66</v>
      </c>
      <c r="L373">
        <f t="shared" si="28"/>
        <v>1.3399999999999999</v>
      </c>
      <c r="M373">
        <f t="shared" si="29"/>
        <v>0.18256130790190733</v>
      </c>
      <c r="N373">
        <v>0.745</v>
      </c>
      <c r="O373">
        <v>2.5999999999999999E-2</v>
      </c>
      <c r="P373">
        <f t="shared" si="32"/>
        <v>0.71899999999999997</v>
      </c>
      <c r="Q373">
        <v>0.313</v>
      </c>
      <c r="R373">
        <f t="shared" si="30"/>
        <v>0.43532684283727402</v>
      </c>
    </row>
    <row r="374" spans="1:20" x14ac:dyDescent="0.25">
      <c r="A374">
        <v>182</v>
      </c>
      <c r="B374" t="s">
        <v>468</v>
      </c>
      <c r="D374" t="s">
        <v>444</v>
      </c>
      <c r="E374">
        <v>3</v>
      </c>
      <c r="F374" t="s">
        <v>445</v>
      </c>
      <c r="G374" t="s">
        <v>141</v>
      </c>
      <c r="H374" t="s">
        <v>141</v>
      </c>
      <c r="I374" t="s">
        <v>135</v>
      </c>
      <c r="J374">
        <v>6.22</v>
      </c>
      <c r="K374">
        <v>3.92</v>
      </c>
      <c r="L374">
        <f t="shared" si="28"/>
        <v>1.1499999999999999</v>
      </c>
      <c r="M374">
        <f t="shared" si="29"/>
        <v>0.18488745980707394</v>
      </c>
      <c r="N374">
        <v>0.373</v>
      </c>
      <c r="O374">
        <v>2.5999999999999999E-2</v>
      </c>
      <c r="P374">
        <f t="shared" si="32"/>
        <v>0.34699999999999998</v>
      </c>
      <c r="Q374">
        <v>0.20300000000000001</v>
      </c>
      <c r="R374">
        <f t="shared" si="30"/>
        <v>0.58501440922190207</v>
      </c>
    </row>
    <row r="375" spans="1:20" x14ac:dyDescent="0.25">
      <c r="A375">
        <v>249</v>
      </c>
      <c r="B375" t="s">
        <v>620</v>
      </c>
      <c r="D375" t="s">
        <v>444</v>
      </c>
      <c r="E375">
        <v>4</v>
      </c>
      <c r="F375" t="s">
        <v>445</v>
      </c>
      <c r="G375" t="s">
        <v>141</v>
      </c>
      <c r="H375" t="s">
        <v>141</v>
      </c>
      <c r="I375" t="s">
        <v>135</v>
      </c>
      <c r="J375">
        <v>9.3000000000000007</v>
      </c>
      <c r="K375">
        <v>5.64</v>
      </c>
      <c r="L375">
        <f t="shared" si="28"/>
        <v>1.8300000000000005</v>
      </c>
      <c r="M375">
        <f t="shared" si="29"/>
        <v>0.19677419354838713</v>
      </c>
      <c r="N375">
        <v>0.52</v>
      </c>
      <c r="O375">
        <v>2.1999999999999999E-2</v>
      </c>
      <c r="P375">
        <f t="shared" si="32"/>
        <v>0.498</v>
      </c>
      <c r="Q375">
        <v>0.15</v>
      </c>
      <c r="R375">
        <f t="shared" si="30"/>
        <v>0.3012048192771084</v>
      </c>
    </row>
    <row r="376" spans="1:20" x14ac:dyDescent="0.25">
      <c r="A376">
        <v>304</v>
      </c>
      <c r="B376" t="s">
        <v>765</v>
      </c>
      <c r="D376" t="s">
        <v>444</v>
      </c>
      <c r="E376">
        <v>5</v>
      </c>
      <c r="F376" t="s">
        <v>445</v>
      </c>
      <c r="G376" t="s">
        <v>141</v>
      </c>
      <c r="H376" t="s">
        <v>141</v>
      </c>
      <c r="I376" t="s">
        <v>135</v>
      </c>
      <c r="J376">
        <v>7.27</v>
      </c>
      <c r="K376">
        <v>4.6900000000000004</v>
      </c>
      <c r="L376">
        <f t="shared" si="28"/>
        <v>1.2899999999999996</v>
      </c>
      <c r="M376">
        <f t="shared" si="29"/>
        <v>0.17744154057771661</v>
      </c>
      <c r="N376">
        <v>0.375</v>
      </c>
      <c r="O376">
        <v>2.1999999999999999E-2</v>
      </c>
      <c r="P376">
        <f t="shared" si="32"/>
        <v>0.35299999999999998</v>
      </c>
      <c r="Q376">
        <v>0.20399999999999999</v>
      </c>
      <c r="R376">
        <f t="shared" si="30"/>
        <v>0.57790368271954673</v>
      </c>
    </row>
    <row r="377" spans="1:20" x14ac:dyDescent="0.25">
      <c r="A377">
        <v>54</v>
      </c>
      <c r="B377" t="s">
        <v>1232</v>
      </c>
      <c r="C377" t="s">
        <v>198</v>
      </c>
      <c r="D377" t="s">
        <v>1066</v>
      </c>
      <c r="E377">
        <v>1</v>
      </c>
      <c r="F377" t="s">
        <v>197</v>
      </c>
      <c r="G377" t="s">
        <v>141</v>
      </c>
      <c r="H377" t="s">
        <v>141</v>
      </c>
      <c r="I377" t="s">
        <v>135</v>
      </c>
      <c r="J377">
        <v>7.82</v>
      </c>
      <c r="K377">
        <v>6.6</v>
      </c>
      <c r="L377">
        <f t="shared" si="28"/>
        <v>0.61000000000000032</v>
      </c>
      <c r="M377">
        <f t="shared" si="29"/>
        <v>7.8005115089514104E-2</v>
      </c>
      <c r="N377">
        <v>0.71399999999999997</v>
      </c>
      <c r="O377">
        <v>0.02</v>
      </c>
      <c r="P377">
        <f t="shared" si="32"/>
        <v>0.69399999999999995</v>
      </c>
      <c r="Q377">
        <v>0.54</v>
      </c>
      <c r="R377">
        <f t="shared" si="30"/>
        <v>0.77809798270893382</v>
      </c>
    </row>
    <row r="378" spans="1:20" x14ac:dyDescent="0.25">
      <c r="A378">
        <v>36</v>
      </c>
      <c r="B378" t="s">
        <v>1255</v>
      </c>
      <c r="C378" t="s">
        <v>257</v>
      </c>
      <c r="D378" t="s">
        <v>392</v>
      </c>
      <c r="E378">
        <v>1</v>
      </c>
      <c r="F378" t="s">
        <v>258</v>
      </c>
      <c r="G378" t="s">
        <v>141</v>
      </c>
      <c r="H378" t="s">
        <v>141</v>
      </c>
      <c r="I378" t="s">
        <v>135</v>
      </c>
      <c r="J378">
        <v>7.39</v>
      </c>
      <c r="K378">
        <v>6.19</v>
      </c>
      <c r="L378">
        <f t="shared" si="28"/>
        <v>0.59999999999999964</v>
      </c>
      <c r="M378">
        <f t="shared" si="29"/>
        <v>8.1190798376183981E-2</v>
      </c>
      <c r="N378">
        <v>0.7</v>
      </c>
      <c r="O378">
        <v>0.02</v>
      </c>
      <c r="P378">
        <f t="shared" si="32"/>
        <v>0.67999999999999994</v>
      </c>
      <c r="Q378">
        <v>0.44700000000000001</v>
      </c>
      <c r="R378">
        <f t="shared" si="30"/>
        <v>0.6573529411764707</v>
      </c>
    </row>
    <row r="379" spans="1:20" x14ac:dyDescent="0.25">
      <c r="A379">
        <v>35</v>
      </c>
      <c r="B379" t="s">
        <v>1256</v>
      </c>
      <c r="C379" t="s">
        <v>262</v>
      </c>
      <c r="D379" t="s">
        <v>392</v>
      </c>
      <c r="E379">
        <v>2</v>
      </c>
      <c r="F379" t="s">
        <v>258</v>
      </c>
      <c r="G379" t="s">
        <v>141</v>
      </c>
      <c r="H379" t="s">
        <v>141</v>
      </c>
      <c r="I379" t="s">
        <v>135</v>
      </c>
      <c r="J379">
        <v>8.77</v>
      </c>
      <c r="K379">
        <v>6.73</v>
      </c>
      <c r="L379">
        <f t="shared" si="28"/>
        <v>1.0199999999999996</v>
      </c>
      <c r="M379">
        <f t="shared" si="29"/>
        <v>0.11630558722919038</v>
      </c>
      <c r="N379">
        <v>0.623</v>
      </c>
      <c r="O379">
        <v>0.02</v>
      </c>
      <c r="P379">
        <f t="shared" si="32"/>
        <v>0.60299999999999998</v>
      </c>
      <c r="Q379">
        <v>0.46400000000000002</v>
      </c>
      <c r="R379">
        <f t="shared" si="30"/>
        <v>0.76948590381426207</v>
      </c>
    </row>
    <row r="380" spans="1:20" x14ac:dyDescent="0.25">
      <c r="A380">
        <v>46</v>
      </c>
      <c r="B380" t="s">
        <v>308</v>
      </c>
      <c r="D380" t="s">
        <v>392</v>
      </c>
      <c r="E380">
        <v>3</v>
      </c>
      <c r="F380" t="s">
        <v>258</v>
      </c>
      <c r="G380" t="s">
        <v>141</v>
      </c>
      <c r="H380" t="s">
        <v>141</v>
      </c>
      <c r="I380" t="s">
        <v>135</v>
      </c>
      <c r="J380">
        <v>7.9</v>
      </c>
      <c r="K380">
        <v>6.6</v>
      </c>
      <c r="L380">
        <f t="shared" si="28"/>
        <v>0.65000000000000036</v>
      </c>
      <c r="M380">
        <f t="shared" si="29"/>
        <v>8.2278481012658264E-2</v>
      </c>
      <c r="N380">
        <v>1.0760000000000001</v>
      </c>
      <c r="O380">
        <v>0.02</v>
      </c>
      <c r="P380">
        <f t="shared" si="32"/>
        <v>1.056</v>
      </c>
      <c r="Q380">
        <v>0.72799999999999998</v>
      </c>
      <c r="R380">
        <f t="shared" si="30"/>
        <v>0.68939393939393934</v>
      </c>
    </row>
    <row r="381" spans="1:20" x14ac:dyDescent="0.25">
      <c r="A381">
        <v>305</v>
      </c>
      <c r="B381" t="s">
        <v>766</v>
      </c>
      <c r="D381" t="s">
        <v>392</v>
      </c>
      <c r="E381">
        <v>4</v>
      </c>
      <c r="F381" t="s">
        <v>258</v>
      </c>
      <c r="G381" t="s">
        <v>141</v>
      </c>
      <c r="H381" t="s">
        <v>141</v>
      </c>
      <c r="I381" t="s">
        <v>135</v>
      </c>
      <c r="J381">
        <v>7.22</v>
      </c>
      <c r="K381">
        <v>4.97</v>
      </c>
      <c r="L381">
        <f t="shared" si="28"/>
        <v>1.125</v>
      </c>
      <c r="M381">
        <f t="shared" si="29"/>
        <v>0.15581717451523547</v>
      </c>
      <c r="N381">
        <v>0.45</v>
      </c>
      <c r="O381">
        <v>2.1999999999999999E-2</v>
      </c>
      <c r="P381">
        <f t="shared" si="32"/>
        <v>0.42799999999999999</v>
      </c>
      <c r="Q381">
        <v>0.28399999999999997</v>
      </c>
      <c r="R381">
        <f t="shared" si="30"/>
        <v>0.66355140186915884</v>
      </c>
      <c r="T381" t="s">
        <v>1031</v>
      </c>
    </row>
    <row r="382" spans="1:20" x14ac:dyDescent="0.25">
      <c r="A382">
        <v>294</v>
      </c>
      <c r="B382" t="s">
        <v>826</v>
      </c>
      <c r="D382" t="s">
        <v>392</v>
      </c>
      <c r="E382">
        <v>5</v>
      </c>
      <c r="F382" t="s">
        <v>258</v>
      </c>
      <c r="G382" t="s">
        <v>141</v>
      </c>
      <c r="H382" t="s">
        <v>141</v>
      </c>
      <c r="I382" t="s">
        <v>135</v>
      </c>
      <c r="J382">
        <v>8.4700000000000006</v>
      </c>
      <c r="K382">
        <v>6.28</v>
      </c>
      <c r="L382">
        <f t="shared" si="28"/>
        <v>1.0950000000000002</v>
      </c>
      <c r="M382">
        <f t="shared" si="29"/>
        <v>0.12927981109799294</v>
      </c>
      <c r="N382">
        <v>0.83299999999999996</v>
      </c>
      <c r="O382">
        <v>2.1999999999999999E-2</v>
      </c>
      <c r="P382">
        <f t="shared" si="32"/>
        <v>0.81099999999999994</v>
      </c>
      <c r="Q382">
        <v>0.52300000000000002</v>
      </c>
      <c r="R382">
        <f t="shared" si="30"/>
        <v>0.64488286066584466</v>
      </c>
    </row>
    <row r="383" spans="1:20" x14ac:dyDescent="0.25">
      <c r="A383">
        <v>149</v>
      </c>
      <c r="B383" t="s">
        <v>542</v>
      </c>
      <c r="D383" t="s">
        <v>508</v>
      </c>
      <c r="E383">
        <v>1</v>
      </c>
      <c r="F383" t="s">
        <v>509</v>
      </c>
      <c r="G383" t="s">
        <v>141</v>
      </c>
      <c r="H383" t="s">
        <v>141</v>
      </c>
      <c r="I383" t="s">
        <v>135</v>
      </c>
      <c r="J383">
        <v>8.89</v>
      </c>
      <c r="K383">
        <v>6.33</v>
      </c>
      <c r="L383">
        <f t="shared" si="28"/>
        <v>1.2800000000000002</v>
      </c>
      <c r="M383">
        <f t="shared" si="29"/>
        <v>0.1439820022497188</v>
      </c>
      <c r="N383">
        <v>0.86</v>
      </c>
      <c r="O383">
        <v>2.5999999999999999E-2</v>
      </c>
      <c r="P383">
        <f t="shared" si="32"/>
        <v>0.83399999999999996</v>
      </c>
      <c r="Q383">
        <v>0.53400000000000003</v>
      </c>
      <c r="R383">
        <f t="shared" si="30"/>
        <v>0.64028776978417268</v>
      </c>
    </row>
    <row r="384" spans="1:20" x14ac:dyDescent="0.25">
      <c r="A384">
        <v>151</v>
      </c>
      <c r="B384" t="s">
        <v>538</v>
      </c>
      <c r="D384" t="s">
        <v>508</v>
      </c>
      <c r="E384">
        <v>2</v>
      </c>
      <c r="F384" t="s">
        <v>509</v>
      </c>
      <c r="G384" t="s">
        <v>141</v>
      </c>
      <c r="H384" t="s">
        <v>141</v>
      </c>
      <c r="I384" t="s">
        <v>135</v>
      </c>
      <c r="J384">
        <v>6.98</v>
      </c>
      <c r="K384">
        <v>4.78</v>
      </c>
      <c r="L384">
        <f t="shared" si="28"/>
        <v>1.1000000000000001</v>
      </c>
      <c r="M384">
        <f t="shared" si="29"/>
        <v>0.15759312320916904</v>
      </c>
      <c r="N384">
        <v>0.66600000000000004</v>
      </c>
      <c r="O384">
        <v>2.5999999999999999E-2</v>
      </c>
      <c r="P384">
        <f t="shared" si="32"/>
        <v>0.64</v>
      </c>
      <c r="Q384">
        <v>0.46</v>
      </c>
      <c r="R384">
        <f t="shared" si="30"/>
        <v>0.71875</v>
      </c>
    </row>
    <row r="385" spans="1:20" x14ac:dyDescent="0.25">
      <c r="A385">
        <v>165</v>
      </c>
      <c r="B385" t="s">
        <v>507</v>
      </c>
      <c r="D385" t="s">
        <v>508</v>
      </c>
      <c r="E385">
        <v>3</v>
      </c>
      <c r="F385" t="s">
        <v>509</v>
      </c>
      <c r="G385" t="s">
        <v>141</v>
      </c>
      <c r="H385" t="s">
        <v>141</v>
      </c>
      <c r="I385" t="s">
        <v>135</v>
      </c>
      <c r="J385">
        <v>8.89</v>
      </c>
      <c r="K385">
        <v>6.55</v>
      </c>
      <c r="L385">
        <f t="shared" si="28"/>
        <v>1.1700000000000004</v>
      </c>
      <c r="M385">
        <f t="shared" si="29"/>
        <v>0.1316085489313836</v>
      </c>
      <c r="N385">
        <v>0.56899999999999995</v>
      </c>
      <c r="O385">
        <v>2.5999999999999999E-2</v>
      </c>
      <c r="P385">
        <f t="shared" si="32"/>
        <v>0.54299999999999993</v>
      </c>
      <c r="Q385">
        <v>0.32600000000000001</v>
      </c>
      <c r="R385">
        <f t="shared" si="30"/>
        <v>0.60036832412523033</v>
      </c>
    </row>
    <row r="386" spans="1:20" x14ac:dyDescent="0.25">
      <c r="A386">
        <v>159</v>
      </c>
      <c r="B386" t="s">
        <v>510</v>
      </c>
      <c r="D386" t="s">
        <v>508</v>
      </c>
      <c r="E386">
        <v>4</v>
      </c>
      <c r="F386" t="s">
        <v>509</v>
      </c>
      <c r="G386" t="s">
        <v>141</v>
      </c>
      <c r="H386" t="s">
        <v>141</v>
      </c>
      <c r="I386" t="s">
        <v>135</v>
      </c>
      <c r="J386">
        <v>8.81</v>
      </c>
      <c r="K386">
        <v>6.43</v>
      </c>
      <c r="L386">
        <f t="shared" ref="L386:L449" si="33">(J386-K386)/2</f>
        <v>1.1900000000000004</v>
      </c>
      <c r="M386">
        <f t="shared" ref="M386:M449" si="34">L386/J386</f>
        <v>0.13507377979568674</v>
      </c>
      <c r="N386">
        <v>0.71799999999999997</v>
      </c>
      <c r="O386">
        <v>2.5999999999999999E-2</v>
      </c>
      <c r="P386">
        <f t="shared" si="32"/>
        <v>0.69199999999999995</v>
      </c>
      <c r="Q386">
        <v>0.46899999999999997</v>
      </c>
      <c r="R386">
        <f t="shared" ref="R386:R449" si="35">Q386/P386</f>
        <v>0.6777456647398844</v>
      </c>
    </row>
    <row r="387" spans="1:20" x14ac:dyDescent="0.25">
      <c r="A387">
        <v>271</v>
      </c>
      <c r="B387" t="s">
        <v>750</v>
      </c>
      <c r="D387" t="s">
        <v>508</v>
      </c>
      <c r="E387">
        <v>5</v>
      </c>
      <c r="F387" t="s">
        <v>509</v>
      </c>
      <c r="G387" t="s">
        <v>141</v>
      </c>
      <c r="H387" t="s">
        <v>141</v>
      </c>
      <c r="I387" t="s">
        <v>135</v>
      </c>
      <c r="J387">
        <v>7.68</v>
      </c>
      <c r="K387">
        <v>4.2</v>
      </c>
      <c r="L387">
        <f t="shared" si="33"/>
        <v>1.7399999999999998</v>
      </c>
      <c r="M387">
        <f t="shared" si="34"/>
        <v>0.22656249999999997</v>
      </c>
      <c r="N387">
        <v>0.49399999999999999</v>
      </c>
      <c r="O387">
        <v>2.1999999999999999E-2</v>
      </c>
      <c r="P387">
        <f t="shared" si="32"/>
        <v>0.47199999999999998</v>
      </c>
      <c r="Q387">
        <v>0.33200000000000002</v>
      </c>
      <c r="R387">
        <f t="shared" si="35"/>
        <v>0.7033898305084747</v>
      </c>
    </row>
    <row r="388" spans="1:20" x14ac:dyDescent="0.25">
      <c r="A388">
        <v>49</v>
      </c>
      <c r="B388" t="s">
        <v>1257</v>
      </c>
      <c r="C388" t="s">
        <v>240</v>
      </c>
      <c r="D388" t="s">
        <v>390</v>
      </c>
      <c r="E388">
        <v>1</v>
      </c>
      <c r="F388" t="s">
        <v>241</v>
      </c>
      <c r="G388" t="s">
        <v>141</v>
      </c>
      <c r="H388" t="s">
        <v>141</v>
      </c>
      <c r="I388" t="s">
        <v>135</v>
      </c>
      <c r="J388">
        <v>7.05</v>
      </c>
      <c r="K388">
        <v>5.28</v>
      </c>
      <c r="L388">
        <f t="shared" si="33"/>
        <v>0.88499999999999979</v>
      </c>
      <c r="M388">
        <f t="shared" si="34"/>
        <v>0.12553191489361698</v>
      </c>
      <c r="N388">
        <v>0.53400000000000003</v>
      </c>
      <c r="O388">
        <v>0.02</v>
      </c>
      <c r="P388">
        <f t="shared" si="32"/>
        <v>0.51400000000000001</v>
      </c>
      <c r="Q388">
        <v>0.17799999999999999</v>
      </c>
      <c r="R388">
        <f t="shared" si="35"/>
        <v>0.34630350194552528</v>
      </c>
    </row>
    <row r="389" spans="1:20" x14ac:dyDescent="0.25">
      <c r="A389">
        <v>22</v>
      </c>
      <c r="B389" t="s">
        <v>300</v>
      </c>
      <c r="D389" t="s">
        <v>390</v>
      </c>
      <c r="E389">
        <v>2</v>
      </c>
      <c r="F389" t="s">
        <v>241</v>
      </c>
      <c r="G389" t="s">
        <v>141</v>
      </c>
      <c r="H389" t="s">
        <v>141</v>
      </c>
      <c r="I389" t="s">
        <v>135</v>
      </c>
      <c r="J389">
        <v>9.65</v>
      </c>
      <c r="K389">
        <v>7.57</v>
      </c>
      <c r="L389">
        <f t="shared" si="33"/>
        <v>1.04</v>
      </c>
      <c r="M389">
        <f t="shared" si="34"/>
        <v>0.10777202072538861</v>
      </c>
      <c r="N389">
        <v>1.254</v>
      </c>
      <c r="O389">
        <v>0.02</v>
      </c>
      <c r="P389">
        <f t="shared" si="32"/>
        <v>1.234</v>
      </c>
      <c r="Q389">
        <v>0.56599999999999995</v>
      </c>
      <c r="R389">
        <f t="shared" si="35"/>
        <v>0.45867098865478118</v>
      </c>
    </row>
    <row r="390" spans="1:20" x14ac:dyDescent="0.25">
      <c r="A390">
        <v>189</v>
      </c>
      <c r="B390" t="s">
        <v>454</v>
      </c>
      <c r="D390" t="s">
        <v>390</v>
      </c>
      <c r="E390">
        <v>3</v>
      </c>
      <c r="F390" t="s">
        <v>241</v>
      </c>
      <c r="G390" t="s">
        <v>141</v>
      </c>
      <c r="H390" t="s">
        <v>141</v>
      </c>
      <c r="I390" t="s">
        <v>135</v>
      </c>
      <c r="J390">
        <v>7.13</v>
      </c>
      <c r="K390">
        <v>5.28</v>
      </c>
      <c r="L390">
        <f t="shared" si="33"/>
        <v>0.92499999999999982</v>
      </c>
      <c r="M390">
        <f t="shared" si="34"/>
        <v>0.12973352033660587</v>
      </c>
      <c r="N390">
        <v>0.70499999999999996</v>
      </c>
      <c r="O390">
        <v>2.5999999999999999E-2</v>
      </c>
      <c r="P390">
        <f t="shared" si="32"/>
        <v>0.67899999999999994</v>
      </c>
      <c r="Q390">
        <v>0.32500000000000001</v>
      </c>
      <c r="R390">
        <f t="shared" si="35"/>
        <v>0.47864506627393233</v>
      </c>
      <c r="S390" t="s">
        <v>551</v>
      </c>
    </row>
    <row r="391" spans="1:20" x14ac:dyDescent="0.25">
      <c r="A391">
        <v>199</v>
      </c>
      <c r="B391" t="s">
        <v>418</v>
      </c>
      <c r="D391" t="s">
        <v>390</v>
      </c>
      <c r="E391">
        <v>4</v>
      </c>
      <c r="F391" t="s">
        <v>241</v>
      </c>
      <c r="G391" t="s">
        <v>141</v>
      </c>
      <c r="H391" t="s">
        <v>141</v>
      </c>
      <c r="I391" t="s">
        <v>135</v>
      </c>
      <c r="J391">
        <v>10.44</v>
      </c>
      <c r="K391">
        <v>7.67</v>
      </c>
      <c r="L391">
        <f t="shared" si="33"/>
        <v>1.3849999999999998</v>
      </c>
      <c r="M391">
        <f t="shared" si="34"/>
        <v>0.13266283524904213</v>
      </c>
      <c r="N391">
        <v>0.97399999999999998</v>
      </c>
      <c r="O391">
        <v>2.5999999999999999E-2</v>
      </c>
      <c r="P391">
        <f t="shared" si="32"/>
        <v>0.94799999999999995</v>
      </c>
      <c r="Q391">
        <v>0.436</v>
      </c>
      <c r="R391">
        <f t="shared" si="35"/>
        <v>0.45991561181434604</v>
      </c>
      <c r="S391" t="s">
        <v>551</v>
      </c>
    </row>
    <row r="392" spans="1:20" x14ac:dyDescent="0.25">
      <c r="A392">
        <v>244</v>
      </c>
      <c r="B392" t="s">
        <v>631</v>
      </c>
      <c r="D392" t="s">
        <v>390</v>
      </c>
      <c r="E392">
        <v>5</v>
      </c>
      <c r="F392" t="s">
        <v>241</v>
      </c>
      <c r="G392" t="s">
        <v>141</v>
      </c>
      <c r="H392" t="s">
        <v>141</v>
      </c>
      <c r="I392" t="s">
        <v>135</v>
      </c>
      <c r="J392">
        <v>9.9499999999999993</v>
      </c>
      <c r="K392">
        <v>6.51</v>
      </c>
      <c r="L392">
        <f t="shared" si="33"/>
        <v>1.7199999999999998</v>
      </c>
      <c r="M392">
        <f t="shared" si="34"/>
        <v>0.17286432160804019</v>
      </c>
      <c r="N392">
        <v>1.19</v>
      </c>
      <c r="O392">
        <v>2.1999999999999999E-2</v>
      </c>
      <c r="P392">
        <f t="shared" si="32"/>
        <v>1.1679999999999999</v>
      </c>
      <c r="Q392">
        <v>0.52500000000000002</v>
      </c>
      <c r="R392">
        <f t="shared" si="35"/>
        <v>0.44948630136986306</v>
      </c>
    </row>
    <row r="393" spans="1:20" x14ac:dyDescent="0.25">
      <c r="A393">
        <v>223</v>
      </c>
      <c r="B393" t="s">
        <v>412</v>
      </c>
      <c r="D393" t="s">
        <v>413</v>
      </c>
      <c r="E393">
        <v>1</v>
      </c>
      <c r="F393" t="s">
        <v>555</v>
      </c>
      <c r="G393" t="s">
        <v>141</v>
      </c>
      <c r="H393" t="s">
        <v>141</v>
      </c>
      <c r="I393" t="s">
        <v>135</v>
      </c>
      <c r="J393">
        <v>6.28</v>
      </c>
      <c r="K393">
        <v>5.0199999999999996</v>
      </c>
      <c r="L393">
        <f t="shared" si="33"/>
        <v>0.63000000000000034</v>
      </c>
      <c r="M393">
        <f t="shared" si="34"/>
        <v>0.10031847133757966</v>
      </c>
      <c r="N393">
        <v>0.997</v>
      </c>
      <c r="O393">
        <v>2.5999999999999999E-2</v>
      </c>
      <c r="P393">
        <f t="shared" si="32"/>
        <v>0.97099999999999997</v>
      </c>
      <c r="Q393">
        <v>0.52600000000000002</v>
      </c>
      <c r="R393">
        <f t="shared" si="35"/>
        <v>0.54170957775489192</v>
      </c>
      <c r="S393" t="s">
        <v>551</v>
      </c>
    </row>
    <row r="394" spans="1:20" x14ac:dyDescent="0.25">
      <c r="A394">
        <v>324</v>
      </c>
      <c r="B394" t="s">
        <v>881</v>
      </c>
      <c r="D394" t="s">
        <v>413</v>
      </c>
      <c r="E394">
        <v>2</v>
      </c>
      <c r="F394" t="s">
        <v>555</v>
      </c>
      <c r="G394" t="s">
        <v>141</v>
      </c>
      <c r="H394" t="s">
        <v>141</v>
      </c>
      <c r="I394" t="s">
        <v>135</v>
      </c>
      <c r="J394">
        <v>6.43</v>
      </c>
      <c r="K394">
        <v>5.75</v>
      </c>
      <c r="L394">
        <f t="shared" si="33"/>
        <v>0.33999999999999986</v>
      </c>
      <c r="M394">
        <f t="shared" si="34"/>
        <v>5.2877138413685826E-2</v>
      </c>
      <c r="N394">
        <v>0.88400000000000001</v>
      </c>
      <c r="O394">
        <v>2.1999999999999999E-2</v>
      </c>
      <c r="P394">
        <f t="shared" si="32"/>
        <v>0.86199999999999999</v>
      </c>
      <c r="Q394">
        <v>0.51300000000000001</v>
      </c>
      <c r="R394">
        <f t="shared" si="35"/>
        <v>0.59512761020881677</v>
      </c>
    </row>
    <row r="395" spans="1:20" x14ac:dyDescent="0.25">
      <c r="A395">
        <v>352</v>
      </c>
      <c r="B395" t="s">
        <v>842</v>
      </c>
      <c r="D395" t="s">
        <v>413</v>
      </c>
      <c r="E395">
        <v>3</v>
      </c>
      <c r="F395" t="s">
        <v>555</v>
      </c>
      <c r="G395" t="s">
        <v>141</v>
      </c>
      <c r="H395" t="s">
        <v>141</v>
      </c>
      <c r="I395" t="s">
        <v>135</v>
      </c>
      <c r="J395">
        <v>6.29</v>
      </c>
      <c r="K395">
        <v>5.43</v>
      </c>
      <c r="L395">
        <f t="shared" si="33"/>
        <v>0.43000000000000016</v>
      </c>
      <c r="M395">
        <f t="shared" si="34"/>
        <v>6.8362480127186029E-2</v>
      </c>
      <c r="N395">
        <v>0.59399999999999997</v>
      </c>
      <c r="O395">
        <v>2.1999999999999999E-2</v>
      </c>
      <c r="P395">
        <f t="shared" si="32"/>
        <v>0.57199999999999995</v>
      </c>
      <c r="Q395">
        <v>0.33900000000000002</v>
      </c>
      <c r="R395">
        <f t="shared" si="35"/>
        <v>0.59265734265734271</v>
      </c>
    </row>
    <row r="396" spans="1:20" x14ac:dyDescent="0.25">
      <c r="A396">
        <v>340</v>
      </c>
      <c r="B396" t="s">
        <v>838</v>
      </c>
      <c r="D396" t="s">
        <v>413</v>
      </c>
      <c r="E396">
        <v>4</v>
      </c>
      <c r="F396" t="s">
        <v>555</v>
      </c>
      <c r="G396" t="s">
        <v>141</v>
      </c>
      <c r="H396" t="s">
        <v>141</v>
      </c>
      <c r="I396" t="s">
        <v>135</v>
      </c>
      <c r="J396">
        <v>6.34</v>
      </c>
      <c r="K396">
        <v>5.18</v>
      </c>
      <c r="L396">
        <f t="shared" si="33"/>
        <v>0.58000000000000007</v>
      </c>
      <c r="M396">
        <f t="shared" si="34"/>
        <v>9.1482649842271307E-2</v>
      </c>
      <c r="N396">
        <v>0.442</v>
      </c>
      <c r="O396">
        <v>2.1999999999999999E-2</v>
      </c>
      <c r="P396">
        <f t="shared" si="32"/>
        <v>0.42</v>
      </c>
      <c r="Q396">
        <v>0.30299999999999999</v>
      </c>
      <c r="R396">
        <f t="shared" si="35"/>
        <v>0.72142857142857142</v>
      </c>
    </row>
    <row r="397" spans="1:20" x14ac:dyDescent="0.25">
      <c r="A397">
        <v>325</v>
      </c>
      <c r="B397" t="s">
        <v>883</v>
      </c>
      <c r="D397" t="s">
        <v>413</v>
      </c>
      <c r="E397">
        <v>5</v>
      </c>
      <c r="F397" t="s">
        <v>555</v>
      </c>
      <c r="G397" t="s">
        <v>141</v>
      </c>
      <c r="H397" t="s">
        <v>141</v>
      </c>
      <c r="I397" t="s">
        <v>135</v>
      </c>
      <c r="J397">
        <v>5.69</v>
      </c>
      <c r="K397">
        <v>5.1100000000000003</v>
      </c>
      <c r="L397">
        <f t="shared" si="33"/>
        <v>0.29000000000000004</v>
      </c>
      <c r="M397">
        <f t="shared" si="34"/>
        <v>5.0966608084358524E-2</v>
      </c>
      <c r="N397">
        <v>0.29599999999999999</v>
      </c>
      <c r="O397">
        <v>2.1999999999999999E-2</v>
      </c>
      <c r="P397">
        <f t="shared" si="32"/>
        <v>0.27399999999999997</v>
      </c>
      <c r="Q397">
        <v>0.114</v>
      </c>
      <c r="R397">
        <f t="shared" si="35"/>
        <v>0.41605839416058399</v>
      </c>
    </row>
    <row r="398" spans="1:20" x14ac:dyDescent="0.25">
      <c r="A398">
        <v>398</v>
      </c>
      <c r="B398" t="s">
        <v>1001</v>
      </c>
      <c r="D398" t="s">
        <v>413</v>
      </c>
      <c r="E398">
        <v>6</v>
      </c>
      <c r="F398" t="s">
        <v>555</v>
      </c>
      <c r="G398" t="s">
        <v>141</v>
      </c>
      <c r="H398" t="s">
        <v>141</v>
      </c>
      <c r="I398" t="s">
        <v>135</v>
      </c>
      <c r="J398">
        <v>7.21</v>
      </c>
      <c r="K398">
        <v>5.76</v>
      </c>
      <c r="L398">
        <f t="shared" si="33"/>
        <v>0.72500000000000009</v>
      </c>
      <c r="M398">
        <f t="shared" si="34"/>
        <v>0.10055478502080445</v>
      </c>
      <c r="N398">
        <v>0.39300000000000002</v>
      </c>
      <c r="O398">
        <v>2.1999999999999999E-2</v>
      </c>
      <c r="P398">
        <f t="shared" si="32"/>
        <v>0.371</v>
      </c>
      <c r="Q398">
        <v>0.249</v>
      </c>
      <c r="R398">
        <f t="shared" si="35"/>
        <v>0.67115902964959573</v>
      </c>
      <c r="T398" t="s">
        <v>1000</v>
      </c>
    </row>
    <row r="399" spans="1:20" x14ac:dyDescent="0.25">
      <c r="A399">
        <v>99</v>
      </c>
      <c r="B399" t="s">
        <v>11</v>
      </c>
      <c r="D399" t="s">
        <v>343</v>
      </c>
      <c r="E399">
        <v>1</v>
      </c>
      <c r="F399" t="s">
        <v>374</v>
      </c>
      <c r="G399" t="s">
        <v>141</v>
      </c>
      <c r="H399" t="s">
        <v>141</v>
      </c>
      <c r="I399" t="s">
        <v>135</v>
      </c>
      <c r="J399">
        <v>6.94</v>
      </c>
      <c r="K399">
        <v>5.14</v>
      </c>
      <c r="L399">
        <f t="shared" si="33"/>
        <v>0.90000000000000036</v>
      </c>
      <c r="M399">
        <f t="shared" si="34"/>
        <v>0.12968299711815567</v>
      </c>
      <c r="N399">
        <v>0.56799999999999995</v>
      </c>
      <c r="O399">
        <v>0.03</v>
      </c>
      <c r="P399">
        <f t="shared" si="32"/>
        <v>0.53799999999999992</v>
      </c>
      <c r="Q399">
        <v>0.22</v>
      </c>
      <c r="R399">
        <f t="shared" si="35"/>
        <v>0.4089219330855019</v>
      </c>
    </row>
    <row r="400" spans="1:20" x14ac:dyDescent="0.25">
      <c r="A400">
        <v>216</v>
      </c>
      <c r="B400" t="s">
        <v>428</v>
      </c>
      <c r="D400" t="s">
        <v>343</v>
      </c>
      <c r="E400">
        <v>2</v>
      </c>
      <c r="F400" t="s">
        <v>374</v>
      </c>
      <c r="G400" t="s">
        <v>141</v>
      </c>
      <c r="H400" t="s">
        <v>141</v>
      </c>
      <c r="I400" t="s">
        <v>135</v>
      </c>
      <c r="J400">
        <v>6.85</v>
      </c>
      <c r="K400">
        <v>5.54</v>
      </c>
      <c r="L400">
        <f t="shared" si="33"/>
        <v>0.6549999999999998</v>
      </c>
      <c r="M400">
        <f t="shared" si="34"/>
        <v>9.5620437956204354E-2</v>
      </c>
      <c r="N400">
        <v>0.76500000000000001</v>
      </c>
      <c r="O400">
        <v>2.5999999999999999E-2</v>
      </c>
      <c r="P400">
        <f t="shared" ref="P400:P423" si="36">N400-O400</f>
        <v>0.73899999999999999</v>
      </c>
      <c r="Q400">
        <v>0.38200000000000001</v>
      </c>
      <c r="R400">
        <f t="shared" si="35"/>
        <v>0.51691474966170503</v>
      </c>
      <c r="S400" t="s">
        <v>551</v>
      </c>
    </row>
    <row r="401" spans="1:20" x14ac:dyDescent="0.25">
      <c r="A401">
        <v>221</v>
      </c>
      <c r="B401" t="s">
        <v>427</v>
      </c>
      <c r="D401" t="s">
        <v>343</v>
      </c>
      <c r="E401">
        <v>3</v>
      </c>
      <c r="F401" t="s">
        <v>374</v>
      </c>
      <c r="G401" t="s">
        <v>141</v>
      </c>
      <c r="H401" t="s">
        <v>141</v>
      </c>
      <c r="I401" t="s">
        <v>135</v>
      </c>
      <c r="J401">
        <v>7.58</v>
      </c>
      <c r="K401">
        <v>6.05</v>
      </c>
      <c r="L401">
        <f t="shared" si="33"/>
        <v>0.76500000000000012</v>
      </c>
      <c r="M401">
        <f t="shared" si="34"/>
        <v>0.10092348284960424</v>
      </c>
      <c r="N401">
        <v>0.54200000000000004</v>
      </c>
      <c r="O401">
        <v>2.5999999999999999E-2</v>
      </c>
      <c r="P401">
        <f t="shared" si="36"/>
        <v>0.51600000000000001</v>
      </c>
      <c r="Q401">
        <v>0.29399999999999998</v>
      </c>
      <c r="R401">
        <f t="shared" si="35"/>
        <v>0.56976744186046502</v>
      </c>
      <c r="S401" t="s">
        <v>551</v>
      </c>
    </row>
    <row r="402" spans="1:20" x14ac:dyDescent="0.25">
      <c r="A402">
        <v>214</v>
      </c>
      <c r="B402" t="s">
        <v>448</v>
      </c>
      <c r="D402" t="s">
        <v>343</v>
      </c>
      <c r="E402">
        <v>4</v>
      </c>
      <c r="F402" t="s">
        <v>374</v>
      </c>
      <c r="G402" t="s">
        <v>141</v>
      </c>
      <c r="H402" t="s">
        <v>141</v>
      </c>
      <c r="I402" t="s">
        <v>135</v>
      </c>
      <c r="J402">
        <v>8.35</v>
      </c>
      <c r="K402">
        <v>6.51</v>
      </c>
      <c r="L402">
        <f t="shared" si="33"/>
        <v>0.91999999999999993</v>
      </c>
      <c r="M402">
        <f t="shared" si="34"/>
        <v>0.11017964071856287</v>
      </c>
      <c r="N402">
        <v>0.56599999999999995</v>
      </c>
      <c r="O402">
        <v>2.5999999999999999E-2</v>
      </c>
      <c r="P402">
        <f t="shared" si="36"/>
        <v>0.53999999999999992</v>
      </c>
      <c r="Q402">
        <v>0.31</v>
      </c>
      <c r="R402">
        <f t="shared" si="35"/>
        <v>0.57407407407407418</v>
      </c>
      <c r="S402" t="s">
        <v>551</v>
      </c>
    </row>
    <row r="403" spans="1:20" x14ac:dyDescent="0.25">
      <c r="A403">
        <v>195</v>
      </c>
      <c r="B403" t="s">
        <v>456</v>
      </c>
      <c r="C403" t="s">
        <v>448</v>
      </c>
      <c r="D403" t="s">
        <v>343</v>
      </c>
      <c r="E403">
        <v>5</v>
      </c>
      <c r="F403" t="s">
        <v>374</v>
      </c>
      <c r="G403" t="s">
        <v>141</v>
      </c>
      <c r="H403" t="s">
        <v>141</v>
      </c>
      <c r="I403" t="s">
        <v>135</v>
      </c>
      <c r="J403">
        <v>11.76</v>
      </c>
      <c r="K403">
        <v>9.6300000000000008</v>
      </c>
      <c r="L403">
        <f t="shared" si="33"/>
        <v>1.0649999999999995</v>
      </c>
      <c r="M403">
        <f t="shared" si="34"/>
        <v>9.056122448979588E-2</v>
      </c>
      <c r="N403">
        <v>1.298</v>
      </c>
      <c r="O403">
        <v>2.5999999999999999E-2</v>
      </c>
      <c r="P403">
        <f t="shared" si="36"/>
        <v>1.272</v>
      </c>
      <c r="Q403">
        <v>0.64</v>
      </c>
      <c r="R403">
        <f t="shared" si="35"/>
        <v>0.50314465408805031</v>
      </c>
      <c r="S403" t="s">
        <v>551</v>
      </c>
    </row>
    <row r="404" spans="1:20" x14ac:dyDescent="0.25">
      <c r="A404">
        <v>160</v>
      </c>
      <c r="B404" t="s">
        <v>523</v>
      </c>
      <c r="D404" t="s">
        <v>524</v>
      </c>
      <c r="E404">
        <v>1</v>
      </c>
      <c r="F404" t="s">
        <v>525</v>
      </c>
      <c r="G404" t="s">
        <v>141</v>
      </c>
      <c r="H404" t="s">
        <v>141</v>
      </c>
      <c r="I404" t="s">
        <v>135</v>
      </c>
      <c r="J404">
        <v>8.69</v>
      </c>
      <c r="K404">
        <v>4.8099999999999996</v>
      </c>
      <c r="L404">
        <f t="shared" si="33"/>
        <v>1.94</v>
      </c>
      <c r="M404">
        <f t="shared" si="34"/>
        <v>0.2232451093210587</v>
      </c>
      <c r="N404">
        <v>0.379</v>
      </c>
      <c r="O404">
        <v>2.5999999999999999E-2</v>
      </c>
      <c r="P404">
        <f t="shared" si="36"/>
        <v>0.35299999999999998</v>
      </c>
      <c r="Q404">
        <v>0.17699999999999999</v>
      </c>
      <c r="R404">
        <f t="shared" si="35"/>
        <v>0.50141643059490082</v>
      </c>
    </row>
    <row r="405" spans="1:20" x14ac:dyDescent="0.25">
      <c r="A405">
        <v>264</v>
      </c>
      <c r="B405" t="s">
        <v>609</v>
      </c>
      <c r="D405" t="s">
        <v>524</v>
      </c>
      <c r="E405">
        <v>2</v>
      </c>
      <c r="F405" t="s">
        <v>525</v>
      </c>
      <c r="G405" t="s">
        <v>141</v>
      </c>
      <c r="H405" t="s">
        <v>141</v>
      </c>
      <c r="I405" t="s">
        <v>135</v>
      </c>
      <c r="J405">
        <v>12.47</v>
      </c>
      <c r="K405">
        <v>5.26</v>
      </c>
      <c r="L405">
        <f t="shared" si="33"/>
        <v>3.6050000000000004</v>
      </c>
      <c r="M405">
        <f t="shared" si="34"/>
        <v>0.28909382518043308</v>
      </c>
      <c r="N405">
        <v>0.64400000000000002</v>
      </c>
      <c r="O405">
        <v>2.1999999999999999E-2</v>
      </c>
      <c r="P405">
        <f t="shared" si="36"/>
        <v>0.622</v>
      </c>
      <c r="Q405">
        <v>0.25</v>
      </c>
      <c r="R405">
        <f t="shared" si="35"/>
        <v>0.40192926045016075</v>
      </c>
    </row>
    <row r="406" spans="1:20" x14ac:dyDescent="0.25">
      <c r="A406">
        <v>261</v>
      </c>
      <c r="B406" t="s">
        <v>603</v>
      </c>
      <c r="D406" t="s">
        <v>524</v>
      </c>
      <c r="E406">
        <v>3</v>
      </c>
      <c r="F406" t="s">
        <v>525</v>
      </c>
      <c r="G406" t="s">
        <v>141</v>
      </c>
      <c r="H406" t="s">
        <v>141</v>
      </c>
      <c r="I406" t="s">
        <v>135</v>
      </c>
      <c r="J406">
        <v>12.07</v>
      </c>
      <c r="K406">
        <v>3.73</v>
      </c>
      <c r="L406">
        <f t="shared" si="33"/>
        <v>4.17</v>
      </c>
      <c r="M406">
        <f t="shared" si="34"/>
        <v>0.34548467274233635</v>
      </c>
      <c r="N406">
        <v>0.42099999999999999</v>
      </c>
      <c r="O406">
        <v>2.1999999999999999E-2</v>
      </c>
      <c r="P406">
        <f t="shared" si="36"/>
        <v>0.39899999999999997</v>
      </c>
      <c r="Q406">
        <v>0.22800000000000001</v>
      </c>
      <c r="R406">
        <f t="shared" si="35"/>
        <v>0.57142857142857151</v>
      </c>
    </row>
    <row r="407" spans="1:20" x14ac:dyDescent="0.25">
      <c r="A407">
        <v>366</v>
      </c>
      <c r="B407" t="s">
        <v>903</v>
      </c>
      <c r="D407" t="s">
        <v>524</v>
      </c>
      <c r="E407">
        <v>4</v>
      </c>
      <c r="F407" t="s">
        <v>525</v>
      </c>
      <c r="G407" t="s">
        <v>141</v>
      </c>
      <c r="H407" t="s">
        <v>141</v>
      </c>
      <c r="I407" t="s">
        <v>135</v>
      </c>
      <c r="J407">
        <v>10.02</v>
      </c>
      <c r="K407">
        <v>7.34</v>
      </c>
      <c r="L407">
        <f t="shared" si="33"/>
        <v>1.3399999999999999</v>
      </c>
      <c r="M407">
        <f t="shared" si="34"/>
        <v>0.1337325349301397</v>
      </c>
      <c r="N407">
        <v>0.65100000000000002</v>
      </c>
      <c r="O407">
        <v>2.1999999999999999E-2</v>
      </c>
      <c r="P407">
        <f t="shared" si="36"/>
        <v>0.629</v>
      </c>
      <c r="Q407">
        <v>0.22700000000000001</v>
      </c>
      <c r="R407">
        <f t="shared" si="35"/>
        <v>0.36089030206677264</v>
      </c>
    </row>
    <row r="408" spans="1:20" x14ac:dyDescent="0.25">
      <c r="A408">
        <v>448</v>
      </c>
      <c r="B408" t="s">
        <v>1072</v>
      </c>
      <c r="D408" t="s">
        <v>524</v>
      </c>
      <c r="E408">
        <v>5</v>
      </c>
      <c r="F408" t="s">
        <v>525</v>
      </c>
      <c r="I408" t="s">
        <v>135</v>
      </c>
      <c r="J408">
        <v>8.25</v>
      </c>
      <c r="K408">
        <v>5.14</v>
      </c>
      <c r="L408">
        <f t="shared" si="33"/>
        <v>1.5550000000000002</v>
      </c>
      <c r="M408">
        <f t="shared" si="34"/>
        <v>0.18848484848484851</v>
      </c>
      <c r="N408">
        <v>0.214</v>
      </c>
      <c r="O408">
        <v>2.7E-2</v>
      </c>
      <c r="P408">
        <f t="shared" si="36"/>
        <v>0.187</v>
      </c>
      <c r="Q408">
        <v>9.1999999999999998E-2</v>
      </c>
      <c r="R408">
        <f t="shared" si="35"/>
        <v>0.49197860962566842</v>
      </c>
    </row>
    <row r="409" spans="1:20" x14ac:dyDescent="0.25">
      <c r="A409">
        <v>81</v>
      </c>
      <c r="B409" t="s">
        <v>97</v>
      </c>
      <c r="D409" t="s">
        <v>378</v>
      </c>
      <c r="E409">
        <v>1</v>
      </c>
      <c r="F409" t="s">
        <v>99</v>
      </c>
      <c r="G409" t="s">
        <v>141</v>
      </c>
      <c r="H409" t="s">
        <v>141</v>
      </c>
      <c r="I409" t="s">
        <v>135</v>
      </c>
      <c r="J409">
        <v>6.2</v>
      </c>
      <c r="K409">
        <v>5.0999999999999996</v>
      </c>
      <c r="L409">
        <f t="shared" si="33"/>
        <v>0.55000000000000027</v>
      </c>
      <c r="M409">
        <f t="shared" si="34"/>
        <v>8.8709677419354885E-2</v>
      </c>
      <c r="N409">
        <v>0.997</v>
      </c>
      <c r="O409">
        <v>0.02</v>
      </c>
      <c r="P409">
        <f t="shared" si="36"/>
        <v>0.97699999999999998</v>
      </c>
      <c r="Q409">
        <v>0.53400000000000003</v>
      </c>
      <c r="R409">
        <f t="shared" si="35"/>
        <v>0.54657113613101338</v>
      </c>
    </row>
    <row r="410" spans="1:20" x14ac:dyDescent="0.25">
      <c r="A410">
        <v>87</v>
      </c>
      <c r="B410" t="s">
        <v>124</v>
      </c>
      <c r="D410" t="s">
        <v>378</v>
      </c>
      <c r="E410">
        <v>2</v>
      </c>
      <c r="F410" t="s">
        <v>99</v>
      </c>
      <c r="G410" t="s">
        <v>141</v>
      </c>
      <c r="H410" t="s">
        <v>141</v>
      </c>
      <c r="I410" t="s">
        <v>135</v>
      </c>
      <c r="J410">
        <v>8.4600000000000009</v>
      </c>
      <c r="K410">
        <v>7.13</v>
      </c>
      <c r="L410">
        <f t="shared" si="33"/>
        <v>0.66500000000000048</v>
      </c>
      <c r="M410">
        <f t="shared" si="34"/>
        <v>7.8605200945626522E-2</v>
      </c>
      <c r="N410">
        <v>1.1419999999999999</v>
      </c>
      <c r="O410">
        <v>0.02</v>
      </c>
      <c r="P410">
        <f t="shared" si="36"/>
        <v>1.1219999999999999</v>
      </c>
      <c r="Q410">
        <v>0.58899999999999997</v>
      </c>
      <c r="R410">
        <f t="shared" si="35"/>
        <v>0.52495543672014267</v>
      </c>
    </row>
    <row r="411" spans="1:20" x14ac:dyDescent="0.25">
      <c r="A411">
        <v>80</v>
      </c>
      <c r="B411" t="s">
        <v>118</v>
      </c>
      <c r="D411" t="s">
        <v>378</v>
      </c>
      <c r="E411">
        <v>3</v>
      </c>
      <c r="F411" t="s">
        <v>99</v>
      </c>
      <c r="G411" t="s">
        <v>141</v>
      </c>
      <c r="H411" t="s">
        <v>141</v>
      </c>
      <c r="I411" t="s">
        <v>135</v>
      </c>
      <c r="J411">
        <v>8.64</v>
      </c>
      <c r="K411">
        <v>7.08</v>
      </c>
      <c r="L411">
        <f t="shared" si="33"/>
        <v>0.78000000000000025</v>
      </c>
      <c r="M411">
        <f t="shared" si="34"/>
        <v>9.0277777777777804E-2</v>
      </c>
      <c r="N411">
        <v>0.71099999999999997</v>
      </c>
      <c r="O411">
        <v>0.02</v>
      </c>
      <c r="P411">
        <f t="shared" si="36"/>
        <v>0.69099999999999995</v>
      </c>
      <c r="Q411">
        <v>0.40699999999999997</v>
      </c>
      <c r="R411">
        <f t="shared" si="35"/>
        <v>0.58900144717800285</v>
      </c>
    </row>
    <row r="412" spans="1:20" x14ac:dyDescent="0.25">
      <c r="A412">
        <v>125</v>
      </c>
      <c r="B412" t="s">
        <v>100</v>
      </c>
      <c r="D412" t="s">
        <v>378</v>
      </c>
      <c r="E412">
        <v>4</v>
      </c>
      <c r="F412" t="s">
        <v>99</v>
      </c>
      <c r="G412" t="s">
        <v>141</v>
      </c>
      <c r="H412" t="s">
        <v>141</v>
      </c>
      <c r="I412" t="s">
        <v>135</v>
      </c>
      <c r="J412">
        <v>7.61</v>
      </c>
      <c r="K412">
        <v>6.47</v>
      </c>
      <c r="L412">
        <f t="shared" si="33"/>
        <v>0.57000000000000028</v>
      </c>
      <c r="M412">
        <f t="shared" si="34"/>
        <v>7.4901445466491495E-2</v>
      </c>
      <c r="N412">
        <v>0.748</v>
      </c>
      <c r="O412">
        <v>0.03</v>
      </c>
      <c r="P412">
        <f t="shared" si="36"/>
        <v>0.71799999999999997</v>
      </c>
      <c r="Q412">
        <v>0.35599999999999998</v>
      </c>
      <c r="R412">
        <f t="shared" si="35"/>
        <v>0.49582172701949861</v>
      </c>
    </row>
    <row r="413" spans="1:20" x14ac:dyDescent="0.25">
      <c r="A413">
        <v>266</v>
      </c>
      <c r="B413" t="s">
        <v>608</v>
      </c>
      <c r="D413" t="s">
        <v>378</v>
      </c>
      <c r="E413">
        <v>5</v>
      </c>
      <c r="F413" t="s">
        <v>99</v>
      </c>
      <c r="G413" t="s">
        <v>141</v>
      </c>
      <c r="H413" t="s">
        <v>141</v>
      </c>
      <c r="I413" t="s">
        <v>135</v>
      </c>
      <c r="J413">
        <v>6.78</v>
      </c>
      <c r="K413">
        <v>5.97</v>
      </c>
      <c r="L413">
        <f t="shared" si="33"/>
        <v>0.40500000000000025</v>
      </c>
      <c r="M413">
        <f t="shared" si="34"/>
        <v>5.9734513274336321E-2</v>
      </c>
      <c r="N413">
        <v>0.42</v>
      </c>
      <c r="O413">
        <v>2.1999999999999999E-2</v>
      </c>
      <c r="P413">
        <f t="shared" si="36"/>
        <v>0.39799999999999996</v>
      </c>
      <c r="Q413">
        <v>0.246</v>
      </c>
      <c r="R413">
        <f t="shared" si="35"/>
        <v>0.61809045226130654</v>
      </c>
    </row>
    <row r="414" spans="1:20" x14ac:dyDescent="0.25">
      <c r="A414">
        <v>174</v>
      </c>
      <c r="B414" t="s">
        <v>1027</v>
      </c>
      <c r="C414" t="s">
        <v>608</v>
      </c>
      <c r="D414" t="s">
        <v>378</v>
      </c>
      <c r="E414">
        <v>6</v>
      </c>
      <c r="F414" t="s">
        <v>99</v>
      </c>
      <c r="G414" t="s">
        <v>141</v>
      </c>
      <c r="H414" t="s">
        <v>141</v>
      </c>
      <c r="I414" t="s">
        <v>135</v>
      </c>
      <c r="J414">
        <v>9.15</v>
      </c>
      <c r="K414">
        <v>7.48</v>
      </c>
      <c r="L414">
        <f t="shared" si="33"/>
        <v>0.83499999999999996</v>
      </c>
      <c r="M414">
        <f t="shared" si="34"/>
        <v>9.1256830601092895E-2</v>
      </c>
      <c r="N414">
        <v>1.4419999999999999</v>
      </c>
      <c r="O414">
        <v>2.5999999999999999E-2</v>
      </c>
      <c r="P414">
        <f t="shared" si="36"/>
        <v>1.4159999999999999</v>
      </c>
      <c r="Q414">
        <v>0.871</v>
      </c>
      <c r="R414">
        <f t="shared" si="35"/>
        <v>0.61511299435028255</v>
      </c>
      <c r="T414" t="s">
        <v>754</v>
      </c>
    </row>
    <row r="415" spans="1:20" x14ac:dyDescent="0.25">
      <c r="A415">
        <v>71</v>
      </c>
      <c r="B415" t="s">
        <v>306</v>
      </c>
      <c r="D415" t="s">
        <v>399</v>
      </c>
      <c r="E415">
        <v>1</v>
      </c>
      <c r="F415" t="s">
        <v>329</v>
      </c>
      <c r="G415" t="s">
        <v>141</v>
      </c>
      <c r="H415" t="s">
        <v>141</v>
      </c>
      <c r="I415" t="s">
        <v>135</v>
      </c>
      <c r="J415">
        <v>6.97</v>
      </c>
      <c r="K415">
        <v>5.17</v>
      </c>
      <c r="L415">
        <f t="shared" si="33"/>
        <v>0.89999999999999991</v>
      </c>
      <c r="M415">
        <f t="shared" si="34"/>
        <v>0.1291248206599713</v>
      </c>
      <c r="N415">
        <v>0.81799999999999995</v>
      </c>
      <c r="O415">
        <v>0.02</v>
      </c>
      <c r="P415">
        <f t="shared" si="36"/>
        <v>0.79799999999999993</v>
      </c>
      <c r="Q415">
        <v>0.41899999999999998</v>
      </c>
      <c r="R415">
        <f t="shared" si="35"/>
        <v>0.52506265664160401</v>
      </c>
    </row>
    <row r="416" spans="1:20" x14ac:dyDescent="0.25">
      <c r="A416">
        <v>204</v>
      </c>
      <c r="B416" t="s">
        <v>437</v>
      </c>
      <c r="D416" t="s">
        <v>399</v>
      </c>
      <c r="E416">
        <v>2</v>
      </c>
      <c r="F416" t="s">
        <v>329</v>
      </c>
      <c r="G416" t="s">
        <v>141</v>
      </c>
      <c r="H416" t="s">
        <v>141</v>
      </c>
      <c r="I416" t="s">
        <v>135</v>
      </c>
      <c r="J416">
        <v>8.2899999999999991</v>
      </c>
      <c r="K416">
        <v>6.74</v>
      </c>
      <c r="L416">
        <f t="shared" si="33"/>
        <v>0.77499999999999947</v>
      </c>
      <c r="M416">
        <f t="shared" si="34"/>
        <v>9.3486127864897406E-2</v>
      </c>
      <c r="N416">
        <v>0.40400000000000003</v>
      </c>
      <c r="O416">
        <v>2.5999999999999999E-2</v>
      </c>
      <c r="P416">
        <f t="shared" si="36"/>
        <v>0.378</v>
      </c>
      <c r="Q416">
        <v>0.17100000000000001</v>
      </c>
      <c r="R416">
        <f t="shared" si="35"/>
        <v>0.45238095238095244</v>
      </c>
      <c r="S416" t="s">
        <v>551</v>
      </c>
    </row>
    <row r="417" spans="1:20" x14ac:dyDescent="0.25">
      <c r="A417">
        <v>196</v>
      </c>
      <c r="B417" t="s">
        <v>436</v>
      </c>
      <c r="D417" t="s">
        <v>399</v>
      </c>
      <c r="E417">
        <v>3</v>
      </c>
      <c r="F417" t="s">
        <v>329</v>
      </c>
      <c r="G417" t="s">
        <v>141</v>
      </c>
      <c r="H417" t="s">
        <v>141</v>
      </c>
      <c r="I417" t="s">
        <v>135</v>
      </c>
      <c r="J417">
        <v>12.76</v>
      </c>
      <c r="K417">
        <v>10.62</v>
      </c>
      <c r="L417">
        <f t="shared" si="33"/>
        <v>1.0700000000000003</v>
      </c>
      <c r="M417">
        <f t="shared" si="34"/>
        <v>8.3855799373040774E-2</v>
      </c>
      <c r="N417">
        <v>1.4339999999999999</v>
      </c>
      <c r="O417">
        <v>2.5999999999999999E-2</v>
      </c>
      <c r="P417">
        <f t="shared" si="36"/>
        <v>1.4079999999999999</v>
      </c>
      <c r="Q417">
        <v>0.72</v>
      </c>
      <c r="R417">
        <f t="shared" si="35"/>
        <v>0.51136363636363635</v>
      </c>
      <c r="S417" t="s">
        <v>551</v>
      </c>
    </row>
    <row r="418" spans="1:20" x14ac:dyDescent="0.25">
      <c r="A418">
        <v>192</v>
      </c>
      <c r="B418" t="s">
        <v>450</v>
      </c>
      <c r="D418" t="s">
        <v>399</v>
      </c>
      <c r="E418">
        <v>4</v>
      </c>
      <c r="F418" t="s">
        <v>329</v>
      </c>
      <c r="G418" t="s">
        <v>141</v>
      </c>
      <c r="H418" t="s">
        <v>141</v>
      </c>
      <c r="I418" t="s">
        <v>135</v>
      </c>
      <c r="J418">
        <v>10.07</v>
      </c>
      <c r="K418">
        <v>8.3699999999999992</v>
      </c>
      <c r="L418">
        <f t="shared" si="33"/>
        <v>0.85000000000000053</v>
      </c>
      <c r="M418">
        <f t="shared" si="34"/>
        <v>8.440913604766638E-2</v>
      </c>
      <c r="N418">
        <v>1.1779999999999999</v>
      </c>
      <c r="O418">
        <v>2.5999999999999999E-2</v>
      </c>
      <c r="P418">
        <f t="shared" si="36"/>
        <v>1.1519999999999999</v>
      </c>
      <c r="Q418">
        <v>0.497</v>
      </c>
      <c r="R418">
        <f t="shared" si="35"/>
        <v>0.43142361111111116</v>
      </c>
      <c r="S418" t="s">
        <v>551</v>
      </c>
    </row>
    <row r="419" spans="1:20" x14ac:dyDescent="0.25">
      <c r="A419">
        <v>217</v>
      </c>
      <c r="B419" t="s">
        <v>466</v>
      </c>
      <c r="D419" t="s">
        <v>399</v>
      </c>
      <c r="E419">
        <v>5</v>
      </c>
      <c r="F419" t="s">
        <v>329</v>
      </c>
      <c r="G419" t="s">
        <v>141</v>
      </c>
      <c r="H419" t="s">
        <v>141</v>
      </c>
      <c r="I419" t="s">
        <v>135</v>
      </c>
      <c r="J419">
        <v>8.73</v>
      </c>
      <c r="K419">
        <v>7.18</v>
      </c>
      <c r="L419">
        <f t="shared" si="33"/>
        <v>0.77500000000000036</v>
      </c>
      <c r="M419">
        <f t="shared" si="34"/>
        <v>8.8774341351660971E-2</v>
      </c>
      <c r="N419">
        <v>0.872</v>
      </c>
      <c r="O419">
        <v>2.5999999999999999E-2</v>
      </c>
      <c r="P419">
        <f t="shared" si="36"/>
        <v>0.84599999999999997</v>
      </c>
      <c r="Q419">
        <v>0.40100000000000002</v>
      </c>
      <c r="R419">
        <f t="shared" si="35"/>
        <v>0.47399527186761231</v>
      </c>
      <c r="S419" t="s">
        <v>551</v>
      </c>
    </row>
    <row r="420" spans="1:20" x14ac:dyDescent="0.25">
      <c r="A420">
        <v>207</v>
      </c>
      <c r="B420" t="s">
        <v>1258</v>
      </c>
      <c r="C420" t="s">
        <v>436</v>
      </c>
      <c r="D420" t="s">
        <v>399</v>
      </c>
      <c r="E420">
        <v>6</v>
      </c>
      <c r="F420" t="s">
        <v>329</v>
      </c>
      <c r="G420" t="s">
        <v>141</v>
      </c>
      <c r="H420" t="s">
        <v>141</v>
      </c>
      <c r="I420" t="s">
        <v>135</v>
      </c>
      <c r="J420">
        <v>10</v>
      </c>
      <c r="K420">
        <v>7.99</v>
      </c>
      <c r="L420">
        <f t="shared" si="33"/>
        <v>1.0049999999999999</v>
      </c>
      <c r="M420">
        <f t="shared" si="34"/>
        <v>0.10049999999999999</v>
      </c>
      <c r="N420">
        <v>1.212</v>
      </c>
      <c r="O420">
        <v>2.5999999999999999E-2</v>
      </c>
      <c r="P420">
        <f t="shared" si="36"/>
        <v>1.1859999999999999</v>
      </c>
      <c r="Q420">
        <v>0.496</v>
      </c>
      <c r="R420">
        <f t="shared" si="35"/>
        <v>0.41821247892074198</v>
      </c>
      <c r="S420" t="s">
        <v>551</v>
      </c>
      <c r="T420" t="s">
        <v>1260</v>
      </c>
    </row>
    <row r="421" spans="1:20" x14ac:dyDescent="0.25">
      <c r="A421">
        <v>203</v>
      </c>
      <c r="B421" t="s">
        <v>1262</v>
      </c>
      <c r="C421" t="s">
        <v>415</v>
      </c>
      <c r="D421" t="s">
        <v>1264</v>
      </c>
      <c r="E421">
        <v>1</v>
      </c>
      <c r="F421" t="s">
        <v>1263</v>
      </c>
      <c r="G421" t="s">
        <v>141</v>
      </c>
      <c r="H421" t="s">
        <v>141</v>
      </c>
      <c r="I421" t="s">
        <v>135</v>
      </c>
      <c r="J421">
        <v>9.0299999999999994</v>
      </c>
      <c r="K421">
        <v>6.42</v>
      </c>
      <c r="L421">
        <f t="shared" si="33"/>
        <v>1.3049999999999997</v>
      </c>
      <c r="M421">
        <f t="shared" si="34"/>
        <v>0.14451827242524914</v>
      </c>
      <c r="N421">
        <v>0.95499999999999996</v>
      </c>
      <c r="O421">
        <v>2.5999999999999999E-2</v>
      </c>
      <c r="P421">
        <f t="shared" si="36"/>
        <v>0.92899999999999994</v>
      </c>
      <c r="Q421">
        <v>0.442</v>
      </c>
      <c r="R421">
        <f t="shared" si="35"/>
        <v>0.47578040904198066</v>
      </c>
      <c r="S421" t="s">
        <v>551</v>
      </c>
    </row>
    <row r="422" spans="1:20" x14ac:dyDescent="0.25">
      <c r="A422">
        <v>109</v>
      </c>
      <c r="B422" t="s">
        <v>18</v>
      </c>
      <c r="D422" t="s">
        <v>347</v>
      </c>
      <c r="E422">
        <v>1</v>
      </c>
      <c r="F422" t="s">
        <v>19</v>
      </c>
      <c r="G422" t="s">
        <v>141</v>
      </c>
      <c r="H422" t="s">
        <v>141</v>
      </c>
      <c r="I422" t="s">
        <v>135</v>
      </c>
      <c r="J422">
        <v>10.36</v>
      </c>
      <c r="K422">
        <v>6.15</v>
      </c>
      <c r="L422">
        <f t="shared" si="33"/>
        <v>2.1049999999999995</v>
      </c>
      <c r="M422">
        <f t="shared" si="34"/>
        <v>0.20318532818532814</v>
      </c>
      <c r="N422">
        <v>0.63600000000000001</v>
      </c>
      <c r="O422">
        <v>0.03</v>
      </c>
      <c r="P422">
        <f t="shared" si="36"/>
        <v>0.60599999999999998</v>
      </c>
      <c r="Q422">
        <v>0.23599999999999999</v>
      </c>
      <c r="R422">
        <f t="shared" si="35"/>
        <v>0.38943894389438943</v>
      </c>
    </row>
    <row r="423" spans="1:20" x14ac:dyDescent="0.25">
      <c r="A423">
        <v>97</v>
      </c>
      <c r="B423" t="s">
        <v>114</v>
      </c>
      <c r="D423" t="s">
        <v>347</v>
      </c>
      <c r="E423">
        <v>2</v>
      </c>
      <c r="F423" t="s">
        <v>19</v>
      </c>
      <c r="G423" t="s">
        <v>141</v>
      </c>
      <c r="H423" t="s">
        <v>141</v>
      </c>
      <c r="I423" t="s">
        <v>135</v>
      </c>
      <c r="J423">
        <v>7.64</v>
      </c>
      <c r="K423">
        <v>5.44</v>
      </c>
      <c r="L423">
        <f t="shared" si="33"/>
        <v>1.0999999999999996</v>
      </c>
      <c r="M423">
        <f t="shared" si="34"/>
        <v>0.14397905759162299</v>
      </c>
      <c r="N423">
        <v>0.60399999999999998</v>
      </c>
      <c r="O423">
        <v>0.03</v>
      </c>
      <c r="P423">
        <f t="shared" si="36"/>
        <v>0.57399999999999995</v>
      </c>
      <c r="Q423">
        <v>0.27800000000000002</v>
      </c>
      <c r="R423">
        <f t="shared" si="35"/>
        <v>0.48432055749128927</v>
      </c>
    </row>
    <row r="424" spans="1:20" x14ac:dyDescent="0.25">
      <c r="A424">
        <v>14</v>
      </c>
      <c r="B424" t="s">
        <v>83</v>
      </c>
      <c r="D424" t="s">
        <v>347</v>
      </c>
      <c r="E424">
        <v>3</v>
      </c>
      <c r="F424" t="s">
        <v>19</v>
      </c>
      <c r="G424">
        <v>24.52</v>
      </c>
      <c r="H424">
        <v>5.16</v>
      </c>
      <c r="I424" t="s">
        <v>134</v>
      </c>
      <c r="J424">
        <v>5.91</v>
      </c>
      <c r="K424">
        <v>3.66</v>
      </c>
      <c r="L424">
        <f t="shared" si="33"/>
        <v>1.125</v>
      </c>
      <c r="M424">
        <f t="shared" si="34"/>
        <v>0.19035532994923857</v>
      </c>
      <c r="N424">
        <v>0.48299999999999998</v>
      </c>
      <c r="O424">
        <v>1.6E-2</v>
      </c>
      <c r="P424">
        <f>(3.14159*((H424/2)^2) * G424)/1000</f>
        <v>0.51275438565552012</v>
      </c>
      <c r="Q424">
        <v>0.20399999999999999</v>
      </c>
      <c r="R424">
        <f t="shared" si="35"/>
        <v>0.39785130211846059</v>
      </c>
    </row>
    <row r="425" spans="1:20" x14ac:dyDescent="0.25">
      <c r="A425">
        <v>16</v>
      </c>
      <c r="B425" t="s">
        <v>116</v>
      </c>
      <c r="D425" t="s">
        <v>347</v>
      </c>
      <c r="E425">
        <v>4</v>
      </c>
      <c r="F425" t="s">
        <v>19</v>
      </c>
      <c r="G425">
        <v>40</v>
      </c>
      <c r="H425">
        <v>5.0999999999999996</v>
      </c>
      <c r="I425" t="s">
        <v>134</v>
      </c>
      <c r="J425">
        <v>5.44</v>
      </c>
      <c r="K425">
        <v>3.68</v>
      </c>
      <c r="L425">
        <f t="shared" si="33"/>
        <v>0.88000000000000012</v>
      </c>
      <c r="M425">
        <f t="shared" si="34"/>
        <v>0.16176470588235295</v>
      </c>
      <c r="N425">
        <v>0.80400000000000005</v>
      </c>
      <c r="O425">
        <v>1.6E-2</v>
      </c>
      <c r="P425">
        <f>(3.14159*((H425/2)^2) * G425)/1000</f>
        <v>0.81712755899999989</v>
      </c>
      <c r="Q425">
        <v>0.30599999999999999</v>
      </c>
      <c r="R425">
        <f t="shared" si="35"/>
        <v>0.37448253535161946</v>
      </c>
    </row>
    <row r="426" spans="1:20" x14ac:dyDescent="0.25">
      <c r="A426">
        <v>228</v>
      </c>
      <c r="B426" t="s">
        <v>635</v>
      </c>
      <c r="D426" t="s">
        <v>347</v>
      </c>
      <c r="E426">
        <v>5</v>
      </c>
      <c r="F426" t="s">
        <v>19</v>
      </c>
      <c r="G426" t="s">
        <v>141</v>
      </c>
      <c r="H426" t="s">
        <v>141</v>
      </c>
      <c r="I426" t="s">
        <v>135</v>
      </c>
      <c r="J426">
        <v>8.2200000000000006</v>
      </c>
      <c r="K426">
        <v>6.22</v>
      </c>
      <c r="L426">
        <f t="shared" si="33"/>
        <v>1.0000000000000004</v>
      </c>
      <c r="M426">
        <f t="shared" si="34"/>
        <v>0.12165450121654506</v>
      </c>
      <c r="N426">
        <v>0.38400000000000001</v>
      </c>
      <c r="O426">
        <v>2.1999999999999999E-2</v>
      </c>
      <c r="P426">
        <f>N426-O426</f>
        <v>0.36199999999999999</v>
      </c>
      <c r="Q426">
        <v>0.185</v>
      </c>
      <c r="R426">
        <f t="shared" si="35"/>
        <v>0.51104972375690605</v>
      </c>
      <c r="S426" t="s">
        <v>551</v>
      </c>
    </row>
    <row r="427" spans="1:20" x14ac:dyDescent="0.25">
      <c r="A427">
        <v>373</v>
      </c>
      <c r="B427" t="s">
        <v>969</v>
      </c>
      <c r="D427" t="s">
        <v>347</v>
      </c>
      <c r="E427">
        <v>6</v>
      </c>
      <c r="F427" t="s">
        <v>19</v>
      </c>
      <c r="G427" t="s">
        <v>141</v>
      </c>
      <c r="H427" t="s">
        <v>141</v>
      </c>
      <c r="I427" t="s">
        <v>135</v>
      </c>
      <c r="J427">
        <v>6.94</v>
      </c>
      <c r="K427">
        <v>5.46</v>
      </c>
      <c r="L427">
        <f t="shared" si="33"/>
        <v>0.74000000000000021</v>
      </c>
      <c r="M427">
        <f t="shared" si="34"/>
        <v>0.10662824207492798</v>
      </c>
      <c r="N427">
        <v>0.51500000000000001</v>
      </c>
      <c r="O427">
        <v>2.1999999999999999E-2</v>
      </c>
      <c r="P427">
        <f>N427-O427</f>
        <v>0.49299999999999999</v>
      </c>
      <c r="Q427">
        <v>0.23</v>
      </c>
      <c r="R427">
        <f t="shared" si="35"/>
        <v>0.46653144016227183</v>
      </c>
    </row>
    <row r="428" spans="1:20" x14ac:dyDescent="0.25">
      <c r="A428">
        <v>4</v>
      </c>
      <c r="B428" t="s">
        <v>1266</v>
      </c>
      <c r="C428" t="s">
        <v>69</v>
      </c>
      <c r="D428" t="s">
        <v>347</v>
      </c>
      <c r="E428">
        <v>7</v>
      </c>
      <c r="F428" t="s">
        <v>19</v>
      </c>
      <c r="G428">
        <v>20.61</v>
      </c>
      <c r="H428">
        <v>5.0999999999999996</v>
      </c>
      <c r="I428" t="s">
        <v>134</v>
      </c>
      <c r="J428">
        <v>8.99</v>
      </c>
      <c r="K428">
        <v>6.21</v>
      </c>
      <c r="L428">
        <f t="shared" si="33"/>
        <v>1.3900000000000001</v>
      </c>
      <c r="M428">
        <f t="shared" si="34"/>
        <v>0.1546162402669633</v>
      </c>
      <c r="O428">
        <v>1.6E-2</v>
      </c>
      <c r="P428">
        <f>(3.14159*((H428/2)*2) * G428)/1000</f>
        <v>0.33021566648999995</v>
      </c>
      <c r="Q428">
        <v>0.13400000000000001</v>
      </c>
      <c r="R428">
        <f t="shared" si="35"/>
        <v>0.40579540463461927</v>
      </c>
    </row>
    <row r="429" spans="1:20" x14ac:dyDescent="0.25">
      <c r="A429">
        <v>256</v>
      </c>
      <c r="B429" t="s">
        <v>615</v>
      </c>
      <c r="D429" t="s">
        <v>625</v>
      </c>
      <c r="E429">
        <v>1</v>
      </c>
      <c r="F429" t="s">
        <v>736</v>
      </c>
      <c r="G429" t="s">
        <v>141</v>
      </c>
      <c r="H429" t="s">
        <v>141</v>
      </c>
      <c r="I429" t="s">
        <v>135</v>
      </c>
      <c r="J429">
        <v>8.48</v>
      </c>
      <c r="K429">
        <v>7.07</v>
      </c>
      <c r="L429">
        <f t="shared" si="33"/>
        <v>0.70500000000000007</v>
      </c>
      <c r="M429">
        <f t="shared" si="34"/>
        <v>8.3136792452830191E-2</v>
      </c>
      <c r="N429">
        <v>1.26</v>
      </c>
      <c r="O429">
        <v>2.1999999999999999E-2</v>
      </c>
      <c r="P429">
        <f t="shared" ref="P429:P437" si="37">N429-O429</f>
        <v>1.238</v>
      </c>
      <c r="Q429">
        <v>0.70599999999999996</v>
      </c>
      <c r="R429">
        <f t="shared" si="35"/>
        <v>0.57027463651050081</v>
      </c>
    </row>
    <row r="430" spans="1:20" x14ac:dyDescent="0.25">
      <c r="A430">
        <v>255</v>
      </c>
      <c r="B430" t="s">
        <v>624</v>
      </c>
      <c r="D430" t="s">
        <v>625</v>
      </c>
      <c r="E430">
        <v>2</v>
      </c>
      <c r="F430" t="s">
        <v>736</v>
      </c>
      <c r="G430" t="s">
        <v>141</v>
      </c>
      <c r="H430" t="s">
        <v>141</v>
      </c>
      <c r="I430" t="s">
        <v>135</v>
      </c>
      <c r="J430">
        <v>5.83</v>
      </c>
      <c r="K430">
        <v>4.58</v>
      </c>
      <c r="L430">
        <f t="shared" si="33"/>
        <v>0.625</v>
      </c>
      <c r="M430">
        <f t="shared" si="34"/>
        <v>0.1072041166380789</v>
      </c>
      <c r="N430">
        <v>0.53800000000000003</v>
      </c>
      <c r="O430">
        <v>2.1999999999999999E-2</v>
      </c>
      <c r="P430">
        <f t="shared" si="37"/>
        <v>0.51600000000000001</v>
      </c>
      <c r="Q430">
        <v>0.26800000000000002</v>
      </c>
      <c r="R430">
        <f t="shared" si="35"/>
        <v>0.51937984496124034</v>
      </c>
    </row>
    <row r="431" spans="1:20" x14ac:dyDescent="0.25">
      <c r="A431">
        <v>280</v>
      </c>
      <c r="B431" t="s">
        <v>737</v>
      </c>
      <c r="D431" t="s">
        <v>625</v>
      </c>
      <c r="E431">
        <v>3</v>
      </c>
      <c r="F431" t="s">
        <v>736</v>
      </c>
      <c r="G431" t="s">
        <v>141</v>
      </c>
      <c r="H431" t="s">
        <v>141</v>
      </c>
      <c r="I431" t="s">
        <v>135</v>
      </c>
      <c r="J431">
        <v>5.7</v>
      </c>
      <c r="K431">
        <v>4.45</v>
      </c>
      <c r="L431">
        <f t="shared" si="33"/>
        <v>0.625</v>
      </c>
      <c r="M431">
        <f t="shared" si="34"/>
        <v>0.10964912280701754</v>
      </c>
      <c r="N431">
        <v>0.69099999999999995</v>
      </c>
      <c r="O431">
        <v>2.1999999999999999E-2</v>
      </c>
      <c r="P431">
        <f t="shared" si="37"/>
        <v>0.66899999999999993</v>
      </c>
      <c r="Q431">
        <v>0.31900000000000001</v>
      </c>
      <c r="R431">
        <f t="shared" si="35"/>
        <v>0.47683109118086703</v>
      </c>
    </row>
    <row r="432" spans="1:20" x14ac:dyDescent="0.25">
      <c r="A432">
        <v>308</v>
      </c>
      <c r="B432" t="s">
        <v>764</v>
      </c>
      <c r="D432" t="s">
        <v>625</v>
      </c>
      <c r="E432">
        <v>4</v>
      </c>
      <c r="F432" t="s">
        <v>736</v>
      </c>
      <c r="G432" t="s">
        <v>141</v>
      </c>
      <c r="H432" t="s">
        <v>141</v>
      </c>
      <c r="I432" t="s">
        <v>135</v>
      </c>
      <c r="J432">
        <v>6.96</v>
      </c>
      <c r="K432">
        <v>4.55</v>
      </c>
      <c r="L432">
        <f t="shared" si="33"/>
        <v>1.2050000000000001</v>
      </c>
      <c r="M432">
        <f t="shared" si="34"/>
        <v>0.17313218390804599</v>
      </c>
      <c r="N432">
        <v>0.64900000000000002</v>
      </c>
      <c r="O432">
        <v>2.1999999999999999E-2</v>
      </c>
      <c r="P432">
        <f t="shared" si="37"/>
        <v>0.627</v>
      </c>
      <c r="Q432">
        <v>0.32700000000000001</v>
      </c>
      <c r="R432">
        <f t="shared" si="35"/>
        <v>0.52153110047846896</v>
      </c>
    </row>
    <row r="433" spans="1:18" x14ac:dyDescent="0.25">
      <c r="A433">
        <v>300</v>
      </c>
      <c r="B433" t="s">
        <v>757</v>
      </c>
      <c r="D433" t="s">
        <v>625</v>
      </c>
      <c r="E433">
        <v>5</v>
      </c>
      <c r="F433" t="s">
        <v>736</v>
      </c>
      <c r="G433" t="s">
        <v>141</v>
      </c>
      <c r="H433" t="s">
        <v>141</v>
      </c>
      <c r="I433" t="s">
        <v>135</v>
      </c>
      <c r="J433">
        <v>6.74</v>
      </c>
      <c r="K433">
        <v>5.55</v>
      </c>
      <c r="L433">
        <f t="shared" si="33"/>
        <v>0.5950000000000002</v>
      </c>
      <c r="M433">
        <f t="shared" si="34"/>
        <v>8.8278931750741862E-2</v>
      </c>
      <c r="N433">
        <v>0.47299999999999998</v>
      </c>
      <c r="O433">
        <v>2.1999999999999999E-2</v>
      </c>
      <c r="P433">
        <f t="shared" si="37"/>
        <v>0.45099999999999996</v>
      </c>
      <c r="Q433">
        <v>0.22</v>
      </c>
      <c r="R433">
        <f t="shared" si="35"/>
        <v>0.48780487804878053</v>
      </c>
    </row>
    <row r="434" spans="1:18" x14ac:dyDescent="0.25">
      <c r="A434">
        <v>126</v>
      </c>
      <c r="B434" t="s">
        <v>109</v>
      </c>
      <c r="D434" t="s">
        <v>362</v>
      </c>
      <c r="E434">
        <v>1</v>
      </c>
      <c r="F434" t="s">
        <v>363</v>
      </c>
      <c r="G434" t="s">
        <v>141</v>
      </c>
      <c r="H434" t="s">
        <v>141</v>
      </c>
      <c r="I434" t="s">
        <v>135</v>
      </c>
      <c r="J434">
        <v>6.55</v>
      </c>
      <c r="K434">
        <v>4.34</v>
      </c>
      <c r="L434">
        <f t="shared" si="33"/>
        <v>1.105</v>
      </c>
      <c r="M434">
        <f t="shared" si="34"/>
        <v>0.16870229007633589</v>
      </c>
      <c r="N434">
        <v>0.58299999999999996</v>
      </c>
      <c r="O434">
        <v>0.03</v>
      </c>
      <c r="P434">
        <f t="shared" si="37"/>
        <v>0.55299999999999994</v>
      </c>
      <c r="Q434">
        <v>0.29799999999999999</v>
      </c>
      <c r="R434">
        <f t="shared" si="35"/>
        <v>0.53887884267631103</v>
      </c>
    </row>
    <row r="435" spans="1:18" x14ac:dyDescent="0.25">
      <c r="A435">
        <v>137</v>
      </c>
      <c r="B435" t="s">
        <v>120</v>
      </c>
      <c r="D435" t="s">
        <v>362</v>
      </c>
      <c r="E435">
        <v>2</v>
      </c>
      <c r="F435" t="s">
        <v>363</v>
      </c>
      <c r="G435" t="s">
        <v>141</v>
      </c>
      <c r="H435" t="s">
        <v>141</v>
      </c>
      <c r="I435" t="s">
        <v>135</v>
      </c>
      <c r="J435">
        <v>6.91</v>
      </c>
      <c r="K435">
        <v>5.47</v>
      </c>
      <c r="L435">
        <f t="shared" si="33"/>
        <v>0.7200000000000002</v>
      </c>
      <c r="M435">
        <f t="shared" si="34"/>
        <v>0.10419681620839366</v>
      </c>
      <c r="N435">
        <v>0.46100000000000002</v>
      </c>
      <c r="O435">
        <v>0.03</v>
      </c>
      <c r="P435">
        <f t="shared" si="37"/>
        <v>0.43100000000000005</v>
      </c>
      <c r="Q435">
        <v>0.27600000000000002</v>
      </c>
      <c r="R435">
        <f t="shared" si="35"/>
        <v>0.6403712296983759</v>
      </c>
    </row>
    <row r="436" spans="1:18" x14ac:dyDescent="0.25">
      <c r="A436">
        <v>144</v>
      </c>
      <c r="B436" t="s">
        <v>77</v>
      </c>
      <c r="D436" t="s">
        <v>362</v>
      </c>
      <c r="E436">
        <v>3</v>
      </c>
      <c r="F436" t="s">
        <v>363</v>
      </c>
      <c r="G436" t="s">
        <v>141</v>
      </c>
      <c r="H436" t="s">
        <v>141</v>
      </c>
      <c r="I436" t="s">
        <v>134</v>
      </c>
      <c r="J436">
        <v>9.43</v>
      </c>
      <c r="K436">
        <v>5.9</v>
      </c>
      <c r="L436">
        <f t="shared" si="33"/>
        <v>1.7649999999999997</v>
      </c>
      <c r="M436">
        <f t="shared" si="34"/>
        <v>0.18716861081654293</v>
      </c>
      <c r="N436">
        <v>0.90500000000000003</v>
      </c>
      <c r="O436">
        <v>0.03</v>
      </c>
      <c r="P436">
        <f t="shared" si="37"/>
        <v>0.875</v>
      </c>
      <c r="Q436">
        <v>0.61399999999999999</v>
      </c>
      <c r="R436">
        <f t="shared" si="35"/>
        <v>0.70171428571428573</v>
      </c>
    </row>
    <row r="437" spans="1:18" x14ac:dyDescent="0.25">
      <c r="A437">
        <v>140</v>
      </c>
      <c r="B437" t="s">
        <v>78</v>
      </c>
      <c r="D437" t="s">
        <v>362</v>
      </c>
      <c r="E437">
        <v>4</v>
      </c>
      <c r="F437" t="s">
        <v>363</v>
      </c>
      <c r="G437" t="s">
        <v>141</v>
      </c>
      <c r="H437" t="s">
        <v>141</v>
      </c>
      <c r="I437" t="s">
        <v>134</v>
      </c>
      <c r="J437">
        <v>10.74</v>
      </c>
      <c r="K437">
        <v>7.51</v>
      </c>
      <c r="L437">
        <f t="shared" si="33"/>
        <v>1.6150000000000002</v>
      </c>
      <c r="M437">
        <f t="shared" si="34"/>
        <v>0.15037243947858475</v>
      </c>
      <c r="N437">
        <v>0.61499999999999999</v>
      </c>
      <c r="O437">
        <v>0.03</v>
      </c>
      <c r="P437">
        <f t="shared" si="37"/>
        <v>0.58499999999999996</v>
      </c>
      <c r="Q437">
        <v>0.36199999999999999</v>
      </c>
      <c r="R437">
        <f t="shared" si="35"/>
        <v>0.61880341880341883</v>
      </c>
    </row>
    <row r="438" spans="1:18" x14ac:dyDescent="0.25">
      <c r="A438">
        <v>15</v>
      </c>
      <c r="B438" t="s">
        <v>138</v>
      </c>
      <c r="D438" t="s">
        <v>362</v>
      </c>
      <c r="E438">
        <v>5</v>
      </c>
      <c r="F438" t="s">
        <v>363</v>
      </c>
      <c r="G438">
        <v>59</v>
      </c>
      <c r="H438">
        <v>5.0999999999999996</v>
      </c>
      <c r="I438" t="s">
        <v>134</v>
      </c>
      <c r="J438">
        <v>6.34</v>
      </c>
      <c r="K438">
        <v>5.01</v>
      </c>
      <c r="L438">
        <f t="shared" si="33"/>
        <v>0.66500000000000004</v>
      </c>
      <c r="M438">
        <f t="shared" si="34"/>
        <v>0.10488958990536279</v>
      </c>
      <c r="N438">
        <v>1.1319999999999999</v>
      </c>
      <c r="O438">
        <v>1.6E-2</v>
      </c>
      <c r="P438">
        <f>(3.14159*((H438/2)^2) * G438)/1000</f>
        <v>1.2052631495249997</v>
      </c>
      <c r="Q438">
        <v>0.68300000000000005</v>
      </c>
      <c r="R438">
        <f t="shared" si="35"/>
        <v>0.56668122664264131</v>
      </c>
    </row>
    <row r="439" spans="1:18" x14ac:dyDescent="0.25">
      <c r="A439">
        <v>18</v>
      </c>
      <c r="B439" t="s">
        <v>1268</v>
      </c>
      <c r="C439" t="s">
        <v>208</v>
      </c>
      <c r="D439" t="s">
        <v>385</v>
      </c>
      <c r="E439">
        <v>1</v>
      </c>
      <c r="F439" t="s">
        <v>321</v>
      </c>
      <c r="G439" t="s">
        <v>141</v>
      </c>
      <c r="H439" t="s">
        <v>141</v>
      </c>
      <c r="I439" t="s">
        <v>135</v>
      </c>
      <c r="J439">
        <v>6.35</v>
      </c>
      <c r="K439">
        <v>5.23</v>
      </c>
      <c r="L439">
        <f t="shared" si="33"/>
        <v>0.55999999999999961</v>
      </c>
      <c r="M439">
        <f t="shared" si="34"/>
        <v>8.8188976377952699E-2</v>
      </c>
      <c r="N439">
        <v>0.89700000000000002</v>
      </c>
      <c r="O439">
        <v>0.02</v>
      </c>
      <c r="P439">
        <f t="shared" ref="P439:P462" si="38">N439-O439</f>
        <v>0.877</v>
      </c>
      <c r="Q439">
        <v>0.46200000000000002</v>
      </c>
      <c r="R439">
        <f t="shared" si="35"/>
        <v>0.52679589509692137</v>
      </c>
    </row>
    <row r="440" spans="1:18" x14ac:dyDescent="0.25">
      <c r="A440">
        <v>66</v>
      </c>
      <c r="B440" t="s">
        <v>1269</v>
      </c>
      <c r="C440" t="s">
        <v>233</v>
      </c>
      <c r="D440" t="s">
        <v>385</v>
      </c>
      <c r="E440">
        <v>2</v>
      </c>
      <c r="F440" t="s">
        <v>321</v>
      </c>
      <c r="G440" t="s">
        <v>141</v>
      </c>
      <c r="H440" t="s">
        <v>141</v>
      </c>
      <c r="I440" t="s">
        <v>135</v>
      </c>
      <c r="J440">
        <v>8.81</v>
      </c>
      <c r="K440">
        <v>6.63</v>
      </c>
      <c r="L440">
        <f t="shared" si="33"/>
        <v>1.0900000000000003</v>
      </c>
      <c r="M440">
        <f t="shared" si="34"/>
        <v>0.12372304199772988</v>
      </c>
      <c r="N440">
        <v>1.0349999999999999</v>
      </c>
      <c r="O440">
        <v>0.02</v>
      </c>
      <c r="P440">
        <f t="shared" si="38"/>
        <v>1.0149999999999999</v>
      </c>
      <c r="Q440">
        <v>0.501</v>
      </c>
      <c r="R440">
        <f t="shared" si="35"/>
        <v>0.49359605911330057</v>
      </c>
    </row>
    <row r="441" spans="1:18" x14ac:dyDescent="0.25">
      <c r="A441">
        <v>24</v>
      </c>
      <c r="B441" t="s">
        <v>291</v>
      </c>
      <c r="D441" t="s">
        <v>385</v>
      </c>
      <c r="E441">
        <v>3</v>
      </c>
      <c r="F441" t="s">
        <v>321</v>
      </c>
      <c r="G441" t="s">
        <v>141</v>
      </c>
      <c r="H441" t="s">
        <v>141</v>
      </c>
      <c r="I441" t="s">
        <v>135</v>
      </c>
      <c r="J441">
        <v>7.72</v>
      </c>
      <c r="K441">
        <v>6.96</v>
      </c>
      <c r="L441">
        <f t="shared" si="33"/>
        <v>0.37999999999999989</v>
      </c>
      <c r="M441">
        <f t="shared" si="34"/>
        <v>4.9222797927461127E-2</v>
      </c>
      <c r="N441">
        <v>0.78700000000000003</v>
      </c>
      <c r="O441">
        <v>0.02</v>
      </c>
      <c r="P441">
        <f t="shared" si="38"/>
        <v>0.76700000000000002</v>
      </c>
      <c r="Q441">
        <v>0.46500000000000002</v>
      </c>
      <c r="R441">
        <f t="shared" si="35"/>
        <v>0.60625814863103</v>
      </c>
    </row>
    <row r="442" spans="1:18" x14ac:dyDescent="0.25">
      <c r="A442">
        <v>31</v>
      </c>
      <c r="B442" t="s">
        <v>291</v>
      </c>
      <c r="C442" t="s">
        <v>284</v>
      </c>
      <c r="D442" t="s">
        <v>385</v>
      </c>
      <c r="E442">
        <v>3</v>
      </c>
      <c r="F442" t="s">
        <v>321</v>
      </c>
      <c r="G442" t="s">
        <v>141</v>
      </c>
      <c r="H442" t="s">
        <v>141</v>
      </c>
      <c r="I442" t="s">
        <v>135</v>
      </c>
      <c r="J442">
        <v>9.2200000000000006</v>
      </c>
      <c r="K442">
        <v>7.57</v>
      </c>
      <c r="L442">
        <f t="shared" si="33"/>
        <v>0.82500000000000018</v>
      </c>
      <c r="M442">
        <f t="shared" si="34"/>
        <v>8.9479392624728857E-2</v>
      </c>
      <c r="N442">
        <v>1.0549999999999999</v>
      </c>
      <c r="O442">
        <v>0.02</v>
      </c>
      <c r="P442">
        <f t="shared" si="38"/>
        <v>1.0349999999999999</v>
      </c>
      <c r="Q442">
        <v>0.61799999999999999</v>
      </c>
      <c r="R442">
        <f t="shared" si="35"/>
        <v>0.59710144927536235</v>
      </c>
    </row>
    <row r="443" spans="1:18" x14ac:dyDescent="0.25">
      <c r="A443">
        <v>306</v>
      </c>
      <c r="B443" t="s">
        <v>776</v>
      </c>
      <c r="D443" t="s">
        <v>385</v>
      </c>
      <c r="E443">
        <v>5</v>
      </c>
      <c r="F443" t="s">
        <v>321</v>
      </c>
      <c r="G443" t="s">
        <v>141</v>
      </c>
      <c r="H443" t="s">
        <v>141</v>
      </c>
      <c r="I443" t="s">
        <v>135</v>
      </c>
      <c r="J443">
        <v>7.36</v>
      </c>
      <c r="K443">
        <v>6.2</v>
      </c>
      <c r="L443">
        <f t="shared" si="33"/>
        <v>0.58000000000000007</v>
      </c>
      <c r="M443">
        <f t="shared" si="34"/>
        <v>7.880434782608696E-2</v>
      </c>
      <c r="N443">
        <v>0.70399999999999996</v>
      </c>
      <c r="O443">
        <v>2.1999999999999999E-2</v>
      </c>
      <c r="P443">
        <f t="shared" si="38"/>
        <v>0.68199999999999994</v>
      </c>
      <c r="Q443">
        <v>0.38800000000000001</v>
      </c>
      <c r="R443">
        <f t="shared" si="35"/>
        <v>0.56891495601173026</v>
      </c>
    </row>
    <row r="444" spans="1:18" x14ac:dyDescent="0.25">
      <c r="A444">
        <v>89</v>
      </c>
      <c r="B444" t="s">
        <v>10</v>
      </c>
      <c r="D444" t="s">
        <v>342</v>
      </c>
      <c r="E444">
        <v>1</v>
      </c>
      <c r="F444" t="s">
        <v>373</v>
      </c>
      <c r="G444" t="s">
        <v>141</v>
      </c>
      <c r="H444" t="s">
        <v>141</v>
      </c>
      <c r="I444" t="s">
        <v>135</v>
      </c>
      <c r="J444">
        <v>6.57</v>
      </c>
      <c r="K444">
        <v>3.98</v>
      </c>
      <c r="L444">
        <f t="shared" si="33"/>
        <v>1.2950000000000002</v>
      </c>
      <c r="M444">
        <f t="shared" si="34"/>
        <v>0.19710806697108069</v>
      </c>
      <c r="N444">
        <v>0.41499999999999998</v>
      </c>
      <c r="O444">
        <v>0.02</v>
      </c>
      <c r="P444">
        <f t="shared" si="38"/>
        <v>0.39499999999999996</v>
      </c>
      <c r="Q444">
        <v>0.254</v>
      </c>
      <c r="R444">
        <f t="shared" si="35"/>
        <v>0.6430379746835444</v>
      </c>
    </row>
    <row r="445" spans="1:18" x14ac:dyDescent="0.25">
      <c r="A445">
        <v>93</v>
      </c>
      <c r="B445" t="s">
        <v>9</v>
      </c>
      <c r="D445" t="s">
        <v>342</v>
      </c>
      <c r="E445">
        <v>2</v>
      </c>
      <c r="F445" t="s">
        <v>373</v>
      </c>
      <c r="G445" t="s">
        <v>141</v>
      </c>
      <c r="H445" t="s">
        <v>141</v>
      </c>
      <c r="I445" t="s">
        <v>135</v>
      </c>
      <c r="J445">
        <v>7.18</v>
      </c>
      <c r="K445">
        <v>4.16</v>
      </c>
      <c r="L445">
        <f t="shared" si="33"/>
        <v>1.5099999999999998</v>
      </c>
      <c r="M445">
        <f t="shared" si="34"/>
        <v>0.21030640668523676</v>
      </c>
      <c r="N445">
        <v>0.48099999999999998</v>
      </c>
      <c r="O445">
        <v>0.03</v>
      </c>
      <c r="P445">
        <f t="shared" si="38"/>
        <v>0.45099999999999996</v>
      </c>
      <c r="Q445">
        <v>0.29299999999999998</v>
      </c>
      <c r="R445">
        <f t="shared" si="35"/>
        <v>0.64966740576496673</v>
      </c>
    </row>
    <row r="446" spans="1:18" x14ac:dyDescent="0.25">
      <c r="A446">
        <v>315</v>
      </c>
      <c r="B446" t="s">
        <v>771</v>
      </c>
      <c r="D446" t="s">
        <v>342</v>
      </c>
      <c r="E446">
        <v>4</v>
      </c>
      <c r="F446" t="s">
        <v>373</v>
      </c>
      <c r="G446" t="s">
        <v>141</v>
      </c>
      <c r="H446" t="s">
        <v>141</v>
      </c>
      <c r="I446" t="s">
        <v>135</v>
      </c>
      <c r="J446">
        <v>7.71</v>
      </c>
      <c r="K446">
        <v>3.97</v>
      </c>
      <c r="L446">
        <f t="shared" si="33"/>
        <v>1.8699999999999999</v>
      </c>
      <c r="M446">
        <f t="shared" si="34"/>
        <v>0.24254215304798962</v>
      </c>
      <c r="N446">
        <v>0.52200000000000002</v>
      </c>
      <c r="O446">
        <v>2.1999999999999999E-2</v>
      </c>
      <c r="P446">
        <f t="shared" si="38"/>
        <v>0.5</v>
      </c>
      <c r="Q446">
        <v>0.3</v>
      </c>
      <c r="R446">
        <f t="shared" si="35"/>
        <v>0.6</v>
      </c>
    </row>
    <row r="447" spans="1:18" x14ac:dyDescent="0.25">
      <c r="A447">
        <v>331</v>
      </c>
      <c r="B447" t="s">
        <v>873</v>
      </c>
      <c r="D447" t="s">
        <v>342</v>
      </c>
      <c r="E447">
        <v>5</v>
      </c>
      <c r="F447" t="s">
        <v>373</v>
      </c>
      <c r="G447" t="s">
        <v>141</v>
      </c>
      <c r="H447" t="s">
        <v>141</v>
      </c>
      <c r="I447" t="s">
        <v>135</v>
      </c>
      <c r="J447">
        <v>5.28</v>
      </c>
      <c r="K447">
        <v>3.78</v>
      </c>
      <c r="L447">
        <f t="shared" si="33"/>
        <v>0.75000000000000022</v>
      </c>
      <c r="M447">
        <f t="shared" si="34"/>
        <v>0.14204545454545459</v>
      </c>
      <c r="N447">
        <v>0.33600000000000002</v>
      </c>
      <c r="O447">
        <v>2.1999999999999999E-2</v>
      </c>
      <c r="P447">
        <f t="shared" si="38"/>
        <v>0.314</v>
      </c>
      <c r="Q447">
        <v>0.222</v>
      </c>
      <c r="R447">
        <f t="shared" si="35"/>
        <v>0.70700636942675155</v>
      </c>
    </row>
    <row r="448" spans="1:18" x14ac:dyDescent="0.25">
      <c r="A448">
        <v>437</v>
      </c>
      <c r="B448" t="s">
        <v>1271</v>
      </c>
      <c r="C448" t="s">
        <v>1013</v>
      </c>
      <c r="D448" t="s">
        <v>342</v>
      </c>
      <c r="E448">
        <v>3</v>
      </c>
      <c r="F448" t="s">
        <v>373</v>
      </c>
      <c r="G448" t="s">
        <v>141</v>
      </c>
      <c r="H448" t="s">
        <v>141</v>
      </c>
      <c r="I448" t="s">
        <v>135</v>
      </c>
      <c r="J448">
        <v>6.95</v>
      </c>
      <c r="K448">
        <v>4.5</v>
      </c>
      <c r="L448">
        <f t="shared" si="33"/>
        <v>1.2250000000000001</v>
      </c>
      <c r="M448">
        <f t="shared" si="34"/>
        <v>0.17625899280575541</v>
      </c>
      <c r="N448">
        <v>0.55200000000000005</v>
      </c>
      <c r="O448">
        <v>2.7E-2</v>
      </c>
      <c r="P448">
        <f t="shared" si="38"/>
        <v>0.52500000000000002</v>
      </c>
      <c r="Q448">
        <v>0.27</v>
      </c>
      <c r="R448">
        <f t="shared" si="35"/>
        <v>0.51428571428571435</v>
      </c>
    </row>
    <row r="449" spans="1:20" x14ac:dyDescent="0.25">
      <c r="A449">
        <v>164</v>
      </c>
      <c r="B449" t="s">
        <v>501</v>
      </c>
      <c r="D449" t="s">
        <v>502</v>
      </c>
      <c r="E449">
        <v>1</v>
      </c>
      <c r="F449" t="s">
        <v>503</v>
      </c>
      <c r="G449" t="s">
        <v>141</v>
      </c>
      <c r="H449" t="s">
        <v>141</v>
      </c>
      <c r="I449" t="s">
        <v>135</v>
      </c>
      <c r="J449">
        <v>7.72</v>
      </c>
      <c r="K449">
        <v>5.95</v>
      </c>
      <c r="L449">
        <f t="shared" si="33"/>
        <v>0.88499999999999979</v>
      </c>
      <c r="M449">
        <f t="shared" si="34"/>
        <v>0.11463730569948184</v>
      </c>
      <c r="N449">
        <v>0.81799999999999995</v>
      </c>
      <c r="O449">
        <v>2.5999999999999999E-2</v>
      </c>
      <c r="P449">
        <f t="shared" si="38"/>
        <v>0.79199999999999993</v>
      </c>
      <c r="Q449">
        <v>0.49099999999999999</v>
      </c>
      <c r="R449">
        <f t="shared" si="35"/>
        <v>0.61994949494949503</v>
      </c>
    </row>
    <row r="450" spans="1:20" x14ac:dyDescent="0.25">
      <c r="A450">
        <v>239</v>
      </c>
      <c r="B450" t="s">
        <v>590</v>
      </c>
      <c r="D450" t="s">
        <v>502</v>
      </c>
      <c r="E450">
        <v>2</v>
      </c>
      <c r="F450" t="s">
        <v>503</v>
      </c>
      <c r="G450" t="s">
        <v>141</v>
      </c>
      <c r="H450" t="s">
        <v>141</v>
      </c>
      <c r="I450" t="s">
        <v>135</v>
      </c>
      <c r="J450">
        <v>6.45</v>
      </c>
      <c r="K450">
        <v>5.14</v>
      </c>
      <c r="L450">
        <f t="shared" ref="L450:L474" si="39">(J450-K450)/2</f>
        <v>0.65500000000000025</v>
      </c>
      <c r="M450">
        <f t="shared" ref="M450:M474" si="40">L450/J450</f>
        <v>0.10155038759689926</v>
      </c>
      <c r="N450">
        <v>0.496</v>
      </c>
      <c r="O450">
        <v>2.1999999999999999E-2</v>
      </c>
      <c r="P450">
        <f t="shared" si="38"/>
        <v>0.47399999999999998</v>
      </c>
      <c r="Q450">
        <v>0.36</v>
      </c>
      <c r="R450">
        <f t="shared" ref="R450:R479" si="41">Q450/P450</f>
        <v>0.759493670886076</v>
      </c>
    </row>
    <row r="451" spans="1:20" x14ac:dyDescent="0.25">
      <c r="A451">
        <v>238</v>
      </c>
      <c r="B451" t="s">
        <v>591</v>
      </c>
      <c r="D451" t="s">
        <v>502</v>
      </c>
      <c r="E451">
        <v>3</v>
      </c>
      <c r="F451" t="s">
        <v>503</v>
      </c>
      <c r="G451" t="s">
        <v>141</v>
      </c>
      <c r="H451" t="s">
        <v>141</v>
      </c>
      <c r="I451" t="s">
        <v>135</v>
      </c>
      <c r="J451">
        <v>5.92</v>
      </c>
      <c r="K451">
        <v>4.67</v>
      </c>
      <c r="L451">
        <f t="shared" si="39"/>
        <v>0.625</v>
      </c>
      <c r="M451">
        <f t="shared" si="40"/>
        <v>0.10557432432432433</v>
      </c>
      <c r="N451">
        <v>0.86499999999999999</v>
      </c>
      <c r="O451">
        <v>2.1999999999999999E-2</v>
      </c>
      <c r="P451">
        <f t="shared" si="38"/>
        <v>0.84299999999999997</v>
      </c>
      <c r="Q451">
        <v>0.57799999999999996</v>
      </c>
      <c r="R451">
        <f t="shared" si="41"/>
        <v>0.68564650059311982</v>
      </c>
    </row>
    <row r="452" spans="1:20" x14ac:dyDescent="0.25">
      <c r="A452">
        <v>236</v>
      </c>
      <c r="B452" t="s">
        <v>595</v>
      </c>
      <c r="D452" t="s">
        <v>502</v>
      </c>
      <c r="E452">
        <v>4</v>
      </c>
      <c r="F452" t="s">
        <v>503</v>
      </c>
      <c r="G452" t="s">
        <v>141</v>
      </c>
      <c r="H452" t="s">
        <v>141</v>
      </c>
      <c r="I452" t="s">
        <v>135</v>
      </c>
      <c r="J452">
        <v>7.93</v>
      </c>
      <c r="K452">
        <v>6.28</v>
      </c>
      <c r="L452">
        <f t="shared" si="39"/>
        <v>0.82499999999999973</v>
      </c>
      <c r="M452">
        <f t="shared" si="40"/>
        <v>0.1040353089533417</v>
      </c>
      <c r="N452">
        <v>0.72</v>
      </c>
      <c r="O452">
        <v>2.1999999999999999E-2</v>
      </c>
      <c r="P452">
        <f t="shared" si="38"/>
        <v>0.69799999999999995</v>
      </c>
      <c r="Q452">
        <v>0.501</v>
      </c>
      <c r="R452">
        <f t="shared" si="41"/>
        <v>0.7177650429799427</v>
      </c>
    </row>
    <row r="453" spans="1:20" x14ac:dyDescent="0.25">
      <c r="A453">
        <v>434</v>
      </c>
      <c r="B453" t="s">
        <v>1010</v>
      </c>
      <c r="D453" t="s">
        <v>502</v>
      </c>
      <c r="E453">
        <v>5</v>
      </c>
      <c r="F453" t="s">
        <v>503</v>
      </c>
      <c r="G453" t="s">
        <v>141</v>
      </c>
      <c r="H453" t="s">
        <v>141</v>
      </c>
      <c r="I453" t="s">
        <v>135</v>
      </c>
      <c r="J453">
        <v>8.86</v>
      </c>
      <c r="K453">
        <v>6.29</v>
      </c>
      <c r="L453">
        <f t="shared" si="39"/>
        <v>1.2849999999999997</v>
      </c>
      <c r="M453">
        <f t="shared" si="40"/>
        <v>0.14503386004514671</v>
      </c>
      <c r="N453">
        <v>0.70399999999999996</v>
      </c>
      <c r="O453">
        <v>2.7E-2</v>
      </c>
      <c r="P453">
        <f t="shared" si="38"/>
        <v>0.67699999999999994</v>
      </c>
      <c r="Q453">
        <v>0.498</v>
      </c>
      <c r="R453">
        <f t="shared" si="41"/>
        <v>0.73559822747415071</v>
      </c>
      <c r="T453" t="s">
        <v>1111</v>
      </c>
    </row>
    <row r="454" spans="1:20" x14ac:dyDescent="0.25">
      <c r="A454">
        <v>107</v>
      </c>
      <c r="B454" t="s">
        <v>35</v>
      </c>
      <c r="D454" t="s">
        <v>356</v>
      </c>
      <c r="E454">
        <v>1</v>
      </c>
      <c r="F454" t="s">
        <v>779</v>
      </c>
      <c r="G454" t="s">
        <v>141</v>
      </c>
      <c r="H454" t="s">
        <v>141</v>
      </c>
      <c r="I454" t="s">
        <v>135</v>
      </c>
      <c r="J454">
        <v>5.7</v>
      </c>
      <c r="K454">
        <v>4.3099999999999996</v>
      </c>
      <c r="L454">
        <f t="shared" si="39"/>
        <v>0.69500000000000028</v>
      </c>
      <c r="M454">
        <f t="shared" si="40"/>
        <v>0.12192982456140355</v>
      </c>
      <c r="N454">
        <v>0.50600000000000001</v>
      </c>
      <c r="O454">
        <v>0.03</v>
      </c>
      <c r="P454">
        <f t="shared" si="38"/>
        <v>0.47599999999999998</v>
      </c>
      <c r="Q454">
        <v>0.28999999999999998</v>
      </c>
      <c r="R454">
        <f t="shared" si="41"/>
        <v>0.60924369747899154</v>
      </c>
    </row>
    <row r="455" spans="1:20" x14ac:dyDescent="0.25">
      <c r="A455">
        <v>206</v>
      </c>
      <c r="B455" t="s">
        <v>442</v>
      </c>
      <c r="D455" t="s">
        <v>356</v>
      </c>
      <c r="E455">
        <v>2</v>
      </c>
      <c r="F455" t="s">
        <v>370</v>
      </c>
      <c r="G455" t="s">
        <v>141</v>
      </c>
      <c r="H455" t="s">
        <v>141</v>
      </c>
      <c r="I455" t="s">
        <v>135</v>
      </c>
      <c r="J455">
        <v>5.28</v>
      </c>
      <c r="K455">
        <v>3.45</v>
      </c>
      <c r="L455">
        <f t="shared" si="39"/>
        <v>0.91500000000000004</v>
      </c>
      <c r="M455">
        <f t="shared" si="40"/>
        <v>0.17329545454545453</v>
      </c>
      <c r="N455">
        <v>0.218</v>
      </c>
      <c r="O455">
        <v>2.5999999999999999E-2</v>
      </c>
      <c r="P455">
        <f t="shared" si="38"/>
        <v>0.192</v>
      </c>
      <c r="Q455">
        <v>0.124</v>
      </c>
      <c r="R455">
        <f t="shared" si="41"/>
        <v>0.64583333333333337</v>
      </c>
      <c r="S455" t="s">
        <v>551</v>
      </c>
    </row>
    <row r="456" spans="1:20" x14ac:dyDescent="0.25">
      <c r="A456">
        <v>218</v>
      </c>
      <c r="B456" t="s">
        <v>423</v>
      </c>
      <c r="D456" t="s">
        <v>356</v>
      </c>
      <c r="E456">
        <v>3</v>
      </c>
      <c r="F456" t="s">
        <v>370</v>
      </c>
      <c r="G456" t="s">
        <v>141</v>
      </c>
      <c r="H456" t="s">
        <v>141</v>
      </c>
      <c r="I456" t="s">
        <v>135</v>
      </c>
      <c r="J456">
        <v>6.58</v>
      </c>
      <c r="K456">
        <v>4.9400000000000004</v>
      </c>
      <c r="L456">
        <f t="shared" si="39"/>
        <v>0.81999999999999984</v>
      </c>
      <c r="M456">
        <f t="shared" si="40"/>
        <v>0.12462006079027353</v>
      </c>
      <c r="N456">
        <v>0.89600000000000002</v>
      </c>
      <c r="O456">
        <v>2.5999999999999999E-2</v>
      </c>
      <c r="P456">
        <f t="shared" si="38"/>
        <v>0.87</v>
      </c>
      <c r="Q456">
        <v>0.64800000000000002</v>
      </c>
      <c r="R456">
        <f t="shared" si="41"/>
        <v>0.7448275862068966</v>
      </c>
      <c r="S456" t="s">
        <v>551</v>
      </c>
    </row>
    <row r="457" spans="1:20" x14ac:dyDescent="0.25">
      <c r="A457">
        <v>190</v>
      </c>
      <c r="B457" t="s">
        <v>458</v>
      </c>
      <c r="D457" t="s">
        <v>356</v>
      </c>
      <c r="E457">
        <v>4</v>
      </c>
      <c r="F457" t="s">
        <v>370</v>
      </c>
      <c r="G457" t="s">
        <v>141</v>
      </c>
      <c r="H457" t="s">
        <v>141</v>
      </c>
      <c r="I457" t="s">
        <v>135</v>
      </c>
      <c r="J457">
        <v>6.66</v>
      </c>
      <c r="K457">
        <v>4.53</v>
      </c>
      <c r="L457">
        <f t="shared" si="39"/>
        <v>1.0649999999999999</v>
      </c>
      <c r="M457">
        <f t="shared" si="40"/>
        <v>0.15990990990990989</v>
      </c>
      <c r="N457">
        <v>0.44400000000000001</v>
      </c>
      <c r="O457">
        <v>2.5999999999999999E-2</v>
      </c>
      <c r="P457">
        <f t="shared" si="38"/>
        <v>0.41799999999999998</v>
      </c>
      <c r="Q457">
        <v>0.27200000000000002</v>
      </c>
      <c r="R457">
        <f t="shared" si="41"/>
        <v>0.65071770334928236</v>
      </c>
      <c r="S457" t="s">
        <v>551</v>
      </c>
    </row>
    <row r="458" spans="1:20" x14ac:dyDescent="0.25">
      <c r="A458">
        <v>269</v>
      </c>
      <c r="B458" t="s">
        <v>752</v>
      </c>
      <c r="D458" t="s">
        <v>356</v>
      </c>
      <c r="E458">
        <v>5</v>
      </c>
      <c r="F458" t="s">
        <v>370</v>
      </c>
      <c r="G458" t="s">
        <v>141</v>
      </c>
      <c r="H458" t="s">
        <v>141</v>
      </c>
      <c r="I458" t="s">
        <v>135</v>
      </c>
      <c r="J458">
        <v>7.36</v>
      </c>
      <c r="K458">
        <v>4.5</v>
      </c>
      <c r="L458">
        <f t="shared" si="39"/>
        <v>1.4300000000000002</v>
      </c>
      <c r="M458">
        <f t="shared" si="40"/>
        <v>0.19429347826086957</v>
      </c>
      <c r="N458">
        <v>0.79300000000000004</v>
      </c>
      <c r="O458">
        <v>2.1999999999999999E-2</v>
      </c>
      <c r="P458">
        <f t="shared" si="38"/>
        <v>0.77100000000000002</v>
      </c>
      <c r="Q458">
        <v>0.48499999999999999</v>
      </c>
      <c r="R458">
        <f t="shared" si="41"/>
        <v>0.62905317769130997</v>
      </c>
    </row>
    <row r="459" spans="1:20" x14ac:dyDescent="0.25">
      <c r="A459">
        <v>76</v>
      </c>
      <c r="B459" t="s">
        <v>26</v>
      </c>
      <c r="D459" t="s">
        <v>353</v>
      </c>
      <c r="E459">
        <v>1</v>
      </c>
      <c r="F459" t="s">
        <v>287</v>
      </c>
      <c r="G459" t="s">
        <v>141</v>
      </c>
      <c r="H459" t="s">
        <v>141</v>
      </c>
      <c r="I459" t="s">
        <v>135</v>
      </c>
      <c r="J459">
        <v>10.87</v>
      </c>
      <c r="K459">
        <v>8.1300000000000008</v>
      </c>
      <c r="L459">
        <f t="shared" si="39"/>
        <v>1.3699999999999992</v>
      </c>
      <c r="M459">
        <f t="shared" si="40"/>
        <v>0.12603495860165587</v>
      </c>
      <c r="N459">
        <v>0.60899999999999999</v>
      </c>
      <c r="O459">
        <v>0.02</v>
      </c>
      <c r="P459">
        <f t="shared" si="38"/>
        <v>0.58899999999999997</v>
      </c>
      <c r="Q459">
        <v>0.27500000000000002</v>
      </c>
      <c r="R459">
        <f t="shared" si="41"/>
        <v>0.46689303904923607</v>
      </c>
    </row>
    <row r="460" spans="1:20" x14ac:dyDescent="0.25">
      <c r="A460">
        <v>120</v>
      </c>
      <c r="B460" t="s">
        <v>128</v>
      </c>
      <c r="D460" t="s">
        <v>353</v>
      </c>
      <c r="E460">
        <v>2</v>
      </c>
      <c r="F460" t="s">
        <v>287</v>
      </c>
      <c r="G460" t="s">
        <v>141</v>
      </c>
      <c r="H460" t="s">
        <v>141</v>
      </c>
      <c r="I460" t="s">
        <v>134</v>
      </c>
      <c r="J460">
        <v>8.1999999999999993</v>
      </c>
      <c r="K460">
        <v>6.32</v>
      </c>
      <c r="L460">
        <f t="shared" si="39"/>
        <v>0.9399999999999995</v>
      </c>
      <c r="M460">
        <f t="shared" si="40"/>
        <v>0.11463414634146336</v>
      </c>
      <c r="N460">
        <v>0.73299999999999998</v>
      </c>
      <c r="O460">
        <v>0.03</v>
      </c>
      <c r="P460">
        <f t="shared" si="38"/>
        <v>0.70299999999999996</v>
      </c>
      <c r="Q460">
        <v>0.28299999999999997</v>
      </c>
      <c r="R460">
        <f t="shared" si="41"/>
        <v>0.40256045519203415</v>
      </c>
    </row>
    <row r="461" spans="1:20" x14ac:dyDescent="0.25">
      <c r="A461">
        <v>48</v>
      </c>
      <c r="B461" t="s">
        <v>482</v>
      </c>
      <c r="D461" t="s">
        <v>353</v>
      </c>
      <c r="E461">
        <v>3</v>
      </c>
      <c r="F461" t="s">
        <v>287</v>
      </c>
      <c r="G461" t="s">
        <v>141</v>
      </c>
      <c r="H461" t="s">
        <v>141</v>
      </c>
      <c r="I461" t="s">
        <v>135</v>
      </c>
      <c r="J461">
        <v>6.11</v>
      </c>
      <c r="K461">
        <v>4.9800000000000004</v>
      </c>
      <c r="L461">
        <f t="shared" si="39"/>
        <v>0.56499999999999995</v>
      </c>
      <c r="M461">
        <f t="shared" si="40"/>
        <v>9.2471358428805217E-2</v>
      </c>
      <c r="N461">
        <v>0.92</v>
      </c>
      <c r="O461">
        <v>0.02</v>
      </c>
      <c r="P461">
        <f t="shared" si="38"/>
        <v>0.9</v>
      </c>
      <c r="Q461">
        <v>0.64200000000000002</v>
      </c>
      <c r="R461">
        <f t="shared" si="41"/>
        <v>0.71333333333333337</v>
      </c>
    </row>
    <row r="462" spans="1:20" x14ac:dyDescent="0.25">
      <c r="A462">
        <v>293</v>
      </c>
      <c r="B462" t="s">
        <v>828</v>
      </c>
      <c r="D462" t="s">
        <v>353</v>
      </c>
      <c r="E462">
        <v>5</v>
      </c>
      <c r="F462" t="s">
        <v>287</v>
      </c>
      <c r="G462" t="s">
        <v>141</v>
      </c>
      <c r="H462" t="s">
        <v>141</v>
      </c>
      <c r="I462" t="s">
        <v>135</v>
      </c>
      <c r="J462">
        <v>8.1</v>
      </c>
      <c r="K462">
        <v>6.36</v>
      </c>
      <c r="L462">
        <f t="shared" si="39"/>
        <v>0.86999999999999966</v>
      </c>
      <c r="M462">
        <f t="shared" si="40"/>
        <v>0.10740740740740737</v>
      </c>
      <c r="N462">
        <v>1.141</v>
      </c>
      <c r="O462">
        <v>2.1999999999999999E-2</v>
      </c>
      <c r="P462">
        <f t="shared" si="38"/>
        <v>1.119</v>
      </c>
      <c r="Q462">
        <v>0.57799999999999996</v>
      </c>
      <c r="R462">
        <f t="shared" si="41"/>
        <v>0.51653261840929399</v>
      </c>
    </row>
    <row r="463" spans="1:20" x14ac:dyDescent="0.25">
      <c r="A463">
        <v>6</v>
      </c>
      <c r="B463" t="s">
        <v>1267</v>
      </c>
      <c r="C463" t="s">
        <v>72</v>
      </c>
      <c r="D463" t="s">
        <v>353</v>
      </c>
      <c r="E463">
        <v>6</v>
      </c>
      <c r="F463" t="s">
        <v>287</v>
      </c>
      <c r="G463">
        <v>26.81</v>
      </c>
      <c r="H463">
        <v>5.0999999999999996</v>
      </c>
      <c r="I463" t="s">
        <v>134</v>
      </c>
      <c r="J463">
        <v>7.19</v>
      </c>
      <c r="K463">
        <v>5.66</v>
      </c>
      <c r="L463">
        <f t="shared" si="39"/>
        <v>0.76500000000000012</v>
      </c>
      <c r="M463">
        <f t="shared" si="40"/>
        <v>0.10639777468706538</v>
      </c>
      <c r="O463">
        <v>1.6E-2</v>
      </c>
      <c r="P463">
        <f>(3.14159*((H463/2)*2) * G463)/1000</f>
        <v>0.4295527422899999</v>
      </c>
      <c r="Q463">
        <v>0.15</v>
      </c>
      <c r="R463">
        <f t="shared" si="41"/>
        <v>0.34920042460986528</v>
      </c>
    </row>
    <row r="464" spans="1:20" x14ac:dyDescent="0.25">
      <c r="A464">
        <v>43</v>
      </c>
      <c r="B464" t="s">
        <v>1272</v>
      </c>
      <c r="C464" t="s">
        <v>286</v>
      </c>
      <c r="D464" t="s">
        <v>353</v>
      </c>
      <c r="E464">
        <v>4</v>
      </c>
      <c r="F464" t="s">
        <v>287</v>
      </c>
      <c r="G464" t="s">
        <v>141</v>
      </c>
      <c r="H464" t="s">
        <v>141</v>
      </c>
      <c r="I464" t="s">
        <v>135</v>
      </c>
      <c r="J464">
        <v>6.61</v>
      </c>
      <c r="K464">
        <v>5.2</v>
      </c>
      <c r="L464">
        <f t="shared" si="39"/>
        <v>0.70500000000000007</v>
      </c>
      <c r="M464">
        <f t="shared" si="40"/>
        <v>0.10665658093797277</v>
      </c>
      <c r="N464">
        <v>0.52500000000000002</v>
      </c>
      <c r="O464">
        <v>0.02</v>
      </c>
      <c r="P464">
        <f t="shared" ref="P464:P474" si="42">N464-O464</f>
        <v>0.505</v>
      </c>
      <c r="Q464">
        <v>0.24299999999999999</v>
      </c>
      <c r="R464">
        <f t="shared" si="41"/>
        <v>0.48118811881188117</v>
      </c>
    </row>
    <row r="465" spans="1:19" x14ac:dyDescent="0.25">
      <c r="A465">
        <v>122</v>
      </c>
      <c r="B465" t="s">
        <v>82</v>
      </c>
      <c r="D465" t="s">
        <v>365</v>
      </c>
      <c r="E465">
        <v>1</v>
      </c>
      <c r="F465" t="s">
        <v>493</v>
      </c>
      <c r="G465" t="s">
        <v>141</v>
      </c>
      <c r="H465" t="s">
        <v>141</v>
      </c>
      <c r="I465" t="s">
        <v>135</v>
      </c>
      <c r="J465">
        <v>6.15</v>
      </c>
      <c r="K465">
        <v>5.03</v>
      </c>
      <c r="L465">
        <f t="shared" si="39"/>
        <v>0.56000000000000005</v>
      </c>
      <c r="M465">
        <f t="shared" si="40"/>
        <v>9.1056910569105698E-2</v>
      </c>
      <c r="N465">
        <v>0.89</v>
      </c>
      <c r="O465">
        <v>0.03</v>
      </c>
      <c r="P465">
        <f t="shared" si="42"/>
        <v>0.86</v>
      </c>
      <c r="Q465">
        <v>0.46600000000000003</v>
      </c>
      <c r="R465">
        <f t="shared" si="41"/>
        <v>0.54186046511627906</v>
      </c>
    </row>
    <row r="466" spans="1:19" x14ac:dyDescent="0.25">
      <c r="A466">
        <v>158</v>
      </c>
      <c r="B466" t="s">
        <v>531</v>
      </c>
      <c r="D466" t="s">
        <v>365</v>
      </c>
      <c r="E466">
        <v>2</v>
      </c>
      <c r="F466" t="s">
        <v>493</v>
      </c>
      <c r="G466" t="s">
        <v>141</v>
      </c>
      <c r="H466" t="s">
        <v>141</v>
      </c>
      <c r="I466" t="s">
        <v>135</v>
      </c>
      <c r="J466">
        <v>4.78</v>
      </c>
      <c r="K466">
        <v>3.06</v>
      </c>
      <c r="L466">
        <f t="shared" si="39"/>
        <v>0.8600000000000001</v>
      </c>
      <c r="M466">
        <f t="shared" si="40"/>
        <v>0.1799163179916318</v>
      </c>
      <c r="N466">
        <v>0.32600000000000001</v>
      </c>
      <c r="O466">
        <v>2.5999999999999999E-2</v>
      </c>
      <c r="P466">
        <f t="shared" si="42"/>
        <v>0.3</v>
      </c>
      <c r="Q466">
        <v>0.17199999999999999</v>
      </c>
      <c r="R466">
        <f t="shared" si="41"/>
        <v>0.57333333333333336</v>
      </c>
    </row>
    <row r="467" spans="1:19" x14ac:dyDescent="0.25">
      <c r="A467">
        <v>231</v>
      </c>
      <c r="B467" t="s">
        <v>599</v>
      </c>
      <c r="D467" t="s">
        <v>365</v>
      </c>
      <c r="E467">
        <v>3</v>
      </c>
      <c r="F467" t="s">
        <v>493</v>
      </c>
      <c r="G467" t="s">
        <v>141</v>
      </c>
      <c r="H467" t="s">
        <v>141</v>
      </c>
      <c r="I467" t="s">
        <v>135</v>
      </c>
      <c r="J467">
        <v>7.48</v>
      </c>
      <c r="K467">
        <v>6.04</v>
      </c>
      <c r="L467">
        <f t="shared" si="39"/>
        <v>0.7200000000000002</v>
      </c>
      <c r="M467">
        <f t="shared" si="40"/>
        <v>9.6256684491978634E-2</v>
      </c>
      <c r="N467">
        <v>0.441</v>
      </c>
      <c r="O467">
        <v>2.1999999999999999E-2</v>
      </c>
      <c r="P467">
        <f t="shared" si="42"/>
        <v>0.41899999999999998</v>
      </c>
      <c r="Q467">
        <v>0.23499999999999999</v>
      </c>
      <c r="R467">
        <f t="shared" si="41"/>
        <v>0.56085918854415273</v>
      </c>
      <c r="S467" t="s">
        <v>551</v>
      </c>
    </row>
    <row r="468" spans="1:19" x14ac:dyDescent="0.25">
      <c r="A468">
        <v>447</v>
      </c>
      <c r="B468" t="s">
        <v>1069</v>
      </c>
      <c r="D468" t="s">
        <v>365</v>
      </c>
      <c r="E468">
        <v>4</v>
      </c>
      <c r="F468" t="s">
        <v>493</v>
      </c>
      <c r="I468" t="s">
        <v>135</v>
      </c>
      <c r="J468">
        <v>7.96</v>
      </c>
      <c r="K468">
        <v>6.14</v>
      </c>
      <c r="L468">
        <f t="shared" si="39"/>
        <v>0.91000000000000014</v>
      </c>
      <c r="M468">
        <f t="shared" si="40"/>
        <v>0.11432160804020103</v>
      </c>
      <c r="N468">
        <v>0.93100000000000005</v>
      </c>
      <c r="O468">
        <v>2.7E-2</v>
      </c>
      <c r="P468">
        <f t="shared" si="42"/>
        <v>0.90400000000000003</v>
      </c>
      <c r="Q468">
        <v>0.52600000000000002</v>
      </c>
      <c r="R468">
        <f t="shared" si="41"/>
        <v>0.58185840707964598</v>
      </c>
    </row>
    <row r="469" spans="1:19" x14ac:dyDescent="0.25">
      <c r="A469">
        <v>450</v>
      </c>
      <c r="B469" t="s">
        <v>1076</v>
      </c>
      <c r="D469" t="s">
        <v>365</v>
      </c>
      <c r="E469">
        <v>5</v>
      </c>
      <c r="F469" t="s">
        <v>493</v>
      </c>
      <c r="I469" t="s">
        <v>135</v>
      </c>
      <c r="J469">
        <v>7.68</v>
      </c>
      <c r="K469">
        <v>6.24</v>
      </c>
      <c r="L469">
        <f t="shared" si="39"/>
        <v>0.71999999999999975</v>
      </c>
      <c r="M469">
        <f t="shared" si="40"/>
        <v>9.3749999999999972E-2</v>
      </c>
      <c r="N469">
        <v>0.88</v>
      </c>
      <c r="O469">
        <v>2.7E-2</v>
      </c>
      <c r="P469">
        <f t="shared" si="42"/>
        <v>0.85299999999999998</v>
      </c>
      <c r="Q469">
        <v>0.443</v>
      </c>
      <c r="R469">
        <f t="shared" si="41"/>
        <v>0.5193434935521688</v>
      </c>
    </row>
    <row r="470" spans="1:19" x14ac:dyDescent="0.25">
      <c r="A470">
        <v>245</v>
      </c>
      <c r="B470" t="s">
        <v>627</v>
      </c>
      <c r="D470" t="s">
        <v>394</v>
      </c>
      <c r="E470">
        <v>2</v>
      </c>
      <c r="F470" t="s">
        <v>264</v>
      </c>
      <c r="G470" t="s">
        <v>141</v>
      </c>
      <c r="H470" t="s">
        <v>141</v>
      </c>
      <c r="I470" t="s">
        <v>135</v>
      </c>
      <c r="J470">
        <v>9.01</v>
      </c>
      <c r="K470">
        <v>4.5599999999999996</v>
      </c>
      <c r="L470">
        <f t="shared" si="39"/>
        <v>2.2250000000000001</v>
      </c>
      <c r="M470">
        <f t="shared" si="40"/>
        <v>0.24694783573806883</v>
      </c>
      <c r="N470">
        <v>0.52800000000000002</v>
      </c>
      <c r="O470">
        <v>2.1999999999999999E-2</v>
      </c>
      <c r="P470">
        <f t="shared" si="42"/>
        <v>0.50600000000000001</v>
      </c>
      <c r="Q470">
        <v>0.27600000000000002</v>
      </c>
      <c r="R470">
        <f t="shared" si="41"/>
        <v>0.54545454545454553</v>
      </c>
    </row>
    <row r="471" spans="1:19" x14ac:dyDescent="0.25">
      <c r="A471">
        <v>241</v>
      </c>
      <c r="B471" t="s">
        <v>614</v>
      </c>
      <c r="D471" t="s">
        <v>394</v>
      </c>
      <c r="E471">
        <v>3</v>
      </c>
      <c r="F471" t="s">
        <v>264</v>
      </c>
      <c r="G471" t="s">
        <v>141</v>
      </c>
      <c r="H471" t="s">
        <v>141</v>
      </c>
      <c r="I471" t="s">
        <v>135</v>
      </c>
      <c r="J471">
        <v>8.4499999999999993</v>
      </c>
      <c r="K471">
        <v>4.7300000000000004</v>
      </c>
      <c r="L471">
        <f t="shared" si="39"/>
        <v>1.8599999999999994</v>
      </c>
      <c r="M471">
        <f t="shared" si="40"/>
        <v>0.22011834319526621</v>
      </c>
      <c r="N471">
        <v>1.002</v>
      </c>
      <c r="O471">
        <v>2.1999999999999999E-2</v>
      </c>
      <c r="P471">
        <f t="shared" si="42"/>
        <v>0.98</v>
      </c>
      <c r="Q471">
        <v>0.48199999999999998</v>
      </c>
      <c r="R471">
        <f t="shared" si="41"/>
        <v>0.49183673469387756</v>
      </c>
    </row>
    <row r="472" spans="1:19" x14ac:dyDescent="0.25">
      <c r="A472">
        <v>355</v>
      </c>
      <c r="B472" t="s">
        <v>898</v>
      </c>
      <c r="D472" t="s">
        <v>394</v>
      </c>
      <c r="E472">
        <v>4</v>
      </c>
      <c r="F472" t="s">
        <v>264</v>
      </c>
      <c r="G472" t="s">
        <v>141</v>
      </c>
      <c r="H472" t="s">
        <v>141</v>
      </c>
      <c r="I472" t="s">
        <v>135</v>
      </c>
      <c r="J472">
        <v>7.9</v>
      </c>
      <c r="K472">
        <v>5.69</v>
      </c>
      <c r="L472">
        <f t="shared" si="39"/>
        <v>1.105</v>
      </c>
      <c r="M472">
        <f t="shared" si="40"/>
        <v>0.13987341772151898</v>
      </c>
      <c r="N472">
        <v>0.88200000000000001</v>
      </c>
      <c r="O472">
        <v>2.1999999999999999E-2</v>
      </c>
      <c r="P472">
        <f t="shared" si="42"/>
        <v>0.86</v>
      </c>
      <c r="Q472">
        <v>0.35299999999999998</v>
      </c>
      <c r="R472">
        <f t="shared" si="41"/>
        <v>0.41046511627906973</v>
      </c>
    </row>
    <row r="473" spans="1:19" x14ac:dyDescent="0.25">
      <c r="A473">
        <v>438</v>
      </c>
      <c r="B473" t="s">
        <v>1078</v>
      </c>
      <c r="D473" t="s">
        <v>394</v>
      </c>
      <c r="E473">
        <v>5</v>
      </c>
      <c r="F473" t="s">
        <v>264</v>
      </c>
      <c r="G473" t="s">
        <v>141</v>
      </c>
      <c r="H473" t="s">
        <v>141</v>
      </c>
      <c r="I473" t="s">
        <v>135</v>
      </c>
      <c r="J473">
        <v>9.11</v>
      </c>
      <c r="K473">
        <v>5.69</v>
      </c>
      <c r="L473">
        <f t="shared" si="39"/>
        <v>1.7099999999999995</v>
      </c>
      <c r="M473">
        <f t="shared" si="40"/>
        <v>0.18770581778265638</v>
      </c>
      <c r="N473">
        <v>1.008</v>
      </c>
      <c r="O473">
        <v>2.7E-2</v>
      </c>
      <c r="P473">
        <f t="shared" si="42"/>
        <v>0.98099999999999998</v>
      </c>
      <c r="Q473">
        <v>0.56899999999999995</v>
      </c>
      <c r="R473">
        <f t="shared" si="41"/>
        <v>0.58002038735983685</v>
      </c>
    </row>
    <row r="474" spans="1:19" x14ac:dyDescent="0.25">
      <c r="A474">
        <v>37</v>
      </c>
      <c r="B474" t="s">
        <v>1273</v>
      </c>
      <c r="C474" t="s">
        <v>263</v>
      </c>
      <c r="D474" t="s">
        <v>394</v>
      </c>
      <c r="E474">
        <v>1</v>
      </c>
      <c r="F474" t="s">
        <v>264</v>
      </c>
      <c r="G474" t="s">
        <v>141</v>
      </c>
      <c r="H474" t="s">
        <v>141</v>
      </c>
      <c r="I474" t="s">
        <v>135</v>
      </c>
      <c r="J474">
        <v>8.4</v>
      </c>
      <c r="K474">
        <v>5.6</v>
      </c>
      <c r="L474">
        <f t="shared" si="39"/>
        <v>1.4000000000000004</v>
      </c>
      <c r="M474">
        <f t="shared" si="40"/>
        <v>0.16666666666666671</v>
      </c>
      <c r="N474">
        <v>0.94299999999999995</v>
      </c>
      <c r="O474">
        <v>0.02</v>
      </c>
      <c r="P474">
        <f t="shared" si="42"/>
        <v>0.92299999999999993</v>
      </c>
      <c r="Q474">
        <v>0.42199999999999999</v>
      </c>
      <c r="R474">
        <f t="shared" si="41"/>
        <v>0.45720476706392199</v>
      </c>
    </row>
    <row r="475" spans="1:19" x14ac:dyDescent="0.25">
      <c r="A475">
        <v>474</v>
      </c>
      <c r="B475" t="s">
        <v>1275</v>
      </c>
      <c r="D475" t="s">
        <v>1280</v>
      </c>
      <c r="F475" t="s">
        <v>1282</v>
      </c>
      <c r="I475" t="s">
        <v>135</v>
      </c>
      <c r="P475">
        <v>2.2730000000000001</v>
      </c>
      <c r="Q475">
        <v>0.82199999999999995</v>
      </c>
      <c r="R475">
        <f t="shared" si="41"/>
        <v>0.36163660360756705</v>
      </c>
    </row>
    <row r="476" spans="1:19" x14ac:dyDescent="0.25">
      <c r="A476">
        <v>475</v>
      </c>
      <c r="B476" t="s">
        <v>1276</v>
      </c>
      <c r="D476" t="s">
        <v>1280</v>
      </c>
      <c r="F476" t="s">
        <v>1282</v>
      </c>
      <c r="I476" t="s">
        <v>135</v>
      </c>
      <c r="P476">
        <v>0.99199999999999999</v>
      </c>
      <c r="Q476">
        <v>0.252</v>
      </c>
      <c r="R476">
        <f t="shared" si="41"/>
        <v>0.25403225806451613</v>
      </c>
    </row>
    <row r="477" spans="1:19" x14ac:dyDescent="0.25">
      <c r="A477">
        <v>476</v>
      </c>
      <c r="B477" t="s">
        <v>1277</v>
      </c>
      <c r="D477" t="s">
        <v>1280</v>
      </c>
      <c r="F477" t="s">
        <v>1282</v>
      </c>
      <c r="I477" t="s">
        <v>135</v>
      </c>
      <c r="P477">
        <v>1.33</v>
      </c>
      <c r="Q477">
        <v>0.49199999999999999</v>
      </c>
      <c r="R477">
        <f t="shared" si="41"/>
        <v>0.36992481203007516</v>
      </c>
    </row>
    <row r="478" spans="1:19" x14ac:dyDescent="0.25">
      <c r="A478">
        <v>477</v>
      </c>
      <c r="B478" t="s">
        <v>1278</v>
      </c>
      <c r="D478" t="s">
        <v>1280</v>
      </c>
      <c r="F478" t="s">
        <v>1282</v>
      </c>
      <c r="I478" t="s">
        <v>135</v>
      </c>
      <c r="P478">
        <v>0.77</v>
      </c>
      <c r="Q478">
        <v>0.308</v>
      </c>
      <c r="R478">
        <f t="shared" si="41"/>
        <v>0.39999999999999997</v>
      </c>
    </row>
    <row r="479" spans="1:19" x14ac:dyDescent="0.25">
      <c r="A479">
        <v>478</v>
      </c>
      <c r="B479" t="s">
        <v>1279</v>
      </c>
      <c r="D479" t="s">
        <v>1280</v>
      </c>
      <c r="F479" t="s">
        <v>1282</v>
      </c>
      <c r="I479" t="s">
        <v>135</v>
      </c>
      <c r="P479">
        <v>2.04</v>
      </c>
      <c r="Q479">
        <v>1.0129999999999999</v>
      </c>
      <c r="R479">
        <f t="shared" si="41"/>
        <v>0.49656862745098035</v>
      </c>
    </row>
  </sheetData>
  <autoFilter ref="A1:T474" xr:uid="{00000000-0009-0000-0000-000001000000}">
    <sortState ref="A2:T474">
      <sortCondition ref="B1:B474"/>
    </sortState>
  </autoFilter>
  <sortState ref="A2:U472">
    <sortCondition ref="Q2:Q472"/>
    <sortCondition ref="F2:F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90"/>
  <sheetViews>
    <sheetView tabSelected="1" workbookViewId="0">
      <pane ySplit="1" topLeftCell="A765" activePane="bottomLeft" state="frozen"/>
      <selection activeCell="A406" sqref="A406"/>
      <selection pane="bottomLeft" activeCell="H791" sqref="H791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962</v>
      </c>
      <c r="B1" t="s">
        <v>338</v>
      </c>
      <c r="C1" t="s">
        <v>1203</v>
      </c>
      <c r="E1" t="s">
        <v>0</v>
      </c>
      <c r="F1" t="s">
        <v>339</v>
      </c>
      <c r="G1" t="s">
        <v>640</v>
      </c>
      <c r="H1" t="s">
        <v>560</v>
      </c>
      <c r="I1" t="s">
        <v>561</v>
      </c>
      <c r="J1" t="s">
        <v>562</v>
      </c>
      <c r="K1" t="s">
        <v>563</v>
      </c>
      <c r="L1" t="s">
        <v>569</v>
      </c>
      <c r="M1" t="s">
        <v>570</v>
      </c>
      <c r="N1" t="s">
        <v>571</v>
      </c>
      <c r="O1" t="s">
        <v>564</v>
      </c>
      <c r="P1" t="s">
        <v>157</v>
      </c>
      <c r="Q1" t="s">
        <v>564</v>
      </c>
      <c r="R1" t="s">
        <v>157</v>
      </c>
    </row>
    <row r="2" spans="1:18" x14ac:dyDescent="0.25">
      <c r="A2">
        <v>111</v>
      </c>
      <c r="B2" t="s">
        <v>93</v>
      </c>
      <c r="E2" t="s">
        <v>366</v>
      </c>
      <c r="F2">
        <v>1</v>
      </c>
      <c r="G2" s="3">
        <v>42901</v>
      </c>
      <c r="H2">
        <v>9.1999999999999993</v>
      </c>
      <c r="I2">
        <v>9</v>
      </c>
      <c r="J2">
        <v>380</v>
      </c>
      <c r="K2">
        <v>220</v>
      </c>
      <c r="L2">
        <v>19.149999999999999</v>
      </c>
      <c r="M2">
        <v>19.05</v>
      </c>
      <c r="N2">
        <v>21.35</v>
      </c>
      <c r="O2">
        <v>4</v>
      </c>
      <c r="Q2">
        <v>4</v>
      </c>
    </row>
    <row r="3" spans="1:18" x14ac:dyDescent="0.25">
      <c r="A3">
        <v>451</v>
      </c>
      <c r="B3" t="s">
        <v>108</v>
      </c>
      <c r="E3" t="s">
        <v>366</v>
      </c>
      <c r="F3">
        <v>2</v>
      </c>
      <c r="G3" s="3">
        <v>42952</v>
      </c>
      <c r="H3">
        <v>7.1</v>
      </c>
      <c r="I3">
        <v>6</v>
      </c>
      <c r="J3">
        <v>290</v>
      </c>
      <c r="K3">
        <v>200</v>
      </c>
      <c r="L3">
        <v>13.87</v>
      </c>
      <c r="M3">
        <v>13.99</v>
      </c>
      <c r="N3">
        <v>15.85</v>
      </c>
      <c r="O3">
        <v>4</v>
      </c>
      <c r="Q3">
        <v>4</v>
      </c>
    </row>
    <row r="4" spans="1:18" x14ac:dyDescent="0.25">
      <c r="A4">
        <v>156</v>
      </c>
      <c r="B4" t="s">
        <v>84</v>
      </c>
      <c r="E4" t="s">
        <v>366</v>
      </c>
      <c r="F4">
        <v>3</v>
      </c>
      <c r="G4" s="3">
        <v>42900</v>
      </c>
      <c r="H4">
        <v>7.3</v>
      </c>
      <c r="I4">
        <v>5.5</v>
      </c>
      <c r="J4">
        <v>325</v>
      </c>
      <c r="K4">
        <v>140</v>
      </c>
      <c r="L4">
        <v>8.18</v>
      </c>
      <c r="M4">
        <v>9</v>
      </c>
      <c r="N4">
        <v>9.06</v>
      </c>
      <c r="O4">
        <v>5</v>
      </c>
      <c r="Q4">
        <v>5</v>
      </c>
    </row>
    <row r="5" spans="1:18" x14ac:dyDescent="0.25">
      <c r="A5">
        <v>284</v>
      </c>
      <c r="B5" t="s">
        <v>1233</v>
      </c>
      <c r="C5" t="s">
        <v>280</v>
      </c>
      <c r="E5" t="s">
        <v>366</v>
      </c>
      <c r="F5">
        <v>4</v>
      </c>
      <c r="G5" s="3">
        <v>42902</v>
      </c>
      <c r="H5">
        <v>6.5</v>
      </c>
      <c r="I5" t="s">
        <v>1057</v>
      </c>
      <c r="J5">
        <v>200</v>
      </c>
      <c r="K5">
        <v>50</v>
      </c>
      <c r="L5">
        <v>3.5</v>
      </c>
      <c r="M5">
        <v>3.26</v>
      </c>
      <c r="N5">
        <v>2.41</v>
      </c>
      <c r="O5">
        <v>5</v>
      </c>
      <c r="P5">
        <v>5105</v>
      </c>
      <c r="Q5">
        <v>5</v>
      </c>
      <c r="R5">
        <v>5105</v>
      </c>
    </row>
    <row r="6" spans="1:18" x14ac:dyDescent="0.25">
      <c r="A6">
        <v>173</v>
      </c>
      <c r="B6" t="s">
        <v>475</v>
      </c>
      <c r="E6" t="s">
        <v>366</v>
      </c>
      <c r="F6">
        <v>5</v>
      </c>
      <c r="G6" s="3">
        <v>42907</v>
      </c>
      <c r="H6">
        <v>8.9</v>
      </c>
      <c r="I6">
        <v>7.1</v>
      </c>
      <c r="J6">
        <v>545</v>
      </c>
      <c r="K6">
        <v>340</v>
      </c>
      <c r="L6">
        <v>10.98</v>
      </c>
      <c r="M6">
        <v>10.97</v>
      </c>
      <c r="N6">
        <v>10.95</v>
      </c>
      <c r="O6">
        <v>5</v>
      </c>
      <c r="Q6">
        <v>5</v>
      </c>
    </row>
    <row r="7" spans="1:18" x14ac:dyDescent="0.25">
      <c r="A7">
        <v>470</v>
      </c>
      <c r="B7" t="s">
        <v>1067</v>
      </c>
      <c r="E7" t="s">
        <v>366</v>
      </c>
      <c r="F7">
        <v>6</v>
      </c>
      <c r="G7" s="3">
        <v>42950</v>
      </c>
      <c r="H7">
        <v>7</v>
      </c>
      <c r="I7">
        <v>6.7</v>
      </c>
      <c r="J7">
        <v>477</v>
      </c>
      <c r="K7">
        <v>327</v>
      </c>
      <c r="L7">
        <v>7.52</v>
      </c>
      <c r="M7">
        <v>6.77</v>
      </c>
      <c r="N7">
        <v>7.6</v>
      </c>
      <c r="O7">
        <v>4</v>
      </c>
      <c r="Q7">
        <v>4</v>
      </c>
    </row>
    <row r="8" spans="1:18" x14ac:dyDescent="0.25">
      <c r="A8">
        <v>7</v>
      </c>
      <c r="B8" t="s">
        <v>536</v>
      </c>
      <c r="E8" t="s">
        <v>505</v>
      </c>
      <c r="F8">
        <v>1</v>
      </c>
      <c r="G8" s="3">
        <v>42909</v>
      </c>
      <c r="H8" t="s">
        <v>572</v>
      </c>
      <c r="I8" t="s">
        <v>576</v>
      </c>
      <c r="J8">
        <v>150</v>
      </c>
      <c r="K8">
        <v>10</v>
      </c>
      <c r="L8">
        <v>2.8</v>
      </c>
      <c r="M8">
        <v>1.66</v>
      </c>
      <c r="N8">
        <v>2.04</v>
      </c>
      <c r="O8">
        <v>4</v>
      </c>
      <c r="Q8">
        <v>4</v>
      </c>
    </row>
    <row r="9" spans="1:18" x14ac:dyDescent="0.25">
      <c r="A9">
        <v>9</v>
      </c>
      <c r="B9" t="s">
        <v>504</v>
      </c>
      <c r="E9" t="s">
        <v>505</v>
      </c>
      <c r="F9">
        <v>2</v>
      </c>
      <c r="G9" s="3">
        <v>42909</v>
      </c>
      <c r="H9">
        <v>8.6</v>
      </c>
      <c r="I9">
        <v>6.8</v>
      </c>
      <c r="J9">
        <v>430</v>
      </c>
      <c r="K9">
        <v>130</v>
      </c>
      <c r="L9">
        <v>3.7</v>
      </c>
      <c r="M9">
        <v>3.85</v>
      </c>
      <c r="N9">
        <v>4.38</v>
      </c>
      <c r="O9">
        <v>4</v>
      </c>
      <c r="Q9">
        <v>4</v>
      </c>
    </row>
    <row r="10" spans="1:18" x14ac:dyDescent="0.25">
      <c r="A10">
        <v>304</v>
      </c>
      <c r="B10" t="s">
        <v>808</v>
      </c>
      <c r="E10" t="s">
        <v>505</v>
      </c>
      <c r="F10">
        <v>3</v>
      </c>
      <c r="G10" s="3">
        <v>42927</v>
      </c>
      <c r="H10">
        <v>2.14</v>
      </c>
      <c r="I10">
        <v>1.1599999999999999</v>
      </c>
      <c r="J10">
        <v>250</v>
      </c>
      <c r="K10">
        <v>140</v>
      </c>
      <c r="L10">
        <v>1.72</v>
      </c>
      <c r="M10">
        <v>1.18</v>
      </c>
      <c r="N10">
        <v>1.54</v>
      </c>
      <c r="O10">
        <v>4</v>
      </c>
      <c r="Q10">
        <v>4</v>
      </c>
    </row>
    <row r="11" spans="1:18" x14ac:dyDescent="0.25">
      <c r="A11">
        <v>369</v>
      </c>
      <c r="B11" t="s">
        <v>878</v>
      </c>
      <c r="E11" t="s">
        <v>505</v>
      </c>
      <c r="F11">
        <v>4</v>
      </c>
      <c r="G11" s="3">
        <v>42931</v>
      </c>
      <c r="H11">
        <v>2</v>
      </c>
      <c r="I11">
        <v>1.1000000000000001</v>
      </c>
      <c r="J11">
        <v>294</v>
      </c>
      <c r="K11">
        <v>40</v>
      </c>
      <c r="L11">
        <v>0.64</v>
      </c>
      <c r="M11" t="s">
        <v>141</v>
      </c>
      <c r="N11" t="s">
        <v>141</v>
      </c>
      <c r="O11">
        <v>2</v>
      </c>
      <c r="P11">
        <v>2775</v>
      </c>
      <c r="Q11">
        <v>2</v>
      </c>
      <c r="R11">
        <v>2775</v>
      </c>
    </row>
    <row r="12" spans="1:18" x14ac:dyDescent="0.25">
      <c r="A12">
        <v>433</v>
      </c>
      <c r="B12" t="s">
        <v>1023</v>
      </c>
      <c r="E12" t="s">
        <v>505</v>
      </c>
      <c r="F12">
        <v>5</v>
      </c>
      <c r="G12" s="3">
        <v>42943</v>
      </c>
      <c r="H12">
        <v>5.8</v>
      </c>
      <c r="I12">
        <v>5.3</v>
      </c>
      <c r="J12">
        <v>618</v>
      </c>
      <c r="K12">
        <v>177</v>
      </c>
      <c r="L12">
        <v>3.7</v>
      </c>
      <c r="M12">
        <v>3.93</v>
      </c>
      <c r="N12">
        <v>4.93</v>
      </c>
      <c r="O12">
        <v>3</v>
      </c>
      <c r="P12">
        <v>4947</v>
      </c>
      <c r="Q12">
        <v>3</v>
      </c>
      <c r="R12">
        <v>4947</v>
      </c>
    </row>
    <row r="13" spans="1:18" x14ac:dyDescent="0.25">
      <c r="A13">
        <v>175</v>
      </c>
      <c r="B13" t="s">
        <v>472</v>
      </c>
      <c r="E13" t="s">
        <v>430</v>
      </c>
      <c r="F13">
        <v>1</v>
      </c>
      <c r="G13" s="3">
        <v>42907</v>
      </c>
      <c r="H13">
        <v>2.2999999999999998</v>
      </c>
      <c r="I13">
        <v>2.2000000000000002</v>
      </c>
      <c r="J13">
        <v>250</v>
      </c>
      <c r="K13">
        <v>100</v>
      </c>
      <c r="L13">
        <v>1.8</v>
      </c>
      <c r="M13">
        <v>1.78</v>
      </c>
      <c r="N13">
        <v>2.2000000000000002</v>
      </c>
      <c r="O13">
        <v>3</v>
      </c>
      <c r="Q13">
        <v>3</v>
      </c>
    </row>
    <row r="14" spans="1:18" x14ac:dyDescent="0.25">
      <c r="A14">
        <v>177</v>
      </c>
      <c r="B14" t="s">
        <v>471</v>
      </c>
      <c r="E14" t="s">
        <v>430</v>
      </c>
      <c r="F14">
        <v>2</v>
      </c>
      <c r="G14" s="3">
        <v>42907</v>
      </c>
      <c r="H14" t="s">
        <v>729</v>
      </c>
      <c r="I14" t="s">
        <v>733</v>
      </c>
      <c r="J14">
        <v>245</v>
      </c>
      <c r="K14">
        <v>60</v>
      </c>
      <c r="L14">
        <v>1.2</v>
      </c>
      <c r="M14">
        <v>1.1499999999999999</v>
      </c>
      <c r="N14">
        <v>1.1200000000000001</v>
      </c>
      <c r="O14">
        <v>4</v>
      </c>
      <c r="Q14">
        <v>4</v>
      </c>
    </row>
    <row r="15" spans="1:18" x14ac:dyDescent="0.25">
      <c r="A15">
        <v>214</v>
      </c>
      <c r="B15" t="s">
        <v>429</v>
      </c>
      <c r="E15" t="s">
        <v>430</v>
      </c>
      <c r="F15">
        <v>3</v>
      </c>
      <c r="G15" s="3">
        <v>42906</v>
      </c>
      <c r="H15">
        <v>2.98</v>
      </c>
      <c r="I15">
        <v>2.2200000000000002</v>
      </c>
      <c r="J15">
        <v>295</v>
      </c>
      <c r="K15">
        <v>60</v>
      </c>
      <c r="L15">
        <v>1.86</v>
      </c>
      <c r="M15">
        <v>2.17</v>
      </c>
      <c r="N15">
        <v>4.01</v>
      </c>
      <c r="O15">
        <v>3</v>
      </c>
      <c r="P15" t="s">
        <v>432</v>
      </c>
      <c r="Q15">
        <v>3</v>
      </c>
      <c r="R15" t="s">
        <v>432</v>
      </c>
    </row>
    <row r="16" spans="1:18" x14ac:dyDescent="0.25">
      <c r="A16">
        <v>215</v>
      </c>
      <c r="B16" t="s">
        <v>453</v>
      </c>
      <c r="E16" t="s">
        <v>430</v>
      </c>
      <c r="F16">
        <v>4</v>
      </c>
      <c r="G16" s="3">
        <v>42906</v>
      </c>
      <c r="H16">
        <v>1.48</v>
      </c>
      <c r="I16">
        <v>0.42</v>
      </c>
      <c r="J16">
        <v>174</v>
      </c>
      <c r="K16">
        <v>35</v>
      </c>
      <c r="L16">
        <v>1.08</v>
      </c>
      <c r="M16" t="s">
        <v>141</v>
      </c>
      <c r="N16" t="s">
        <v>141</v>
      </c>
      <c r="O16">
        <v>3</v>
      </c>
      <c r="P16" t="s">
        <v>994</v>
      </c>
      <c r="Q16">
        <v>3</v>
      </c>
      <c r="R16" t="s">
        <v>994</v>
      </c>
    </row>
    <row r="17" spans="1:18" x14ac:dyDescent="0.25">
      <c r="A17">
        <v>384</v>
      </c>
      <c r="B17" t="s">
        <v>954</v>
      </c>
      <c r="E17" t="s">
        <v>430</v>
      </c>
      <c r="F17">
        <v>5</v>
      </c>
      <c r="G17" s="3">
        <v>42936</v>
      </c>
      <c r="H17">
        <v>7.6</v>
      </c>
      <c r="I17">
        <v>6.2</v>
      </c>
      <c r="J17">
        <v>890</v>
      </c>
      <c r="K17">
        <v>412</v>
      </c>
      <c r="L17">
        <v>3.5</v>
      </c>
      <c r="M17">
        <v>4.24</v>
      </c>
      <c r="N17">
        <v>4.7</v>
      </c>
      <c r="O17">
        <v>4</v>
      </c>
      <c r="P17">
        <v>3866</v>
      </c>
      <c r="Q17">
        <v>4</v>
      </c>
      <c r="R17">
        <v>3866</v>
      </c>
    </row>
    <row r="18" spans="1:18" x14ac:dyDescent="0.25">
      <c r="A18">
        <v>386</v>
      </c>
      <c r="B18" t="s">
        <v>947</v>
      </c>
      <c r="E18" t="s">
        <v>430</v>
      </c>
      <c r="F18">
        <v>6</v>
      </c>
      <c r="G18" s="3">
        <v>42936</v>
      </c>
      <c r="H18">
        <v>9</v>
      </c>
      <c r="I18">
        <v>7.8</v>
      </c>
      <c r="J18">
        <v>850</v>
      </c>
      <c r="K18">
        <v>330</v>
      </c>
      <c r="L18">
        <v>3.2</v>
      </c>
      <c r="M18">
        <v>3.15</v>
      </c>
      <c r="N18">
        <v>3.32</v>
      </c>
      <c r="O18">
        <v>3</v>
      </c>
      <c r="P18">
        <v>3872</v>
      </c>
      <c r="Q18">
        <v>3</v>
      </c>
      <c r="R18">
        <v>3872</v>
      </c>
    </row>
    <row r="19" spans="1:18" x14ac:dyDescent="0.25">
      <c r="A19">
        <v>479</v>
      </c>
      <c r="B19" t="s">
        <v>1125</v>
      </c>
      <c r="D19" t="s">
        <v>1110</v>
      </c>
      <c r="E19" t="s">
        <v>430</v>
      </c>
      <c r="G19" s="3">
        <v>42954</v>
      </c>
      <c r="H19">
        <v>15.5</v>
      </c>
      <c r="I19" t="s">
        <v>141</v>
      </c>
      <c r="J19" t="s">
        <v>141</v>
      </c>
      <c r="K19" t="s">
        <v>141</v>
      </c>
      <c r="L19">
        <v>4.4400000000000004</v>
      </c>
      <c r="M19">
        <v>5.77</v>
      </c>
      <c r="N19">
        <v>6.4</v>
      </c>
      <c r="O19" t="s">
        <v>141</v>
      </c>
      <c r="P19">
        <v>4188</v>
      </c>
      <c r="Q19" t="s">
        <v>141</v>
      </c>
      <c r="R19">
        <v>4188</v>
      </c>
    </row>
    <row r="20" spans="1:18" x14ac:dyDescent="0.25">
      <c r="A20">
        <v>486</v>
      </c>
      <c r="B20" t="s">
        <v>1132</v>
      </c>
      <c r="D20" t="s">
        <v>1110</v>
      </c>
      <c r="E20" t="s">
        <v>430</v>
      </c>
      <c r="G20" s="3">
        <v>42954</v>
      </c>
      <c r="H20">
        <v>9</v>
      </c>
      <c r="I20" t="s">
        <v>141</v>
      </c>
      <c r="J20" t="s">
        <v>141</v>
      </c>
      <c r="K20" t="s">
        <v>141</v>
      </c>
      <c r="L20">
        <v>4.93</v>
      </c>
      <c r="M20">
        <v>4.51</v>
      </c>
      <c r="N20">
        <v>3.35</v>
      </c>
      <c r="O20" t="s">
        <v>141</v>
      </c>
      <c r="Q20" t="s">
        <v>141</v>
      </c>
    </row>
    <row r="21" spans="1:18" x14ac:dyDescent="0.25">
      <c r="A21">
        <v>343</v>
      </c>
      <c r="B21" t="s">
        <v>849</v>
      </c>
      <c r="E21" t="s">
        <v>850</v>
      </c>
      <c r="F21">
        <v>1</v>
      </c>
      <c r="G21" s="3">
        <v>42930</v>
      </c>
      <c r="H21">
        <v>27.3</v>
      </c>
      <c r="I21">
        <v>24.1</v>
      </c>
      <c r="J21">
        <v>1000</v>
      </c>
      <c r="K21">
        <v>636</v>
      </c>
      <c r="L21">
        <v>8.14</v>
      </c>
      <c r="M21" t="s">
        <v>141</v>
      </c>
      <c r="N21" t="s">
        <v>141</v>
      </c>
      <c r="O21">
        <v>4</v>
      </c>
      <c r="Q21">
        <v>4</v>
      </c>
    </row>
    <row r="22" spans="1:18" x14ac:dyDescent="0.25">
      <c r="A22">
        <v>435</v>
      </c>
      <c r="B22" t="s">
        <v>1025</v>
      </c>
      <c r="E22" t="s">
        <v>850</v>
      </c>
      <c r="F22">
        <v>2</v>
      </c>
      <c r="G22" s="3">
        <v>42943</v>
      </c>
      <c r="H22">
        <v>9.1</v>
      </c>
      <c r="I22">
        <v>8.6999999999999993</v>
      </c>
      <c r="J22">
        <v>1300</v>
      </c>
      <c r="K22">
        <v>900</v>
      </c>
      <c r="L22">
        <v>7.99</v>
      </c>
      <c r="M22">
        <v>9.2799999999999994</v>
      </c>
      <c r="N22">
        <v>8.56</v>
      </c>
      <c r="O22">
        <v>4</v>
      </c>
      <c r="P22">
        <v>4739</v>
      </c>
      <c r="Q22">
        <v>4</v>
      </c>
      <c r="R22">
        <v>4739</v>
      </c>
    </row>
    <row r="23" spans="1:18" x14ac:dyDescent="0.25">
      <c r="A23">
        <v>112</v>
      </c>
      <c r="B23" t="s">
        <v>1212</v>
      </c>
      <c r="C23" t="s">
        <v>490</v>
      </c>
      <c r="E23" t="s">
        <v>434</v>
      </c>
      <c r="F23">
        <v>1</v>
      </c>
      <c r="G23" s="3">
        <v>42901</v>
      </c>
      <c r="H23">
        <v>9.1999999999999993</v>
      </c>
      <c r="I23">
        <v>8.5</v>
      </c>
      <c r="J23">
        <v>450</v>
      </c>
      <c r="K23">
        <v>300</v>
      </c>
      <c r="L23">
        <v>10.94</v>
      </c>
      <c r="M23">
        <v>7.9</v>
      </c>
      <c r="N23">
        <v>9.42</v>
      </c>
      <c r="O23">
        <v>5</v>
      </c>
      <c r="Q23">
        <v>5</v>
      </c>
    </row>
    <row r="24" spans="1:18" x14ac:dyDescent="0.25">
      <c r="A24">
        <v>132</v>
      </c>
      <c r="B24" t="s">
        <v>1211</v>
      </c>
      <c r="C24" t="s">
        <v>488</v>
      </c>
      <c r="E24" t="s">
        <v>434</v>
      </c>
      <c r="F24">
        <v>2</v>
      </c>
      <c r="G24" s="3">
        <v>42901</v>
      </c>
      <c r="H24">
        <v>14.2</v>
      </c>
      <c r="I24" t="s">
        <v>691</v>
      </c>
      <c r="J24">
        <v>560</v>
      </c>
      <c r="K24">
        <v>230</v>
      </c>
      <c r="L24">
        <v>10.9</v>
      </c>
      <c r="M24">
        <v>15</v>
      </c>
      <c r="N24">
        <v>9.3000000000000007</v>
      </c>
      <c r="O24">
        <v>5</v>
      </c>
      <c r="Q24">
        <v>5</v>
      </c>
    </row>
    <row r="25" spans="1:18" x14ac:dyDescent="0.25">
      <c r="A25">
        <v>183</v>
      </c>
      <c r="B25" t="s">
        <v>433</v>
      </c>
      <c r="E25" t="s">
        <v>434</v>
      </c>
      <c r="F25">
        <v>3</v>
      </c>
      <c r="G25" s="3">
        <v>42906</v>
      </c>
      <c r="H25">
        <v>5.7</v>
      </c>
      <c r="I25">
        <v>4</v>
      </c>
      <c r="J25">
        <v>210</v>
      </c>
      <c r="K25">
        <v>20</v>
      </c>
      <c r="L25">
        <v>9.18</v>
      </c>
      <c r="M25">
        <v>10.89</v>
      </c>
      <c r="N25">
        <v>10.66</v>
      </c>
      <c r="O25">
        <v>4</v>
      </c>
      <c r="Q25">
        <v>4</v>
      </c>
    </row>
    <row r="26" spans="1:18" x14ac:dyDescent="0.25">
      <c r="A26">
        <v>22</v>
      </c>
      <c r="B26" t="s">
        <v>518</v>
      </c>
      <c r="E26" t="s">
        <v>434</v>
      </c>
      <c r="F26">
        <v>4</v>
      </c>
      <c r="G26" s="3">
        <v>42909</v>
      </c>
      <c r="H26">
        <v>3.6</v>
      </c>
      <c r="I26">
        <v>3</v>
      </c>
      <c r="J26">
        <v>290</v>
      </c>
      <c r="K26">
        <v>100</v>
      </c>
      <c r="L26">
        <v>5.64</v>
      </c>
      <c r="M26">
        <v>5.92</v>
      </c>
      <c r="N26">
        <v>5.63</v>
      </c>
      <c r="O26">
        <v>5</v>
      </c>
      <c r="Q26">
        <v>5</v>
      </c>
    </row>
    <row r="27" spans="1:18" x14ac:dyDescent="0.25">
      <c r="A27">
        <v>24</v>
      </c>
      <c r="B27" t="s">
        <v>540</v>
      </c>
      <c r="E27" t="s">
        <v>434</v>
      </c>
      <c r="F27">
        <v>5</v>
      </c>
      <c r="G27" s="3">
        <v>42909</v>
      </c>
      <c r="H27">
        <v>12</v>
      </c>
      <c r="I27">
        <v>10.8</v>
      </c>
      <c r="J27">
        <v>520</v>
      </c>
      <c r="K27">
        <v>190</v>
      </c>
      <c r="L27">
        <v>8.7799999999999994</v>
      </c>
      <c r="M27">
        <v>10.24</v>
      </c>
      <c r="N27">
        <v>11.33</v>
      </c>
      <c r="O27">
        <v>5</v>
      </c>
      <c r="Q27">
        <v>5</v>
      </c>
    </row>
    <row r="28" spans="1:18" x14ac:dyDescent="0.25">
      <c r="A28">
        <v>39</v>
      </c>
      <c r="B28" t="s">
        <v>632</v>
      </c>
      <c r="E28" t="s">
        <v>434</v>
      </c>
      <c r="F28">
        <v>6</v>
      </c>
      <c r="G28" s="3">
        <v>42915</v>
      </c>
      <c r="H28">
        <v>5.0999999999999996</v>
      </c>
      <c r="I28">
        <v>3.8</v>
      </c>
      <c r="J28">
        <v>215</v>
      </c>
      <c r="K28">
        <v>140</v>
      </c>
      <c r="L28">
        <v>6.34</v>
      </c>
      <c r="M28">
        <v>7.74</v>
      </c>
      <c r="N28">
        <v>7.61</v>
      </c>
      <c r="O28">
        <v>4</v>
      </c>
      <c r="Q28">
        <v>4</v>
      </c>
    </row>
    <row r="29" spans="1:18" x14ac:dyDescent="0.25">
      <c r="A29">
        <v>98</v>
      </c>
      <c r="B29" t="s">
        <v>484</v>
      </c>
      <c r="C29" t="s">
        <v>672</v>
      </c>
      <c r="E29" t="s">
        <v>393</v>
      </c>
      <c r="F29">
        <v>1</v>
      </c>
      <c r="G29" s="3">
        <v>42901</v>
      </c>
      <c r="H29">
        <v>15.5</v>
      </c>
      <c r="I29" t="s">
        <v>675</v>
      </c>
      <c r="J29">
        <v>560</v>
      </c>
      <c r="K29">
        <v>260</v>
      </c>
      <c r="L29">
        <v>32.93</v>
      </c>
      <c r="M29">
        <v>31.23</v>
      </c>
      <c r="N29">
        <v>25.3</v>
      </c>
      <c r="O29">
        <v>4</v>
      </c>
      <c r="Q29">
        <v>4</v>
      </c>
    </row>
    <row r="30" spans="1:18" x14ac:dyDescent="0.25">
      <c r="A30">
        <v>97</v>
      </c>
      <c r="B30" t="s">
        <v>1207</v>
      </c>
      <c r="C30" t="s">
        <v>497</v>
      </c>
      <c r="E30" t="s">
        <v>393</v>
      </c>
      <c r="F30">
        <v>2</v>
      </c>
      <c r="G30" s="3">
        <v>42901</v>
      </c>
      <c r="H30">
        <v>21.5</v>
      </c>
      <c r="I30">
        <v>16.5</v>
      </c>
      <c r="J30">
        <v>690</v>
      </c>
      <c r="K30">
        <v>150</v>
      </c>
      <c r="L30">
        <v>29.4</v>
      </c>
      <c r="M30">
        <v>20.260000000000002</v>
      </c>
      <c r="N30">
        <v>34.56</v>
      </c>
      <c r="O30">
        <v>4</v>
      </c>
      <c r="Q30">
        <v>4</v>
      </c>
    </row>
    <row r="31" spans="1:18" x14ac:dyDescent="0.25">
      <c r="A31">
        <v>92</v>
      </c>
      <c r="B31" t="s">
        <v>1206</v>
      </c>
      <c r="C31" t="s">
        <v>489</v>
      </c>
      <c r="E31" t="s">
        <v>393</v>
      </c>
      <c r="F31">
        <v>3</v>
      </c>
      <c r="G31" s="3">
        <v>42901</v>
      </c>
      <c r="H31">
        <v>14.9</v>
      </c>
      <c r="I31" t="s">
        <v>674</v>
      </c>
      <c r="J31">
        <v>390</v>
      </c>
      <c r="K31">
        <v>120</v>
      </c>
      <c r="L31">
        <v>18.899999999999999</v>
      </c>
      <c r="M31">
        <v>17.2</v>
      </c>
      <c r="N31">
        <v>18.600000000000001</v>
      </c>
      <c r="O31">
        <v>4</v>
      </c>
      <c r="Q31">
        <v>4</v>
      </c>
    </row>
    <row r="32" spans="1:18" x14ac:dyDescent="0.25">
      <c r="A32">
        <v>123</v>
      </c>
      <c r="B32" t="s">
        <v>485</v>
      </c>
      <c r="C32" t="s">
        <v>1205</v>
      </c>
      <c r="E32" t="s">
        <v>393</v>
      </c>
      <c r="F32">
        <v>4</v>
      </c>
      <c r="G32" s="3">
        <v>42901</v>
      </c>
      <c r="H32">
        <v>11.8</v>
      </c>
      <c r="I32" t="s">
        <v>685</v>
      </c>
      <c r="J32">
        <v>390</v>
      </c>
      <c r="K32">
        <v>120</v>
      </c>
      <c r="L32">
        <v>26.2</v>
      </c>
      <c r="M32">
        <v>22.02</v>
      </c>
      <c r="N32">
        <v>22.27</v>
      </c>
      <c r="O32">
        <v>5</v>
      </c>
      <c r="Q32">
        <v>5</v>
      </c>
    </row>
    <row r="33" spans="1:18" x14ac:dyDescent="0.25">
      <c r="A33">
        <v>270</v>
      </c>
      <c r="B33" t="s">
        <v>1210</v>
      </c>
      <c r="C33" t="s">
        <v>260</v>
      </c>
      <c r="E33" t="s">
        <v>393</v>
      </c>
      <c r="F33">
        <v>5</v>
      </c>
      <c r="G33" s="3">
        <v>42901</v>
      </c>
      <c r="H33">
        <v>8.6</v>
      </c>
      <c r="I33">
        <v>7</v>
      </c>
      <c r="J33">
        <v>400</v>
      </c>
      <c r="K33">
        <v>180</v>
      </c>
      <c r="L33">
        <v>21.3</v>
      </c>
      <c r="M33">
        <v>26.35</v>
      </c>
      <c r="N33">
        <v>20.010000000000002</v>
      </c>
      <c r="P33">
        <v>1324</v>
      </c>
      <c r="R33">
        <v>1324</v>
      </c>
    </row>
    <row r="34" spans="1:18" x14ac:dyDescent="0.25">
      <c r="A34">
        <v>149</v>
      </c>
      <c r="B34" t="s">
        <v>1208</v>
      </c>
      <c r="C34" t="s">
        <v>492</v>
      </c>
      <c r="E34" t="s">
        <v>393</v>
      </c>
      <c r="F34">
        <v>6</v>
      </c>
      <c r="G34" s="3">
        <v>42900</v>
      </c>
      <c r="H34">
        <v>17.7</v>
      </c>
      <c r="I34">
        <v>16.7</v>
      </c>
      <c r="J34">
        <v>595</v>
      </c>
      <c r="K34">
        <v>286</v>
      </c>
      <c r="L34">
        <v>26.5</v>
      </c>
      <c r="M34">
        <v>24.3</v>
      </c>
      <c r="N34">
        <v>23.3</v>
      </c>
      <c r="O34">
        <v>5</v>
      </c>
      <c r="Q34">
        <v>5</v>
      </c>
    </row>
    <row r="35" spans="1:18" x14ac:dyDescent="0.25">
      <c r="A35">
        <v>139</v>
      </c>
      <c r="B35" t="s">
        <v>1209</v>
      </c>
      <c r="C35" t="s">
        <v>500</v>
      </c>
      <c r="E35" t="s">
        <v>393</v>
      </c>
      <c r="F35">
        <v>7</v>
      </c>
      <c r="G35" s="3">
        <v>42900</v>
      </c>
      <c r="H35">
        <v>22.7</v>
      </c>
      <c r="I35" t="s">
        <v>702</v>
      </c>
      <c r="J35">
        <v>535</v>
      </c>
      <c r="K35">
        <v>122</v>
      </c>
      <c r="L35">
        <v>27.5</v>
      </c>
      <c r="M35">
        <v>24.3</v>
      </c>
      <c r="N35">
        <v>27.6</v>
      </c>
      <c r="O35">
        <v>5</v>
      </c>
      <c r="Q35">
        <v>5</v>
      </c>
    </row>
    <row r="36" spans="1:18" x14ac:dyDescent="0.25">
      <c r="A36">
        <v>120</v>
      </c>
      <c r="B36" t="s">
        <v>1213</v>
      </c>
      <c r="C36" t="s">
        <v>17</v>
      </c>
      <c r="E36" t="s">
        <v>544</v>
      </c>
      <c r="F36">
        <v>1</v>
      </c>
      <c r="G36" s="3">
        <v>42901</v>
      </c>
      <c r="H36">
        <v>3</v>
      </c>
      <c r="I36">
        <v>0.5</v>
      </c>
      <c r="J36">
        <v>150</v>
      </c>
      <c r="K36">
        <v>20</v>
      </c>
      <c r="L36">
        <v>3.93</v>
      </c>
      <c r="M36">
        <v>3.14</v>
      </c>
      <c r="N36">
        <v>2.67</v>
      </c>
      <c r="O36">
        <v>3</v>
      </c>
      <c r="Q36">
        <v>3</v>
      </c>
    </row>
    <row r="37" spans="1:18" x14ac:dyDescent="0.25">
      <c r="A37">
        <v>163</v>
      </c>
      <c r="B37" t="s">
        <v>1214</v>
      </c>
      <c r="C37" t="s">
        <v>711</v>
      </c>
      <c r="E37" t="s">
        <v>544</v>
      </c>
      <c r="F37">
        <v>2</v>
      </c>
      <c r="G37" s="3">
        <v>42900</v>
      </c>
      <c r="H37">
        <v>3.3</v>
      </c>
      <c r="I37" t="s">
        <v>724</v>
      </c>
      <c r="J37">
        <v>169</v>
      </c>
      <c r="K37">
        <v>40</v>
      </c>
      <c r="L37">
        <v>1.98</v>
      </c>
      <c r="M37">
        <v>2.33</v>
      </c>
      <c r="N37">
        <v>1.58</v>
      </c>
      <c r="O37">
        <v>4</v>
      </c>
      <c r="Q37">
        <v>4</v>
      </c>
    </row>
    <row r="38" spans="1:18" x14ac:dyDescent="0.25">
      <c r="A38">
        <v>316</v>
      </c>
      <c r="B38" t="s">
        <v>749</v>
      </c>
      <c r="E38" t="s">
        <v>544</v>
      </c>
      <c r="F38">
        <v>3</v>
      </c>
      <c r="G38" s="3">
        <v>42921</v>
      </c>
      <c r="H38">
        <v>0.88</v>
      </c>
      <c r="I38" t="s">
        <v>141</v>
      </c>
      <c r="J38">
        <v>115</v>
      </c>
      <c r="K38">
        <v>70</v>
      </c>
      <c r="L38">
        <v>1.29</v>
      </c>
      <c r="M38" t="s">
        <v>141</v>
      </c>
      <c r="N38" t="s">
        <v>141</v>
      </c>
      <c r="O38">
        <v>3</v>
      </c>
      <c r="Q38">
        <v>3</v>
      </c>
    </row>
    <row r="39" spans="1:18" x14ac:dyDescent="0.25">
      <c r="A39">
        <v>424</v>
      </c>
      <c r="B39" t="s">
        <v>1008</v>
      </c>
      <c r="E39" t="s">
        <v>544</v>
      </c>
      <c r="F39">
        <v>4</v>
      </c>
      <c r="G39" s="3">
        <v>42942</v>
      </c>
      <c r="H39" t="s">
        <v>1035</v>
      </c>
      <c r="I39" t="s">
        <v>1040</v>
      </c>
      <c r="J39">
        <v>170</v>
      </c>
      <c r="K39">
        <v>40</v>
      </c>
      <c r="L39">
        <v>2.57</v>
      </c>
      <c r="M39" t="s">
        <v>141</v>
      </c>
      <c r="N39" t="s">
        <v>141</v>
      </c>
      <c r="O39">
        <v>4</v>
      </c>
      <c r="Q39">
        <v>4</v>
      </c>
    </row>
    <row r="40" spans="1:18" x14ac:dyDescent="0.25">
      <c r="A40">
        <v>446</v>
      </c>
      <c r="B40" t="s">
        <v>1088</v>
      </c>
      <c r="E40" t="s">
        <v>544</v>
      </c>
      <c r="F40">
        <v>5</v>
      </c>
      <c r="G40" s="3">
        <v>42951</v>
      </c>
      <c r="H40" t="s">
        <v>1102</v>
      </c>
      <c r="I40" t="s">
        <v>1103</v>
      </c>
      <c r="J40">
        <v>180</v>
      </c>
      <c r="K40">
        <v>110</v>
      </c>
      <c r="L40">
        <v>1.45</v>
      </c>
      <c r="M40" t="s">
        <v>141</v>
      </c>
      <c r="N40" t="s">
        <v>141</v>
      </c>
      <c r="O40">
        <v>4</v>
      </c>
      <c r="Q40">
        <v>4</v>
      </c>
    </row>
    <row r="41" spans="1:18" x14ac:dyDescent="0.25">
      <c r="A41">
        <v>392</v>
      </c>
      <c r="B41" t="s">
        <v>919</v>
      </c>
      <c r="E41" t="s">
        <v>920</v>
      </c>
      <c r="F41">
        <v>1</v>
      </c>
      <c r="G41" s="3">
        <v>42936</v>
      </c>
      <c r="H41">
        <v>15.7</v>
      </c>
      <c r="I41">
        <v>13.5</v>
      </c>
      <c r="J41">
        <v>695</v>
      </c>
      <c r="K41">
        <v>550</v>
      </c>
      <c r="L41">
        <v>25.18</v>
      </c>
      <c r="M41">
        <v>37.659999999999997</v>
      </c>
      <c r="N41">
        <v>34.799999999999997</v>
      </c>
      <c r="O41">
        <v>4</v>
      </c>
      <c r="P41">
        <v>3945</v>
      </c>
      <c r="Q41">
        <v>4</v>
      </c>
      <c r="R41">
        <v>3945</v>
      </c>
    </row>
    <row r="42" spans="1:18" x14ac:dyDescent="0.25">
      <c r="A42">
        <v>391</v>
      </c>
      <c r="B42" t="s">
        <v>923</v>
      </c>
      <c r="E42" t="s">
        <v>920</v>
      </c>
      <c r="F42">
        <v>2</v>
      </c>
      <c r="G42" s="3">
        <v>42936</v>
      </c>
      <c r="H42">
        <v>18.5</v>
      </c>
      <c r="I42">
        <v>16.600000000000001</v>
      </c>
      <c r="J42">
        <v>780</v>
      </c>
      <c r="K42">
        <v>610</v>
      </c>
      <c r="L42">
        <v>18.84</v>
      </c>
      <c r="M42">
        <v>20.079999999999998</v>
      </c>
      <c r="N42">
        <v>27.9</v>
      </c>
      <c r="O42">
        <v>4</v>
      </c>
      <c r="Q42">
        <v>4</v>
      </c>
    </row>
    <row r="43" spans="1:18" x14ac:dyDescent="0.25">
      <c r="A43">
        <v>394</v>
      </c>
      <c r="B43" t="s">
        <v>925</v>
      </c>
      <c r="E43" t="s">
        <v>920</v>
      </c>
      <c r="F43">
        <v>3</v>
      </c>
      <c r="G43" s="3">
        <v>42936</v>
      </c>
      <c r="H43">
        <v>10.8</v>
      </c>
      <c r="I43">
        <v>9.6999999999999993</v>
      </c>
      <c r="J43">
        <v>545</v>
      </c>
      <c r="K43">
        <v>400</v>
      </c>
      <c r="L43">
        <v>25.4</v>
      </c>
      <c r="M43">
        <v>26.61</v>
      </c>
      <c r="N43">
        <v>32.880000000000003</v>
      </c>
      <c r="O43">
        <v>4</v>
      </c>
      <c r="P43">
        <v>3939</v>
      </c>
      <c r="Q43">
        <v>4</v>
      </c>
      <c r="R43">
        <v>3939</v>
      </c>
    </row>
    <row r="44" spans="1:18" x14ac:dyDescent="0.25">
      <c r="A44">
        <v>390</v>
      </c>
      <c r="B44" t="s">
        <v>927</v>
      </c>
      <c r="E44" t="s">
        <v>920</v>
      </c>
      <c r="F44">
        <v>4</v>
      </c>
      <c r="G44" s="3">
        <v>42936</v>
      </c>
      <c r="H44">
        <v>24.8</v>
      </c>
      <c r="I44">
        <v>22.4</v>
      </c>
      <c r="J44">
        <v>990</v>
      </c>
      <c r="K44">
        <v>630</v>
      </c>
      <c r="L44">
        <v>32.590000000000003</v>
      </c>
      <c r="M44">
        <v>54.9</v>
      </c>
      <c r="N44">
        <v>32.409999999999997</v>
      </c>
      <c r="O44">
        <v>5</v>
      </c>
      <c r="P44">
        <v>3907</v>
      </c>
      <c r="Q44">
        <v>5</v>
      </c>
      <c r="R44">
        <v>3907</v>
      </c>
    </row>
    <row r="45" spans="1:18" x14ac:dyDescent="0.25">
      <c r="A45">
        <v>393</v>
      </c>
      <c r="B45" t="s">
        <v>929</v>
      </c>
      <c r="E45" t="s">
        <v>920</v>
      </c>
      <c r="F45">
        <v>5</v>
      </c>
      <c r="G45" s="3">
        <v>42936</v>
      </c>
      <c r="H45">
        <v>14.6</v>
      </c>
      <c r="I45">
        <v>12.1</v>
      </c>
      <c r="J45">
        <v>670</v>
      </c>
      <c r="K45">
        <v>390</v>
      </c>
      <c r="L45">
        <v>31.21</v>
      </c>
      <c r="M45">
        <v>32.03</v>
      </c>
      <c r="N45">
        <v>30.79</v>
      </c>
      <c r="O45">
        <v>4</v>
      </c>
      <c r="P45">
        <v>3940</v>
      </c>
      <c r="Q45">
        <v>4</v>
      </c>
      <c r="R45">
        <v>3940</v>
      </c>
    </row>
    <row r="46" spans="1:18" x14ac:dyDescent="0.25">
      <c r="A46">
        <v>480</v>
      </c>
      <c r="B46" t="s">
        <v>1126</v>
      </c>
      <c r="D46" t="s">
        <v>1110</v>
      </c>
      <c r="E46" t="s">
        <v>920</v>
      </c>
      <c r="G46" s="3">
        <v>42954</v>
      </c>
      <c r="H46">
        <v>26</v>
      </c>
      <c r="I46" t="s">
        <v>141</v>
      </c>
      <c r="J46" t="s">
        <v>141</v>
      </c>
      <c r="K46" t="s">
        <v>141</v>
      </c>
      <c r="L46">
        <v>54.25</v>
      </c>
      <c r="M46">
        <v>56</v>
      </c>
      <c r="N46">
        <v>46.91</v>
      </c>
      <c r="O46" t="s">
        <v>141</v>
      </c>
      <c r="P46">
        <v>4174</v>
      </c>
      <c r="Q46" t="s">
        <v>141</v>
      </c>
      <c r="R46">
        <v>4174</v>
      </c>
    </row>
    <row r="47" spans="1:18" x14ac:dyDescent="0.25">
      <c r="A47">
        <v>535</v>
      </c>
      <c r="B47" t="s">
        <v>1184</v>
      </c>
      <c r="D47" t="s">
        <v>1110</v>
      </c>
      <c r="E47" t="s">
        <v>920</v>
      </c>
      <c r="G47" s="3">
        <v>42957</v>
      </c>
      <c r="H47">
        <v>46.5</v>
      </c>
      <c r="I47">
        <v>44.8</v>
      </c>
      <c r="J47" t="s">
        <v>141</v>
      </c>
      <c r="K47" t="s">
        <v>141</v>
      </c>
      <c r="L47">
        <v>41.09</v>
      </c>
      <c r="M47">
        <v>46.62</v>
      </c>
      <c r="N47" t="s">
        <v>141</v>
      </c>
      <c r="O47">
        <v>5</v>
      </c>
      <c r="Q47">
        <v>5</v>
      </c>
    </row>
    <row r="48" spans="1:18" x14ac:dyDescent="0.25">
      <c r="A48">
        <v>147</v>
      </c>
      <c r="B48" t="s">
        <v>96</v>
      </c>
      <c r="E48" t="s">
        <v>376</v>
      </c>
      <c r="F48">
        <v>1</v>
      </c>
      <c r="G48" s="3">
        <v>42900</v>
      </c>
      <c r="H48">
        <v>1.37</v>
      </c>
      <c r="I48">
        <v>0.7</v>
      </c>
      <c r="J48">
        <v>232</v>
      </c>
      <c r="K48">
        <v>105</v>
      </c>
      <c r="L48">
        <v>0.71</v>
      </c>
      <c r="M48" t="s">
        <v>141</v>
      </c>
      <c r="N48" t="s">
        <v>141</v>
      </c>
      <c r="O48">
        <v>4</v>
      </c>
      <c r="Q48">
        <v>4</v>
      </c>
    </row>
    <row r="49" spans="1:18" x14ac:dyDescent="0.25">
      <c r="A49">
        <v>410</v>
      </c>
      <c r="B49" t="s">
        <v>904</v>
      </c>
      <c r="E49" t="s">
        <v>376</v>
      </c>
      <c r="F49">
        <v>2</v>
      </c>
      <c r="G49" s="3">
        <v>42934</v>
      </c>
      <c r="H49">
        <v>1.72</v>
      </c>
      <c r="I49">
        <v>0.33</v>
      </c>
      <c r="J49">
        <v>170</v>
      </c>
      <c r="K49">
        <v>40</v>
      </c>
      <c r="L49">
        <v>1.01</v>
      </c>
      <c r="M49" t="s">
        <v>141</v>
      </c>
      <c r="N49" t="s">
        <v>141</v>
      </c>
      <c r="O49">
        <v>4</v>
      </c>
      <c r="Q49">
        <v>4</v>
      </c>
    </row>
    <row r="50" spans="1:18" x14ac:dyDescent="0.25">
      <c r="A50">
        <v>411</v>
      </c>
      <c r="B50" t="s">
        <v>901</v>
      </c>
      <c r="E50" t="s">
        <v>376</v>
      </c>
      <c r="F50">
        <v>3</v>
      </c>
      <c r="G50" s="3">
        <v>42934</v>
      </c>
      <c r="H50">
        <v>1.26</v>
      </c>
      <c r="I50">
        <v>0.6</v>
      </c>
      <c r="J50">
        <v>220</v>
      </c>
      <c r="K50">
        <v>130</v>
      </c>
      <c r="L50">
        <v>0.61</v>
      </c>
      <c r="M50" t="s">
        <v>141</v>
      </c>
      <c r="N50" t="s">
        <v>141</v>
      </c>
      <c r="O50">
        <v>3</v>
      </c>
      <c r="Q50">
        <v>3</v>
      </c>
    </row>
    <row r="51" spans="1:18" x14ac:dyDescent="0.25">
      <c r="A51">
        <v>412</v>
      </c>
      <c r="B51" t="s">
        <v>899</v>
      </c>
      <c r="E51" t="s">
        <v>376</v>
      </c>
      <c r="F51">
        <v>4</v>
      </c>
      <c r="G51" s="3">
        <v>42934</v>
      </c>
      <c r="H51">
        <v>0.63</v>
      </c>
      <c r="I51">
        <v>0.38</v>
      </c>
      <c r="J51">
        <v>170</v>
      </c>
      <c r="K51">
        <v>70</v>
      </c>
      <c r="L51">
        <v>0.4</v>
      </c>
      <c r="M51" t="s">
        <v>141</v>
      </c>
      <c r="N51" t="s">
        <v>141</v>
      </c>
      <c r="O51">
        <v>4</v>
      </c>
      <c r="Q51">
        <v>4</v>
      </c>
    </row>
    <row r="52" spans="1:18" x14ac:dyDescent="0.25">
      <c r="A52">
        <v>413</v>
      </c>
      <c r="B52" t="s">
        <v>905</v>
      </c>
      <c r="E52" t="s">
        <v>376</v>
      </c>
      <c r="F52">
        <v>5</v>
      </c>
      <c r="G52" s="3">
        <v>42934</v>
      </c>
      <c r="H52">
        <v>0.9</v>
      </c>
      <c r="I52">
        <v>0.34</v>
      </c>
      <c r="J52">
        <v>180</v>
      </c>
      <c r="K52">
        <v>110</v>
      </c>
      <c r="L52">
        <v>7.2999999999999995E-2</v>
      </c>
      <c r="M52" t="s">
        <v>141</v>
      </c>
      <c r="N52" t="s">
        <v>141</v>
      </c>
      <c r="O52">
        <v>4</v>
      </c>
      <c r="Q52">
        <v>4</v>
      </c>
    </row>
    <row r="53" spans="1:18" x14ac:dyDescent="0.25">
      <c r="A53">
        <v>427</v>
      </c>
      <c r="B53" t="s">
        <v>1004</v>
      </c>
      <c r="E53" t="s">
        <v>376</v>
      </c>
      <c r="F53">
        <v>6</v>
      </c>
      <c r="G53" s="3">
        <v>42942</v>
      </c>
      <c r="H53">
        <v>3.25</v>
      </c>
      <c r="I53" t="s">
        <v>1041</v>
      </c>
      <c r="J53">
        <v>304</v>
      </c>
      <c r="K53">
        <v>207</v>
      </c>
      <c r="L53">
        <v>2.8</v>
      </c>
      <c r="M53">
        <v>2.73</v>
      </c>
      <c r="N53">
        <v>2.15</v>
      </c>
      <c r="O53">
        <v>5</v>
      </c>
      <c r="Q53">
        <v>5</v>
      </c>
    </row>
    <row r="54" spans="1:18" x14ac:dyDescent="0.25">
      <c r="A54">
        <v>431</v>
      </c>
      <c r="B54" t="s">
        <v>868</v>
      </c>
      <c r="E54" t="s">
        <v>869</v>
      </c>
      <c r="F54">
        <v>1</v>
      </c>
      <c r="G54" s="3">
        <v>42943</v>
      </c>
      <c r="H54">
        <v>12.4</v>
      </c>
      <c r="I54" t="s">
        <v>1043</v>
      </c>
      <c r="J54">
        <v>680</v>
      </c>
      <c r="K54">
        <v>450</v>
      </c>
      <c r="L54">
        <v>6.96</v>
      </c>
      <c r="M54">
        <v>4.5999999999999996</v>
      </c>
      <c r="N54">
        <v>4.46</v>
      </c>
      <c r="O54">
        <v>3</v>
      </c>
      <c r="Q54">
        <v>3</v>
      </c>
    </row>
    <row r="55" spans="1:18" x14ac:dyDescent="0.25">
      <c r="A55">
        <v>468</v>
      </c>
      <c r="B55" t="s">
        <v>1077</v>
      </c>
      <c r="E55" t="s">
        <v>869</v>
      </c>
      <c r="F55">
        <v>2</v>
      </c>
      <c r="G55" s="3">
        <v>42950</v>
      </c>
      <c r="H55">
        <v>5.5</v>
      </c>
      <c r="I55">
        <v>4.5999999999999996</v>
      </c>
      <c r="J55">
        <v>451</v>
      </c>
      <c r="K55">
        <v>278</v>
      </c>
      <c r="L55">
        <v>2.68</v>
      </c>
      <c r="M55">
        <v>4.0199999999999996</v>
      </c>
      <c r="N55">
        <v>4.08</v>
      </c>
      <c r="O55">
        <v>3</v>
      </c>
      <c r="Q55">
        <v>3</v>
      </c>
    </row>
    <row r="56" spans="1:18" x14ac:dyDescent="0.25">
      <c r="A56">
        <v>440</v>
      </c>
      <c r="B56" t="s">
        <v>1082</v>
      </c>
      <c r="E56" t="s">
        <v>869</v>
      </c>
      <c r="F56">
        <v>3</v>
      </c>
      <c r="G56" s="3">
        <v>42951</v>
      </c>
      <c r="H56">
        <v>4.5</v>
      </c>
      <c r="I56">
        <v>5.0999999999999996</v>
      </c>
      <c r="J56">
        <v>493</v>
      </c>
      <c r="K56">
        <v>319</v>
      </c>
      <c r="L56">
        <v>3.86</v>
      </c>
      <c r="M56">
        <v>3.14</v>
      </c>
      <c r="N56">
        <v>2.77</v>
      </c>
      <c r="O56">
        <v>4</v>
      </c>
      <c r="Q56">
        <v>4</v>
      </c>
    </row>
    <row r="57" spans="1:18" x14ac:dyDescent="0.25">
      <c r="A57">
        <v>441</v>
      </c>
      <c r="B57" t="s">
        <v>1085</v>
      </c>
      <c r="E57" t="s">
        <v>869</v>
      </c>
      <c r="F57">
        <v>4</v>
      </c>
      <c r="G57" s="3">
        <v>42951</v>
      </c>
      <c r="H57">
        <v>4.5</v>
      </c>
      <c r="I57">
        <v>3.5</v>
      </c>
      <c r="J57">
        <v>400</v>
      </c>
      <c r="K57">
        <v>290</v>
      </c>
      <c r="L57">
        <v>4.4400000000000004</v>
      </c>
      <c r="M57">
        <v>3.43</v>
      </c>
      <c r="N57">
        <v>2.99</v>
      </c>
      <c r="O57">
        <v>4</v>
      </c>
      <c r="Q57">
        <v>4</v>
      </c>
    </row>
    <row r="58" spans="1:18" x14ac:dyDescent="0.25">
      <c r="A58">
        <v>445</v>
      </c>
      <c r="B58" t="s">
        <v>1090</v>
      </c>
      <c r="E58" t="s">
        <v>869</v>
      </c>
      <c r="F58">
        <v>5</v>
      </c>
      <c r="G58" s="3">
        <v>42951</v>
      </c>
      <c r="H58">
        <v>7</v>
      </c>
      <c r="I58">
        <v>6</v>
      </c>
      <c r="J58">
        <v>646</v>
      </c>
      <c r="K58">
        <v>275</v>
      </c>
      <c r="L58">
        <v>4.46</v>
      </c>
      <c r="M58">
        <v>5.89</v>
      </c>
      <c r="N58">
        <v>5.31</v>
      </c>
      <c r="O58">
        <v>4</v>
      </c>
      <c r="Q58">
        <v>4</v>
      </c>
    </row>
    <row r="59" spans="1:18" x14ac:dyDescent="0.25">
      <c r="A59">
        <v>466</v>
      </c>
      <c r="B59" t="s">
        <v>1105</v>
      </c>
      <c r="D59" t="s">
        <v>1110</v>
      </c>
      <c r="E59" t="s">
        <v>869</v>
      </c>
      <c r="G59" s="3">
        <v>42950</v>
      </c>
      <c r="H59">
        <v>18.5</v>
      </c>
      <c r="I59">
        <v>17.2</v>
      </c>
      <c r="J59">
        <v>1500</v>
      </c>
      <c r="K59">
        <v>900</v>
      </c>
      <c r="L59">
        <v>4.08</v>
      </c>
      <c r="M59">
        <v>4.95</v>
      </c>
      <c r="N59">
        <v>4.88</v>
      </c>
      <c r="O59">
        <v>5</v>
      </c>
      <c r="P59">
        <v>2077</v>
      </c>
      <c r="Q59">
        <v>5</v>
      </c>
      <c r="R59">
        <v>2077</v>
      </c>
    </row>
    <row r="60" spans="1:18" x14ac:dyDescent="0.25">
      <c r="A60">
        <v>14</v>
      </c>
      <c r="B60" t="s">
        <v>511</v>
      </c>
      <c r="E60" t="s">
        <v>512</v>
      </c>
      <c r="F60">
        <v>1</v>
      </c>
      <c r="G60" s="3">
        <v>42909</v>
      </c>
      <c r="H60">
        <v>0.9</v>
      </c>
      <c r="I60">
        <v>0.6</v>
      </c>
      <c r="J60">
        <v>140</v>
      </c>
      <c r="K60">
        <v>80</v>
      </c>
      <c r="L60">
        <v>0.46</v>
      </c>
      <c r="M60" t="s">
        <v>141</v>
      </c>
      <c r="N60" t="s">
        <v>141</v>
      </c>
      <c r="O60">
        <v>4</v>
      </c>
      <c r="Q60">
        <v>4</v>
      </c>
    </row>
    <row r="61" spans="1:18" x14ac:dyDescent="0.25">
      <c r="A61">
        <v>20</v>
      </c>
      <c r="B61" t="s">
        <v>541</v>
      </c>
      <c r="E61" t="s">
        <v>512</v>
      </c>
      <c r="F61">
        <v>2</v>
      </c>
      <c r="G61" s="3">
        <v>42909</v>
      </c>
      <c r="H61">
        <v>1.3</v>
      </c>
      <c r="I61" t="s">
        <v>581</v>
      </c>
      <c r="J61">
        <v>190</v>
      </c>
      <c r="K61">
        <v>50</v>
      </c>
      <c r="L61">
        <v>0.56000000000000005</v>
      </c>
      <c r="M61" t="s">
        <v>141</v>
      </c>
      <c r="N61" t="s">
        <v>141</v>
      </c>
      <c r="O61">
        <v>4</v>
      </c>
      <c r="Q61">
        <v>4</v>
      </c>
    </row>
    <row r="62" spans="1:18" x14ac:dyDescent="0.25">
      <c r="A62">
        <v>23</v>
      </c>
      <c r="B62" t="s">
        <v>520</v>
      </c>
      <c r="E62" t="s">
        <v>512</v>
      </c>
      <c r="F62">
        <v>3</v>
      </c>
      <c r="G62" s="3">
        <v>42909</v>
      </c>
      <c r="H62">
        <v>1.4</v>
      </c>
      <c r="I62" t="s">
        <v>582</v>
      </c>
      <c r="J62">
        <v>180</v>
      </c>
      <c r="K62">
        <v>60</v>
      </c>
      <c r="L62">
        <v>3.65</v>
      </c>
      <c r="M62">
        <v>2.11</v>
      </c>
      <c r="N62">
        <v>2.4700000000000002</v>
      </c>
      <c r="O62">
        <v>4</v>
      </c>
      <c r="Q62">
        <v>4</v>
      </c>
    </row>
    <row r="63" spans="1:18" x14ac:dyDescent="0.25">
      <c r="A63">
        <v>186</v>
      </c>
      <c r="B63" t="s">
        <v>1202</v>
      </c>
      <c r="C63" t="s">
        <v>1204</v>
      </c>
      <c r="E63" t="s">
        <v>512</v>
      </c>
      <c r="F63">
        <v>4</v>
      </c>
      <c r="G63" s="3">
        <v>42906</v>
      </c>
      <c r="H63">
        <v>4</v>
      </c>
      <c r="I63">
        <v>3.5</v>
      </c>
      <c r="J63">
        <v>395</v>
      </c>
      <c r="K63">
        <v>255</v>
      </c>
      <c r="L63">
        <v>2.02</v>
      </c>
      <c r="M63" t="s">
        <v>141</v>
      </c>
      <c r="N63" t="s">
        <v>141</v>
      </c>
      <c r="O63">
        <v>5</v>
      </c>
      <c r="Q63">
        <v>5</v>
      </c>
    </row>
    <row r="64" spans="1:18" x14ac:dyDescent="0.25">
      <c r="A64">
        <v>295</v>
      </c>
      <c r="B64" t="s">
        <v>818</v>
      </c>
      <c r="E64" t="s">
        <v>512</v>
      </c>
      <c r="F64">
        <v>5</v>
      </c>
      <c r="G64" s="3">
        <v>42927</v>
      </c>
      <c r="H64">
        <v>1.1100000000000001</v>
      </c>
      <c r="I64">
        <v>0.4</v>
      </c>
      <c r="J64">
        <v>165</v>
      </c>
      <c r="K64">
        <v>120</v>
      </c>
      <c r="L64">
        <v>0.97</v>
      </c>
      <c r="M64" t="s">
        <v>141</v>
      </c>
      <c r="N64" t="s">
        <v>141</v>
      </c>
      <c r="O64">
        <v>3</v>
      </c>
      <c r="Q64">
        <v>3</v>
      </c>
    </row>
    <row r="65" spans="1:19" x14ac:dyDescent="0.25">
      <c r="A65">
        <v>203</v>
      </c>
      <c r="B65" t="s">
        <v>446</v>
      </c>
      <c r="E65" t="s">
        <v>425</v>
      </c>
      <c r="F65">
        <v>1</v>
      </c>
      <c r="G65" s="3">
        <v>42906</v>
      </c>
      <c r="H65">
        <v>2.98</v>
      </c>
      <c r="I65">
        <v>2.0099999999999998</v>
      </c>
      <c r="J65">
        <v>231</v>
      </c>
      <c r="K65">
        <v>135</v>
      </c>
      <c r="L65">
        <v>5.38</v>
      </c>
      <c r="M65">
        <v>6.36</v>
      </c>
      <c r="N65">
        <v>6.4</v>
      </c>
      <c r="O65">
        <v>4</v>
      </c>
      <c r="Q65">
        <v>4</v>
      </c>
    </row>
    <row r="66" spans="1:19" x14ac:dyDescent="0.25">
      <c r="A66">
        <v>218</v>
      </c>
      <c r="B66" t="s">
        <v>424</v>
      </c>
      <c r="E66" t="s">
        <v>425</v>
      </c>
      <c r="F66">
        <v>2</v>
      </c>
      <c r="G66" s="3">
        <v>42906</v>
      </c>
      <c r="H66">
        <v>2.6150000000000002</v>
      </c>
      <c r="I66" t="s">
        <v>141</v>
      </c>
      <c r="J66">
        <v>120</v>
      </c>
      <c r="K66">
        <v>70</v>
      </c>
      <c r="L66">
        <v>5.74</v>
      </c>
      <c r="M66">
        <v>4.8600000000000003</v>
      </c>
      <c r="N66">
        <v>5.77</v>
      </c>
      <c r="O66">
        <v>4</v>
      </c>
      <c r="Q66">
        <v>4</v>
      </c>
    </row>
    <row r="67" spans="1:19" x14ac:dyDescent="0.25">
      <c r="A67">
        <v>64</v>
      </c>
      <c r="B67" t="s">
        <v>600</v>
      </c>
      <c r="E67" t="s">
        <v>425</v>
      </c>
      <c r="F67">
        <v>3</v>
      </c>
      <c r="G67" s="3">
        <v>42915</v>
      </c>
      <c r="H67">
        <v>1.26</v>
      </c>
      <c r="I67" t="s">
        <v>141</v>
      </c>
      <c r="J67">
        <v>65</v>
      </c>
      <c r="K67">
        <v>22</v>
      </c>
      <c r="L67">
        <v>3.15</v>
      </c>
      <c r="M67" t="s">
        <v>141</v>
      </c>
      <c r="N67" t="s">
        <v>141</v>
      </c>
      <c r="O67">
        <v>3</v>
      </c>
      <c r="Q67">
        <v>3</v>
      </c>
    </row>
    <row r="68" spans="1:19" x14ac:dyDescent="0.25">
      <c r="A68">
        <v>67</v>
      </c>
      <c r="B68" t="s">
        <v>650</v>
      </c>
      <c r="E68" t="s">
        <v>425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O68">
        <v>4</v>
      </c>
      <c r="Q68">
        <v>4</v>
      </c>
    </row>
    <row r="69" spans="1:19" x14ac:dyDescent="0.25">
      <c r="A69">
        <v>69</v>
      </c>
      <c r="B69" t="s">
        <v>602</v>
      </c>
      <c r="E69" t="s">
        <v>425</v>
      </c>
      <c r="F69">
        <v>5</v>
      </c>
      <c r="G69" s="3">
        <v>42915</v>
      </c>
      <c r="H69">
        <v>6.5</v>
      </c>
      <c r="I69">
        <v>5.4</v>
      </c>
      <c r="J69">
        <v>265</v>
      </c>
      <c r="K69">
        <v>60</v>
      </c>
      <c r="L69">
        <v>14.71</v>
      </c>
      <c r="M69">
        <v>16.28</v>
      </c>
      <c r="N69">
        <v>12.14</v>
      </c>
      <c r="O69">
        <v>3</v>
      </c>
      <c r="Q69">
        <v>3</v>
      </c>
    </row>
    <row r="70" spans="1:19" x14ac:dyDescent="0.25">
      <c r="A70">
        <v>269</v>
      </c>
      <c r="B70" t="s">
        <v>1234</v>
      </c>
      <c r="C70" t="s">
        <v>247</v>
      </c>
      <c r="E70" t="s">
        <v>389</v>
      </c>
      <c r="F70">
        <v>1</v>
      </c>
      <c r="G70" s="3">
        <v>42901</v>
      </c>
      <c r="H70">
        <v>5.9</v>
      </c>
      <c r="I70">
        <v>5.3</v>
      </c>
      <c r="J70">
        <v>500</v>
      </c>
      <c r="K70">
        <v>190</v>
      </c>
      <c r="L70">
        <v>10.32</v>
      </c>
      <c r="M70">
        <v>10.73</v>
      </c>
      <c r="N70">
        <v>9.85</v>
      </c>
      <c r="P70" t="s">
        <v>1062</v>
      </c>
      <c r="R70" t="s">
        <v>1062</v>
      </c>
    </row>
    <row r="71" spans="1:19" x14ac:dyDescent="0.25">
      <c r="A71">
        <v>12</v>
      </c>
      <c r="B71" t="s">
        <v>995</v>
      </c>
      <c r="E71" t="s">
        <v>774</v>
      </c>
      <c r="F71">
        <v>1</v>
      </c>
      <c r="G71" s="3">
        <v>42909</v>
      </c>
      <c r="H71">
        <v>4.5999999999999996</v>
      </c>
      <c r="I71">
        <v>2.2000000000000002</v>
      </c>
      <c r="J71">
        <v>200</v>
      </c>
      <c r="K71">
        <v>80</v>
      </c>
      <c r="L71">
        <v>7.91</v>
      </c>
      <c r="M71">
        <v>8.06</v>
      </c>
      <c r="N71">
        <v>9.3699999999999992</v>
      </c>
      <c r="O71">
        <v>4</v>
      </c>
      <c r="P71" t="s">
        <v>996</v>
      </c>
      <c r="Q71">
        <v>4</v>
      </c>
      <c r="R71" t="s">
        <v>996</v>
      </c>
    </row>
    <row r="72" spans="1:19" x14ac:dyDescent="0.25">
      <c r="A72">
        <v>220</v>
      </c>
      <c r="B72" t="s">
        <v>773</v>
      </c>
      <c r="E72" t="s">
        <v>774</v>
      </c>
      <c r="F72">
        <v>2</v>
      </c>
      <c r="G72" s="3">
        <v>42923</v>
      </c>
      <c r="H72">
        <v>4.3</v>
      </c>
      <c r="I72">
        <v>6</v>
      </c>
      <c r="J72">
        <v>390</v>
      </c>
      <c r="K72">
        <v>90</v>
      </c>
      <c r="L72">
        <v>12.35</v>
      </c>
      <c r="M72">
        <v>9.98</v>
      </c>
      <c r="N72">
        <v>10.08</v>
      </c>
      <c r="O72">
        <v>3</v>
      </c>
      <c r="Q72">
        <v>3</v>
      </c>
    </row>
    <row r="73" spans="1:19" x14ac:dyDescent="0.25">
      <c r="A73">
        <v>293</v>
      </c>
      <c r="B73" t="s">
        <v>825</v>
      </c>
      <c r="E73" t="s">
        <v>774</v>
      </c>
      <c r="F73">
        <v>3</v>
      </c>
      <c r="G73" s="3">
        <v>42927</v>
      </c>
      <c r="H73">
        <v>0.75</v>
      </c>
      <c r="I73" t="s">
        <v>141</v>
      </c>
      <c r="J73">
        <v>99</v>
      </c>
      <c r="K73">
        <v>40</v>
      </c>
      <c r="L73">
        <v>0.35</v>
      </c>
      <c r="M73" t="s">
        <v>141</v>
      </c>
      <c r="N73" t="s">
        <v>141</v>
      </c>
      <c r="O73">
        <v>3</v>
      </c>
      <c r="Q73">
        <v>3</v>
      </c>
    </row>
    <row r="74" spans="1:19" x14ac:dyDescent="0.25">
      <c r="A74">
        <v>302</v>
      </c>
      <c r="B74" t="s">
        <v>809</v>
      </c>
      <c r="E74" t="s">
        <v>774</v>
      </c>
      <c r="F74">
        <v>4</v>
      </c>
      <c r="G74" s="3">
        <v>42927</v>
      </c>
      <c r="H74">
        <v>1.01</v>
      </c>
      <c r="I74" t="s">
        <v>141</v>
      </c>
      <c r="J74">
        <v>80</v>
      </c>
      <c r="K74">
        <v>40</v>
      </c>
      <c r="L74">
        <v>0.82</v>
      </c>
      <c r="M74" t="s">
        <v>141</v>
      </c>
      <c r="N74" t="s">
        <v>141</v>
      </c>
      <c r="O74">
        <v>4</v>
      </c>
      <c r="Q74">
        <v>4</v>
      </c>
      <c r="S74" s="2"/>
    </row>
    <row r="75" spans="1:19" x14ac:dyDescent="0.25">
      <c r="A75">
        <v>398</v>
      </c>
      <c r="B75" t="s">
        <v>945</v>
      </c>
      <c r="E75" t="s">
        <v>774</v>
      </c>
      <c r="F75">
        <v>5</v>
      </c>
      <c r="G75" s="3">
        <v>42936</v>
      </c>
      <c r="H75">
        <v>6.1</v>
      </c>
      <c r="I75">
        <v>5</v>
      </c>
      <c r="J75">
        <v>465</v>
      </c>
      <c r="K75">
        <v>360</v>
      </c>
      <c r="L75">
        <v>9.43</v>
      </c>
      <c r="M75">
        <v>8.73</v>
      </c>
      <c r="N75">
        <v>10.01</v>
      </c>
      <c r="O75">
        <v>2</v>
      </c>
      <c r="P75">
        <v>3994</v>
      </c>
      <c r="Q75">
        <v>2</v>
      </c>
      <c r="R75">
        <v>3994</v>
      </c>
    </row>
    <row r="76" spans="1:19" x14ac:dyDescent="0.25">
      <c r="A76">
        <v>146</v>
      </c>
      <c r="B76" t="s">
        <v>113</v>
      </c>
      <c r="E76" t="s">
        <v>382</v>
      </c>
      <c r="F76">
        <v>1</v>
      </c>
      <c r="G76" s="3">
        <v>42900</v>
      </c>
      <c r="H76" t="s">
        <v>696</v>
      </c>
      <c r="I76" t="s">
        <v>141</v>
      </c>
      <c r="J76">
        <v>154</v>
      </c>
      <c r="K76">
        <v>44</v>
      </c>
      <c r="L76">
        <v>0.62</v>
      </c>
      <c r="M76">
        <v>0.98</v>
      </c>
      <c r="N76">
        <v>0.87</v>
      </c>
      <c r="O76">
        <v>4</v>
      </c>
      <c r="Q76">
        <v>4</v>
      </c>
    </row>
    <row r="77" spans="1:19" x14ac:dyDescent="0.25">
      <c r="A77">
        <v>281</v>
      </c>
      <c r="B77" t="s">
        <v>1230</v>
      </c>
      <c r="C77" t="s">
        <v>212</v>
      </c>
      <c r="E77" t="s">
        <v>382</v>
      </c>
      <c r="F77">
        <v>2</v>
      </c>
      <c r="G77" s="3">
        <v>42902</v>
      </c>
      <c r="H77">
        <v>4</v>
      </c>
      <c r="I77" t="s">
        <v>1056</v>
      </c>
      <c r="J77">
        <v>250</v>
      </c>
      <c r="K77">
        <v>60</v>
      </c>
      <c r="L77">
        <v>1.19</v>
      </c>
      <c r="M77">
        <v>0.76</v>
      </c>
      <c r="N77">
        <v>1.29</v>
      </c>
      <c r="O77">
        <v>4</v>
      </c>
      <c r="P77">
        <v>5155</v>
      </c>
      <c r="Q77">
        <v>4</v>
      </c>
      <c r="R77">
        <v>5155</v>
      </c>
    </row>
    <row r="78" spans="1:19" x14ac:dyDescent="0.25">
      <c r="A78">
        <v>45</v>
      </c>
      <c r="B78" t="s">
        <v>606</v>
      </c>
      <c r="E78" t="s">
        <v>382</v>
      </c>
      <c r="F78">
        <v>3</v>
      </c>
      <c r="G78" s="3">
        <v>42915</v>
      </c>
      <c r="H78">
        <v>4</v>
      </c>
      <c r="I78" t="s">
        <v>646</v>
      </c>
      <c r="J78">
        <v>160</v>
      </c>
      <c r="K78">
        <v>10</v>
      </c>
      <c r="L78">
        <v>0.59</v>
      </c>
      <c r="M78" t="s">
        <v>141</v>
      </c>
      <c r="N78" t="s">
        <v>141</v>
      </c>
      <c r="O78">
        <v>4</v>
      </c>
      <c r="Q78">
        <v>4</v>
      </c>
    </row>
    <row r="79" spans="1:19" x14ac:dyDescent="0.25">
      <c r="A79">
        <v>46</v>
      </c>
      <c r="B79" t="s">
        <v>634</v>
      </c>
      <c r="E79" t="s">
        <v>382</v>
      </c>
      <c r="F79">
        <v>4</v>
      </c>
      <c r="G79" s="3">
        <v>42915</v>
      </c>
      <c r="H79">
        <v>5.2</v>
      </c>
      <c r="I79">
        <v>2.1</v>
      </c>
      <c r="J79">
        <v>170</v>
      </c>
      <c r="K79">
        <v>60</v>
      </c>
      <c r="L79">
        <v>3.54</v>
      </c>
      <c r="M79">
        <v>2.17</v>
      </c>
      <c r="N79">
        <v>1.76</v>
      </c>
      <c r="O79">
        <v>4</v>
      </c>
      <c r="Q79">
        <v>4</v>
      </c>
    </row>
    <row r="80" spans="1:19" x14ac:dyDescent="0.25">
      <c r="A80">
        <v>70</v>
      </c>
      <c r="B80" t="s">
        <v>623</v>
      </c>
      <c r="E80" t="s">
        <v>382</v>
      </c>
      <c r="F80">
        <v>5</v>
      </c>
      <c r="G80" s="3">
        <v>42915</v>
      </c>
      <c r="H80" t="s">
        <v>652</v>
      </c>
      <c r="I80" t="s">
        <v>654</v>
      </c>
      <c r="J80">
        <v>140</v>
      </c>
      <c r="K80">
        <v>20</v>
      </c>
      <c r="L80">
        <v>2.08</v>
      </c>
      <c r="M80">
        <v>2.67</v>
      </c>
      <c r="N80">
        <v>2.0699999999999998</v>
      </c>
      <c r="O80">
        <v>4</v>
      </c>
      <c r="Q80">
        <v>4</v>
      </c>
    </row>
    <row r="81" spans="1:18" x14ac:dyDescent="0.25">
      <c r="A81">
        <v>259</v>
      </c>
      <c r="B81" t="s">
        <v>1231</v>
      </c>
      <c r="C81" t="s">
        <v>1063</v>
      </c>
      <c r="D81" t="s">
        <v>1110</v>
      </c>
      <c r="E81" t="s">
        <v>382</v>
      </c>
      <c r="G81" s="3">
        <v>42901</v>
      </c>
      <c r="H81">
        <v>3.4</v>
      </c>
      <c r="I81" t="s">
        <v>141</v>
      </c>
      <c r="J81">
        <v>145</v>
      </c>
      <c r="K81">
        <v>60</v>
      </c>
      <c r="L81">
        <v>1.75</v>
      </c>
      <c r="M81" t="s">
        <v>141</v>
      </c>
      <c r="N81" t="s">
        <v>141</v>
      </c>
      <c r="P81" t="s">
        <v>1064</v>
      </c>
      <c r="R81" t="s">
        <v>1064</v>
      </c>
    </row>
    <row r="82" spans="1:18" x14ac:dyDescent="0.25">
      <c r="A82">
        <v>142</v>
      </c>
      <c r="B82" t="s">
        <v>117</v>
      </c>
      <c r="E82" t="s">
        <v>383</v>
      </c>
      <c r="F82">
        <v>1</v>
      </c>
      <c r="G82" s="3">
        <v>42900</v>
      </c>
      <c r="H82">
        <v>4.5</v>
      </c>
      <c r="I82" t="s">
        <v>141</v>
      </c>
      <c r="J82">
        <v>127</v>
      </c>
      <c r="K82">
        <v>58</v>
      </c>
      <c r="L82">
        <v>11.8</v>
      </c>
      <c r="M82">
        <v>10.45</v>
      </c>
      <c r="N82">
        <v>10.24</v>
      </c>
      <c r="O82">
        <v>5</v>
      </c>
      <c r="Q82">
        <v>5</v>
      </c>
    </row>
    <row r="83" spans="1:18" x14ac:dyDescent="0.25">
      <c r="A83">
        <v>154</v>
      </c>
      <c r="B83" t="s">
        <v>193</v>
      </c>
      <c r="E83" t="s">
        <v>383</v>
      </c>
      <c r="F83">
        <v>2</v>
      </c>
      <c r="G83" s="3">
        <v>42900</v>
      </c>
      <c r="H83">
        <v>4.5</v>
      </c>
      <c r="I83">
        <v>1.0900000000000001</v>
      </c>
      <c r="J83">
        <v>148</v>
      </c>
      <c r="K83">
        <v>40</v>
      </c>
      <c r="L83">
        <v>10.08</v>
      </c>
      <c r="M83">
        <v>10.95</v>
      </c>
      <c r="N83">
        <v>8.92</v>
      </c>
      <c r="O83">
        <v>4</v>
      </c>
      <c r="Q83">
        <v>4</v>
      </c>
    </row>
    <row r="84" spans="1:18" x14ac:dyDescent="0.25">
      <c r="A84">
        <v>86</v>
      </c>
      <c r="B84" t="s">
        <v>304</v>
      </c>
      <c r="C84" t="s">
        <v>193</v>
      </c>
      <c r="E84" t="s">
        <v>383</v>
      </c>
      <c r="F84">
        <v>3</v>
      </c>
      <c r="G84" s="3">
        <v>42902</v>
      </c>
      <c r="H84">
        <v>10.199999999999999</v>
      </c>
      <c r="I84">
        <v>8.5</v>
      </c>
      <c r="J84">
        <v>375</v>
      </c>
      <c r="K84">
        <v>100</v>
      </c>
      <c r="L84">
        <v>18.82</v>
      </c>
      <c r="M84">
        <v>19.37</v>
      </c>
      <c r="N84">
        <v>18.850000000000001</v>
      </c>
      <c r="O84">
        <v>5</v>
      </c>
      <c r="Q84">
        <v>5</v>
      </c>
    </row>
    <row r="85" spans="1:18" x14ac:dyDescent="0.25">
      <c r="A85">
        <v>184</v>
      </c>
      <c r="B85" t="s">
        <v>447</v>
      </c>
      <c r="E85" t="s">
        <v>383</v>
      </c>
      <c r="F85">
        <v>4</v>
      </c>
      <c r="G85" s="3">
        <v>42906</v>
      </c>
      <c r="H85">
        <v>7.3</v>
      </c>
      <c r="I85">
        <v>0.95</v>
      </c>
      <c r="J85">
        <v>155</v>
      </c>
      <c r="K85">
        <v>60</v>
      </c>
      <c r="L85">
        <v>21.3</v>
      </c>
      <c r="M85">
        <v>22.04</v>
      </c>
      <c r="N85">
        <v>19.29</v>
      </c>
      <c r="O85">
        <v>4</v>
      </c>
      <c r="Q85">
        <v>4</v>
      </c>
    </row>
    <row r="86" spans="1:18" x14ac:dyDescent="0.25">
      <c r="A86">
        <v>185</v>
      </c>
      <c r="B86" t="s">
        <v>422</v>
      </c>
      <c r="E86" t="s">
        <v>383</v>
      </c>
      <c r="F86">
        <v>5</v>
      </c>
      <c r="G86" s="3">
        <v>42906</v>
      </c>
      <c r="H86">
        <v>10.5</v>
      </c>
      <c r="I86">
        <v>7.5</v>
      </c>
      <c r="J86">
        <v>240</v>
      </c>
      <c r="K86">
        <v>110</v>
      </c>
      <c r="L86">
        <v>16.77</v>
      </c>
      <c r="M86">
        <v>13.56</v>
      </c>
      <c r="N86">
        <v>10.029999999999999</v>
      </c>
      <c r="O86">
        <v>5</v>
      </c>
      <c r="Q86">
        <v>5</v>
      </c>
    </row>
    <row r="87" spans="1:18" x14ac:dyDescent="0.25">
      <c r="A87">
        <v>321</v>
      </c>
      <c r="B87" t="s">
        <v>864</v>
      </c>
      <c r="E87" t="s">
        <v>836</v>
      </c>
      <c r="F87">
        <v>1</v>
      </c>
      <c r="G87" s="3">
        <v>42930</v>
      </c>
      <c r="H87">
        <v>6.9</v>
      </c>
      <c r="I87">
        <v>5.9</v>
      </c>
      <c r="J87">
        <v>500</v>
      </c>
      <c r="K87">
        <v>420</v>
      </c>
      <c r="L87">
        <v>1.52</v>
      </c>
      <c r="M87">
        <v>1.76</v>
      </c>
      <c r="N87">
        <v>1.04</v>
      </c>
      <c r="O87">
        <v>3</v>
      </c>
      <c r="Q87">
        <v>3</v>
      </c>
    </row>
    <row r="88" spans="1:18" x14ac:dyDescent="0.25">
      <c r="A88">
        <v>323</v>
      </c>
      <c r="B88" t="s">
        <v>835</v>
      </c>
      <c r="E88" t="s">
        <v>836</v>
      </c>
      <c r="F88">
        <v>2</v>
      </c>
      <c r="G88" s="3">
        <v>42930</v>
      </c>
      <c r="H88">
        <v>6.5</v>
      </c>
      <c r="I88">
        <v>6</v>
      </c>
      <c r="J88">
        <v>570</v>
      </c>
      <c r="K88">
        <v>372</v>
      </c>
      <c r="L88">
        <v>1.29</v>
      </c>
      <c r="M88">
        <v>1.68</v>
      </c>
      <c r="N88">
        <v>1.8</v>
      </c>
      <c r="O88">
        <v>3</v>
      </c>
      <c r="Q88">
        <v>3</v>
      </c>
    </row>
    <row r="89" spans="1:18" x14ac:dyDescent="0.25">
      <c r="A89">
        <v>324</v>
      </c>
      <c r="B89" t="s">
        <v>856</v>
      </c>
      <c r="E89" t="s">
        <v>836</v>
      </c>
      <c r="F89">
        <v>3</v>
      </c>
      <c r="G89" s="3">
        <v>42930</v>
      </c>
      <c r="H89">
        <v>7.1</v>
      </c>
      <c r="I89">
        <v>6.6</v>
      </c>
      <c r="J89">
        <v>745</v>
      </c>
      <c r="K89">
        <v>378</v>
      </c>
      <c r="L89">
        <v>2.3199999999999998</v>
      </c>
      <c r="M89">
        <v>3.32</v>
      </c>
      <c r="N89">
        <v>1.32</v>
      </c>
      <c r="O89">
        <v>3</v>
      </c>
      <c r="Q89">
        <v>3</v>
      </c>
    </row>
    <row r="90" spans="1:18" x14ac:dyDescent="0.25">
      <c r="A90">
        <v>336</v>
      </c>
      <c r="B90" t="s">
        <v>854</v>
      </c>
      <c r="E90" t="s">
        <v>836</v>
      </c>
      <c r="F90">
        <v>4</v>
      </c>
      <c r="G90" s="3">
        <v>42930</v>
      </c>
      <c r="H90">
        <v>2.2000000000000002</v>
      </c>
      <c r="I90">
        <v>1.4</v>
      </c>
      <c r="J90">
        <v>259</v>
      </c>
      <c r="K90">
        <v>90</v>
      </c>
      <c r="L90">
        <v>0.9</v>
      </c>
      <c r="M90">
        <v>1.22</v>
      </c>
      <c r="N90">
        <v>0.91</v>
      </c>
      <c r="O90">
        <v>2</v>
      </c>
      <c r="Q90">
        <v>2</v>
      </c>
    </row>
    <row r="91" spans="1:18" x14ac:dyDescent="0.25">
      <c r="A91">
        <v>338</v>
      </c>
      <c r="B91" t="s">
        <v>839</v>
      </c>
      <c r="E91" t="s">
        <v>836</v>
      </c>
      <c r="F91">
        <v>5</v>
      </c>
      <c r="G91" s="3">
        <v>42930</v>
      </c>
      <c r="H91">
        <v>10.199999999999999</v>
      </c>
      <c r="I91">
        <v>9</v>
      </c>
      <c r="J91">
        <v>654</v>
      </c>
      <c r="K91">
        <v>210</v>
      </c>
      <c r="L91">
        <v>2.52</v>
      </c>
      <c r="M91">
        <v>2.5099999999999998</v>
      </c>
      <c r="N91">
        <v>1.94</v>
      </c>
      <c r="O91">
        <v>2</v>
      </c>
      <c r="Q91">
        <v>2</v>
      </c>
    </row>
    <row r="92" spans="1:18" x14ac:dyDescent="0.25">
      <c r="A92">
        <v>285</v>
      </c>
      <c r="B92" t="s">
        <v>1235</v>
      </c>
      <c r="C92" t="s">
        <v>268</v>
      </c>
      <c r="E92" t="s">
        <v>395</v>
      </c>
      <c r="F92">
        <v>1</v>
      </c>
      <c r="G92" s="3">
        <v>42902</v>
      </c>
      <c r="H92">
        <v>11.5</v>
      </c>
      <c r="I92" t="s">
        <v>1058</v>
      </c>
      <c r="J92">
        <v>700</v>
      </c>
      <c r="K92">
        <v>120</v>
      </c>
      <c r="L92">
        <v>9.56</v>
      </c>
      <c r="M92">
        <v>7.45</v>
      </c>
      <c r="N92">
        <v>7.33</v>
      </c>
      <c r="O92">
        <v>4</v>
      </c>
      <c r="P92">
        <v>5085</v>
      </c>
      <c r="Q92">
        <v>4</v>
      </c>
      <c r="R92">
        <v>5085</v>
      </c>
    </row>
    <row r="93" spans="1:18" x14ac:dyDescent="0.25">
      <c r="A93">
        <v>165</v>
      </c>
      <c r="B93" t="s">
        <v>88</v>
      </c>
      <c r="E93" t="s">
        <v>368</v>
      </c>
      <c r="F93">
        <v>1</v>
      </c>
      <c r="G93" s="3">
        <v>42900</v>
      </c>
      <c r="H93" t="s">
        <v>716</v>
      </c>
      <c r="I93" t="s">
        <v>726</v>
      </c>
      <c r="J93">
        <v>302</v>
      </c>
      <c r="K93">
        <v>30</v>
      </c>
      <c r="L93">
        <v>4.74</v>
      </c>
      <c r="M93">
        <v>5.18</v>
      </c>
      <c r="N93">
        <v>5.4</v>
      </c>
      <c r="O93">
        <v>4</v>
      </c>
      <c r="Q93">
        <v>4</v>
      </c>
    </row>
    <row r="94" spans="1:18" x14ac:dyDescent="0.25">
      <c r="A94">
        <v>195</v>
      </c>
      <c r="B94" t="s">
        <v>438</v>
      </c>
      <c r="E94" t="s">
        <v>368</v>
      </c>
      <c r="F94">
        <v>2</v>
      </c>
      <c r="G94" s="3">
        <v>42906</v>
      </c>
      <c r="H94">
        <v>0.67</v>
      </c>
      <c r="I94" t="s">
        <v>141</v>
      </c>
      <c r="J94">
        <v>90</v>
      </c>
      <c r="K94">
        <v>10</v>
      </c>
      <c r="L94">
        <v>0.59</v>
      </c>
      <c r="M94" t="s">
        <v>141</v>
      </c>
      <c r="N94" t="s">
        <v>141</v>
      </c>
      <c r="O94">
        <v>3</v>
      </c>
      <c r="Q94">
        <v>3</v>
      </c>
    </row>
    <row r="95" spans="1:18" x14ac:dyDescent="0.25">
      <c r="A95">
        <v>25</v>
      </c>
      <c r="B95" t="s">
        <v>519</v>
      </c>
      <c r="E95" t="s">
        <v>368</v>
      </c>
      <c r="F95">
        <v>3</v>
      </c>
      <c r="G95" s="3">
        <v>42909</v>
      </c>
      <c r="H95" t="s">
        <v>574</v>
      </c>
      <c r="I95" t="s">
        <v>583</v>
      </c>
      <c r="J95">
        <v>200</v>
      </c>
      <c r="K95">
        <v>120</v>
      </c>
      <c r="L95">
        <v>3.65</v>
      </c>
      <c r="M95">
        <v>2.11</v>
      </c>
      <c r="N95">
        <v>2.4700000000000002</v>
      </c>
      <c r="O95">
        <v>4</v>
      </c>
      <c r="Q95">
        <v>4</v>
      </c>
    </row>
    <row r="96" spans="1:18" x14ac:dyDescent="0.25">
      <c r="A96">
        <v>318</v>
      </c>
      <c r="B96" t="s">
        <v>744</v>
      </c>
      <c r="E96" t="s">
        <v>368</v>
      </c>
      <c r="F96">
        <v>4</v>
      </c>
      <c r="G96" s="3">
        <v>42921</v>
      </c>
      <c r="H96">
        <v>1.48</v>
      </c>
      <c r="I96">
        <v>0.78</v>
      </c>
      <c r="J96">
        <v>185</v>
      </c>
      <c r="K96">
        <v>100</v>
      </c>
      <c r="L96">
        <v>1.47</v>
      </c>
      <c r="M96" t="s">
        <v>141</v>
      </c>
      <c r="N96" t="s">
        <v>141</v>
      </c>
      <c r="O96">
        <v>3</v>
      </c>
      <c r="Q96">
        <v>3</v>
      </c>
    </row>
    <row r="97" spans="1:18" x14ac:dyDescent="0.25">
      <c r="A97">
        <v>232</v>
      </c>
      <c r="B97" t="s">
        <v>763</v>
      </c>
      <c r="E97" t="s">
        <v>368</v>
      </c>
      <c r="F97">
        <v>5</v>
      </c>
      <c r="G97" s="3">
        <v>42923</v>
      </c>
      <c r="H97">
        <v>1.97</v>
      </c>
      <c r="I97">
        <v>1.17</v>
      </c>
      <c r="J97">
        <v>175</v>
      </c>
      <c r="K97">
        <v>130</v>
      </c>
      <c r="L97">
        <v>0.96</v>
      </c>
      <c r="M97" t="s">
        <v>141</v>
      </c>
      <c r="N97" t="s">
        <v>141</v>
      </c>
      <c r="O97">
        <v>3</v>
      </c>
      <c r="Q97">
        <v>3</v>
      </c>
    </row>
    <row r="98" spans="1:18" x14ac:dyDescent="0.25">
      <c r="A98">
        <v>330</v>
      </c>
      <c r="B98" t="s">
        <v>840</v>
      </c>
      <c r="E98" t="s">
        <v>368</v>
      </c>
      <c r="F98">
        <v>6</v>
      </c>
      <c r="G98" s="3">
        <v>42930</v>
      </c>
      <c r="H98">
        <v>6.5</v>
      </c>
      <c r="I98">
        <v>6.2</v>
      </c>
      <c r="J98">
        <v>700</v>
      </c>
      <c r="K98">
        <v>470</v>
      </c>
      <c r="L98">
        <v>5.03</v>
      </c>
      <c r="M98">
        <v>4.45</v>
      </c>
      <c r="N98">
        <v>3.5</v>
      </c>
      <c r="O98">
        <v>3</v>
      </c>
      <c r="Q98">
        <v>3</v>
      </c>
    </row>
    <row r="99" spans="1:18" x14ac:dyDescent="0.25">
      <c r="A99">
        <v>518</v>
      </c>
      <c r="B99" t="s">
        <v>1169</v>
      </c>
      <c r="D99" t="s">
        <v>1110</v>
      </c>
      <c r="E99" t="s">
        <v>368</v>
      </c>
      <c r="G99" s="3">
        <v>42957</v>
      </c>
      <c r="H99">
        <v>13.1</v>
      </c>
      <c r="I99">
        <v>11.8</v>
      </c>
      <c r="J99" t="s">
        <v>141</v>
      </c>
      <c r="K99" t="s">
        <v>141</v>
      </c>
      <c r="L99">
        <v>6.63</v>
      </c>
      <c r="M99">
        <v>6.38</v>
      </c>
      <c r="N99">
        <v>4.75</v>
      </c>
      <c r="O99">
        <v>2</v>
      </c>
      <c r="P99">
        <v>2031</v>
      </c>
      <c r="Q99">
        <v>2</v>
      </c>
      <c r="R99">
        <v>2031</v>
      </c>
    </row>
    <row r="100" spans="1:18" x14ac:dyDescent="0.25">
      <c r="A100">
        <v>531</v>
      </c>
      <c r="B100" t="s">
        <v>1169</v>
      </c>
      <c r="D100" t="s">
        <v>1110</v>
      </c>
      <c r="E100" t="s">
        <v>368</v>
      </c>
      <c r="G100" s="3">
        <v>42957</v>
      </c>
      <c r="H100">
        <v>8.6</v>
      </c>
      <c r="I100">
        <v>8.1999999999999993</v>
      </c>
      <c r="J100" t="s">
        <v>141</v>
      </c>
      <c r="K100" t="s">
        <v>141</v>
      </c>
      <c r="L100">
        <v>3.66</v>
      </c>
      <c r="M100">
        <v>4.4400000000000004</v>
      </c>
      <c r="N100">
        <v>4.92</v>
      </c>
      <c r="O100">
        <v>2</v>
      </c>
      <c r="P100">
        <v>4922</v>
      </c>
      <c r="Q100">
        <v>2</v>
      </c>
      <c r="R100">
        <v>4922</v>
      </c>
    </row>
    <row r="101" spans="1:18" x14ac:dyDescent="0.25">
      <c r="A101">
        <v>519</v>
      </c>
      <c r="B101" t="s">
        <v>1170</v>
      </c>
      <c r="D101" t="s">
        <v>1110</v>
      </c>
      <c r="E101" t="s">
        <v>368</v>
      </c>
      <c r="G101" s="3">
        <v>42957</v>
      </c>
      <c r="H101">
        <v>7</v>
      </c>
      <c r="I101">
        <v>6.4</v>
      </c>
      <c r="J101" t="s">
        <v>141</v>
      </c>
      <c r="K101" t="s">
        <v>141</v>
      </c>
      <c r="L101">
        <v>4.09</v>
      </c>
      <c r="M101">
        <v>3.22</v>
      </c>
      <c r="N101">
        <v>4.97</v>
      </c>
      <c r="O101">
        <v>2</v>
      </c>
      <c r="P101">
        <v>1408</v>
      </c>
      <c r="Q101">
        <v>2</v>
      </c>
      <c r="R101">
        <v>1408</v>
      </c>
    </row>
    <row r="102" spans="1:18" x14ac:dyDescent="0.25">
      <c r="A102">
        <v>532</v>
      </c>
      <c r="B102" t="s">
        <v>1170</v>
      </c>
      <c r="D102" t="s">
        <v>1110</v>
      </c>
      <c r="E102" t="s">
        <v>368</v>
      </c>
      <c r="G102" s="3">
        <v>42957</v>
      </c>
      <c r="H102">
        <v>17.399999999999999</v>
      </c>
      <c r="I102">
        <v>16</v>
      </c>
      <c r="J102" t="s">
        <v>141</v>
      </c>
      <c r="K102" t="s">
        <v>141</v>
      </c>
      <c r="L102">
        <v>6.25</v>
      </c>
      <c r="M102">
        <v>6.23</v>
      </c>
      <c r="N102">
        <v>5.26</v>
      </c>
      <c r="O102">
        <v>3</v>
      </c>
      <c r="P102">
        <v>4931</v>
      </c>
      <c r="Q102">
        <v>3</v>
      </c>
      <c r="R102">
        <v>4931</v>
      </c>
    </row>
    <row r="103" spans="1:18" x14ac:dyDescent="0.25">
      <c r="A103">
        <v>126</v>
      </c>
      <c r="B103" t="s">
        <v>1196</v>
      </c>
      <c r="E103" t="s">
        <v>638</v>
      </c>
      <c r="F103">
        <v>1</v>
      </c>
      <c r="G103" s="3">
        <v>42901</v>
      </c>
      <c r="H103" t="s">
        <v>680</v>
      </c>
      <c r="I103" t="s">
        <v>686</v>
      </c>
      <c r="J103">
        <v>200</v>
      </c>
      <c r="K103">
        <v>60</v>
      </c>
      <c r="L103">
        <v>1.0900000000000001</v>
      </c>
      <c r="M103" t="s">
        <v>141</v>
      </c>
      <c r="N103" t="s">
        <v>141</v>
      </c>
      <c r="O103">
        <v>4</v>
      </c>
      <c r="Q103">
        <v>4</v>
      </c>
    </row>
    <row r="104" spans="1:18" x14ac:dyDescent="0.25">
      <c r="A104">
        <v>117</v>
      </c>
      <c r="B104" t="s">
        <v>1197</v>
      </c>
      <c r="E104" t="s">
        <v>638</v>
      </c>
      <c r="F104">
        <v>2</v>
      </c>
      <c r="G104" s="3">
        <v>42901</v>
      </c>
      <c r="H104" t="s">
        <v>678</v>
      </c>
      <c r="I104" t="s">
        <v>684</v>
      </c>
      <c r="J104">
        <v>230</v>
      </c>
      <c r="K104">
        <v>85</v>
      </c>
      <c r="L104">
        <v>0.56000000000000005</v>
      </c>
      <c r="M104" t="s">
        <v>141</v>
      </c>
      <c r="N104" t="s">
        <v>141</v>
      </c>
      <c r="O104">
        <v>3</v>
      </c>
      <c r="Q104">
        <v>3</v>
      </c>
    </row>
    <row r="105" spans="1:18" x14ac:dyDescent="0.25">
      <c r="A105">
        <v>52</v>
      </c>
      <c r="B105" t="s">
        <v>630</v>
      </c>
      <c r="E105" t="s">
        <v>587</v>
      </c>
      <c r="F105">
        <v>1</v>
      </c>
      <c r="G105" s="3">
        <v>42915</v>
      </c>
      <c r="H105">
        <v>6.4</v>
      </c>
      <c r="I105" t="s">
        <v>649</v>
      </c>
      <c r="J105">
        <v>450</v>
      </c>
      <c r="K105">
        <v>130</v>
      </c>
      <c r="L105">
        <v>3.17</v>
      </c>
      <c r="M105">
        <v>3.31</v>
      </c>
      <c r="N105">
        <v>4</v>
      </c>
      <c r="O105">
        <v>3</v>
      </c>
      <c r="Q105">
        <v>3</v>
      </c>
    </row>
    <row r="106" spans="1:18" x14ac:dyDescent="0.25">
      <c r="A106">
        <v>54</v>
      </c>
      <c r="B106" t="s">
        <v>589</v>
      </c>
      <c r="E106" t="s">
        <v>587</v>
      </c>
      <c r="F106">
        <v>2</v>
      </c>
      <c r="G106" s="3">
        <v>42915</v>
      </c>
      <c r="H106">
        <v>0.48</v>
      </c>
      <c r="I106" t="s">
        <v>141</v>
      </c>
      <c r="J106">
        <v>100</v>
      </c>
      <c r="K106">
        <v>0</v>
      </c>
      <c r="L106">
        <v>0.43</v>
      </c>
      <c r="M106" t="s">
        <v>141</v>
      </c>
      <c r="N106" t="s">
        <v>141</v>
      </c>
      <c r="O106">
        <v>2</v>
      </c>
      <c r="Q106">
        <v>2</v>
      </c>
    </row>
    <row r="107" spans="1:18" x14ac:dyDescent="0.25">
      <c r="A107">
        <v>61</v>
      </c>
      <c r="B107" t="s">
        <v>586</v>
      </c>
      <c r="E107" t="s">
        <v>587</v>
      </c>
      <c r="F107">
        <v>3</v>
      </c>
      <c r="G107" s="3">
        <v>42915</v>
      </c>
      <c r="H107">
        <v>1.3</v>
      </c>
      <c r="I107" t="s">
        <v>653</v>
      </c>
      <c r="J107">
        <v>205</v>
      </c>
      <c r="K107">
        <v>70</v>
      </c>
      <c r="L107">
        <v>0.35</v>
      </c>
      <c r="M107" t="s">
        <v>141</v>
      </c>
      <c r="N107" t="s">
        <v>141</v>
      </c>
      <c r="O107">
        <v>3</v>
      </c>
      <c r="Q107">
        <v>3</v>
      </c>
    </row>
    <row r="108" spans="1:18" x14ac:dyDescent="0.25">
      <c r="A108">
        <v>457</v>
      </c>
      <c r="B108" t="s">
        <v>1101</v>
      </c>
      <c r="E108" t="s">
        <v>587</v>
      </c>
      <c r="F108">
        <v>4</v>
      </c>
      <c r="G108" s="3">
        <v>42952</v>
      </c>
      <c r="H108">
        <v>0.77</v>
      </c>
      <c r="I108">
        <v>0.26</v>
      </c>
      <c r="J108">
        <v>150</v>
      </c>
      <c r="K108">
        <v>10</v>
      </c>
      <c r="L108">
        <v>0.22</v>
      </c>
      <c r="M108" t="s">
        <v>141</v>
      </c>
      <c r="N108" t="s">
        <v>141</v>
      </c>
      <c r="O108">
        <v>2</v>
      </c>
      <c r="Q108">
        <v>2</v>
      </c>
    </row>
    <row r="109" spans="1:18" x14ac:dyDescent="0.25">
      <c r="A109">
        <v>458</v>
      </c>
      <c r="B109" t="s">
        <v>1100</v>
      </c>
      <c r="E109" t="s">
        <v>587</v>
      </c>
      <c r="F109">
        <v>5</v>
      </c>
      <c r="G109" s="3">
        <v>42952</v>
      </c>
      <c r="H109">
        <v>0.37</v>
      </c>
      <c r="I109" t="s">
        <v>141</v>
      </c>
      <c r="J109">
        <v>50</v>
      </c>
      <c r="K109">
        <v>5</v>
      </c>
      <c r="L109">
        <v>0.15</v>
      </c>
      <c r="M109" t="s">
        <v>141</v>
      </c>
      <c r="N109" t="s">
        <v>141</v>
      </c>
      <c r="O109">
        <v>2</v>
      </c>
      <c r="Q109">
        <v>2</v>
      </c>
    </row>
    <row r="110" spans="1:18" x14ac:dyDescent="0.25">
      <c r="A110">
        <v>80</v>
      </c>
      <c r="B110" t="s">
        <v>298</v>
      </c>
      <c r="E110" t="s">
        <v>398</v>
      </c>
      <c r="F110">
        <v>1</v>
      </c>
      <c r="G110" s="3">
        <v>42902</v>
      </c>
      <c r="H110">
        <v>2.71</v>
      </c>
      <c r="I110">
        <v>1.97</v>
      </c>
      <c r="J110">
        <v>373</v>
      </c>
      <c r="K110">
        <v>90</v>
      </c>
      <c r="L110">
        <v>2.0499999999999998</v>
      </c>
      <c r="M110">
        <v>1.54</v>
      </c>
      <c r="N110">
        <v>1.34</v>
      </c>
      <c r="O110">
        <v>3</v>
      </c>
      <c r="Q110">
        <v>3</v>
      </c>
    </row>
    <row r="111" spans="1:18" x14ac:dyDescent="0.25">
      <c r="A111">
        <v>8</v>
      </c>
      <c r="B111" t="s">
        <v>537</v>
      </c>
      <c r="E111" t="s">
        <v>398</v>
      </c>
      <c r="F111">
        <v>2</v>
      </c>
      <c r="G111" s="3">
        <v>42909</v>
      </c>
      <c r="H111">
        <v>2.1</v>
      </c>
      <c r="I111" t="s">
        <v>577</v>
      </c>
      <c r="J111">
        <v>210</v>
      </c>
      <c r="K111">
        <v>20</v>
      </c>
      <c r="L111">
        <v>1.49</v>
      </c>
      <c r="M111">
        <v>1.54</v>
      </c>
      <c r="N111">
        <v>1.97</v>
      </c>
      <c r="O111">
        <v>3</v>
      </c>
      <c r="Q111">
        <v>3</v>
      </c>
    </row>
    <row r="112" spans="1:18" x14ac:dyDescent="0.25">
      <c r="A112">
        <v>42</v>
      </c>
      <c r="B112" t="s">
        <v>626</v>
      </c>
      <c r="E112" t="s">
        <v>398</v>
      </c>
      <c r="F112">
        <v>3</v>
      </c>
      <c r="G112" s="3">
        <v>42915</v>
      </c>
      <c r="H112">
        <v>0.89</v>
      </c>
      <c r="I112" t="s">
        <v>141</v>
      </c>
      <c r="J112">
        <v>105</v>
      </c>
      <c r="K112">
        <v>55</v>
      </c>
      <c r="L112">
        <v>0.52</v>
      </c>
      <c r="M112" t="s">
        <v>141</v>
      </c>
      <c r="N112" t="s">
        <v>141</v>
      </c>
      <c r="O112">
        <v>4</v>
      </c>
      <c r="Q112">
        <v>4</v>
      </c>
    </row>
    <row r="113" spans="1:18" x14ac:dyDescent="0.25">
      <c r="A113">
        <v>53</v>
      </c>
      <c r="B113" t="s">
        <v>596</v>
      </c>
      <c r="E113" t="s">
        <v>398</v>
      </c>
      <c r="F113">
        <v>4</v>
      </c>
      <c r="G113" s="3">
        <v>42915</v>
      </c>
      <c r="H113">
        <v>2.7</v>
      </c>
      <c r="I113">
        <v>2</v>
      </c>
      <c r="J113">
        <v>260</v>
      </c>
      <c r="K113">
        <v>120</v>
      </c>
      <c r="L113">
        <v>0.76</v>
      </c>
      <c r="M113">
        <v>1.39</v>
      </c>
      <c r="N113">
        <v>1.87</v>
      </c>
      <c r="O113">
        <v>3</v>
      </c>
      <c r="Q113">
        <v>3</v>
      </c>
    </row>
    <row r="114" spans="1:18" x14ac:dyDescent="0.25">
      <c r="A114">
        <v>65</v>
      </c>
      <c r="B114" t="s">
        <v>601</v>
      </c>
      <c r="E114" t="s">
        <v>398</v>
      </c>
      <c r="F114">
        <v>5</v>
      </c>
      <c r="G114" s="3">
        <v>42915</v>
      </c>
      <c r="H114">
        <v>0.67</v>
      </c>
      <c r="I114" t="s">
        <v>141</v>
      </c>
      <c r="J114">
        <v>73</v>
      </c>
      <c r="K114">
        <v>55</v>
      </c>
      <c r="L114">
        <v>0.47</v>
      </c>
      <c r="M114" t="s">
        <v>141</v>
      </c>
      <c r="N114" t="s">
        <v>141</v>
      </c>
      <c r="O114">
        <v>2</v>
      </c>
      <c r="Q114">
        <v>2</v>
      </c>
    </row>
    <row r="115" spans="1:18" x14ac:dyDescent="0.25">
      <c r="A115">
        <v>331</v>
      </c>
      <c r="B115" t="s">
        <v>841</v>
      </c>
      <c r="E115" t="s">
        <v>398</v>
      </c>
      <c r="F115">
        <v>6</v>
      </c>
      <c r="G115" s="3">
        <v>42930</v>
      </c>
      <c r="H115">
        <v>6.3</v>
      </c>
      <c r="I115">
        <v>5.0999999999999996</v>
      </c>
      <c r="J115">
        <v>600</v>
      </c>
      <c r="K115">
        <v>269</v>
      </c>
      <c r="L115">
        <v>6.79</v>
      </c>
      <c r="M115">
        <v>4.04</v>
      </c>
      <c r="N115">
        <v>4.33</v>
      </c>
      <c r="O115">
        <v>2</v>
      </c>
      <c r="Q115">
        <v>2</v>
      </c>
    </row>
    <row r="116" spans="1:18" x14ac:dyDescent="0.25">
      <c r="A116">
        <v>477</v>
      </c>
      <c r="B116" t="s">
        <v>1123</v>
      </c>
      <c r="D116" t="s">
        <v>1110</v>
      </c>
      <c r="E116" t="s">
        <v>398</v>
      </c>
      <c r="G116" s="3">
        <v>42954</v>
      </c>
      <c r="H116">
        <v>26.3</v>
      </c>
      <c r="I116">
        <v>25.7</v>
      </c>
      <c r="J116" t="s">
        <v>141</v>
      </c>
      <c r="K116" t="s">
        <v>141</v>
      </c>
      <c r="L116">
        <v>13.48</v>
      </c>
      <c r="M116">
        <v>15.32</v>
      </c>
      <c r="N116">
        <v>20.66</v>
      </c>
      <c r="O116" t="s">
        <v>141</v>
      </c>
      <c r="P116">
        <v>4183</v>
      </c>
      <c r="Q116" t="s">
        <v>141</v>
      </c>
      <c r="R116">
        <v>4183</v>
      </c>
    </row>
    <row r="117" spans="1:18" x14ac:dyDescent="0.25">
      <c r="A117">
        <v>481</v>
      </c>
      <c r="B117" t="s">
        <v>1127</v>
      </c>
      <c r="D117" t="s">
        <v>1110</v>
      </c>
      <c r="E117" t="s">
        <v>398</v>
      </c>
      <c r="G117" s="3">
        <v>42954</v>
      </c>
      <c r="H117">
        <v>37</v>
      </c>
      <c r="I117" t="s">
        <v>141</v>
      </c>
      <c r="J117" t="s">
        <v>141</v>
      </c>
      <c r="K117" t="s">
        <v>141</v>
      </c>
      <c r="L117">
        <v>21.13</v>
      </c>
      <c r="M117">
        <v>29.57</v>
      </c>
      <c r="N117">
        <v>29.29</v>
      </c>
      <c r="O117" t="s">
        <v>141</v>
      </c>
      <c r="P117">
        <v>4263</v>
      </c>
      <c r="Q117" t="s">
        <v>141</v>
      </c>
      <c r="R117">
        <v>4263</v>
      </c>
    </row>
    <row r="118" spans="1:18" x14ac:dyDescent="0.25">
      <c r="A118">
        <v>482</v>
      </c>
      <c r="B118" t="s">
        <v>1128</v>
      </c>
      <c r="D118" t="s">
        <v>1110</v>
      </c>
      <c r="E118" t="s">
        <v>398</v>
      </c>
      <c r="G118" s="3">
        <v>42954</v>
      </c>
      <c r="H118">
        <v>29</v>
      </c>
      <c r="I118" t="s">
        <v>141</v>
      </c>
      <c r="J118" t="s">
        <v>141</v>
      </c>
      <c r="K118" t="s">
        <v>141</v>
      </c>
      <c r="L118">
        <v>21.22</v>
      </c>
      <c r="M118">
        <v>14.6</v>
      </c>
      <c r="N118">
        <v>16.760000000000002</v>
      </c>
      <c r="O118" t="s">
        <v>141</v>
      </c>
      <c r="P118">
        <v>4269</v>
      </c>
      <c r="Q118" t="s">
        <v>141</v>
      </c>
      <c r="R118">
        <v>4269</v>
      </c>
    </row>
    <row r="119" spans="1:18" x14ac:dyDescent="0.25">
      <c r="A119">
        <v>484</v>
      </c>
      <c r="B119" t="s">
        <v>1130</v>
      </c>
      <c r="D119" t="s">
        <v>1110</v>
      </c>
      <c r="E119" t="s">
        <v>398</v>
      </c>
      <c r="G119" s="3">
        <v>42954</v>
      </c>
      <c r="H119">
        <v>20</v>
      </c>
      <c r="I119" t="s">
        <v>141</v>
      </c>
      <c r="J119" t="s">
        <v>141</v>
      </c>
      <c r="K119" t="s">
        <v>141</v>
      </c>
      <c r="L119">
        <v>10.11</v>
      </c>
      <c r="M119">
        <v>9.25</v>
      </c>
      <c r="N119">
        <v>6.25</v>
      </c>
      <c r="O119" t="s">
        <v>141</v>
      </c>
      <c r="P119">
        <v>4413</v>
      </c>
      <c r="Q119" t="s">
        <v>141</v>
      </c>
      <c r="R119">
        <v>4413</v>
      </c>
    </row>
    <row r="120" spans="1:18" x14ac:dyDescent="0.25">
      <c r="A120">
        <v>18</v>
      </c>
      <c r="B120" t="s">
        <v>527</v>
      </c>
      <c r="E120" t="s">
        <v>528</v>
      </c>
      <c r="F120">
        <v>1</v>
      </c>
      <c r="G120" s="3">
        <v>42909</v>
      </c>
      <c r="H120">
        <v>6.7</v>
      </c>
      <c r="I120">
        <v>4.4000000000000004</v>
      </c>
      <c r="J120">
        <v>230</v>
      </c>
      <c r="K120">
        <v>60</v>
      </c>
      <c r="L120">
        <v>14.77</v>
      </c>
      <c r="M120">
        <v>13.5</v>
      </c>
      <c r="N120">
        <v>11</v>
      </c>
      <c r="O120">
        <v>4</v>
      </c>
      <c r="Q120">
        <v>4</v>
      </c>
    </row>
    <row r="121" spans="1:18" x14ac:dyDescent="0.25">
      <c r="A121">
        <v>21</v>
      </c>
      <c r="B121" t="s">
        <v>533</v>
      </c>
      <c r="E121" t="s">
        <v>528</v>
      </c>
      <c r="F121">
        <v>2</v>
      </c>
      <c r="G121" s="3">
        <v>42909</v>
      </c>
      <c r="H121">
        <v>8.1999999999999993</v>
      </c>
      <c r="I121">
        <v>6.6</v>
      </c>
      <c r="J121">
        <v>300</v>
      </c>
      <c r="K121">
        <v>50</v>
      </c>
      <c r="L121">
        <v>13.26</v>
      </c>
      <c r="M121">
        <v>9.7100000000000009</v>
      </c>
      <c r="N121">
        <v>11.75</v>
      </c>
      <c r="O121">
        <v>5</v>
      </c>
      <c r="Q121">
        <v>5</v>
      </c>
    </row>
    <row r="122" spans="1:18" x14ac:dyDescent="0.25">
      <c r="A122">
        <v>229</v>
      </c>
      <c r="B122" t="s">
        <v>761</v>
      </c>
      <c r="E122" t="s">
        <v>528</v>
      </c>
      <c r="F122">
        <v>3</v>
      </c>
      <c r="G122" s="3">
        <v>42923</v>
      </c>
      <c r="H122">
        <v>12.6</v>
      </c>
      <c r="I122">
        <v>11.2</v>
      </c>
      <c r="J122">
        <v>265</v>
      </c>
      <c r="K122">
        <v>120</v>
      </c>
      <c r="L122">
        <v>25.12</v>
      </c>
      <c r="M122">
        <v>23.39</v>
      </c>
      <c r="N122">
        <v>27.57</v>
      </c>
      <c r="O122">
        <v>3</v>
      </c>
      <c r="Q122">
        <v>3</v>
      </c>
    </row>
    <row r="123" spans="1:18" x14ac:dyDescent="0.25">
      <c r="A123">
        <v>305</v>
      </c>
      <c r="B123" t="s">
        <v>806</v>
      </c>
      <c r="E123" t="s">
        <v>528</v>
      </c>
      <c r="F123">
        <v>4</v>
      </c>
      <c r="G123" s="3">
        <v>42927</v>
      </c>
      <c r="H123">
        <v>4.3</v>
      </c>
      <c r="I123">
        <v>2.7</v>
      </c>
      <c r="J123">
        <v>181</v>
      </c>
      <c r="K123">
        <v>100</v>
      </c>
      <c r="L123">
        <v>10.61</v>
      </c>
      <c r="M123">
        <v>7.84</v>
      </c>
      <c r="N123">
        <v>12.76</v>
      </c>
      <c r="O123">
        <v>3</v>
      </c>
      <c r="Q123">
        <v>3</v>
      </c>
    </row>
    <row r="124" spans="1:18" x14ac:dyDescent="0.25">
      <c r="A124">
        <v>306</v>
      </c>
      <c r="B124" t="s">
        <v>805</v>
      </c>
      <c r="E124" t="s">
        <v>528</v>
      </c>
      <c r="F124">
        <v>5</v>
      </c>
      <c r="G124" s="3">
        <v>42927</v>
      </c>
      <c r="H124">
        <v>4.7</v>
      </c>
      <c r="I124">
        <v>4.0999999999999996</v>
      </c>
      <c r="J124">
        <v>221</v>
      </c>
      <c r="K124">
        <v>120</v>
      </c>
      <c r="L124">
        <v>10.87</v>
      </c>
      <c r="M124">
        <v>19.309999999999999</v>
      </c>
      <c r="N124">
        <v>8.49</v>
      </c>
      <c r="O124">
        <v>3</v>
      </c>
      <c r="Q124">
        <v>3</v>
      </c>
    </row>
    <row r="125" spans="1:18" x14ac:dyDescent="0.25">
      <c r="A125">
        <v>375</v>
      </c>
      <c r="B125" t="s">
        <v>884</v>
      </c>
      <c r="E125" t="s">
        <v>885</v>
      </c>
      <c r="F125">
        <v>1</v>
      </c>
      <c r="G125" s="3">
        <v>42931</v>
      </c>
      <c r="H125">
        <v>9.1</v>
      </c>
      <c r="I125">
        <v>8.5</v>
      </c>
      <c r="J125">
        <v>633</v>
      </c>
      <c r="K125">
        <v>133</v>
      </c>
      <c r="L125">
        <v>2.84</v>
      </c>
      <c r="M125">
        <v>2.23</v>
      </c>
      <c r="N125">
        <v>2.91</v>
      </c>
      <c r="O125">
        <v>4</v>
      </c>
      <c r="P125">
        <v>2841</v>
      </c>
      <c r="Q125">
        <v>4</v>
      </c>
      <c r="R125">
        <v>2841</v>
      </c>
    </row>
    <row r="126" spans="1:18" x14ac:dyDescent="0.25">
      <c r="A126">
        <v>350</v>
      </c>
      <c r="B126" t="s">
        <v>985</v>
      </c>
      <c r="E126" t="s">
        <v>885</v>
      </c>
      <c r="F126">
        <v>2</v>
      </c>
      <c r="G126" s="3">
        <v>42940</v>
      </c>
      <c r="H126" t="s">
        <v>988</v>
      </c>
      <c r="I126" t="s">
        <v>990</v>
      </c>
      <c r="J126">
        <v>320</v>
      </c>
      <c r="K126">
        <v>130</v>
      </c>
      <c r="L126">
        <v>0.65</v>
      </c>
      <c r="M126" t="s">
        <v>141</v>
      </c>
      <c r="N126" t="s">
        <v>141</v>
      </c>
      <c r="O126">
        <v>3</v>
      </c>
      <c r="Q126">
        <v>3</v>
      </c>
    </row>
    <row r="127" spans="1:18" x14ac:dyDescent="0.25">
      <c r="A127">
        <v>351</v>
      </c>
      <c r="B127" t="s">
        <v>986</v>
      </c>
      <c r="E127" t="s">
        <v>885</v>
      </c>
      <c r="F127">
        <v>3</v>
      </c>
      <c r="G127" s="3">
        <v>42940</v>
      </c>
      <c r="H127">
        <v>2.87</v>
      </c>
      <c r="I127">
        <v>1.89</v>
      </c>
      <c r="J127">
        <v>270</v>
      </c>
      <c r="K127">
        <v>150</v>
      </c>
      <c r="L127">
        <v>1.27</v>
      </c>
      <c r="M127" t="s">
        <v>141</v>
      </c>
      <c r="N127" t="s">
        <v>141</v>
      </c>
      <c r="O127">
        <v>4</v>
      </c>
      <c r="Q127">
        <v>4</v>
      </c>
    </row>
    <row r="128" spans="1:18" x14ac:dyDescent="0.25">
      <c r="A128">
        <v>352</v>
      </c>
      <c r="B128" t="s">
        <v>982</v>
      </c>
      <c r="E128" t="s">
        <v>885</v>
      </c>
      <c r="F128">
        <v>4</v>
      </c>
      <c r="G128" s="3">
        <v>42940</v>
      </c>
      <c r="H128">
        <v>1.75</v>
      </c>
      <c r="I128">
        <v>1.04</v>
      </c>
      <c r="J128">
        <v>220</v>
      </c>
      <c r="K128">
        <v>60</v>
      </c>
      <c r="L128">
        <v>0.74</v>
      </c>
      <c r="M128" t="s">
        <v>141</v>
      </c>
      <c r="N128" t="s">
        <v>141</v>
      </c>
      <c r="O128">
        <v>4</v>
      </c>
      <c r="Q128">
        <v>4</v>
      </c>
    </row>
    <row r="129" spans="1:18" x14ac:dyDescent="0.25">
      <c r="A129">
        <v>463</v>
      </c>
      <c r="B129" t="s">
        <v>1071</v>
      </c>
      <c r="E129" t="s">
        <v>885</v>
      </c>
      <c r="F129">
        <v>5</v>
      </c>
      <c r="G129" s="3">
        <v>42950</v>
      </c>
      <c r="H129" t="s">
        <v>1107</v>
      </c>
      <c r="I129" t="s">
        <v>1108</v>
      </c>
      <c r="J129">
        <v>580</v>
      </c>
      <c r="K129">
        <v>303</v>
      </c>
      <c r="L129">
        <v>2.2999999999999998</v>
      </c>
      <c r="M129">
        <v>2.42</v>
      </c>
      <c r="N129">
        <v>2.37</v>
      </c>
      <c r="O129">
        <v>3</v>
      </c>
      <c r="P129">
        <v>1350</v>
      </c>
      <c r="Q129">
        <v>3</v>
      </c>
      <c r="R129">
        <v>1350</v>
      </c>
    </row>
    <row r="130" spans="1:18" x14ac:dyDescent="0.25">
      <c r="A130">
        <v>502</v>
      </c>
      <c r="B130" t="s">
        <v>1147</v>
      </c>
      <c r="D130" t="s">
        <v>1110</v>
      </c>
      <c r="E130" t="s">
        <v>885</v>
      </c>
      <c r="G130" s="3">
        <v>42956</v>
      </c>
      <c r="H130">
        <v>12</v>
      </c>
      <c r="I130">
        <v>12.3</v>
      </c>
      <c r="J130">
        <v>555</v>
      </c>
      <c r="K130">
        <v>245</v>
      </c>
      <c r="L130">
        <v>4.7</v>
      </c>
      <c r="M130">
        <v>4.2</v>
      </c>
      <c r="N130">
        <v>4.68</v>
      </c>
      <c r="O130">
        <v>3</v>
      </c>
      <c r="P130" t="s">
        <v>1154</v>
      </c>
      <c r="Q130">
        <v>3</v>
      </c>
      <c r="R130" t="s">
        <v>1154</v>
      </c>
    </row>
    <row r="131" spans="1:18" x14ac:dyDescent="0.25">
      <c r="A131">
        <v>292</v>
      </c>
      <c r="B131" t="s">
        <v>822</v>
      </c>
      <c r="E131" t="s">
        <v>823</v>
      </c>
      <c r="F131">
        <v>1</v>
      </c>
      <c r="G131" s="3">
        <v>42927</v>
      </c>
      <c r="H131">
        <v>1.1000000000000001</v>
      </c>
      <c r="I131">
        <v>0.75</v>
      </c>
      <c r="J131">
        <v>135</v>
      </c>
      <c r="K131">
        <v>60</v>
      </c>
      <c r="L131">
        <v>0.54</v>
      </c>
      <c r="M131" t="s">
        <v>141</v>
      </c>
      <c r="N131" t="s">
        <v>141</v>
      </c>
      <c r="O131">
        <v>4</v>
      </c>
      <c r="Q131">
        <v>4</v>
      </c>
    </row>
    <row r="132" spans="1:18" x14ac:dyDescent="0.25">
      <c r="A132">
        <v>368</v>
      </c>
      <c r="B132" t="s">
        <v>874</v>
      </c>
      <c r="E132" t="s">
        <v>823</v>
      </c>
      <c r="F132">
        <v>2</v>
      </c>
      <c r="G132" s="3">
        <v>42931</v>
      </c>
      <c r="H132">
        <v>1.8</v>
      </c>
      <c r="I132">
        <v>1.5</v>
      </c>
      <c r="J132">
        <v>386</v>
      </c>
      <c r="K132">
        <v>291</v>
      </c>
      <c r="L132">
        <v>0.79</v>
      </c>
      <c r="M132" t="s">
        <v>141</v>
      </c>
      <c r="N132" t="s">
        <v>141</v>
      </c>
      <c r="O132">
        <v>2</v>
      </c>
      <c r="P132">
        <v>2774</v>
      </c>
      <c r="Q132">
        <v>2</v>
      </c>
      <c r="R132">
        <v>2774</v>
      </c>
    </row>
    <row r="133" spans="1:18" x14ac:dyDescent="0.25">
      <c r="A133">
        <v>405</v>
      </c>
      <c r="B133" t="s">
        <v>895</v>
      </c>
      <c r="E133" t="s">
        <v>823</v>
      </c>
      <c r="F133">
        <v>3</v>
      </c>
      <c r="G133" s="3">
        <v>42934</v>
      </c>
      <c r="H133">
        <v>2.56</v>
      </c>
      <c r="I133">
        <v>2.08</v>
      </c>
      <c r="J133">
        <v>420</v>
      </c>
      <c r="K133">
        <v>220</v>
      </c>
      <c r="L133">
        <v>1.1399999999999999</v>
      </c>
      <c r="M133">
        <v>0.83</v>
      </c>
      <c r="N133">
        <v>0.94</v>
      </c>
      <c r="O133">
        <v>3</v>
      </c>
      <c r="Q133">
        <v>3</v>
      </c>
    </row>
    <row r="134" spans="1:18" x14ac:dyDescent="0.25">
      <c r="A134">
        <v>406</v>
      </c>
      <c r="B134" t="s">
        <v>896</v>
      </c>
      <c r="E134" t="s">
        <v>823</v>
      </c>
      <c r="F134">
        <v>4</v>
      </c>
      <c r="G134" s="3">
        <v>42934</v>
      </c>
      <c r="H134">
        <v>6.5</v>
      </c>
      <c r="I134">
        <v>6.08</v>
      </c>
      <c r="J134">
        <v>400</v>
      </c>
      <c r="K134">
        <v>200</v>
      </c>
      <c r="L134">
        <v>1.55</v>
      </c>
      <c r="M134">
        <v>1.97</v>
      </c>
      <c r="N134">
        <v>1.81</v>
      </c>
      <c r="O134">
        <v>3</v>
      </c>
      <c r="Q134">
        <v>3</v>
      </c>
    </row>
    <row r="135" spans="1:18" x14ac:dyDescent="0.25">
      <c r="A135">
        <v>436</v>
      </c>
      <c r="B135" t="s">
        <v>1020</v>
      </c>
      <c r="E135" t="s">
        <v>823</v>
      </c>
      <c r="F135">
        <v>5</v>
      </c>
      <c r="G135" s="3">
        <v>42943</v>
      </c>
      <c r="H135">
        <v>4.4000000000000004</v>
      </c>
      <c r="I135">
        <v>4</v>
      </c>
      <c r="J135">
        <v>586</v>
      </c>
      <c r="K135">
        <v>463</v>
      </c>
      <c r="L135">
        <v>2.1</v>
      </c>
      <c r="M135">
        <v>2.44</v>
      </c>
      <c r="N135">
        <v>2.33</v>
      </c>
      <c r="O135">
        <v>2</v>
      </c>
      <c r="P135">
        <v>4756</v>
      </c>
      <c r="Q135">
        <v>2</v>
      </c>
      <c r="R135">
        <v>4756</v>
      </c>
    </row>
    <row r="136" spans="1:18" x14ac:dyDescent="0.25">
      <c r="A136">
        <v>513</v>
      </c>
      <c r="B136" t="s">
        <v>1164</v>
      </c>
      <c r="D136" t="s">
        <v>1110</v>
      </c>
      <c r="E136" t="s">
        <v>823</v>
      </c>
      <c r="G136" s="3">
        <v>42957</v>
      </c>
      <c r="H136">
        <v>9.3000000000000007</v>
      </c>
      <c r="I136">
        <v>7.1</v>
      </c>
      <c r="J136" t="s">
        <v>141</v>
      </c>
      <c r="K136" t="s">
        <v>141</v>
      </c>
      <c r="L136">
        <v>10.46</v>
      </c>
      <c r="M136">
        <v>6.31</v>
      </c>
      <c r="N136">
        <v>14.39</v>
      </c>
      <c r="O136">
        <v>3</v>
      </c>
      <c r="P136">
        <v>1011</v>
      </c>
      <c r="Q136">
        <v>3</v>
      </c>
      <c r="R136">
        <v>1011</v>
      </c>
    </row>
    <row r="137" spans="1:18" x14ac:dyDescent="0.25">
      <c r="A137">
        <v>317</v>
      </c>
      <c r="B137" t="s">
        <v>745</v>
      </c>
      <c r="E137" t="s">
        <v>746</v>
      </c>
      <c r="F137">
        <v>1</v>
      </c>
      <c r="G137" s="3">
        <v>42921</v>
      </c>
      <c r="H137" t="s">
        <v>892</v>
      </c>
      <c r="I137" t="s">
        <v>893</v>
      </c>
      <c r="J137">
        <v>200</v>
      </c>
      <c r="K137">
        <v>60</v>
      </c>
      <c r="L137">
        <v>5.53</v>
      </c>
      <c r="M137">
        <v>8.1199999999999992</v>
      </c>
      <c r="N137">
        <v>6.96</v>
      </c>
      <c r="O137">
        <v>4</v>
      </c>
      <c r="Q137">
        <v>4</v>
      </c>
    </row>
    <row r="138" spans="1:18" x14ac:dyDescent="0.25">
      <c r="A138">
        <v>473</v>
      </c>
      <c r="B138" t="s">
        <v>1079</v>
      </c>
      <c r="E138" t="s">
        <v>746</v>
      </c>
      <c r="F138">
        <v>2</v>
      </c>
      <c r="G138" s="3">
        <v>42950</v>
      </c>
      <c r="H138">
        <v>0.75</v>
      </c>
      <c r="I138" t="s">
        <v>141</v>
      </c>
      <c r="J138">
        <v>120</v>
      </c>
      <c r="K138">
        <v>5</v>
      </c>
      <c r="L138">
        <v>0.46</v>
      </c>
      <c r="M138" t="s">
        <v>141</v>
      </c>
      <c r="N138" t="s">
        <v>141</v>
      </c>
      <c r="O138">
        <v>3</v>
      </c>
      <c r="Q138">
        <v>3</v>
      </c>
    </row>
    <row r="139" spans="1:18" x14ac:dyDescent="0.25">
      <c r="A139">
        <v>474</v>
      </c>
      <c r="B139" t="s">
        <v>1074</v>
      </c>
      <c r="E139" t="s">
        <v>746</v>
      </c>
      <c r="F139">
        <v>3</v>
      </c>
      <c r="G139" s="3">
        <v>42950</v>
      </c>
      <c r="H139">
        <v>0.74</v>
      </c>
      <c r="I139" t="s">
        <v>141</v>
      </c>
      <c r="J139">
        <v>110</v>
      </c>
      <c r="K139">
        <v>5</v>
      </c>
      <c r="L139">
        <v>0.53</v>
      </c>
      <c r="M139" t="s">
        <v>141</v>
      </c>
      <c r="N139" t="s">
        <v>141</v>
      </c>
      <c r="O139">
        <v>3</v>
      </c>
      <c r="Q139">
        <v>3</v>
      </c>
    </row>
    <row r="140" spans="1:18" x14ac:dyDescent="0.25">
      <c r="A140">
        <v>443</v>
      </c>
      <c r="B140" t="s">
        <v>1086</v>
      </c>
      <c r="E140" t="s">
        <v>746</v>
      </c>
      <c r="F140">
        <v>4</v>
      </c>
      <c r="G140" s="3">
        <v>42951</v>
      </c>
      <c r="H140">
        <v>1.94</v>
      </c>
      <c r="I140" t="s">
        <v>141</v>
      </c>
      <c r="J140">
        <v>85</v>
      </c>
      <c r="K140">
        <v>10</v>
      </c>
      <c r="L140">
        <v>3.94</v>
      </c>
      <c r="M140" t="s">
        <v>141</v>
      </c>
      <c r="N140" t="s">
        <v>141</v>
      </c>
      <c r="O140">
        <v>3</v>
      </c>
      <c r="Q140">
        <v>3</v>
      </c>
    </row>
    <row r="141" spans="1:18" x14ac:dyDescent="0.25">
      <c r="A141">
        <v>444</v>
      </c>
      <c r="B141" t="s">
        <v>1087</v>
      </c>
      <c r="E141" t="s">
        <v>746</v>
      </c>
      <c r="F141">
        <v>5</v>
      </c>
      <c r="G141" s="3">
        <v>42951</v>
      </c>
      <c r="H141">
        <v>1.04</v>
      </c>
      <c r="I141" t="s">
        <v>141</v>
      </c>
      <c r="J141">
        <v>80</v>
      </c>
      <c r="K141">
        <v>15</v>
      </c>
      <c r="L141">
        <v>0.8</v>
      </c>
      <c r="M141" t="s">
        <v>141</v>
      </c>
      <c r="N141" t="s">
        <v>141</v>
      </c>
      <c r="O141">
        <v>3</v>
      </c>
      <c r="Q141">
        <v>3</v>
      </c>
    </row>
    <row r="142" spans="1:18" x14ac:dyDescent="0.25">
      <c r="A142">
        <v>13</v>
      </c>
      <c r="B142" t="s">
        <v>534</v>
      </c>
      <c r="E142" t="s">
        <v>535</v>
      </c>
      <c r="F142">
        <v>1</v>
      </c>
      <c r="G142" s="3">
        <v>42909</v>
      </c>
      <c r="H142">
        <v>5.4</v>
      </c>
      <c r="I142">
        <v>0.9</v>
      </c>
      <c r="J142">
        <v>160</v>
      </c>
      <c r="K142">
        <v>10</v>
      </c>
      <c r="L142">
        <v>1.8</v>
      </c>
      <c r="M142">
        <v>1.42</v>
      </c>
      <c r="N142">
        <v>1.41</v>
      </c>
      <c r="O142">
        <v>2</v>
      </c>
      <c r="Q142">
        <v>2</v>
      </c>
    </row>
    <row r="143" spans="1:18" x14ac:dyDescent="0.25">
      <c r="A143">
        <v>397</v>
      </c>
      <c r="B143" t="s">
        <v>939</v>
      </c>
      <c r="E143" t="s">
        <v>535</v>
      </c>
      <c r="F143">
        <v>2</v>
      </c>
      <c r="G143" s="3">
        <v>42936</v>
      </c>
      <c r="H143">
        <v>6</v>
      </c>
      <c r="I143">
        <v>5.0999999999999996</v>
      </c>
      <c r="J143">
        <v>585</v>
      </c>
      <c r="K143">
        <v>435</v>
      </c>
      <c r="L143">
        <v>7.14</v>
      </c>
      <c r="M143">
        <v>6.44</v>
      </c>
      <c r="N143">
        <v>7.73</v>
      </c>
      <c r="O143">
        <v>2</v>
      </c>
      <c r="P143">
        <v>3975</v>
      </c>
      <c r="Q143">
        <v>2</v>
      </c>
      <c r="R143">
        <v>3975</v>
      </c>
    </row>
    <row r="144" spans="1:18" x14ac:dyDescent="0.25">
      <c r="A144">
        <v>401</v>
      </c>
      <c r="B144" t="s">
        <v>940</v>
      </c>
      <c r="E144" t="s">
        <v>535</v>
      </c>
      <c r="F144">
        <v>3</v>
      </c>
      <c r="G144" s="3">
        <v>42936</v>
      </c>
      <c r="H144">
        <v>10</v>
      </c>
      <c r="I144">
        <v>8.8000000000000007</v>
      </c>
      <c r="J144">
        <v>870</v>
      </c>
      <c r="K144">
        <v>520</v>
      </c>
      <c r="L144">
        <v>9.65</v>
      </c>
      <c r="M144">
        <v>10.19</v>
      </c>
      <c r="N144">
        <v>9.01</v>
      </c>
      <c r="O144">
        <v>3</v>
      </c>
      <c r="P144">
        <v>4073</v>
      </c>
      <c r="Q144">
        <v>3</v>
      </c>
      <c r="R144">
        <v>4073</v>
      </c>
    </row>
    <row r="145" spans="1:18" x14ac:dyDescent="0.25">
      <c r="A145">
        <v>385</v>
      </c>
      <c r="B145" t="s">
        <v>948</v>
      </c>
      <c r="E145" t="s">
        <v>535</v>
      </c>
      <c r="F145">
        <v>4</v>
      </c>
      <c r="G145" s="3">
        <v>42936</v>
      </c>
      <c r="H145">
        <v>10.4</v>
      </c>
      <c r="I145">
        <v>9.5</v>
      </c>
      <c r="J145">
        <v>660</v>
      </c>
      <c r="K145">
        <v>445</v>
      </c>
      <c r="L145">
        <v>5.43</v>
      </c>
      <c r="M145">
        <v>5.61</v>
      </c>
      <c r="N145">
        <v>6.07</v>
      </c>
      <c r="O145">
        <v>3</v>
      </c>
      <c r="P145">
        <v>3873</v>
      </c>
      <c r="Q145">
        <v>3</v>
      </c>
      <c r="R145">
        <v>3873</v>
      </c>
    </row>
    <row r="146" spans="1:18" x14ac:dyDescent="0.25">
      <c r="A146">
        <v>379</v>
      </c>
      <c r="B146" t="s">
        <v>955</v>
      </c>
      <c r="E146" t="s">
        <v>535</v>
      </c>
      <c r="F146">
        <v>5</v>
      </c>
      <c r="G146" s="3">
        <v>42936</v>
      </c>
      <c r="H146">
        <v>10.3</v>
      </c>
      <c r="I146">
        <v>9.5</v>
      </c>
      <c r="J146">
        <v>810</v>
      </c>
      <c r="K146">
        <v>625</v>
      </c>
      <c r="L146">
        <v>9.61</v>
      </c>
      <c r="M146">
        <v>9.9700000000000006</v>
      </c>
      <c r="N146">
        <v>7.87</v>
      </c>
      <c r="O146">
        <v>4</v>
      </c>
      <c r="P146">
        <v>3830</v>
      </c>
      <c r="Q146">
        <v>4</v>
      </c>
      <c r="R146">
        <v>3830</v>
      </c>
    </row>
    <row r="147" spans="1:18" x14ac:dyDescent="0.25">
      <c r="A147">
        <v>478</v>
      </c>
      <c r="B147" t="s">
        <v>1124</v>
      </c>
      <c r="D147" t="s">
        <v>1110</v>
      </c>
      <c r="E147" t="s">
        <v>535</v>
      </c>
      <c r="G147" s="3">
        <v>42954</v>
      </c>
      <c r="H147">
        <v>25.7</v>
      </c>
      <c r="I147">
        <v>16</v>
      </c>
      <c r="J147" t="s">
        <v>141</v>
      </c>
      <c r="K147" t="s">
        <v>141</v>
      </c>
      <c r="L147">
        <v>11.63</v>
      </c>
      <c r="M147">
        <v>14.14</v>
      </c>
      <c r="N147">
        <v>9.07</v>
      </c>
      <c r="O147" t="s">
        <v>141</v>
      </c>
      <c r="P147">
        <v>4141</v>
      </c>
      <c r="Q147" t="s">
        <v>141</v>
      </c>
      <c r="R147">
        <v>4141</v>
      </c>
    </row>
    <row r="148" spans="1:18" x14ac:dyDescent="0.25">
      <c r="A148">
        <v>483</v>
      </c>
      <c r="B148" t="s">
        <v>1129</v>
      </c>
      <c r="D148" t="s">
        <v>1110</v>
      </c>
      <c r="E148" t="s">
        <v>535</v>
      </c>
      <c r="G148" s="3">
        <v>42954</v>
      </c>
      <c r="H148">
        <v>10.8</v>
      </c>
      <c r="I148" t="s">
        <v>141</v>
      </c>
      <c r="J148" t="s">
        <v>141</v>
      </c>
      <c r="K148" t="s">
        <v>141</v>
      </c>
      <c r="L148">
        <v>6.65</v>
      </c>
      <c r="M148">
        <v>10.01</v>
      </c>
      <c r="N148">
        <v>7.73</v>
      </c>
      <c r="O148" t="s">
        <v>141</v>
      </c>
      <c r="P148">
        <v>4143</v>
      </c>
      <c r="Q148" t="s">
        <v>141</v>
      </c>
      <c r="R148">
        <v>4143</v>
      </c>
    </row>
    <row r="149" spans="1:18" x14ac:dyDescent="0.25">
      <c r="A149">
        <v>102</v>
      </c>
      <c r="B149" t="s">
        <v>29</v>
      </c>
      <c r="E149" t="s">
        <v>345</v>
      </c>
      <c r="F149">
        <v>1</v>
      </c>
      <c r="G149" s="3">
        <v>42901</v>
      </c>
      <c r="H149">
        <v>12.7</v>
      </c>
      <c r="I149">
        <v>13.2</v>
      </c>
      <c r="J149">
        <v>390</v>
      </c>
      <c r="K149">
        <v>200</v>
      </c>
      <c r="L149">
        <v>19.5</v>
      </c>
      <c r="M149">
        <v>19.600000000000001</v>
      </c>
      <c r="N149">
        <v>16.5</v>
      </c>
      <c r="O149">
        <v>4</v>
      </c>
      <c r="Q149">
        <v>4</v>
      </c>
    </row>
    <row r="150" spans="1:18" x14ac:dyDescent="0.25">
      <c r="A150">
        <v>122</v>
      </c>
      <c r="B150" t="s">
        <v>13</v>
      </c>
      <c r="E150" t="s">
        <v>345</v>
      </c>
      <c r="F150">
        <v>2</v>
      </c>
      <c r="G150" s="3">
        <v>42901</v>
      </c>
      <c r="H150">
        <v>8.5</v>
      </c>
      <c r="I150">
        <v>8</v>
      </c>
      <c r="J150">
        <v>230</v>
      </c>
      <c r="K150">
        <v>100</v>
      </c>
      <c r="L150">
        <v>15.66</v>
      </c>
      <c r="M150">
        <v>16.670000000000002</v>
      </c>
      <c r="N150">
        <v>15.17</v>
      </c>
      <c r="O150">
        <v>4</v>
      </c>
      <c r="Q150">
        <v>4</v>
      </c>
    </row>
    <row r="151" spans="1:18" x14ac:dyDescent="0.25">
      <c r="A151">
        <v>115</v>
      </c>
      <c r="B151" t="s">
        <v>131</v>
      </c>
      <c r="E151" t="s">
        <v>345</v>
      </c>
      <c r="F151">
        <v>3</v>
      </c>
      <c r="G151" s="3">
        <v>42901</v>
      </c>
      <c r="H151">
        <v>7.1</v>
      </c>
      <c r="I151">
        <v>6.8</v>
      </c>
      <c r="J151">
        <v>280</v>
      </c>
      <c r="K151">
        <v>190</v>
      </c>
      <c r="L151">
        <v>13</v>
      </c>
      <c r="M151">
        <v>13.2</v>
      </c>
      <c r="N151">
        <v>11.1</v>
      </c>
      <c r="O151">
        <v>4</v>
      </c>
      <c r="Q151">
        <v>4</v>
      </c>
    </row>
    <row r="152" spans="1:18" x14ac:dyDescent="0.25">
      <c r="A152">
        <v>3</v>
      </c>
      <c r="B152" t="s">
        <v>526</v>
      </c>
      <c r="E152" t="s">
        <v>345</v>
      </c>
      <c r="F152">
        <v>4</v>
      </c>
      <c r="G152" s="3">
        <v>42909</v>
      </c>
      <c r="H152">
        <v>6.3</v>
      </c>
      <c r="I152">
        <v>5.3</v>
      </c>
      <c r="J152">
        <v>290</v>
      </c>
      <c r="K152">
        <v>180</v>
      </c>
      <c r="L152">
        <v>13.72</v>
      </c>
      <c r="M152">
        <v>12.82</v>
      </c>
      <c r="N152">
        <v>10.93</v>
      </c>
      <c r="O152">
        <v>4</v>
      </c>
      <c r="Q152">
        <v>4</v>
      </c>
    </row>
    <row r="153" spans="1:18" x14ac:dyDescent="0.25">
      <c r="A153">
        <v>32</v>
      </c>
      <c r="B153" t="s">
        <v>622</v>
      </c>
      <c r="E153" t="s">
        <v>345</v>
      </c>
      <c r="F153">
        <v>5</v>
      </c>
      <c r="G153" s="3">
        <v>42915</v>
      </c>
      <c r="H153">
        <v>7.1</v>
      </c>
      <c r="I153" t="s">
        <v>641</v>
      </c>
      <c r="J153">
        <v>215</v>
      </c>
      <c r="K153">
        <v>100</v>
      </c>
      <c r="L153">
        <v>17.68</v>
      </c>
      <c r="M153">
        <v>15.87</v>
      </c>
      <c r="N153">
        <v>15.57</v>
      </c>
      <c r="O153">
        <v>3</v>
      </c>
      <c r="Q153">
        <v>3</v>
      </c>
    </row>
    <row r="154" spans="1:18" x14ac:dyDescent="0.25">
      <c r="A154">
        <v>99</v>
      </c>
      <c r="B154" t="s">
        <v>21</v>
      </c>
      <c r="E154" t="s">
        <v>349</v>
      </c>
      <c r="F154">
        <v>1</v>
      </c>
      <c r="G154" s="3">
        <v>42901</v>
      </c>
      <c r="H154">
        <v>5.8</v>
      </c>
      <c r="I154">
        <v>5</v>
      </c>
      <c r="J154">
        <v>240</v>
      </c>
      <c r="K154">
        <v>30</v>
      </c>
      <c r="L154">
        <v>10.58</v>
      </c>
      <c r="M154">
        <v>11.97</v>
      </c>
      <c r="N154">
        <v>11.45</v>
      </c>
      <c r="O154">
        <v>4</v>
      </c>
      <c r="Q154">
        <v>4</v>
      </c>
    </row>
    <row r="155" spans="1:18" x14ac:dyDescent="0.25">
      <c r="A155">
        <v>119</v>
      </c>
      <c r="B155" t="s">
        <v>34</v>
      </c>
      <c r="E155" t="s">
        <v>349</v>
      </c>
      <c r="F155">
        <v>2</v>
      </c>
      <c r="G155" s="3">
        <v>42901</v>
      </c>
      <c r="H155">
        <v>2.8</v>
      </c>
      <c r="I155">
        <v>1.73</v>
      </c>
      <c r="J155">
        <v>220</v>
      </c>
      <c r="K155">
        <v>120</v>
      </c>
      <c r="L155">
        <v>4.1500000000000004</v>
      </c>
      <c r="M155">
        <v>4.01</v>
      </c>
      <c r="N155">
        <v>4.0599999999999996</v>
      </c>
      <c r="O155">
        <v>4</v>
      </c>
      <c r="Q155">
        <v>4</v>
      </c>
    </row>
    <row r="156" spans="1:18" x14ac:dyDescent="0.25">
      <c r="A156">
        <v>113</v>
      </c>
      <c r="B156" t="s">
        <v>123</v>
      </c>
      <c r="E156" t="s">
        <v>349</v>
      </c>
      <c r="F156">
        <v>3</v>
      </c>
      <c r="G156" s="3">
        <v>42901</v>
      </c>
      <c r="H156">
        <v>6.4</v>
      </c>
      <c r="I156">
        <v>5</v>
      </c>
      <c r="J156">
        <v>300</v>
      </c>
      <c r="K156">
        <v>130</v>
      </c>
      <c r="L156">
        <v>10.67</v>
      </c>
      <c r="M156">
        <v>11.09</v>
      </c>
      <c r="N156">
        <v>10.73</v>
      </c>
      <c r="O156">
        <v>4</v>
      </c>
      <c r="Q156">
        <v>4</v>
      </c>
    </row>
    <row r="157" spans="1:18" x14ac:dyDescent="0.25">
      <c r="A157">
        <v>415</v>
      </c>
      <c r="B157" t="s">
        <v>907</v>
      </c>
      <c r="E157" t="s">
        <v>349</v>
      </c>
      <c r="F157">
        <v>4</v>
      </c>
      <c r="G157" s="3">
        <v>42934</v>
      </c>
      <c r="H157">
        <v>8</v>
      </c>
      <c r="I157" t="s">
        <v>993</v>
      </c>
      <c r="J157">
        <v>250</v>
      </c>
      <c r="K157">
        <v>110</v>
      </c>
      <c r="L157">
        <v>12.4</v>
      </c>
      <c r="M157">
        <v>13.19</v>
      </c>
      <c r="N157">
        <v>9.93</v>
      </c>
      <c r="O157">
        <v>4</v>
      </c>
      <c r="Q157">
        <v>4</v>
      </c>
    </row>
    <row r="158" spans="1:18" x14ac:dyDescent="0.25">
      <c r="A158">
        <v>416</v>
      </c>
      <c r="B158" t="s">
        <v>906</v>
      </c>
      <c r="E158" t="s">
        <v>349</v>
      </c>
      <c r="F158">
        <v>5</v>
      </c>
      <c r="G158" s="3">
        <v>42934</v>
      </c>
      <c r="H158">
        <v>9.5</v>
      </c>
      <c r="I158">
        <v>7.2</v>
      </c>
      <c r="J158">
        <v>420</v>
      </c>
      <c r="K158">
        <v>130</v>
      </c>
      <c r="L158">
        <v>16.13</v>
      </c>
      <c r="M158">
        <v>17.7</v>
      </c>
      <c r="N158">
        <v>19.61</v>
      </c>
      <c r="O158">
        <v>5</v>
      </c>
      <c r="Q158">
        <v>5</v>
      </c>
    </row>
    <row r="159" spans="1:18" x14ac:dyDescent="0.25">
      <c r="A159">
        <v>491</v>
      </c>
      <c r="B159" t="s">
        <v>1137</v>
      </c>
      <c r="D159" t="s">
        <v>1110</v>
      </c>
      <c r="E159" t="s">
        <v>349</v>
      </c>
      <c r="G159" s="3">
        <v>42956</v>
      </c>
      <c r="H159">
        <v>20.3</v>
      </c>
      <c r="I159">
        <v>19.7</v>
      </c>
      <c r="J159">
        <v>563</v>
      </c>
      <c r="K159">
        <v>210</v>
      </c>
      <c r="L159">
        <v>23.79</v>
      </c>
      <c r="M159">
        <v>22.62</v>
      </c>
      <c r="N159">
        <v>21.24</v>
      </c>
      <c r="O159">
        <v>5</v>
      </c>
      <c r="P159" t="s">
        <v>1154</v>
      </c>
      <c r="Q159">
        <v>5</v>
      </c>
      <c r="R159" t="s">
        <v>1154</v>
      </c>
    </row>
    <row r="160" spans="1:18" x14ac:dyDescent="0.25">
      <c r="A160">
        <v>108</v>
      </c>
      <c r="B160" t="s">
        <v>22</v>
      </c>
      <c r="E160" t="s">
        <v>350</v>
      </c>
      <c r="F160">
        <v>1</v>
      </c>
      <c r="G160" s="3">
        <v>42901</v>
      </c>
      <c r="H160">
        <v>3.5</v>
      </c>
      <c r="I160">
        <v>1.55</v>
      </c>
      <c r="J160">
        <v>200</v>
      </c>
      <c r="K160">
        <v>0</v>
      </c>
      <c r="L160">
        <v>1.72</v>
      </c>
      <c r="M160">
        <v>2.4900000000000002</v>
      </c>
      <c r="N160">
        <v>1.64</v>
      </c>
      <c r="O160">
        <v>4</v>
      </c>
      <c r="Q160">
        <v>4</v>
      </c>
    </row>
    <row r="161" spans="1:18" x14ac:dyDescent="0.25">
      <c r="A161">
        <v>93</v>
      </c>
      <c r="B161" t="s">
        <v>36</v>
      </c>
      <c r="E161" t="s">
        <v>350</v>
      </c>
      <c r="F161">
        <v>2</v>
      </c>
      <c r="G161" s="3">
        <v>42901</v>
      </c>
      <c r="H161">
        <v>3.5</v>
      </c>
      <c r="I161">
        <v>1.6</v>
      </c>
      <c r="J161">
        <v>220</v>
      </c>
      <c r="K161">
        <v>50</v>
      </c>
      <c r="L161">
        <v>2.87</v>
      </c>
      <c r="M161">
        <v>2.44</v>
      </c>
      <c r="N161">
        <v>2.63</v>
      </c>
      <c r="O161">
        <v>4</v>
      </c>
      <c r="Q161">
        <v>4</v>
      </c>
    </row>
    <row r="162" spans="1:18" x14ac:dyDescent="0.25">
      <c r="A162">
        <v>144</v>
      </c>
      <c r="B162" t="s">
        <v>94</v>
      </c>
      <c r="E162" t="s">
        <v>350</v>
      </c>
      <c r="F162">
        <v>3</v>
      </c>
      <c r="G162" s="3">
        <v>42900</v>
      </c>
      <c r="H162">
        <v>3.1</v>
      </c>
      <c r="I162" t="s">
        <v>706</v>
      </c>
      <c r="J162">
        <v>253</v>
      </c>
      <c r="K162">
        <v>5</v>
      </c>
      <c r="L162">
        <v>2.2599999999999998</v>
      </c>
      <c r="M162">
        <v>1.89</v>
      </c>
      <c r="N162">
        <v>1.95</v>
      </c>
      <c r="O162">
        <v>4</v>
      </c>
      <c r="Q162">
        <v>4</v>
      </c>
    </row>
    <row r="163" spans="1:18" x14ac:dyDescent="0.25">
      <c r="A163">
        <v>310</v>
      </c>
      <c r="B163" t="s">
        <v>748</v>
      </c>
      <c r="E163" t="s">
        <v>350</v>
      </c>
      <c r="F163">
        <v>4</v>
      </c>
      <c r="G163" s="3">
        <v>42921</v>
      </c>
      <c r="H163">
        <v>3.2</v>
      </c>
      <c r="I163">
        <v>0.65400000000000003</v>
      </c>
      <c r="J163">
        <v>166</v>
      </c>
      <c r="K163">
        <v>44</v>
      </c>
      <c r="L163">
        <v>2.3199999999999998</v>
      </c>
      <c r="M163">
        <v>4.08</v>
      </c>
      <c r="N163">
        <v>2.4</v>
      </c>
      <c r="O163">
        <v>3</v>
      </c>
      <c r="Q163">
        <v>3</v>
      </c>
    </row>
    <row r="164" spans="1:18" x14ac:dyDescent="0.25">
      <c r="A164">
        <v>228</v>
      </c>
      <c r="B164" t="s">
        <v>758</v>
      </c>
      <c r="E164" t="s">
        <v>350</v>
      </c>
      <c r="F164">
        <v>5</v>
      </c>
      <c r="G164" s="3">
        <v>42923</v>
      </c>
      <c r="H164">
        <v>1.64</v>
      </c>
      <c r="I164" t="s">
        <v>785</v>
      </c>
      <c r="J164">
        <v>160</v>
      </c>
      <c r="K164">
        <v>40</v>
      </c>
      <c r="L164">
        <v>1.0900000000000001</v>
      </c>
      <c r="M164" t="s">
        <v>141</v>
      </c>
      <c r="N164" t="s">
        <v>141</v>
      </c>
      <c r="O164">
        <v>4</v>
      </c>
      <c r="Q164">
        <v>4</v>
      </c>
    </row>
    <row r="165" spans="1:18" x14ac:dyDescent="0.25">
      <c r="A165">
        <v>138</v>
      </c>
      <c r="B165" t="s">
        <v>111</v>
      </c>
      <c r="E165" t="s">
        <v>364</v>
      </c>
      <c r="F165">
        <v>1</v>
      </c>
      <c r="G165" s="3">
        <v>42900</v>
      </c>
      <c r="H165">
        <v>0.9</v>
      </c>
      <c r="I165" t="s">
        <v>141</v>
      </c>
      <c r="J165">
        <v>127</v>
      </c>
      <c r="K165">
        <v>33</v>
      </c>
      <c r="L165">
        <v>0.67</v>
      </c>
      <c r="M165" t="s">
        <v>141</v>
      </c>
      <c r="N165" t="s">
        <v>141</v>
      </c>
      <c r="O165">
        <v>4</v>
      </c>
      <c r="Q165">
        <v>4</v>
      </c>
    </row>
    <row r="166" spans="1:18" x14ac:dyDescent="0.25">
      <c r="A166">
        <v>167</v>
      </c>
      <c r="B166" t="s">
        <v>129</v>
      </c>
      <c r="E166" t="s">
        <v>364</v>
      </c>
      <c r="F166">
        <v>2</v>
      </c>
      <c r="G166" s="3">
        <v>42900</v>
      </c>
      <c r="H166">
        <v>0.74</v>
      </c>
      <c r="I166">
        <v>0.43</v>
      </c>
      <c r="J166">
        <v>160</v>
      </c>
      <c r="K166">
        <v>50</v>
      </c>
      <c r="L166">
        <v>0.67</v>
      </c>
      <c r="M166" t="s">
        <v>141</v>
      </c>
      <c r="N166" t="s">
        <v>141</v>
      </c>
      <c r="O166">
        <v>4</v>
      </c>
      <c r="Q166">
        <v>4</v>
      </c>
    </row>
    <row r="167" spans="1:18" x14ac:dyDescent="0.25">
      <c r="A167">
        <v>248</v>
      </c>
      <c r="B167" t="s">
        <v>79</v>
      </c>
      <c r="E167" t="s">
        <v>364</v>
      </c>
      <c r="F167">
        <v>3</v>
      </c>
      <c r="G167" s="3">
        <v>42898</v>
      </c>
      <c r="H167">
        <v>1.94</v>
      </c>
      <c r="I167" t="s">
        <v>801</v>
      </c>
      <c r="J167">
        <v>267</v>
      </c>
      <c r="K167">
        <v>93</v>
      </c>
      <c r="L167">
        <v>1.08</v>
      </c>
      <c r="M167">
        <v>1.06</v>
      </c>
      <c r="N167">
        <v>0.74</v>
      </c>
      <c r="O167">
        <v>4</v>
      </c>
      <c r="Q167">
        <v>4</v>
      </c>
    </row>
    <row r="168" spans="1:18" x14ac:dyDescent="0.25">
      <c r="A168">
        <v>282</v>
      </c>
      <c r="B168" t="s">
        <v>313</v>
      </c>
      <c r="E168" t="s">
        <v>364</v>
      </c>
      <c r="F168">
        <v>4</v>
      </c>
      <c r="G168" s="3">
        <v>42902</v>
      </c>
      <c r="H168">
        <v>1.6</v>
      </c>
      <c r="I168">
        <v>1.5</v>
      </c>
      <c r="J168">
        <v>240</v>
      </c>
      <c r="K168">
        <v>90</v>
      </c>
      <c r="L168">
        <v>1.21</v>
      </c>
      <c r="M168">
        <v>0.95</v>
      </c>
      <c r="N168">
        <v>1.01</v>
      </c>
      <c r="O168">
        <v>4</v>
      </c>
      <c r="P168">
        <v>5131</v>
      </c>
      <c r="Q168">
        <v>4</v>
      </c>
      <c r="R168">
        <v>5131</v>
      </c>
    </row>
    <row r="169" spans="1:18" x14ac:dyDescent="0.25">
      <c r="A169">
        <v>187</v>
      </c>
      <c r="B169" t="s">
        <v>420</v>
      </c>
      <c r="E169" t="s">
        <v>364</v>
      </c>
      <c r="F169">
        <v>5</v>
      </c>
      <c r="G169" s="3">
        <v>42906</v>
      </c>
      <c r="H169">
        <v>0.52</v>
      </c>
      <c r="I169" t="s">
        <v>141</v>
      </c>
      <c r="J169">
        <v>100</v>
      </c>
      <c r="K169">
        <v>70</v>
      </c>
      <c r="L169">
        <v>0.62</v>
      </c>
      <c r="M169" t="s">
        <v>141</v>
      </c>
      <c r="N169" t="s">
        <v>141</v>
      </c>
      <c r="O169">
        <v>4</v>
      </c>
      <c r="Q169">
        <v>4</v>
      </c>
    </row>
    <row r="170" spans="1:18" x14ac:dyDescent="0.25">
      <c r="A170">
        <v>33</v>
      </c>
      <c r="B170" t="s">
        <v>604</v>
      </c>
      <c r="E170" t="s">
        <v>605</v>
      </c>
      <c r="F170">
        <v>1</v>
      </c>
      <c r="G170" s="3">
        <v>42915</v>
      </c>
      <c r="H170">
        <v>11.9</v>
      </c>
      <c r="I170">
        <v>9.8000000000000007</v>
      </c>
      <c r="J170">
        <v>370</v>
      </c>
      <c r="K170">
        <v>105</v>
      </c>
      <c r="L170">
        <v>17.670000000000002</v>
      </c>
      <c r="M170">
        <v>18.46</v>
      </c>
      <c r="N170">
        <v>20.92</v>
      </c>
      <c r="O170">
        <v>3</v>
      </c>
      <c r="Q170">
        <v>3</v>
      </c>
    </row>
    <row r="171" spans="1:18" x14ac:dyDescent="0.25">
      <c r="A171">
        <v>311</v>
      </c>
      <c r="B171" t="s">
        <v>751</v>
      </c>
      <c r="E171" t="s">
        <v>605</v>
      </c>
      <c r="F171">
        <v>2</v>
      </c>
      <c r="G171" s="3">
        <v>42921</v>
      </c>
      <c r="H171">
        <v>8.1</v>
      </c>
      <c r="I171">
        <v>7.4</v>
      </c>
      <c r="J171">
        <v>250</v>
      </c>
      <c r="K171">
        <v>50</v>
      </c>
      <c r="L171">
        <v>18.440000000000001</v>
      </c>
      <c r="M171">
        <v>17.93</v>
      </c>
      <c r="N171">
        <v>15.35</v>
      </c>
      <c r="O171">
        <v>3</v>
      </c>
      <c r="Q171">
        <v>3</v>
      </c>
    </row>
    <row r="172" spans="1:18" x14ac:dyDescent="0.25">
      <c r="A172">
        <v>320</v>
      </c>
      <c r="B172" t="s">
        <v>738</v>
      </c>
      <c r="E172" t="s">
        <v>605</v>
      </c>
      <c r="F172">
        <v>3</v>
      </c>
      <c r="G172" s="3">
        <v>42921</v>
      </c>
      <c r="H172">
        <v>11.8</v>
      </c>
      <c r="I172">
        <v>11.5</v>
      </c>
      <c r="J172">
        <v>400</v>
      </c>
      <c r="K172">
        <v>240</v>
      </c>
      <c r="L172">
        <v>24.04</v>
      </c>
      <c r="M172">
        <v>25.77</v>
      </c>
      <c r="N172">
        <v>28.93</v>
      </c>
      <c r="O172">
        <v>4</v>
      </c>
      <c r="Q172">
        <v>4</v>
      </c>
    </row>
    <row r="173" spans="1:18" x14ac:dyDescent="0.25">
      <c r="A173">
        <v>224</v>
      </c>
      <c r="B173" t="s">
        <v>768</v>
      </c>
      <c r="E173" t="s">
        <v>605</v>
      </c>
      <c r="F173">
        <v>4</v>
      </c>
      <c r="G173" s="3">
        <v>42923</v>
      </c>
      <c r="H173">
        <v>12.4</v>
      </c>
      <c r="I173">
        <v>11.9</v>
      </c>
      <c r="J173">
        <v>535</v>
      </c>
      <c r="K173">
        <v>420</v>
      </c>
      <c r="L173">
        <v>24.88</v>
      </c>
      <c r="M173">
        <v>21.53</v>
      </c>
      <c r="N173">
        <v>18.22</v>
      </c>
      <c r="O173">
        <v>4</v>
      </c>
      <c r="Q173">
        <v>4</v>
      </c>
    </row>
    <row r="174" spans="1:18" x14ac:dyDescent="0.25">
      <c r="A174">
        <v>231</v>
      </c>
      <c r="B174" t="s">
        <v>760</v>
      </c>
      <c r="E174" t="s">
        <v>605</v>
      </c>
      <c r="F174">
        <v>5</v>
      </c>
      <c r="G174" s="3">
        <v>42923</v>
      </c>
      <c r="H174">
        <v>3</v>
      </c>
      <c r="I174">
        <v>1.1000000000000001</v>
      </c>
      <c r="J174">
        <v>170</v>
      </c>
      <c r="K174">
        <v>85</v>
      </c>
      <c r="L174">
        <v>8.42</v>
      </c>
      <c r="M174">
        <v>8.65</v>
      </c>
      <c r="N174">
        <v>9.2200000000000006</v>
      </c>
      <c r="O174">
        <v>3</v>
      </c>
      <c r="Q174">
        <v>3</v>
      </c>
    </row>
    <row r="175" spans="1:18" x14ac:dyDescent="0.25">
      <c r="A175">
        <v>104</v>
      </c>
      <c r="B175" t="s">
        <v>24</v>
      </c>
      <c r="E175" t="s">
        <v>346</v>
      </c>
      <c r="F175">
        <v>1</v>
      </c>
      <c r="G175" s="3">
        <v>42901</v>
      </c>
      <c r="H175">
        <v>7.5</v>
      </c>
      <c r="I175">
        <v>6.8</v>
      </c>
      <c r="J175">
        <v>280</v>
      </c>
      <c r="K175">
        <v>80</v>
      </c>
      <c r="L175">
        <v>24.6</v>
      </c>
      <c r="M175">
        <v>18.54</v>
      </c>
      <c r="N175">
        <v>23.11</v>
      </c>
      <c r="O175">
        <v>4</v>
      </c>
      <c r="Q175">
        <v>4</v>
      </c>
    </row>
    <row r="176" spans="1:18" x14ac:dyDescent="0.25">
      <c r="A176">
        <v>100</v>
      </c>
      <c r="B176" t="s">
        <v>28</v>
      </c>
      <c r="E176" t="s">
        <v>346</v>
      </c>
      <c r="F176">
        <v>2</v>
      </c>
      <c r="G176" s="3">
        <v>42901</v>
      </c>
      <c r="H176">
        <v>6.1</v>
      </c>
      <c r="I176">
        <v>5.9</v>
      </c>
      <c r="J176">
        <v>250</v>
      </c>
      <c r="K176">
        <v>60</v>
      </c>
      <c r="L176">
        <v>15.03</v>
      </c>
      <c r="M176">
        <v>15.53</v>
      </c>
      <c r="N176">
        <v>16.04</v>
      </c>
      <c r="O176">
        <v>4</v>
      </c>
      <c r="Q176">
        <v>4</v>
      </c>
    </row>
    <row r="177" spans="1:18" x14ac:dyDescent="0.25">
      <c r="A177">
        <v>130</v>
      </c>
      <c r="B177" t="s">
        <v>14</v>
      </c>
      <c r="E177" t="s">
        <v>346</v>
      </c>
      <c r="F177">
        <v>3</v>
      </c>
      <c r="G177" s="3">
        <v>42901</v>
      </c>
      <c r="H177">
        <v>6.2</v>
      </c>
      <c r="I177" t="s">
        <v>689</v>
      </c>
      <c r="J177">
        <v>240</v>
      </c>
      <c r="K177">
        <v>120</v>
      </c>
      <c r="L177">
        <v>17.5</v>
      </c>
      <c r="M177">
        <v>19.3</v>
      </c>
      <c r="N177">
        <v>16.3</v>
      </c>
      <c r="O177">
        <v>4</v>
      </c>
      <c r="Q177">
        <v>4</v>
      </c>
    </row>
    <row r="178" spans="1:18" x14ac:dyDescent="0.25">
      <c r="A178">
        <v>151</v>
      </c>
      <c r="B178" t="s">
        <v>107</v>
      </c>
      <c r="E178" t="s">
        <v>346</v>
      </c>
      <c r="F178">
        <v>4</v>
      </c>
      <c r="G178" s="3">
        <v>42900</v>
      </c>
      <c r="H178" t="s">
        <v>708</v>
      </c>
      <c r="I178" t="s">
        <v>710</v>
      </c>
      <c r="J178">
        <v>177</v>
      </c>
      <c r="K178">
        <v>25</v>
      </c>
      <c r="L178">
        <v>12.06</v>
      </c>
      <c r="M178">
        <v>13.29</v>
      </c>
      <c r="N178">
        <v>15.73</v>
      </c>
      <c r="O178">
        <v>5</v>
      </c>
      <c r="Q178">
        <v>5</v>
      </c>
    </row>
    <row r="179" spans="1:18" x14ac:dyDescent="0.25">
      <c r="A179">
        <v>161</v>
      </c>
      <c r="B179" t="s">
        <v>106</v>
      </c>
      <c r="E179" t="s">
        <v>346</v>
      </c>
      <c r="F179">
        <v>5</v>
      </c>
      <c r="G179" s="3">
        <v>42900</v>
      </c>
      <c r="H179" t="s">
        <v>715</v>
      </c>
      <c r="I179" t="s">
        <v>723</v>
      </c>
      <c r="J179">
        <v>242</v>
      </c>
      <c r="K179">
        <v>53</v>
      </c>
      <c r="L179">
        <v>12.11</v>
      </c>
      <c r="M179">
        <v>12.74</v>
      </c>
      <c r="N179">
        <v>11.75</v>
      </c>
      <c r="O179">
        <v>4</v>
      </c>
      <c r="Q179">
        <v>4</v>
      </c>
    </row>
    <row r="180" spans="1:18" x14ac:dyDescent="0.25">
      <c r="A180">
        <v>327</v>
      </c>
      <c r="B180" t="s">
        <v>858</v>
      </c>
      <c r="E180" t="s">
        <v>859</v>
      </c>
      <c r="F180">
        <v>1</v>
      </c>
      <c r="G180" s="3">
        <v>42930</v>
      </c>
      <c r="H180">
        <v>5.2</v>
      </c>
      <c r="I180">
        <v>4</v>
      </c>
      <c r="J180">
        <v>585</v>
      </c>
      <c r="K180">
        <v>452</v>
      </c>
      <c r="L180">
        <v>4.5</v>
      </c>
      <c r="M180">
        <v>4.4000000000000004</v>
      </c>
      <c r="N180">
        <v>4.6399999999999997</v>
      </c>
      <c r="O180">
        <v>3</v>
      </c>
      <c r="Q180">
        <v>3</v>
      </c>
    </row>
    <row r="181" spans="1:18" x14ac:dyDescent="0.25">
      <c r="A181">
        <v>432</v>
      </c>
      <c r="B181" t="s">
        <v>880</v>
      </c>
      <c r="E181" t="s">
        <v>859</v>
      </c>
      <c r="F181">
        <v>2</v>
      </c>
      <c r="G181" s="3">
        <v>42943</v>
      </c>
      <c r="H181">
        <v>18.600000000000001</v>
      </c>
      <c r="I181" t="s">
        <v>1044</v>
      </c>
      <c r="J181">
        <v>900</v>
      </c>
      <c r="K181">
        <v>528</v>
      </c>
      <c r="L181">
        <v>6.37</v>
      </c>
      <c r="M181">
        <v>6.29</v>
      </c>
      <c r="N181">
        <v>5.42</v>
      </c>
      <c r="O181">
        <v>3</v>
      </c>
      <c r="P181">
        <v>2863</v>
      </c>
      <c r="Q181">
        <v>3</v>
      </c>
      <c r="R181">
        <v>2863</v>
      </c>
    </row>
    <row r="182" spans="1:18" x14ac:dyDescent="0.25">
      <c r="A182">
        <v>434</v>
      </c>
      <c r="B182" t="s">
        <v>1019</v>
      </c>
      <c r="E182" t="s">
        <v>859</v>
      </c>
      <c r="F182">
        <v>3</v>
      </c>
      <c r="G182" s="3">
        <v>42943</v>
      </c>
      <c r="H182">
        <v>6.4</v>
      </c>
      <c r="I182">
        <v>5.5</v>
      </c>
      <c r="J182">
        <v>910</v>
      </c>
      <c r="K182">
        <v>615</v>
      </c>
      <c r="L182">
        <v>4.34</v>
      </c>
      <c r="M182">
        <v>4.67</v>
      </c>
      <c r="N182">
        <v>4.9400000000000004</v>
      </c>
      <c r="O182">
        <v>3</v>
      </c>
      <c r="P182">
        <v>5009</v>
      </c>
      <c r="Q182">
        <v>3</v>
      </c>
      <c r="R182">
        <v>5009</v>
      </c>
    </row>
    <row r="183" spans="1:18" x14ac:dyDescent="0.25">
      <c r="A183">
        <v>376</v>
      </c>
      <c r="B183" t="s">
        <v>867</v>
      </c>
      <c r="E183" t="s">
        <v>859</v>
      </c>
      <c r="F183">
        <v>4</v>
      </c>
      <c r="G183" s="3">
        <v>42931</v>
      </c>
      <c r="H183">
        <v>12.8</v>
      </c>
      <c r="I183">
        <v>12.4</v>
      </c>
      <c r="J183">
        <v>673</v>
      </c>
      <c r="K183">
        <v>246</v>
      </c>
      <c r="L183">
        <v>6.88</v>
      </c>
      <c r="M183">
        <v>6.19</v>
      </c>
      <c r="N183">
        <v>6.48</v>
      </c>
      <c r="O183">
        <v>3</v>
      </c>
      <c r="P183">
        <v>2843</v>
      </c>
      <c r="Q183">
        <v>3</v>
      </c>
      <c r="R183">
        <v>2843</v>
      </c>
    </row>
    <row r="184" spans="1:18" x14ac:dyDescent="0.25">
      <c r="A184">
        <v>437</v>
      </c>
      <c r="B184" t="s">
        <v>1018</v>
      </c>
      <c r="E184" t="s">
        <v>859</v>
      </c>
      <c r="F184">
        <v>5</v>
      </c>
      <c r="G184" s="3">
        <v>42943</v>
      </c>
      <c r="H184">
        <v>6.7</v>
      </c>
      <c r="I184">
        <v>5.8</v>
      </c>
      <c r="J184">
        <v>657</v>
      </c>
      <c r="K184">
        <v>456</v>
      </c>
      <c r="L184">
        <v>3.28</v>
      </c>
      <c r="M184">
        <v>4.1399999999999997</v>
      </c>
      <c r="N184">
        <v>3.25</v>
      </c>
      <c r="O184">
        <v>2</v>
      </c>
      <c r="P184">
        <v>4800</v>
      </c>
      <c r="Q184">
        <v>2</v>
      </c>
      <c r="R184">
        <v>4800</v>
      </c>
    </row>
    <row r="185" spans="1:18" x14ac:dyDescent="0.25">
      <c r="A185">
        <v>342</v>
      </c>
      <c r="B185" t="s">
        <v>1239</v>
      </c>
      <c r="C185" t="s">
        <v>880</v>
      </c>
      <c r="D185" t="s">
        <v>1110</v>
      </c>
      <c r="E185" t="s">
        <v>859</v>
      </c>
      <c r="G185" s="3">
        <v>42930</v>
      </c>
      <c r="H185">
        <v>8.6</v>
      </c>
      <c r="I185">
        <v>7.9</v>
      </c>
      <c r="J185">
        <v>800</v>
      </c>
      <c r="K185">
        <v>433</v>
      </c>
      <c r="L185">
        <v>5.35</v>
      </c>
      <c r="M185">
        <v>5.3</v>
      </c>
      <c r="N185">
        <v>5.45</v>
      </c>
      <c r="O185">
        <v>3</v>
      </c>
      <c r="P185" t="s">
        <v>1119</v>
      </c>
      <c r="Q185">
        <v>3</v>
      </c>
      <c r="R185" t="s">
        <v>1119</v>
      </c>
    </row>
    <row r="186" spans="1:18" x14ac:dyDescent="0.25">
      <c r="A186">
        <v>345</v>
      </c>
      <c r="B186" t="s">
        <v>978</v>
      </c>
      <c r="E186" t="s">
        <v>979</v>
      </c>
      <c r="F186">
        <v>1</v>
      </c>
      <c r="G186" s="3">
        <v>42940</v>
      </c>
      <c r="H186">
        <v>3.1</v>
      </c>
      <c r="I186">
        <v>2.9</v>
      </c>
      <c r="J186">
        <v>603</v>
      </c>
      <c r="K186">
        <v>366</v>
      </c>
      <c r="L186">
        <v>1.19</v>
      </c>
      <c r="M186">
        <v>1.44</v>
      </c>
      <c r="N186">
        <v>1.1599999999999999</v>
      </c>
      <c r="O186">
        <v>3</v>
      </c>
      <c r="P186">
        <v>4252</v>
      </c>
      <c r="Q186">
        <v>3</v>
      </c>
      <c r="R186">
        <v>4252</v>
      </c>
    </row>
    <row r="187" spans="1:18" x14ac:dyDescent="0.25">
      <c r="A187">
        <v>348</v>
      </c>
      <c r="B187" t="s">
        <v>984</v>
      </c>
      <c r="E187" t="s">
        <v>979</v>
      </c>
      <c r="F187">
        <v>2</v>
      </c>
      <c r="G187" s="3">
        <v>42940</v>
      </c>
      <c r="H187">
        <v>5.7</v>
      </c>
      <c r="I187">
        <v>4.9000000000000004</v>
      </c>
      <c r="J187">
        <v>637</v>
      </c>
      <c r="K187">
        <v>545</v>
      </c>
      <c r="L187">
        <v>1.94</v>
      </c>
      <c r="M187">
        <v>1.69</v>
      </c>
      <c r="N187">
        <v>1.97</v>
      </c>
      <c r="O187">
        <v>3</v>
      </c>
      <c r="P187">
        <v>4329</v>
      </c>
      <c r="Q187">
        <v>3</v>
      </c>
      <c r="R187">
        <v>4329</v>
      </c>
    </row>
    <row r="188" spans="1:18" x14ac:dyDescent="0.25">
      <c r="A188">
        <v>106</v>
      </c>
      <c r="B188" t="s">
        <v>20</v>
      </c>
      <c r="E188" t="s">
        <v>348</v>
      </c>
      <c r="F188">
        <v>1</v>
      </c>
      <c r="G188" s="3">
        <v>42901</v>
      </c>
      <c r="H188" t="s">
        <v>673</v>
      </c>
      <c r="I188" t="s">
        <v>676</v>
      </c>
      <c r="J188">
        <v>330</v>
      </c>
      <c r="K188">
        <v>140</v>
      </c>
      <c r="L188">
        <v>5.26</v>
      </c>
      <c r="M188">
        <v>4.76</v>
      </c>
      <c r="N188">
        <v>4.21</v>
      </c>
      <c r="O188">
        <v>4</v>
      </c>
      <c r="Q188">
        <v>4</v>
      </c>
    </row>
    <row r="189" spans="1:18" x14ac:dyDescent="0.25">
      <c r="A189">
        <v>150</v>
      </c>
      <c r="B189" t="s">
        <v>130</v>
      </c>
      <c r="E189" t="s">
        <v>348</v>
      </c>
      <c r="F189">
        <v>2</v>
      </c>
      <c r="G189" s="3">
        <v>42900</v>
      </c>
      <c r="H189">
        <v>7</v>
      </c>
      <c r="I189" t="s">
        <v>709</v>
      </c>
      <c r="J189">
        <v>277</v>
      </c>
      <c r="K189">
        <v>95</v>
      </c>
      <c r="L189">
        <v>4.8</v>
      </c>
      <c r="M189">
        <v>4.5599999999999996</v>
      </c>
      <c r="N189">
        <v>4.78</v>
      </c>
      <c r="O189">
        <v>5</v>
      </c>
      <c r="Q189">
        <v>5</v>
      </c>
    </row>
    <row r="190" spans="1:18" x14ac:dyDescent="0.25">
      <c r="A190">
        <v>421</v>
      </c>
      <c r="B190" t="s">
        <v>1011</v>
      </c>
      <c r="E190" t="s">
        <v>348</v>
      </c>
      <c r="F190">
        <v>3</v>
      </c>
      <c r="G190" s="3">
        <v>42942</v>
      </c>
      <c r="H190">
        <v>2.23</v>
      </c>
      <c r="I190" t="s">
        <v>1037</v>
      </c>
      <c r="J190">
        <v>160</v>
      </c>
      <c r="K190">
        <v>40</v>
      </c>
      <c r="L190">
        <v>1.74</v>
      </c>
      <c r="M190">
        <v>1.61</v>
      </c>
      <c r="N190">
        <v>1.3</v>
      </c>
      <c r="O190">
        <v>4</v>
      </c>
      <c r="Q190">
        <v>4</v>
      </c>
    </row>
    <row r="191" spans="1:18" x14ac:dyDescent="0.25">
      <c r="A191">
        <v>422</v>
      </c>
      <c r="B191" t="s">
        <v>1003</v>
      </c>
      <c r="E191" t="s">
        <v>348</v>
      </c>
      <c r="F191">
        <v>4</v>
      </c>
      <c r="G191" s="3">
        <v>42942</v>
      </c>
      <c r="H191" t="s">
        <v>1033</v>
      </c>
      <c r="I191" t="s">
        <v>1038</v>
      </c>
      <c r="J191">
        <v>220</v>
      </c>
      <c r="K191">
        <v>130</v>
      </c>
      <c r="L191">
        <v>0.77</v>
      </c>
      <c r="M191" t="s">
        <v>141</v>
      </c>
      <c r="N191" t="s">
        <v>141</v>
      </c>
      <c r="O191">
        <v>4</v>
      </c>
      <c r="Q191">
        <v>4</v>
      </c>
    </row>
    <row r="192" spans="1:18" x14ac:dyDescent="0.25">
      <c r="A192">
        <v>423</v>
      </c>
      <c r="B192" t="s">
        <v>1006</v>
      </c>
      <c r="E192" t="s">
        <v>348</v>
      </c>
      <c r="F192">
        <v>5</v>
      </c>
      <c r="G192" s="3">
        <v>42942</v>
      </c>
      <c r="H192" t="s">
        <v>1034</v>
      </c>
      <c r="I192" t="s">
        <v>1039</v>
      </c>
      <c r="J192">
        <v>357</v>
      </c>
      <c r="K192">
        <v>60</v>
      </c>
      <c r="L192">
        <v>4.37</v>
      </c>
      <c r="M192">
        <v>3.69</v>
      </c>
      <c r="N192">
        <v>2.91</v>
      </c>
      <c r="O192">
        <v>4</v>
      </c>
      <c r="Q192">
        <v>4</v>
      </c>
    </row>
    <row r="193" spans="1:18" x14ac:dyDescent="0.25">
      <c r="A193">
        <v>128</v>
      </c>
      <c r="B193" t="s">
        <v>152</v>
      </c>
      <c r="E193" t="s">
        <v>341</v>
      </c>
      <c r="F193">
        <v>1</v>
      </c>
      <c r="G193" s="3">
        <v>42901</v>
      </c>
      <c r="H193">
        <v>15.5</v>
      </c>
      <c r="I193" t="s">
        <v>687</v>
      </c>
      <c r="J193">
        <v>550</v>
      </c>
      <c r="K193">
        <v>70</v>
      </c>
      <c r="L193">
        <v>23.75</v>
      </c>
      <c r="M193">
        <v>24.5</v>
      </c>
      <c r="N193">
        <v>27.4</v>
      </c>
      <c r="O193">
        <v>5</v>
      </c>
      <c r="Q193">
        <v>5</v>
      </c>
    </row>
    <row r="194" spans="1:18" x14ac:dyDescent="0.25">
      <c r="A194">
        <v>287</v>
      </c>
      <c r="B194" t="s">
        <v>1240</v>
      </c>
      <c r="C194" t="s">
        <v>205</v>
      </c>
      <c r="E194" t="s">
        <v>341</v>
      </c>
      <c r="F194">
        <v>2</v>
      </c>
      <c r="G194" s="3">
        <v>42902</v>
      </c>
      <c r="H194">
        <v>17.8</v>
      </c>
      <c r="I194" t="s">
        <v>1061</v>
      </c>
      <c r="J194">
        <v>600</v>
      </c>
      <c r="K194">
        <v>130</v>
      </c>
      <c r="L194">
        <v>25.93</v>
      </c>
      <c r="M194">
        <v>23.02</v>
      </c>
      <c r="N194">
        <v>31.38</v>
      </c>
      <c r="O194">
        <v>5</v>
      </c>
      <c r="P194">
        <v>5101</v>
      </c>
      <c r="Q194">
        <v>5</v>
      </c>
      <c r="R194">
        <v>5101</v>
      </c>
    </row>
    <row r="195" spans="1:18" x14ac:dyDescent="0.25">
      <c r="A195">
        <v>44</v>
      </c>
      <c r="B195" t="s">
        <v>629</v>
      </c>
      <c r="E195" t="s">
        <v>341</v>
      </c>
      <c r="F195">
        <v>3</v>
      </c>
      <c r="G195" s="3">
        <v>42915</v>
      </c>
      <c r="H195">
        <v>11</v>
      </c>
      <c r="I195" t="s">
        <v>645</v>
      </c>
      <c r="J195">
        <v>420</v>
      </c>
      <c r="K195">
        <v>200</v>
      </c>
      <c r="L195">
        <v>18.29</v>
      </c>
      <c r="M195">
        <v>20.13</v>
      </c>
      <c r="N195">
        <v>18.78</v>
      </c>
      <c r="O195">
        <v>4</v>
      </c>
      <c r="Q195">
        <v>4</v>
      </c>
    </row>
    <row r="196" spans="1:18" x14ac:dyDescent="0.25">
      <c r="A196">
        <v>71</v>
      </c>
      <c r="B196" t="s">
        <v>628</v>
      </c>
      <c r="E196" t="s">
        <v>341</v>
      </c>
      <c r="F196">
        <v>4</v>
      </c>
      <c r="G196" s="3">
        <v>42915</v>
      </c>
      <c r="H196">
        <v>13.8</v>
      </c>
      <c r="I196" t="s">
        <v>655</v>
      </c>
      <c r="J196">
        <v>560</v>
      </c>
      <c r="K196">
        <v>265</v>
      </c>
      <c r="L196">
        <v>30.75</v>
      </c>
      <c r="M196">
        <v>20.45</v>
      </c>
      <c r="N196">
        <v>21.12</v>
      </c>
      <c r="O196">
        <v>5</v>
      </c>
      <c r="Q196">
        <v>5</v>
      </c>
    </row>
    <row r="197" spans="1:18" x14ac:dyDescent="0.25">
      <c r="A197">
        <v>168</v>
      </c>
      <c r="B197" t="s">
        <v>473</v>
      </c>
      <c r="E197" t="s">
        <v>341</v>
      </c>
      <c r="F197">
        <v>5</v>
      </c>
      <c r="G197" s="3">
        <v>42907</v>
      </c>
      <c r="H197">
        <v>26</v>
      </c>
      <c r="I197" t="s">
        <v>731</v>
      </c>
      <c r="J197">
        <v>500</v>
      </c>
      <c r="K197">
        <v>100</v>
      </c>
      <c r="L197">
        <v>36.54</v>
      </c>
      <c r="M197">
        <v>29.13</v>
      </c>
      <c r="N197">
        <v>32.729999999999997</v>
      </c>
      <c r="O197">
        <v>5</v>
      </c>
      <c r="Q197">
        <v>5</v>
      </c>
    </row>
    <row r="198" spans="1:18" x14ac:dyDescent="0.25">
      <c r="A198">
        <v>239</v>
      </c>
      <c r="B198" t="s">
        <v>1265</v>
      </c>
      <c r="C198" t="s">
        <v>73</v>
      </c>
      <c r="E198" t="s">
        <v>341</v>
      </c>
      <c r="F198">
        <v>6</v>
      </c>
      <c r="G198" s="3">
        <v>42896</v>
      </c>
      <c r="H198" t="s">
        <v>789</v>
      </c>
      <c r="I198" t="s">
        <v>790</v>
      </c>
      <c r="J198">
        <v>400</v>
      </c>
      <c r="K198">
        <v>190</v>
      </c>
      <c r="L198">
        <v>21.11</v>
      </c>
      <c r="M198" t="s">
        <v>141</v>
      </c>
      <c r="N198" t="s">
        <v>141</v>
      </c>
      <c r="O198">
        <v>4</v>
      </c>
      <c r="Q198">
        <v>4</v>
      </c>
    </row>
    <row r="199" spans="1:18" x14ac:dyDescent="0.25">
      <c r="A199">
        <v>489</v>
      </c>
      <c r="B199" t="s">
        <v>1135</v>
      </c>
      <c r="D199" t="s">
        <v>1110</v>
      </c>
      <c r="E199" t="s">
        <v>341</v>
      </c>
      <c r="G199" s="3">
        <v>42956</v>
      </c>
      <c r="H199">
        <v>23.7</v>
      </c>
      <c r="I199">
        <v>24</v>
      </c>
      <c r="J199">
        <v>647</v>
      </c>
      <c r="K199">
        <v>253</v>
      </c>
      <c r="L199">
        <v>28.75</v>
      </c>
      <c r="M199">
        <v>20.079999999999998</v>
      </c>
      <c r="N199">
        <v>24.45</v>
      </c>
      <c r="O199">
        <v>5</v>
      </c>
      <c r="P199" t="s">
        <v>1153</v>
      </c>
      <c r="Q199">
        <v>5</v>
      </c>
      <c r="R199" t="s">
        <v>1153</v>
      </c>
    </row>
    <row r="200" spans="1:18" x14ac:dyDescent="0.25">
      <c r="A200">
        <v>490</v>
      </c>
      <c r="B200" t="s">
        <v>1136</v>
      </c>
      <c r="D200" t="s">
        <v>1110</v>
      </c>
      <c r="E200" t="s">
        <v>341</v>
      </c>
      <c r="G200" s="3">
        <v>42956</v>
      </c>
      <c r="H200">
        <v>25.5</v>
      </c>
      <c r="I200">
        <v>25</v>
      </c>
      <c r="J200">
        <v>478</v>
      </c>
      <c r="K200">
        <v>45</v>
      </c>
      <c r="L200">
        <v>26.71</v>
      </c>
      <c r="M200">
        <v>38.5</v>
      </c>
      <c r="N200">
        <v>36.75</v>
      </c>
      <c r="O200">
        <v>5</v>
      </c>
      <c r="P200" t="s">
        <v>1153</v>
      </c>
      <c r="Q200">
        <v>5</v>
      </c>
      <c r="R200" t="s">
        <v>1153</v>
      </c>
    </row>
    <row r="201" spans="1:18" x14ac:dyDescent="0.25">
      <c r="A201">
        <v>515</v>
      </c>
      <c r="B201" t="s">
        <v>1166</v>
      </c>
      <c r="D201" t="s">
        <v>1110</v>
      </c>
      <c r="E201" t="s">
        <v>341</v>
      </c>
      <c r="G201" s="3">
        <v>42957</v>
      </c>
      <c r="H201">
        <v>42.1</v>
      </c>
      <c r="I201">
        <v>40.200000000000003</v>
      </c>
      <c r="J201" t="s">
        <v>141</v>
      </c>
      <c r="K201" t="s">
        <v>141</v>
      </c>
      <c r="L201">
        <v>42.93</v>
      </c>
      <c r="M201">
        <v>50.36</v>
      </c>
      <c r="N201">
        <v>49.38</v>
      </c>
      <c r="O201">
        <v>5</v>
      </c>
      <c r="P201">
        <v>2011</v>
      </c>
      <c r="Q201">
        <v>5</v>
      </c>
      <c r="R201">
        <v>2011</v>
      </c>
    </row>
    <row r="202" spans="1:18" x14ac:dyDescent="0.25">
      <c r="A202">
        <v>522</v>
      </c>
      <c r="B202" t="s">
        <v>1173</v>
      </c>
      <c r="D202" t="s">
        <v>1110</v>
      </c>
      <c r="E202" t="s">
        <v>341</v>
      </c>
      <c r="G202" s="3">
        <v>42957</v>
      </c>
      <c r="H202">
        <v>27.9</v>
      </c>
      <c r="I202">
        <v>26.1</v>
      </c>
      <c r="J202" t="s">
        <v>141</v>
      </c>
      <c r="K202" t="s">
        <v>141</v>
      </c>
      <c r="L202">
        <v>34.82</v>
      </c>
      <c r="M202">
        <v>30.5</v>
      </c>
      <c r="N202">
        <v>30.91</v>
      </c>
      <c r="O202">
        <v>5</v>
      </c>
      <c r="P202" t="s">
        <v>1181</v>
      </c>
      <c r="Q202">
        <v>5</v>
      </c>
      <c r="R202" t="s">
        <v>1181</v>
      </c>
    </row>
    <row r="203" spans="1:18" x14ac:dyDescent="0.25">
      <c r="A203">
        <v>533</v>
      </c>
      <c r="B203" t="s">
        <v>1183</v>
      </c>
      <c r="D203" t="s">
        <v>1110</v>
      </c>
      <c r="E203" t="s">
        <v>341</v>
      </c>
      <c r="G203" s="3">
        <v>42957</v>
      </c>
      <c r="H203">
        <v>20.8</v>
      </c>
      <c r="I203">
        <v>18.899999999999999</v>
      </c>
      <c r="J203" t="s">
        <v>141</v>
      </c>
      <c r="K203" t="s">
        <v>141</v>
      </c>
      <c r="L203">
        <v>27.29</v>
      </c>
      <c r="M203">
        <v>29.29</v>
      </c>
      <c r="N203">
        <v>27.06</v>
      </c>
      <c r="O203">
        <v>3</v>
      </c>
      <c r="P203" t="s">
        <v>1181</v>
      </c>
      <c r="Q203">
        <v>3</v>
      </c>
      <c r="R203" t="s">
        <v>1181</v>
      </c>
    </row>
    <row r="204" spans="1:18" x14ac:dyDescent="0.25">
      <c r="A204">
        <v>540</v>
      </c>
      <c r="B204" t="s">
        <v>1189</v>
      </c>
      <c r="D204" t="s">
        <v>1110</v>
      </c>
      <c r="E204" t="s">
        <v>341</v>
      </c>
      <c r="G204" s="3">
        <v>42957</v>
      </c>
      <c r="H204">
        <v>39.1</v>
      </c>
      <c r="I204">
        <v>38.1</v>
      </c>
      <c r="J204" t="s">
        <v>141</v>
      </c>
      <c r="K204" t="s">
        <v>141</v>
      </c>
      <c r="L204">
        <v>50.31</v>
      </c>
      <c r="M204">
        <v>52</v>
      </c>
      <c r="N204" t="s">
        <v>141</v>
      </c>
      <c r="O204">
        <v>4</v>
      </c>
      <c r="P204" t="s">
        <v>1181</v>
      </c>
      <c r="Q204">
        <v>4</v>
      </c>
      <c r="R204" t="s">
        <v>1181</v>
      </c>
    </row>
    <row r="205" spans="1:18" x14ac:dyDescent="0.25">
      <c r="A205">
        <v>400</v>
      </c>
      <c r="B205" t="s">
        <v>935</v>
      </c>
      <c r="E205" t="s">
        <v>936</v>
      </c>
      <c r="F205">
        <v>1</v>
      </c>
      <c r="G205" s="3">
        <v>42936</v>
      </c>
      <c r="H205">
        <v>9.1</v>
      </c>
      <c r="I205">
        <v>8.1999999999999993</v>
      </c>
      <c r="J205">
        <v>770</v>
      </c>
      <c r="K205">
        <v>445</v>
      </c>
      <c r="L205">
        <v>4.55</v>
      </c>
      <c r="M205">
        <v>4.75</v>
      </c>
      <c r="N205">
        <v>3.03</v>
      </c>
      <c r="O205">
        <v>4</v>
      </c>
      <c r="P205">
        <v>4033</v>
      </c>
      <c r="Q205">
        <v>4</v>
      </c>
      <c r="R205">
        <v>4033</v>
      </c>
    </row>
    <row r="206" spans="1:18" x14ac:dyDescent="0.25">
      <c r="A206">
        <v>403</v>
      </c>
      <c r="B206" t="s">
        <v>941</v>
      </c>
      <c r="E206" t="s">
        <v>936</v>
      </c>
      <c r="F206">
        <v>2</v>
      </c>
      <c r="G206" s="3">
        <v>42936</v>
      </c>
      <c r="H206">
        <v>14.5</v>
      </c>
      <c r="I206">
        <v>12.2</v>
      </c>
      <c r="J206">
        <v>785</v>
      </c>
      <c r="K206">
        <v>600</v>
      </c>
      <c r="L206">
        <v>4.82</v>
      </c>
      <c r="M206">
        <v>7.99</v>
      </c>
      <c r="N206">
        <v>6.53</v>
      </c>
      <c r="O206">
        <v>3</v>
      </c>
      <c r="P206">
        <v>4122</v>
      </c>
      <c r="Q206">
        <v>3</v>
      </c>
      <c r="R206">
        <v>4122</v>
      </c>
    </row>
    <row r="207" spans="1:18" x14ac:dyDescent="0.25">
      <c r="A207">
        <v>389</v>
      </c>
      <c r="B207" t="s">
        <v>943</v>
      </c>
      <c r="E207" t="s">
        <v>936</v>
      </c>
      <c r="F207">
        <v>3</v>
      </c>
      <c r="G207" s="3">
        <v>42936</v>
      </c>
      <c r="H207">
        <v>13.1</v>
      </c>
      <c r="I207" t="s">
        <v>1046</v>
      </c>
      <c r="J207">
        <v>760</v>
      </c>
      <c r="K207">
        <v>480</v>
      </c>
      <c r="L207">
        <v>4.16</v>
      </c>
      <c r="M207">
        <v>5.61</v>
      </c>
      <c r="N207">
        <v>4.7300000000000004</v>
      </c>
      <c r="O207">
        <v>4</v>
      </c>
      <c r="P207">
        <v>3897</v>
      </c>
      <c r="Q207">
        <v>4</v>
      </c>
      <c r="R207">
        <v>3897</v>
      </c>
    </row>
    <row r="208" spans="1:18" x14ac:dyDescent="0.25">
      <c r="A208">
        <v>382</v>
      </c>
      <c r="B208" t="s">
        <v>950</v>
      </c>
      <c r="E208" t="s">
        <v>936</v>
      </c>
      <c r="F208">
        <v>4</v>
      </c>
      <c r="G208" s="3">
        <v>42936</v>
      </c>
      <c r="H208">
        <v>7.4</v>
      </c>
      <c r="I208">
        <v>7.3</v>
      </c>
      <c r="J208">
        <v>710</v>
      </c>
      <c r="K208">
        <v>515</v>
      </c>
      <c r="L208">
        <v>4.1100000000000003</v>
      </c>
      <c r="M208">
        <v>5.0599999999999996</v>
      </c>
      <c r="N208">
        <v>3.96</v>
      </c>
      <c r="O208">
        <v>3</v>
      </c>
      <c r="P208">
        <v>3806</v>
      </c>
      <c r="Q208">
        <v>3</v>
      </c>
      <c r="R208">
        <v>3806</v>
      </c>
    </row>
    <row r="209" spans="1:18" x14ac:dyDescent="0.25">
      <c r="A209">
        <v>346</v>
      </c>
      <c r="B209" t="s">
        <v>977</v>
      </c>
      <c r="E209" t="s">
        <v>936</v>
      </c>
      <c r="F209">
        <v>5</v>
      </c>
      <c r="G209" s="3">
        <v>42940</v>
      </c>
      <c r="H209">
        <v>9.5</v>
      </c>
      <c r="I209">
        <v>8.4</v>
      </c>
      <c r="J209">
        <v>840</v>
      </c>
      <c r="K209">
        <v>497</v>
      </c>
      <c r="L209">
        <v>5.53</v>
      </c>
      <c r="M209">
        <v>3.06</v>
      </c>
      <c r="N209">
        <v>4.54</v>
      </c>
      <c r="O209">
        <v>4</v>
      </c>
      <c r="P209">
        <v>4244</v>
      </c>
      <c r="Q209">
        <v>4</v>
      </c>
      <c r="R209">
        <v>4244</v>
      </c>
    </row>
    <row r="210" spans="1:18" x14ac:dyDescent="0.25">
      <c r="A210">
        <v>251</v>
      </c>
      <c r="B210" t="s">
        <v>802</v>
      </c>
      <c r="E210" t="s">
        <v>636</v>
      </c>
      <c r="F210">
        <v>1</v>
      </c>
      <c r="G210" s="3">
        <v>42898</v>
      </c>
      <c r="H210">
        <v>3.4</v>
      </c>
      <c r="I210" t="s">
        <v>803</v>
      </c>
      <c r="J210">
        <v>300</v>
      </c>
      <c r="K210">
        <v>80</v>
      </c>
      <c r="L210">
        <v>1.66</v>
      </c>
      <c r="M210">
        <v>1.34</v>
      </c>
      <c r="N210">
        <v>1.65</v>
      </c>
      <c r="O210">
        <v>4</v>
      </c>
      <c r="Q210">
        <v>4</v>
      </c>
    </row>
    <row r="211" spans="1:18" x14ac:dyDescent="0.25">
      <c r="A211">
        <v>244</v>
      </c>
      <c r="B211" t="s">
        <v>796</v>
      </c>
      <c r="E211" t="s">
        <v>636</v>
      </c>
      <c r="F211">
        <v>2</v>
      </c>
      <c r="G211" s="3">
        <v>42898</v>
      </c>
      <c r="H211" t="s">
        <v>797</v>
      </c>
      <c r="I211" t="s">
        <v>798</v>
      </c>
      <c r="J211">
        <v>326</v>
      </c>
      <c r="K211" t="s">
        <v>141</v>
      </c>
      <c r="L211">
        <v>1.1000000000000001</v>
      </c>
      <c r="M211">
        <v>1.65</v>
      </c>
      <c r="N211">
        <v>1.19</v>
      </c>
      <c r="O211">
        <v>3</v>
      </c>
      <c r="P211" t="s">
        <v>799</v>
      </c>
      <c r="Q211">
        <v>3</v>
      </c>
      <c r="R211" t="s">
        <v>799</v>
      </c>
    </row>
    <row r="212" spans="1:18" x14ac:dyDescent="0.25">
      <c r="A212">
        <v>225</v>
      </c>
      <c r="B212" t="s">
        <v>778</v>
      </c>
      <c r="E212" t="s">
        <v>636</v>
      </c>
      <c r="F212">
        <v>3</v>
      </c>
      <c r="G212" s="3">
        <v>42923</v>
      </c>
      <c r="H212">
        <v>6.8</v>
      </c>
      <c r="I212">
        <v>6.6</v>
      </c>
      <c r="J212">
        <v>620</v>
      </c>
      <c r="K212">
        <v>225</v>
      </c>
      <c r="L212">
        <v>3.38</v>
      </c>
      <c r="M212">
        <v>2.27</v>
      </c>
      <c r="N212">
        <v>2.59</v>
      </c>
      <c r="O212">
        <v>4</v>
      </c>
      <c r="Q212">
        <v>4</v>
      </c>
    </row>
    <row r="213" spans="1:18" x14ac:dyDescent="0.25">
      <c r="A213">
        <v>227</v>
      </c>
      <c r="B213" t="s">
        <v>777</v>
      </c>
      <c r="E213" t="s">
        <v>636</v>
      </c>
      <c r="F213">
        <v>4</v>
      </c>
      <c r="G213" s="3">
        <v>42923</v>
      </c>
      <c r="H213">
        <v>3.9</v>
      </c>
      <c r="I213">
        <v>2.8</v>
      </c>
      <c r="J213">
        <v>380</v>
      </c>
      <c r="K213">
        <v>130</v>
      </c>
      <c r="L213">
        <v>1.77</v>
      </c>
      <c r="M213">
        <v>1.89</v>
      </c>
      <c r="N213">
        <v>1.9</v>
      </c>
      <c r="O213">
        <v>4</v>
      </c>
      <c r="Q213">
        <v>4</v>
      </c>
    </row>
    <row r="214" spans="1:18" x14ac:dyDescent="0.25">
      <c r="A214">
        <v>289</v>
      </c>
      <c r="B214" t="s">
        <v>813</v>
      </c>
      <c r="E214" t="s">
        <v>636</v>
      </c>
      <c r="F214">
        <v>5</v>
      </c>
      <c r="G214" s="3">
        <v>42927</v>
      </c>
      <c r="H214">
        <v>5.3</v>
      </c>
      <c r="I214">
        <v>4.8</v>
      </c>
      <c r="J214">
        <v>656</v>
      </c>
      <c r="K214">
        <v>550</v>
      </c>
      <c r="L214">
        <v>2.76</v>
      </c>
      <c r="M214">
        <v>2.58</v>
      </c>
      <c r="N214">
        <v>4.28</v>
      </c>
      <c r="O214">
        <v>4</v>
      </c>
      <c r="Q214">
        <v>4</v>
      </c>
    </row>
    <row r="215" spans="1:18" x14ac:dyDescent="0.25">
      <c r="A215">
        <v>101</v>
      </c>
      <c r="B215" t="s">
        <v>27</v>
      </c>
      <c r="E215" t="s">
        <v>354</v>
      </c>
      <c r="F215">
        <v>1</v>
      </c>
      <c r="G215" s="3">
        <v>42901</v>
      </c>
      <c r="H215">
        <v>9.6999999999999993</v>
      </c>
      <c r="I215">
        <v>5.8</v>
      </c>
      <c r="J215">
        <v>250</v>
      </c>
      <c r="K215">
        <v>120</v>
      </c>
      <c r="L215">
        <v>25.9</v>
      </c>
      <c r="M215">
        <v>24.3</v>
      </c>
      <c r="N215">
        <v>20.04</v>
      </c>
      <c r="O215">
        <v>3</v>
      </c>
      <c r="Q215">
        <v>3</v>
      </c>
    </row>
    <row r="216" spans="1:18" x14ac:dyDescent="0.25">
      <c r="A216">
        <v>190</v>
      </c>
      <c r="B216" t="s">
        <v>455</v>
      </c>
      <c r="E216" t="s">
        <v>354</v>
      </c>
      <c r="F216">
        <v>2</v>
      </c>
      <c r="G216" s="3">
        <v>42906</v>
      </c>
      <c r="H216">
        <v>6.7</v>
      </c>
      <c r="I216">
        <v>4.8</v>
      </c>
      <c r="J216">
        <v>242</v>
      </c>
      <c r="K216">
        <v>12</v>
      </c>
      <c r="L216">
        <v>16.55</v>
      </c>
      <c r="M216">
        <v>21.6</v>
      </c>
      <c r="N216">
        <v>19.63</v>
      </c>
      <c r="O216">
        <v>4</v>
      </c>
      <c r="Q216">
        <v>4</v>
      </c>
    </row>
    <row r="217" spans="1:18" x14ac:dyDescent="0.25">
      <c r="A217">
        <v>193</v>
      </c>
      <c r="B217" t="s">
        <v>457</v>
      </c>
      <c r="E217" t="s">
        <v>354</v>
      </c>
      <c r="F217">
        <v>3</v>
      </c>
      <c r="G217" s="3">
        <v>42906</v>
      </c>
      <c r="H217">
        <v>2.02</v>
      </c>
      <c r="I217" t="s">
        <v>141</v>
      </c>
      <c r="J217">
        <v>140</v>
      </c>
      <c r="K217">
        <v>95</v>
      </c>
      <c r="L217">
        <v>6.05</v>
      </c>
      <c r="M217">
        <v>6.47</v>
      </c>
      <c r="N217">
        <v>5.18</v>
      </c>
      <c r="O217">
        <v>3</v>
      </c>
      <c r="Q217">
        <v>3</v>
      </c>
    </row>
    <row r="218" spans="1:18" x14ac:dyDescent="0.25">
      <c r="A218">
        <v>198</v>
      </c>
      <c r="B218" t="s">
        <v>416</v>
      </c>
      <c r="E218" t="s">
        <v>354</v>
      </c>
      <c r="F218">
        <v>4</v>
      </c>
      <c r="G218" s="3">
        <v>42906</v>
      </c>
      <c r="H218">
        <v>9.5</v>
      </c>
      <c r="I218">
        <v>4.5</v>
      </c>
      <c r="J218">
        <v>215</v>
      </c>
      <c r="K218">
        <v>115</v>
      </c>
      <c r="L218">
        <v>24.5</v>
      </c>
      <c r="M218">
        <v>25.3</v>
      </c>
      <c r="N218">
        <v>29.06</v>
      </c>
      <c r="O218">
        <v>3</v>
      </c>
      <c r="Q218">
        <v>3</v>
      </c>
    </row>
    <row r="219" spans="1:18" x14ac:dyDescent="0.25">
      <c r="A219">
        <v>429</v>
      </c>
      <c r="B219" t="s">
        <v>1012</v>
      </c>
      <c r="E219" t="s">
        <v>354</v>
      </c>
      <c r="F219">
        <v>5</v>
      </c>
      <c r="G219" s="3">
        <v>42942</v>
      </c>
      <c r="H219">
        <v>4.9000000000000004</v>
      </c>
      <c r="I219" t="s">
        <v>1042</v>
      </c>
      <c r="J219">
        <v>190</v>
      </c>
      <c r="K219">
        <v>120</v>
      </c>
      <c r="L219">
        <v>12.88</v>
      </c>
      <c r="M219">
        <v>12.83</v>
      </c>
      <c r="N219">
        <v>12.8</v>
      </c>
      <c r="O219">
        <v>3</v>
      </c>
      <c r="Q219">
        <v>3</v>
      </c>
    </row>
    <row r="220" spans="1:18" x14ac:dyDescent="0.25">
      <c r="A220">
        <v>17</v>
      </c>
      <c r="B220" t="s">
        <v>515</v>
      </c>
      <c r="E220" t="s">
        <v>516</v>
      </c>
      <c r="F220">
        <v>1</v>
      </c>
      <c r="G220" s="3">
        <v>42909</v>
      </c>
      <c r="H220">
        <v>1.5</v>
      </c>
      <c r="I220" t="s">
        <v>141</v>
      </c>
      <c r="J220">
        <v>125</v>
      </c>
      <c r="K220">
        <v>10</v>
      </c>
      <c r="L220">
        <v>0.8</v>
      </c>
      <c r="M220" t="s">
        <v>141</v>
      </c>
      <c r="N220" t="s">
        <v>141</v>
      </c>
      <c r="O220">
        <v>3</v>
      </c>
      <c r="Q220">
        <v>3</v>
      </c>
    </row>
    <row r="221" spans="1:18" x14ac:dyDescent="0.25">
      <c r="A221">
        <v>63</v>
      </c>
      <c r="B221" t="s">
        <v>633</v>
      </c>
      <c r="E221" t="s">
        <v>516</v>
      </c>
      <c r="F221">
        <v>2</v>
      </c>
      <c r="G221" s="3">
        <v>42915</v>
      </c>
      <c r="H221" t="s">
        <v>651</v>
      </c>
      <c r="I221" t="s">
        <v>141</v>
      </c>
      <c r="J221">
        <v>115</v>
      </c>
      <c r="K221">
        <v>30</v>
      </c>
      <c r="L221">
        <v>0.52</v>
      </c>
      <c r="M221" t="s">
        <v>141</v>
      </c>
      <c r="N221" t="s">
        <v>141</v>
      </c>
      <c r="O221">
        <v>2</v>
      </c>
      <c r="Q221">
        <v>2</v>
      </c>
    </row>
    <row r="222" spans="1:18" x14ac:dyDescent="0.25">
      <c r="A222">
        <v>290</v>
      </c>
      <c r="B222" t="s">
        <v>817</v>
      </c>
      <c r="E222" t="s">
        <v>516</v>
      </c>
      <c r="F222">
        <v>3</v>
      </c>
      <c r="G222" s="3">
        <v>42927</v>
      </c>
      <c r="H222">
        <v>1.52</v>
      </c>
      <c r="I222">
        <v>0.85</v>
      </c>
      <c r="J222">
        <v>202</v>
      </c>
      <c r="K222">
        <v>40</v>
      </c>
      <c r="L222">
        <v>0.64</v>
      </c>
      <c r="M222" t="s">
        <v>141</v>
      </c>
      <c r="N222" t="s">
        <v>141</v>
      </c>
      <c r="O222">
        <v>3</v>
      </c>
      <c r="Q222">
        <v>3</v>
      </c>
    </row>
    <row r="223" spans="1:18" x14ac:dyDescent="0.25">
      <c r="A223">
        <v>303</v>
      </c>
      <c r="B223" t="s">
        <v>816</v>
      </c>
      <c r="E223" t="s">
        <v>516</v>
      </c>
      <c r="F223">
        <v>4</v>
      </c>
      <c r="G223" s="3">
        <v>42927</v>
      </c>
      <c r="H223">
        <v>0.47</v>
      </c>
      <c r="I223" t="s">
        <v>141</v>
      </c>
      <c r="J223">
        <v>80</v>
      </c>
      <c r="K223">
        <v>0</v>
      </c>
      <c r="L223">
        <v>0.3</v>
      </c>
      <c r="M223" t="s">
        <v>141</v>
      </c>
      <c r="N223" t="s">
        <v>141</v>
      </c>
      <c r="O223">
        <v>3</v>
      </c>
      <c r="Q223">
        <v>3</v>
      </c>
    </row>
    <row r="224" spans="1:18" x14ac:dyDescent="0.25">
      <c r="A224">
        <v>365</v>
      </c>
      <c r="B224" t="s">
        <v>872</v>
      </c>
      <c r="E224" t="s">
        <v>516</v>
      </c>
      <c r="F224">
        <v>5</v>
      </c>
      <c r="G224" s="3">
        <v>42931</v>
      </c>
      <c r="H224">
        <v>8.6</v>
      </c>
      <c r="I224">
        <v>7.5</v>
      </c>
      <c r="J224">
        <v>550</v>
      </c>
      <c r="K224">
        <v>170</v>
      </c>
      <c r="L224">
        <v>2.4500000000000002</v>
      </c>
      <c r="M224">
        <v>3.49</v>
      </c>
      <c r="N224">
        <v>3.49</v>
      </c>
      <c r="O224">
        <v>3</v>
      </c>
      <c r="P224">
        <v>2699</v>
      </c>
      <c r="Q224">
        <v>3</v>
      </c>
      <c r="R224">
        <v>2699</v>
      </c>
    </row>
    <row r="225" spans="1:18" x14ac:dyDescent="0.25">
      <c r="A225">
        <v>528</v>
      </c>
      <c r="B225" t="s">
        <v>1178</v>
      </c>
      <c r="D225" t="s">
        <v>1110</v>
      </c>
      <c r="E225" t="s">
        <v>516</v>
      </c>
      <c r="G225" s="3">
        <v>42957</v>
      </c>
      <c r="H225">
        <v>8.4</v>
      </c>
      <c r="I225">
        <v>7.5</v>
      </c>
      <c r="J225" t="s">
        <v>141</v>
      </c>
      <c r="K225" t="s">
        <v>141</v>
      </c>
      <c r="L225">
        <v>2.63</v>
      </c>
      <c r="M225">
        <v>2.13</v>
      </c>
      <c r="N225">
        <v>2.2799999999999998</v>
      </c>
      <c r="O225">
        <v>2</v>
      </c>
      <c r="P225">
        <v>4841</v>
      </c>
      <c r="Q225">
        <v>2</v>
      </c>
      <c r="R225">
        <v>4841</v>
      </c>
    </row>
    <row r="226" spans="1:18" x14ac:dyDescent="0.25">
      <c r="A226">
        <v>96</v>
      </c>
      <c r="B226" t="s">
        <v>41</v>
      </c>
      <c r="E226" t="s">
        <v>360</v>
      </c>
      <c r="F226">
        <v>1</v>
      </c>
      <c r="G226" s="3">
        <v>42901</v>
      </c>
      <c r="H226">
        <v>7</v>
      </c>
      <c r="I226">
        <v>5</v>
      </c>
      <c r="J226">
        <v>210</v>
      </c>
      <c r="K226">
        <v>70</v>
      </c>
      <c r="L226">
        <v>14.55</v>
      </c>
      <c r="M226">
        <v>14.58</v>
      </c>
      <c r="N226">
        <v>15.05</v>
      </c>
      <c r="O226">
        <v>4</v>
      </c>
      <c r="Q226">
        <v>4</v>
      </c>
    </row>
    <row r="227" spans="1:18" x14ac:dyDescent="0.25">
      <c r="A227">
        <v>260</v>
      </c>
      <c r="B227" t="s">
        <v>1241</v>
      </c>
      <c r="C227" t="s">
        <v>227</v>
      </c>
      <c r="E227" t="s">
        <v>360</v>
      </c>
      <c r="F227">
        <v>2</v>
      </c>
      <c r="G227" s="3">
        <v>42901</v>
      </c>
      <c r="H227">
        <v>14</v>
      </c>
      <c r="I227" t="s">
        <v>1051</v>
      </c>
      <c r="J227">
        <v>500</v>
      </c>
      <c r="K227">
        <v>50</v>
      </c>
      <c r="L227">
        <v>18.489999999999998</v>
      </c>
      <c r="M227">
        <v>19</v>
      </c>
      <c r="N227">
        <v>16.88</v>
      </c>
      <c r="P227">
        <v>1564</v>
      </c>
      <c r="R227">
        <v>1564</v>
      </c>
    </row>
    <row r="228" spans="1:18" x14ac:dyDescent="0.25">
      <c r="A228">
        <v>266</v>
      </c>
      <c r="B228" t="s">
        <v>1242</v>
      </c>
      <c r="C228" t="s">
        <v>238</v>
      </c>
      <c r="E228" t="s">
        <v>360</v>
      </c>
      <c r="F228">
        <v>3</v>
      </c>
      <c r="G228" s="3">
        <v>42901</v>
      </c>
      <c r="H228">
        <v>7.3</v>
      </c>
      <c r="I228">
        <v>4.8</v>
      </c>
      <c r="J228">
        <v>190</v>
      </c>
      <c r="K228">
        <v>50</v>
      </c>
      <c r="L228">
        <v>24.8</v>
      </c>
      <c r="M228">
        <v>24.21</v>
      </c>
      <c r="N228">
        <v>26.7</v>
      </c>
      <c r="P228">
        <v>1173</v>
      </c>
      <c r="R228">
        <v>1173</v>
      </c>
    </row>
    <row r="229" spans="1:18" x14ac:dyDescent="0.25">
      <c r="A229">
        <v>261</v>
      </c>
      <c r="B229" t="s">
        <v>1243</v>
      </c>
      <c r="C229" t="s">
        <v>251</v>
      </c>
      <c r="E229" t="s">
        <v>360</v>
      </c>
      <c r="F229">
        <v>4</v>
      </c>
      <c r="G229" s="3">
        <v>42901</v>
      </c>
      <c r="H229">
        <v>4.3</v>
      </c>
      <c r="I229">
        <v>6.3</v>
      </c>
      <c r="J229">
        <v>300</v>
      </c>
      <c r="K229">
        <v>50</v>
      </c>
      <c r="L229">
        <v>15.06</v>
      </c>
      <c r="M229">
        <v>13.78</v>
      </c>
      <c r="N229">
        <v>17.57</v>
      </c>
      <c r="P229">
        <v>1565</v>
      </c>
      <c r="R229">
        <v>1565</v>
      </c>
    </row>
    <row r="230" spans="1:18" x14ac:dyDescent="0.25">
      <c r="A230">
        <v>82</v>
      </c>
      <c r="B230" t="s">
        <v>303</v>
      </c>
      <c r="E230" t="s">
        <v>360</v>
      </c>
      <c r="F230">
        <v>5</v>
      </c>
      <c r="G230" s="3">
        <v>42902</v>
      </c>
      <c r="H230">
        <v>4.7</v>
      </c>
      <c r="I230">
        <v>3.6</v>
      </c>
      <c r="J230">
        <v>197</v>
      </c>
      <c r="K230">
        <v>80</v>
      </c>
      <c r="L230">
        <v>9.8000000000000007</v>
      </c>
      <c r="M230">
        <v>9.1</v>
      </c>
      <c r="N230">
        <v>9.6</v>
      </c>
      <c r="O230">
        <v>3</v>
      </c>
      <c r="Q230">
        <v>3</v>
      </c>
    </row>
    <row r="231" spans="1:18" x14ac:dyDescent="0.25">
      <c r="A231">
        <v>58</v>
      </c>
      <c r="B231" t="s">
        <v>592</v>
      </c>
      <c r="E231" t="s">
        <v>593</v>
      </c>
      <c r="F231">
        <v>1</v>
      </c>
      <c r="G231" s="3">
        <v>42915</v>
      </c>
      <c r="H231">
        <v>0.9</v>
      </c>
      <c r="I231">
        <v>0.35</v>
      </c>
      <c r="J231">
        <v>130</v>
      </c>
      <c r="K231">
        <v>0</v>
      </c>
      <c r="L231">
        <v>0.4</v>
      </c>
      <c r="M231" t="s">
        <v>141</v>
      </c>
      <c r="N231" t="s">
        <v>141</v>
      </c>
      <c r="O231">
        <v>2</v>
      </c>
      <c r="Q231">
        <v>2</v>
      </c>
    </row>
    <row r="232" spans="1:18" x14ac:dyDescent="0.25">
      <c r="A232">
        <v>59</v>
      </c>
      <c r="B232" t="s">
        <v>598</v>
      </c>
      <c r="E232" t="s">
        <v>593</v>
      </c>
      <c r="F232">
        <v>2</v>
      </c>
      <c r="G232" s="3">
        <v>42915</v>
      </c>
      <c r="H232">
        <v>3</v>
      </c>
      <c r="I232">
        <v>2.9</v>
      </c>
      <c r="J232">
        <v>200</v>
      </c>
      <c r="K232">
        <v>60</v>
      </c>
      <c r="L232">
        <v>1.78</v>
      </c>
      <c r="M232">
        <v>1.75</v>
      </c>
      <c r="N232">
        <v>1.48</v>
      </c>
      <c r="O232">
        <v>3</v>
      </c>
      <c r="Q232">
        <v>3</v>
      </c>
    </row>
    <row r="233" spans="1:18" x14ac:dyDescent="0.25">
      <c r="A233">
        <v>60</v>
      </c>
      <c r="B233" t="s">
        <v>597</v>
      </c>
      <c r="E233" t="s">
        <v>593</v>
      </c>
      <c r="F233">
        <v>3</v>
      </c>
      <c r="G233" s="3">
        <v>42915</v>
      </c>
      <c r="H233">
        <v>1</v>
      </c>
      <c r="I233">
        <v>0.1</v>
      </c>
      <c r="J233">
        <v>140</v>
      </c>
      <c r="K233">
        <v>90</v>
      </c>
      <c r="L233">
        <v>0.39</v>
      </c>
      <c r="M233" t="s">
        <v>141</v>
      </c>
      <c r="N233" t="s">
        <v>141</v>
      </c>
      <c r="O233">
        <v>3</v>
      </c>
      <c r="Q233">
        <v>3</v>
      </c>
    </row>
    <row r="234" spans="1:18" x14ac:dyDescent="0.25">
      <c r="A234">
        <v>371</v>
      </c>
      <c r="B234" t="s">
        <v>882</v>
      </c>
      <c r="E234" t="s">
        <v>593</v>
      </c>
      <c r="F234">
        <v>4</v>
      </c>
      <c r="G234" s="3">
        <v>42931</v>
      </c>
      <c r="H234">
        <v>6.8</v>
      </c>
      <c r="I234">
        <v>6.4</v>
      </c>
      <c r="J234">
        <v>505</v>
      </c>
      <c r="K234">
        <v>419</v>
      </c>
      <c r="L234">
        <v>1.52</v>
      </c>
      <c r="M234">
        <v>1.86</v>
      </c>
      <c r="N234">
        <v>1.59</v>
      </c>
      <c r="O234">
        <v>2</v>
      </c>
      <c r="P234">
        <v>2784</v>
      </c>
      <c r="Q234">
        <v>2</v>
      </c>
      <c r="R234">
        <v>2784</v>
      </c>
    </row>
    <row r="235" spans="1:18" x14ac:dyDescent="0.25">
      <c r="A235">
        <v>377</v>
      </c>
      <c r="B235" t="s">
        <v>871</v>
      </c>
      <c r="E235" t="s">
        <v>593</v>
      </c>
      <c r="F235">
        <v>5</v>
      </c>
      <c r="G235" s="3">
        <v>42931</v>
      </c>
      <c r="H235">
        <v>9.8000000000000007</v>
      </c>
      <c r="I235">
        <v>8.1999999999999993</v>
      </c>
      <c r="J235">
        <v>458</v>
      </c>
      <c r="K235">
        <v>120</v>
      </c>
      <c r="L235">
        <v>4.8600000000000003</v>
      </c>
      <c r="M235">
        <v>4.5</v>
      </c>
      <c r="N235">
        <v>4.07</v>
      </c>
      <c r="O235">
        <v>3</v>
      </c>
      <c r="Q235">
        <v>3</v>
      </c>
    </row>
    <row r="236" spans="1:18" x14ac:dyDescent="0.25">
      <c r="A236">
        <v>508</v>
      </c>
      <c r="B236" t="s">
        <v>1159</v>
      </c>
      <c r="D236" t="s">
        <v>1110</v>
      </c>
      <c r="E236" t="s">
        <v>593</v>
      </c>
      <c r="G236" s="3">
        <v>42957</v>
      </c>
      <c r="H236">
        <v>12.4</v>
      </c>
      <c r="I236">
        <v>12.3</v>
      </c>
      <c r="J236" t="s">
        <v>141</v>
      </c>
      <c r="K236" t="s">
        <v>141</v>
      </c>
      <c r="L236">
        <v>7.97</v>
      </c>
      <c r="M236">
        <v>6.64</v>
      </c>
      <c r="N236">
        <v>8.06</v>
      </c>
      <c r="O236">
        <v>3</v>
      </c>
      <c r="P236">
        <v>887</v>
      </c>
      <c r="Q236">
        <v>3</v>
      </c>
      <c r="R236">
        <v>887</v>
      </c>
    </row>
    <row r="237" spans="1:18" x14ac:dyDescent="0.25">
      <c r="A237">
        <v>426</v>
      </c>
      <c r="B237" t="s">
        <v>1024</v>
      </c>
      <c r="E237" t="s">
        <v>1016</v>
      </c>
      <c r="F237">
        <v>1</v>
      </c>
      <c r="G237" s="3">
        <v>42942</v>
      </c>
      <c r="H237">
        <v>0.8</v>
      </c>
      <c r="I237">
        <v>0.31</v>
      </c>
      <c r="J237">
        <v>172</v>
      </c>
      <c r="K237">
        <v>30</v>
      </c>
      <c r="L237">
        <v>0.67</v>
      </c>
      <c r="M237" t="s">
        <v>141</v>
      </c>
      <c r="N237" t="s">
        <v>141</v>
      </c>
      <c r="O237">
        <v>4</v>
      </c>
      <c r="Q237">
        <v>4</v>
      </c>
    </row>
    <row r="238" spans="1:18" x14ac:dyDescent="0.25">
      <c r="A238">
        <v>428</v>
      </c>
      <c r="B238" t="s">
        <v>1015</v>
      </c>
      <c r="E238" t="s">
        <v>1016</v>
      </c>
      <c r="F238">
        <v>2</v>
      </c>
      <c r="G238" s="3">
        <v>42942</v>
      </c>
      <c r="H238">
        <v>0.73799999999999999</v>
      </c>
      <c r="I238" t="s">
        <v>141</v>
      </c>
      <c r="J238">
        <v>90</v>
      </c>
      <c r="K238">
        <v>40</v>
      </c>
      <c r="L238">
        <v>0.55000000000000004</v>
      </c>
      <c r="M238" t="s">
        <v>141</v>
      </c>
      <c r="N238" t="s">
        <v>141</v>
      </c>
      <c r="O238">
        <v>4</v>
      </c>
      <c r="Q238">
        <v>4</v>
      </c>
    </row>
    <row r="239" spans="1:18" x14ac:dyDescent="0.25">
      <c r="A239">
        <v>447</v>
      </c>
      <c r="B239" t="s">
        <v>1083</v>
      </c>
      <c r="E239" t="s">
        <v>1016</v>
      </c>
      <c r="F239">
        <v>3</v>
      </c>
      <c r="G239" s="3">
        <v>42951</v>
      </c>
      <c r="H239">
        <v>0.75</v>
      </c>
      <c r="I239">
        <v>0.68</v>
      </c>
      <c r="J239">
        <v>220</v>
      </c>
      <c r="K239">
        <v>100</v>
      </c>
      <c r="L239">
        <v>0.42</v>
      </c>
      <c r="M239" t="s">
        <v>141</v>
      </c>
      <c r="N239" t="s">
        <v>141</v>
      </c>
      <c r="O239">
        <v>3</v>
      </c>
      <c r="Q239">
        <v>3</v>
      </c>
    </row>
    <row r="240" spans="1:18" x14ac:dyDescent="0.25">
      <c r="A240">
        <v>448</v>
      </c>
      <c r="B240" t="s">
        <v>1091</v>
      </c>
      <c r="E240" t="s">
        <v>1016</v>
      </c>
      <c r="F240">
        <v>4</v>
      </c>
      <c r="G240" s="3">
        <v>42951</v>
      </c>
      <c r="H240">
        <v>1.2</v>
      </c>
      <c r="I240">
        <v>0.8</v>
      </c>
      <c r="J240">
        <v>240</v>
      </c>
      <c r="K240">
        <v>150</v>
      </c>
      <c r="L240">
        <v>0.34</v>
      </c>
      <c r="M240" t="s">
        <v>141</v>
      </c>
      <c r="N240" t="s">
        <v>141</v>
      </c>
      <c r="O240">
        <v>4</v>
      </c>
      <c r="Q240">
        <v>4</v>
      </c>
    </row>
    <row r="241" spans="1:18" x14ac:dyDescent="0.25">
      <c r="A241">
        <v>449</v>
      </c>
      <c r="B241" t="s">
        <v>1092</v>
      </c>
      <c r="E241" t="s">
        <v>1016</v>
      </c>
      <c r="F241">
        <v>5</v>
      </c>
      <c r="G241" s="3">
        <v>42951</v>
      </c>
      <c r="H241">
        <v>1.96</v>
      </c>
      <c r="I241">
        <v>1.66</v>
      </c>
      <c r="J241">
        <v>385</v>
      </c>
      <c r="K241">
        <v>245</v>
      </c>
      <c r="L241">
        <v>0.5</v>
      </c>
      <c r="M241" t="s">
        <v>141</v>
      </c>
      <c r="N241" t="s">
        <v>141</v>
      </c>
      <c r="O241">
        <v>4</v>
      </c>
      <c r="Q241">
        <v>4</v>
      </c>
    </row>
    <row r="242" spans="1:18" x14ac:dyDescent="0.25">
      <c r="A242">
        <v>430</v>
      </c>
      <c r="B242" t="s">
        <v>875</v>
      </c>
      <c r="E242" t="s">
        <v>876</v>
      </c>
      <c r="F242">
        <v>1</v>
      </c>
      <c r="G242" s="3">
        <v>42943</v>
      </c>
      <c r="H242">
        <v>6.8</v>
      </c>
      <c r="I242">
        <v>6</v>
      </c>
      <c r="J242">
        <v>810</v>
      </c>
      <c r="K242">
        <v>330</v>
      </c>
      <c r="L242">
        <v>3.3</v>
      </c>
      <c r="M242">
        <v>2.91</v>
      </c>
      <c r="N242">
        <v>3.88</v>
      </c>
      <c r="O242">
        <v>3</v>
      </c>
      <c r="P242" t="s">
        <v>1047</v>
      </c>
      <c r="Q242">
        <v>3</v>
      </c>
      <c r="R242" t="s">
        <v>1047</v>
      </c>
    </row>
    <row r="243" spans="1:18" x14ac:dyDescent="0.25">
      <c r="A243">
        <v>438</v>
      </c>
      <c r="B243" t="s">
        <v>1022</v>
      </c>
      <c r="E243" t="s">
        <v>876</v>
      </c>
      <c r="F243">
        <v>2</v>
      </c>
      <c r="G243" s="3">
        <v>42943</v>
      </c>
      <c r="H243">
        <v>4.9000000000000004</v>
      </c>
      <c r="I243">
        <v>4.5</v>
      </c>
      <c r="J243">
        <v>505</v>
      </c>
      <c r="K243">
        <v>270</v>
      </c>
      <c r="L243">
        <v>2.61</v>
      </c>
      <c r="M243">
        <v>2.15</v>
      </c>
      <c r="N243">
        <v>2.02</v>
      </c>
      <c r="O243">
        <v>2</v>
      </c>
      <c r="Q243">
        <v>2</v>
      </c>
    </row>
    <row r="244" spans="1:18" x14ac:dyDescent="0.25">
      <c r="A244">
        <v>439</v>
      </c>
      <c r="B244" t="s">
        <v>1021</v>
      </c>
      <c r="E244" t="s">
        <v>876</v>
      </c>
      <c r="F244">
        <v>3</v>
      </c>
      <c r="G244" s="3">
        <v>42943</v>
      </c>
      <c r="H244">
        <v>3.8</v>
      </c>
      <c r="I244">
        <v>3.8</v>
      </c>
      <c r="J244">
        <v>1200</v>
      </c>
      <c r="K244">
        <v>700</v>
      </c>
      <c r="L244">
        <v>1.61</v>
      </c>
      <c r="M244">
        <v>2.25</v>
      </c>
      <c r="N244">
        <v>3.84</v>
      </c>
      <c r="O244">
        <v>3</v>
      </c>
      <c r="Q244">
        <v>3</v>
      </c>
    </row>
    <row r="245" spans="1:18" x14ac:dyDescent="0.25">
      <c r="A245">
        <v>420</v>
      </c>
      <c r="B245" t="s">
        <v>1005</v>
      </c>
      <c r="E245" t="s">
        <v>876</v>
      </c>
      <c r="F245">
        <v>4</v>
      </c>
      <c r="G245" s="3">
        <v>42942</v>
      </c>
      <c r="H245" t="s">
        <v>1032</v>
      </c>
      <c r="I245" t="s">
        <v>1036</v>
      </c>
      <c r="J245">
        <v>455</v>
      </c>
      <c r="K245">
        <v>272</v>
      </c>
      <c r="L245">
        <v>1.6</v>
      </c>
      <c r="M245">
        <v>1.63</v>
      </c>
      <c r="N245">
        <v>1.87</v>
      </c>
      <c r="O245">
        <v>4</v>
      </c>
      <c r="Q245">
        <v>4</v>
      </c>
    </row>
    <row r="246" spans="1:18" x14ac:dyDescent="0.25">
      <c r="A246">
        <v>442</v>
      </c>
      <c r="B246" t="s">
        <v>1089</v>
      </c>
      <c r="E246" t="s">
        <v>876</v>
      </c>
      <c r="F246">
        <v>5</v>
      </c>
      <c r="G246" s="3">
        <v>42951</v>
      </c>
      <c r="H246">
        <v>13.7</v>
      </c>
      <c r="I246">
        <v>9.3000000000000007</v>
      </c>
      <c r="J246">
        <v>765</v>
      </c>
      <c r="K246">
        <v>400</v>
      </c>
      <c r="L246">
        <v>13.71</v>
      </c>
      <c r="M246">
        <v>13.25</v>
      </c>
      <c r="N246">
        <v>15.46</v>
      </c>
      <c r="O246">
        <v>4</v>
      </c>
      <c r="Q246">
        <v>4</v>
      </c>
    </row>
    <row r="247" spans="1:18" x14ac:dyDescent="0.25">
      <c r="A247">
        <v>308</v>
      </c>
      <c r="B247" t="s">
        <v>810</v>
      </c>
      <c r="E247" t="s">
        <v>811</v>
      </c>
      <c r="F247">
        <v>1</v>
      </c>
      <c r="G247" s="3">
        <v>42927</v>
      </c>
      <c r="H247">
        <v>5.8</v>
      </c>
      <c r="I247">
        <v>4.5999999999999996</v>
      </c>
      <c r="J247">
        <v>340</v>
      </c>
      <c r="K247">
        <v>150</v>
      </c>
      <c r="L247">
        <v>10.02</v>
      </c>
      <c r="M247">
        <v>8.6300000000000008</v>
      </c>
      <c r="N247">
        <v>10.68</v>
      </c>
      <c r="O247">
        <v>4</v>
      </c>
      <c r="Q247">
        <v>4</v>
      </c>
    </row>
    <row r="248" spans="1:18" x14ac:dyDescent="0.25">
      <c r="A248">
        <v>407</v>
      </c>
      <c r="B248" t="s">
        <v>900</v>
      </c>
      <c r="E248" t="s">
        <v>811</v>
      </c>
      <c r="F248">
        <v>2</v>
      </c>
      <c r="G248" s="3">
        <v>42934</v>
      </c>
      <c r="H248">
        <v>2.76</v>
      </c>
      <c r="I248">
        <v>2.63</v>
      </c>
      <c r="J248">
        <v>360</v>
      </c>
      <c r="K248">
        <v>240</v>
      </c>
      <c r="L248">
        <v>2.81</v>
      </c>
      <c r="M248">
        <v>3.19</v>
      </c>
      <c r="N248">
        <v>2.83</v>
      </c>
      <c r="O248">
        <v>3</v>
      </c>
      <c r="Q248">
        <v>3</v>
      </c>
    </row>
    <row r="249" spans="1:18" x14ac:dyDescent="0.25">
      <c r="A249">
        <v>414</v>
      </c>
      <c r="B249" t="s">
        <v>902</v>
      </c>
      <c r="E249" t="s">
        <v>811</v>
      </c>
      <c r="F249">
        <v>3</v>
      </c>
      <c r="G249" s="3">
        <v>42934</v>
      </c>
      <c r="H249">
        <v>1.57</v>
      </c>
      <c r="I249">
        <v>0.85</v>
      </c>
      <c r="J249">
        <v>230</v>
      </c>
      <c r="K249">
        <v>60</v>
      </c>
      <c r="L249">
        <v>0.94</v>
      </c>
      <c r="M249" t="s">
        <v>141</v>
      </c>
      <c r="N249" t="s">
        <v>141</v>
      </c>
      <c r="O249">
        <v>3</v>
      </c>
      <c r="Q249">
        <v>3</v>
      </c>
    </row>
    <row r="250" spans="1:18" x14ac:dyDescent="0.25">
      <c r="A250">
        <v>465</v>
      </c>
      <c r="B250" t="s">
        <v>1068</v>
      </c>
      <c r="E250" t="s">
        <v>811</v>
      </c>
      <c r="F250">
        <v>4</v>
      </c>
      <c r="G250" s="3">
        <v>42950</v>
      </c>
      <c r="H250">
        <v>21</v>
      </c>
      <c r="I250">
        <v>15.2</v>
      </c>
      <c r="J250">
        <v>635</v>
      </c>
      <c r="K250">
        <v>435</v>
      </c>
      <c r="L250">
        <v>23.21</v>
      </c>
      <c r="M250">
        <v>15.74</v>
      </c>
      <c r="N250">
        <v>14.27</v>
      </c>
      <c r="O250">
        <v>3</v>
      </c>
      <c r="P250">
        <v>2074</v>
      </c>
      <c r="Q250">
        <v>3</v>
      </c>
      <c r="R250">
        <v>2074</v>
      </c>
    </row>
    <row r="251" spans="1:18" x14ac:dyDescent="0.25">
      <c r="A251">
        <v>464</v>
      </c>
      <c r="B251" t="s">
        <v>1080</v>
      </c>
      <c r="E251" t="s">
        <v>811</v>
      </c>
      <c r="F251">
        <v>5</v>
      </c>
      <c r="G251" s="3">
        <v>42950</v>
      </c>
      <c r="H251">
        <v>30.5</v>
      </c>
      <c r="I251" t="s">
        <v>1109</v>
      </c>
      <c r="J251">
        <v>660</v>
      </c>
      <c r="K251">
        <v>302</v>
      </c>
      <c r="L251">
        <v>13.06</v>
      </c>
      <c r="M251">
        <v>15.23</v>
      </c>
      <c r="N251">
        <v>9.5299999999999994</v>
      </c>
      <c r="O251">
        <v>3</v>
      </c>
      <c r="P251">
        <v>1356</v>
      </c>
      <c r="Q251">
        <v>3</v>
      </c>
      <c r="R251">
        <v>1356</v>
      </c>
    </row>
    <row r="252" spans="1:18" x14ac:dyDescent="0.25">
      <c r="A252">
        <v>103</v>
      </c>
      <c r="B252" t="s">
        <v>30</v>
      </c>
      <c r="E252" t="s">
        <v>355</v>
      </c>
      <c r="F252">
        <v>1</v>
      </c>
      <c r="G252" s="3">
        <v>42901</v>
      </c>
      <c r="H252">
        <v>4.8</v>
      </c>
      <c r="I252">
        <v>3.8</v>
      </c>
      <c r="J252">
        <v>360</v>
      </c>
      <c r="K252">
        <v>200</v>
      </c>
      <c r="L252">
        <v>9.07</v>
      </c>
      <c r="M252">
        <v>9.61</v>
      </c>
      <c r="N252">
        <v>9.85</v>
      </c>
      <c r="O252">
        <v>4</v>
      </c>
      <c r="Q252">
        <v>4</v>
      </c>
    </row>
    <row r="253" spans="1:18" x14ac:dyDescent="0.25">
      <c r="A253">
        <v>164</v>
      </c>
      <c r="B253" t="s">
        <v>89</v>
      </c>
      <c r="E253" t="s">
        <v>355</v>
      </c>
      <c r="F253">
        <v>2</v>
      </c>
      <c r="G253" s="3">
        <v>42900</v>
      </c>
      <c r="H253">
        <v>4.5</v>
      </c>
      <c r="I253" t="s">
        <v>725</v>
      </c>
      <c r="J253">
        <v>252</v>
      </c>
      <c r="K253">
        <v>110</v>
      </c>
      <c r="L253">
        <v>6.7</v>
      </c>
      <c r="M253">
        <v>6.05</v>
      </c>
      <c r="N253">
        <v>5.19</v>
      </c>
      <c r="O253">
        <v>4</v>
      </c>
      <c r="Q253">
        <v>4</v>
      </c>
    </row>
    <row r="254" spans="1:18" x14ac:dyDescent="0.25">
      <c r="A254">
        <v>246</v>
      </c>
      <c r="B254" t="s">
        <v>75</v>
      </c>
      <c r="E254" t="s">
        <v>355</v>
      </c>
      <c r="F254">
        <v>3</v>
      </c>
      <c r="G254" s="3">
        <v>42898</v>
      </c>
      <c r="H254">
        <v>6.2</v>
      </c>
      <c r="I254">
        <v>5</v>
      </c>
      <c r="J254">
        <v>350</v>
      </c>
      <c r="K254">
        <v>202</v>
      </c>
      <c r="L254">
        <v>9.68</v>
      </c>
      <c r="M254">
        <v>9.91</v>
      </c>
      <c r="N254">
        <v>9.9600000000000009</v>
      </c>
      <c r="O254">
        <v>3</v>
      </c>
      <c r="Q254">
        <v>3</v>
      </c>
    </row>
    <row r="255" spans="1:18" x14ac:dyDescent="0.25">
      <c r="A255">
        <v>245</v>
      </c>
      <c r="B255" t="s">
        <v>85</v>
      </c>
      <c r="E255" t="s">
        <v>355</v>
      </c>
      <c r="F255">
        <v>4</v>
      </c>
      <c r="G255" s="3">
        <v>42898</v>
      </c>
      <c r="H255">
        <v>7.8</v>
      </c>
      <c r="I255">
        <v>6.9</v>
      </c>
      <c r="J255">
        <v>380</v>
      </c>
      <c r="K255">
        <v>169</v>
      </c>
      <c r="L255">
        <v>1.714</v>
      </c>
      <c r="M255">
        <v>1.526</v>
      </c>
      <c r="N255">
        <v>1.32</v>
      </c>
      <c r="O255">
        <v>4</v>
      </c>
      <c r="Q255">
        <v>4</v>
      </c>
    </row>
    <row r="256" spans="1:18" x14ac:dyDescent="0.25">
      <c r="A256">
        <v>267</v>
      </c>
      <c r="B256" t="s">
        <v>1244</v>
      </c>
      <c r="C256" t="s">
        <v>215</v>
      </c>
      <c r="E256" t="s">
        <v>355</v>
      </c>
      <c r="F256">
        <v>5</v>
      </c>
      <c r="G256" s="3">
        <v>42901</v>
      </c>
      <c r="H256">
        <v>2.8</v>
      </c>
      <c r="I256">
        <v>1.2</v>
      </c>
      <c r="J256">
        <v>180</v>
      </c>
      <c r="K256">
        <v>120</v>
      </c>
      <c r="L256">
        <v>9.64</v>
      </c>
      <c r="M256">
        <v>10.74</v>
      </c>
      <c r="N256">
        <v>8.33</v>
      </c>
      <c r="P256">
        <v>1159</v>
      </c>
      <c r="R256">
        <v>1159</v>
      </c>
    </row>
    <row r="257" spans="1:18" x14ac:dyDescent="0.25">
      <c r="A257">
        <v>497</v>
      </c>
      <c r="B257" t="s">
        <v>1143</v>
      </c>
      <c r="D257" t="s">
        <v>1110</v>
      </c>
      <c r="E257" t="s">
        <v>355</v>
      </c>
      <c r="G257" s="3">
        <v>42956</v>
      </c>
      <c r="H257">
        <v>40.9</v>
      </c>
      <c r="I257">
        <v>37.9</v>
      </c>
      <c r="J257">
        <v>1200</v>
      </c>
      <c r="K257">
        <v>582</v>
      </c>
      <c r="L257">
        <v>42.09</v>
      </c>
      <c r="M257">
        <v>33.72</v>
      </c>
      <c r="N257">
        <v>44.21</v>
      </c>
      <c r="O257">
        <v>4</v>
      </c>
      <c r="P257" t="s">
        <v>1154</v>
      </c>
      <c r="Q257">
        <v>4</v>
      </c>
      <c r="R257" t="s">
        <v>1154</v>
      </c>
    </row>
    <row r="258" spans="1:18" x14ac:dyDescent="0.25">
      <c r="A258">
        <v>500</v>
      </c>
      <c r="B258" t="s">
        <v>1145</v>
      </c>
      <c r="D258" t="s">
        <v>1110</v>
      </c>
      <c r="E258" t="s">
        <v>355</v>
      </c>
      <c r="G258" s="3">
        <v>42956</v>
      </c>
      <c r="H258">
        <v>42.2</v>
      </c>
      <c r="I258">
        <v>36.1</v>
      </c>
      <c r="J258">
        <v>1100</v>
      </c>
      <c r="K258">
        <v>373</v>
      </c>
      <c r="L258">
        <v>56.88</v>
      </c>
      <c r="M258">
        <v>44.03</v>
      </c>
      <c r="N258">
        <v>46.6</v>
      </c>
      <c r="O258">
        <v>5</v>
      </c>
      <c r="P258" t="s">
        <v>1154</v>
      </c>
      <c r="Q258">
        <v>5</v>
      </c>
      <c r="R258" t="s">
        <v>1154</v>
      </c>
    </row>
    <row r="259" spans="1:18" x14ac:dyDescent="0.25">
      <c r="A259">
        <v>509</v>
      </c>
      <c r="B259" t="s">
        <v>1160</v>
      </c>
      <c r="D259" t="s">
        <v>1110</v>
      </c>
      <c r="E259" t="s">
        <v>355</v>
      </c>
      <c r="G259" s="3">
        <v>42957</v>
      </c>
      <c r="H259">
        <v>26</v>
      </c>
      <c r="I259">
        <v>27</v>
      </c>
      <c r="J259" t="s">
        <v>141</v>
      </c>
      <c r="K259" t="s">
        <v>141</v>
      </c>
      <c r="L259">
        <v>27.41</v>
      </c>
      <c r="M259">
        <v>36.93</v>
      </c>
      <c r="N259">
        <v>35.49</v>
      </c>
      <c r="O259">
        <v>4</v>
      </c>
      <c r="Q259">
        <v>4</v>
      </c>
    </row>
    <row r="260" spans="1:18" x14ac:dyDescent="0.25">
      <c r="A260">
        <v>127</v>
      </c>
      <c r="B260" t="s">
        <v>6</v>
      </c>
      <c r="E260" t="s">
        <v>377</v>
      </c>
      <c r="F260">
        <v>1</v>
      </c>
      <c r="G260" s="3">
        <v>42901</v>
      </c>
      <c r="H260">
        <v>3.4</v>
      </c>
      <c r="I260">
        <v>2.2000000000000002</v>
      </c>
      <c r="J260">
        <v>290</v>
      </c>
      <c r="K260">
        <v>140</v>
      </c>
      <c r="L260">
        <v>1.9</v>
      </c>
      <c r="M260">
        <v>1.6</v>
      </c>
      <c r="N260">
        <v>1.56</v>
      </c>
      <c r="O260">
        <v>3</v>
      </c>
      <c r="Q260">
        <v>3</v>
      </c>
    </row>
    <row r="261" spans="1:18" x14ac:dyDescent="0.25">
      <c r="A261">
        <v>35</v>
      </c>
      <c r="B261" t="s">
        <v>607</v>
      </c>
      <c r="E261" t="s">
        <v>377</v>
      </c>
      <c r="F261">
        <v>2</v>
      </c>
      <c r="G261" s="3">
        <v>42915</v>
      </c>
      <c r="H261">
        <v>8.3000000000000007</v>
      </c>
      <c r="I261">
        <v>6.5</v>
      </c>
      <c r="J261">
        <v>750</v>
      </c>
      <c r="K261">
        <v>255</v>
      </c>
      <c r="L261">
        <v>3.34</v>
      </c>
      <c r="M261">
        <v>2.84</v>
      </c>
      <c r="N261">
        <v>3.08</v>
      </c>
      <c r="O261">
        <v>5</v>
      </c>
      <c r="Q261">
        <v>5</v>
      </c>
    </row>
    <row r="262" spans="1:18" x14ac:dyDescent="0.25">
      <c r="A262">
        <v>48</v>
      </c>
      <c r="B262" t="s">
        <v>621</v>
      </c>
      <c r="E262" t="s">
        <v>377</v>
      </c>
      <c r="F262">
        <v>3</v>
      </c>
      <c r="G262" s="3">
        <v>42915</v>
      </c>
      <c r="H262">
        <v>23.9</v>
      </c>
      <c r="I262">
        <v>22</v>
      </c>
      <c r="J262">
        <v>1200</v>
      </c>
      <c r="K262">
        <v>410</v>
      </c>
      <c r="L262">
        <v>7.59</v>
      </c>
      <c r="M262">
        <v>6.9</v>
      </c>
      <c r="N262">
        <v>8.14</v>
      </c>
      <c r="O262">
        <v>5</v>
      </c>
      <c r="Q262">
        <v>5</v>
      </c>
    </row>
    <row r="263" spans="1:18" x14ac:dyDescent="0.25">
      <c r="A263">
        <v>50</v>
      </c>
      <c r="B263" t="s">
        <v>619</v>
      </c>
      <c r="E263" t="s">
        <v>377</v>
      </c>
      <c r="F263">
        <v>4</v>
      </c>
      <c r="G263" s="3">
        <v>42915</v>
      </c>
      <c r="H263">
        <v>13.5</v>
      </c>
      <c r="I263">
        <v>12.7</v>
      </c>
      <c r="J263">
        <v>1050</v>
      </c>
      <c r="K263">
        <v>510</v>
      </c>
      <c r="L263">
        <v>4.4400000000000004</v>
      </c>
      <c r="M263">
        <v>5.14</v>
      </c>
      <c r="N263">
        <v>3.95</v>
      </c>
      <c r="O263">
        <v>3</v>
      </c>
      <c r="Q263">
        <v>3</v>
      </c>
    </row>
    <row r="264" spans="1:18" x14ac:dyDescent="0.25">
      <c r="A264">
        <v>230</v>
      </c>
      <c r="B264" t="s">
        <v>759</v>
      </c>
      <c r="E264" t="s">
        <v>377</v>
      </c>
      <c r="F264">
        <v>5</v>
      </c>
      <c r="G264" s="3">
        <v>42923</v>
      </c>
      <c r="H264">
        <v>13.2</v>
      </c>
      <c r="I264">
        <v>12.4</v>
      </c>
      <c r="J264">
        <v>725</v>
      </c>
      <c r="K264">
        <v>265</v>
      </c>
      <c r="L264">
        <v>3.81</v>
      </c>
      <c r="M264">
        <v>3.31</v>
      </c>
      <c r="N264">
        <v>3.19</v>
      </c>
      <c r="O264">
        <v>5</v>
      </c>
      <c r="Q264">
        <v>5</v>
      </c>
    </row>
    <row r="265" spans="1:18" x14ac:dyDescent="0.25">
      <c r="A265">
        <v>140</v>
      </c>
      <c r="B265" t="s">
        <v>115</v>
      </c>
      <c r="E265" t="s">
        <v>375</v>
      </c>
      <c r="F265">
        <v>1</v>
      </c>
      <c r="G265" s="3">
        <v>42900</v>
      </c>
      <c r="H265" t="s">
        <v>695</v>
      </c>
      <c r="I265" t="s">
        <v>703</v>
      </c>
      <c r="J265">
        <v>302</v>
      </c>
      <c r="K265">
        <v>58</v>
      </c>
      <c r="L265">
        <v>1.38</v>
      </c>
      <c r="M265">
        <v>1.05</v>
      </c>
      <c r="N265">
        <v>1.36</v>
      </c>
      <c r="O265">
        <v>4</v>
      </c>
      <c r="Q265">
        <v>4</v>
      </c>
    </row>
    <row r="266" spans="1:18" x14ac:dyDescent="0.25">
      <c r="A266">
        <v>166</v>
      </c>
      <c r="B266" t="s">
        <v>90</v>
      </c>
      <c r="E266" t="s">
        <v>375</v>
      </c>
      <c r="F266">
        <v>2</v>
      </c>
      <c r="G266" s="3">
        <v>42900</v>
      </c>
      <c r="H266" t="s">
        <v>717</v>
      </c>
      <c r="I266" t="s">
        <v>727</v>
      </c>
      <c r="J266">
        <v>260</v>
      </c>
      <c r="K266">
        <v>32</v>
      </c>
      <c r="L266">
        <v>1.64</v>
      </c>
      <c r="M266">
        <v>1.71</v>
      </c>
      <c r="N266">
        <v>1.35</v>
      </c>
      <c r="O266">
        <v>4</v>
      </c>
      <c r="Q266">
        <v>4</v>
      </c>
    </row>
    <row r="267" spans="1:18" x14ac:dyDescent="0.25">
      <c r="A267">
        <v>256</v>
      </c>
      <c r="B267" t="s">
        <v>1245</v>
      </c>
      <c r="C267" t="s">
        <v>277</v>
      </c>
      <c r="E267" t="s">
        <v>375</v>
      </c>
      <c r="F267">
        <v>3</v>
      </c>
      <c r="G267" s="3">
        <v>42901</v>
      </c>
      <c r="H267">
        <v>1.8</v>
      </c>
      <c r="I267">
        <v>1.9</v>
      </c>
      <c r="J267">
        <v>400</v>
      </c>
      <c r="K267">
        <v>200</v>
      </c>
      <c r="L267">
        <v>4.09</v>
      </c>
      <c r="M267">
        <v>3.5</v>
      </c>
      <c r="N267">
        <v>3</v>
      </c>
      <c r="P267">
        <v>1362</v>
      </c>
      <c r="R267">
        <v>1362</v>
      </c>
    </row>
    <row r="268" spans="1:18" x14ac:dyDescent="0.25">
      <c r="A268">
        <v>26</v>
      </c>
      <c r="B268" t="s">
        <v>539</v>
      </c>
      <c r="E268" t="s">
        <v>375</v>
      </c>
      <c r="F268">
        <v>4</v>
      </c>
      <c r="G268" s="3">
        <v>42909</v>
      </c>
      <c r="H268" t="s">
        <v>575</v>
      </c>
      <c r="I268" t="s">
        <v>584</v>
      </c>
      <c r="J268">
        <v>260</v>
      </c>
      <c r="K268">
        <v>170</v>
      </c>
      <c r="L268">
        <v>0.7</v>
      </c>
      <c r="M268" t="s">
        <v>141</v>
      </c>
      <c r="N268" t="s">
        <v>141</v>
      </c>
      <c r="O268">
        <v>4</v>
      </c>
      <c r="Q268">
        <v>4</v>
      </c>
    </row>
    <row r="269" spans="1:18" x14ac:dyDescent="0.25">
      <c r="A269">
        <v>27</v>
      </c>
      <c r="B269" t="s">
        <v>532</v>
      </c>
      <c r="E269" t="s">
        <v>375</v>
      </c>
      <c r="F269">
        <v>5</v>
      </c>
      <c r="G269" s="3">
        <v>42909</v>
      </c>
      <c r="H269">
        <v>4.9000000000000004</v>
      </c>
      <c r="I269" t="s">
        <v>585</v>
      </c>
      <c r="J269">
        <v>230</v>
      </c>
      <c r="K269">
        <v>110</v>
      </c>
      <c r="L269">
        <v>4.01</v>
      </c>
      <c r="M269">
        <v>3.5</v>
      </c>
      <c r="N269">
        <v>3.54</v>
      </c>
      <c r="O269">
        <v>3</v>
      </c>
      <c r="Q269">
        <v>3</v>
      </c>
    </row>
    <row r="270" spans="1:18" x14ac:dyDescent="0.25">
      <c r="A270">
        <v>523</v>
      </c>
      <c r="B270" t="s">
        <v>1174</v>
      </c>
      <c r="D270" t="s">
        <v>1110</v>
      </c>
      <c r="E270" t="s">
        <v>375</v>
      </c>
      <c r="G270" s="3">
        <v>42957</v>
      </c>
      <c r="H270">
        <v>14.1</v>
      </c>
      <c r="I270">
        <v>13</v>
      </c>
      <c r="J270" t="s">
        <v>141</v>
      </c>
      <c r="K270" t="s">
        <v>141</v>
      </c>
      <c r="L270">
        <v>5.4</v>
      </c>
      <c r="M270">
        <v>4.9800000000000004</v>
      </c>
      <c r="N270">
        <v>3.51</v>
      </c>
      <c r="O270">
        <v>4</v>
      </c>
      <c r="P270">
        <v>2690</v>
      </c>
      <c r="Q270">
        <v>4</v>
      </c>
      <c r="R270">
        <v>2690</v>
      </c>
    </row>
    <row r="271" spans="1:18" x14ac:dyDescent="0.25">
      <c r="A271">
        <v>524</v>
      </c>
      <c r="B271" t="s">
        <v>1175</v>
      </c>
      <c r="D271" t="s">
        <v>1110</v>
      </c>
      <c r="E271" t="s">
        <v>375</v>
      </c>
      <c r="G271" s="3">
        <v>42957</v>
      </c>
      <c r="H271">
        <v>29.4</v>
      </c>
      <c r="I271">
        <v>26.2</v>
      </c>
      <c r="J271" t="s">
        <v>141</v>
      </c>
      <c r="K271" t="s">
        <v>141</v>
      </c>
      <c r="L271">
        <v>7.3</v>
      </c>
      <c r="M271">
        <v>6.54</v>
      </c>
      <c r="N271">
        <v>5.81</v>
      </c>
      <c r="O271">
        <v>4</v>
      </c>
      <c r="P271">
        <v>2695</v>
      </c>
      <c r="Q271">
        <v>4</v>
      </c>
      <c r="R271">
        <v>2695</v>
      </c>
    </row>
    <row r="272" spans="1:18" x14ac:dyDescent="0.25">
      <c r="A272">
        <v>107</v>
      </c>
      <c r="B272" t="s">
        <v>25</v>
      </c>
      <c r="E272" t="s">
        <v>352</v>
      </c>
      <c r="F272">
        <v>1</v>
      </c>
      <c r="G272" s="3">
        <v>42901</v>
      </c>
      <c r="H272">
        <v>11.7</v>
      </c>
      <c r="I272" t="s">
        <v>677</v>
      </c>
      <c r="J272">
        <v>290</v>
      </c>
      <c r="K272">
        <v>40</v>
      </c>
      <c r="L272">
        <v>16.7</v>
      </c>
      <c r="M272">
        <v>9.9</v>
      </c>
      <c r="N272">
        <v>6.4</v>
      </c>
      <c r="O272">
        <v>4</v>
      </c>
      <c r="Q272">
        <v>4</v>
      </c>
    </row>
    <row r="273" spans="1:18" x14ac:dyDescent="0.25">
      <c r="A273">
        <v>404</v>
      </c>
      <c r="B273" t="s">
        <v>894</v>
      </c>
      <c r="E273" t="s">
        <v>352</v>
      </c>
      <c r="F273">
        <v>2</v>
      </c>
      <c r="G273" s="3">
        <v>42934</v>
      </c>
      <c r="H273" t="s">
        <v>991</v>
      </c>
      <c r="I273" t="s">
        <v>992</v>
      </c>
      <c r="J273">
        <v>292</v>
      </c>
      <c r="K273">
        <v>30</v>
      </c>
      <c r="L273">
        <v>7.22</v>
      </c>
      <c r="M273">
        <v>6.1</v>
      </c>
      <c r="N273">
        <v>5.63</v>
      </c>
      <c r="O273">
        <v>4</v>
      </c>
      <c r="Q273">
        <v>4</v>
      </c>
    </row>
    <row r="274" spans="1:18" x14ac:dyDescent="0.25">
      <c r="A274">
        <v>363</v>
      </c>
      <c r="B274" t="s">
        <v>983</v>
      </c>
      <c r="E274" t="s">
        <v>352</v>
      </c>
      <c r="F274">
        <v>4</v>
      </c>
      <c r="G274" s="3">
        <v>42940</v>
      </c>
      <c r="H274">
        <v>16.600000000000001</v>
      </c>
      <c r="I274">
        <v>11.6</v>
      </c>
      <c r="J274">
        <v>483</v>
      </c>
      <c r="K274">
        <v>241</v>
      </c>
      <c r="L274">
        <v>15.15</v>
      </c>
      <c r="M274">
        <v>11.27</v>
      </c>
      <c r="N274">
        <v>21.09</v>
      </c>
      <c r="O274">
        <v>3</v>
      </c>
      <c r="P274">
        <v>2699</v>
      </c>
      <c r="Q274">
        <v>3</v>
      </c>
      <c r="R274">
        <v>2699</v>
      </c>
    </row>
    <row r="275" spans="1:18" x14ac:dyDescent="0.25">
      <c r="A275">
        <v>450</v>
      </c>
      <c r="B275" t="s">
        <v>1081</v>
      </c>
      <c r="E275" t="s">
        <v>352</v>
      </c>
      <c r="F275">
        <v>5</v>
      </c>
      <c r="G275" s="3">
        <v>42951</v>
      </c>
      <c r="H275">
        <v>4.4000000000000004</v>
      </c>
      <c r="I275">
        <v>2.2999999999999998</v>
      </c>
      <c r="J275">
        <v>290</v>
      </c>
      <c r="K275">
        <v>110</v>
      </c>
      <c r="L275">
        <v>7.38</v>
      </c>
      <c r="M275" t="s">
        <v>141</v>
      </c>
      <c r="N275" t="s">
        <v>141</v>
      </c>
      <c r="O275">
        <v>3</v>
      </c>
      <c r="Q275">
        <v>3</v>
      </c>
    </row>
    <row r="276" spans="1:18" x14ac:dyDescent="0.25">
      <c r="A276">
        <v>272</v>
      </c>
      <c r="B276" t="s">
        <v>1246</v>
      </c>
      <c r="C276" t="s">
        <v>242</v>
      </c>
      <c r="E276" t="s">
        <v>388</v>
      </c>
      <c r="F276">
        <v>1</v>
      </c>
      <c r="G276" s="3">
        <v>42901</v>
      </c>
      <c r="H276">
        <v>2.8</v>
      </c>
      <c r="I276">
        <v>1.5</v>
      </c>
      <c r="J276">
        <v>250</v>
      </c>
      <c r="K276">
        <v>150</v>
      </c>
      <c r="L276">
        <v>2.4</v>
      </c>
      <c r="M276">
        <v>2.0699999999999998</v>
      </c>
      <c r="N276">
        <v>2.58</v>
      </c>
      <c r="P276">
        <v>1238</v>
      </c>
      <c r="R276">
        <v>1238</v>
      </c>
    </row>
    <row r="277" spans="1:18" x14ac:dyDescent="0.25">
      <c r="A277">
        <v>257</v>
      </c>
      <c r="B277" t="s">
        <v>1247</v>
      </c>
      <c r="C277" t="s">
        <v>245</v>
      </c>
      <c r="E277" t="s">
        <v>388</v>
      </c>
      <c r="F277">
        <v>2</v>
      </c>
      <c r="G277" s="3">
        <v>42901</v>
      </c>
      <c r="H277" t="s">
        <v>1049</v>
      </c>
      <c r="I277" t="s">
        <v>1050</v>
      </c>
      <c r="J277">
        <v>600</v>
      </c>
      <c r="K277">
        <v>120</v>
      </c>
      <c r="L277">
        <v>9.43</v>
      </c>
      <c r="M277">
        <v>10.6</v>
      </c>
      <c r="N277">
        <v>9.56</v>
      </c>
      <c r="P277">
        <v>1620</v>
      </c>
      <c r="R277">
        <v>1620</v>
      </c>
    </row>
    <row r="278" spans="1:18" x14ac:dyDescent="0.25">
      <c r="A278">
        <v>90</v>
      </c>
      <c r="B278" t="s">
        <v>283</v>
      </c>
      <c r="E278" t="s">
        <v>388</v>
      </c>
      <c r="F278">
        <v>3</v>
      </c>
      <c r="G278" s="3">
        <v>42902</v>
      </c>
      <c r="H278" t="s">
        <v>662</v>
      </c>
      <c r="I278" t="s">
        <v>671</v>
      </c>
      <c r="J278">
        <v>355</v>
      </c>
      <c r="K278">
        <v>50</v>
      </c>
      <c r="L278">
        <v>4.1399999999999997</v>
      </c>
      <c r="M278">
        <v>3.33</v>
      </c>
      <c r="N278">
        <v>4.12</v>
      </c>
      <c r="O278">
        <v>3</v>
      </c>
      <c r="Q278">
        <v>3</v>
      </c>
    </row>
    <row r="279" spans="1:18" x14ac:dyDescent="0.25">
      <c r="A279">
        <v>219</v>
      </c>
      <c r="B279" t="s">
        <v>421</v>
      </c>
      <c r="E279" t="s">
        <v>388</v>
      </c>
      <c r="F279">
        <v>4</v>
      </c>
      <c r="G279" s="3">
        <v>42906</v>
      </c>
      <c r="H279">
        <v>9.9</v>
      </c>
      <c r="I279">
        <v>7.8</v>
      </c>
      <c r="J279">
        <v>433</v>
      </c>
      <c r="K279">
        <v>60</v>
      </c>
      <c r="L279">
        <v>6.66</v>
      </c>
      <c r="M279">
        <v>7.35</v>
      </c>
      <c r="N279">
        <v>7.16</v>
      </c>
      <c r="O279">
        <v>5</v>
      </c>
      <c r="Q279">
        <v>5</v>
      </c>
    </row>
    <row r="280" spans="1:18" x14ac:dyDescent="0.25">
      <c r="A280">
        <v>29</v>
      </c>
      <c r="B280" t="s">
        <v>514</v>
      </c>
      <c r="E280" t="s">
        <v>388</v>
      </c>
      <c r="F280">
        <v>5</v>
      </c>
      <c r="G280" s="3">
        <v>42909</v>
      </c>
      <c r="H280">
        <v>15.2</v>
      </c>
      <c r="I280">
        <v>1.1499999999999999</v>
      </c>
      <c r="J280">
        <v>550</v>
      </c>
      <c r="K280">
        <v>170</v>
      </c>
      <c r="L280">
        <v>8.14</v>
      </c>
      <c r="M280">
        <v>7.81</v>
      </c>
      <c r="N280">
        <v>7.69</v>
      </c>
      <c r="O280">
        <v>4</v>
      </c>
      <c r="Q280">
        <v>4</v>
      </c>
    </row>
    <row r="281" spans="1:18" x14ac:dyDescent="0.25">
      <c r="A281">
        <v>243</v>
      </c>
      <c r="B281" t="s">
        <v>87</v>
      </c>
      <c r="E281" t="s">
        <v>367</v>
      </c>
      <c r="F281">
        <v>1</v>
      </c>
      <c r="G281" s="3">
        <v>42898</v>
      </c>
      <c r="H281" t="s">
        <v>794</v>
      </c>
      <c r="I281" t="s">
        <v>795</v>
      </c>
      <c r="J281">
        <v>270</v>
      </c>
      <c r="K281">
        <v>82</v>
      </c>
      <c r="L281">
        <v>3.1</v>
      </c>
      <c r="M281">
        <v>3.9</v>
      </c>
      <c r="N281">
        <v>3.5</v>
      </c>
      <c r="O281">
        <v>3</v>
      </c>
      <c r="Q281">
        <v>3</v>
      </c>
    </row>
    <row r="282" spans="1:18" x14ac:dyDescent="0.25">
      <c r="A282">
        <v>253</v>
      </c>
      <c r="B282" t="s">
        <v>1216</v>
      </c>
      <c r="C282" t="s">
        <v>265</v>
      </c>
      <c r="E282" t="s">
        <v>367</v>
      </c>
      <c r="F282">
        <v>2</v>
      </c>
      <c r="G282" s="3">
        <v>42901</v>
      </c>
      <c r="H282">
        <v>5.6</v>
      </c>
      <c r="I282">
        <v>1.8</v>
      </c>
      <c r="J282">
        <v>400</v>
      </c>
      <c r="K282">
        <v>220</v>
      </c>
      <c r="L282">
        <v>9.14</v>
      </c>
      <c r="M282">
        <v>6.18</v>
      </c>
      <c r="N282">
        <v>6.06</v>
      </c>
      <c r="P282">
        <v>1665</v>
      </c>
      <c r="R282">
        <v>1665</v>
      </c>
    </row>
    <row r="283" spans="1:18" x14ac:dyDescent="0.25">
      <c r="A283">
        <v>83</v>
      </c>
      <c r="B283" t="s">
        <v>1217</v>
      </c>
      <c r="C283" t="s">
        <v>302</v>
      </c>
      <c r="E283" t="s">
        <v>367</v>
      </c>
      <c r="F283">
        <v>3</v>
      </c>
      <c r="G283" s="3">
        <v>42902</v>
      </c>
      <c r="H283">
        <v>6.8</v>
      </c>
      <c r="I283" t="s">
        <v>668</v>
      </c>
      <c r="J283">
        <v>290</v>
      </c>
      <c r="K283">
        <v>30</v>
      </c>
      <c r="L283">
        <v>8.86</v>
      </c>
      <c r="M283">
        <v>9.61</v>
      </c>
      <c r="N283">
        <v>9.4700000000000006</v>
      </c>
      <c r="O283">
        <v>5</v>
      </c>
      <c r="Q283">
        <v>5</v>
      </c>
    </row>
    <row r="284" spans="1:18" x14ac:dyDescent="0.25">
      <c r="A284">
        <v>189</v>
      </c>
      <c r="B284" t="s">
        <v>302</v>
      </c>
      <c r="E284" t="s">
        <v>367</v>
      </c>
      <c r="F284">
        <v>4</v>
      </c>
      <c r="G284" s="3">
        <v>42906</v>
      </c>
      <c r="H284">
        <v>5.5</v>
      </c>
      <c r="I284">
        <v>2.5</v>
      </c>
      <c r="J284">
        <v>225</v>
      </c>
      <c r="K284">
        <v>60</v>
      </c>
      <c r="L284">
        <v>7.07</v>
      </c>
      <c r="M284">
        <v>6.76</v>
      </c>
      <c r="N284">
        <v>6.84</v>
      </c>
      <c r="O284">
        <v>4</v>
      </c>
      <c r="Q284">
        <v>4</v>
      </c>
    </row>
    <row r="285" spans="1:18" x14ac:dyDescent="0.25">
      <c r="A285">
        <v>191</v>
      </c>
      <c r="B285" t="s">
        <v>451</v>
      </c>
      <c r="E285" t="s">
        <v>367</v>
      </c>
      <c r="F285">
        <v>5</v>
      </c>
      <c r="G285" s="3">
        <v>42906</v>
      </c>
      <c r="H285">
        <v>7.5</v>
      </c>
      <c r="I285">
        <v>7.6</v>
      </c>
      <c r="J285">
        <v>385</v>
      </c>
      <c r="K285">
        <v>130</v>
      </c>
      <c r="L285">
        <v>8.67</v>
      </c>
      <c r="M285">
        <v>8.6300000000000008</v>
      </c>
      <c r="N285">
        <v>8.23</v>
      </c>
      <c r="O285">
        <v>4</v>
      </c>
      <c r="Q285">
        <v>4</v>
      </c>
    </row>
    <row r="286" spans="1:18" x14ac:dyDescent="0.25">
      <c r="A286">
        <v>242</v>
      </c>
      <c r="B286" t="s">
        <v>1218</v>
      </c>
      <c r="C286" t="s">
        <v>70</v>
      </c>
      <c r="E286" t="s">
        <v>367</v>
      </c>
      <c r="F286">
        <v>6</v>
      </c>
      <c r="G286" s="3">
        <v>42896</v>
      </c>
      <c r="H286" t="s">
        <v>792</v>
      </c>
      <c r="I286" t="s">
        <v>793</v>
      </c>
      <c r="J286">
        <v>255</v>
      </c>
      <c r="K286">
        <v>62</v>
      </c>
      <c r="L286">
        <v>6.86</v>
      </c>
      <c r="M286">
        <v>6.15</v>
      </c>
      <c r="N286">
        <v>7.61</v>
      </c>
      <c r="O286">
        <v>4</v>
      </c>
      <c r="Q286">
        <v>4</v>
      </c>
    </row>
    <row r="287" spans="1:18" x14ac:dyDescent="0.25">
      <c r="A287">
        <v>520</v>
      </c>
      <c r="B287" t="s">
        <v>1171</v>
      </c>
      <c r="D287" t="s">
        <v>1110</v>
      </c>
      <c r="E287" t="s">
        <v>367</v>
      </c>
      <c r="G287" s="3">
        <v>42957</v>
      </c>
      <c r="H287">
        <v>10</v>
      </c>
      <c r="I287">
        <v>8.1999999999999993</v>
      </c>
      <c r="J287" t="s">
        <v>141</v>
      </c>
      <c r="K287" t="s">
        <v>141</v>
      </c>
      <c r="L287">
        <v>17.09</v>
      </c>
      <c r="M287">
        <v>10.130000000000001</v>
      </c>
      <c r="N287">
        <v>10.31</v>
      </c>
      <c r="O287">
        <v>4</v>
      </c>
      <c r="Q287">
        <v>4</v>
      </c>
    </row>
    <row r="288" spans="1:18" x14ac:dyDescent="0.25">
      <c r="A288">
        <v>73</v>
      </c>
      <c r="B288" t="s">
        <v>296</v>
      </c>
      <c r="E288" t="s">
        <v>397</v>
      </c>
      <c r="F288">
        <v>1</v>
      </c>
      <c r="G288" s="3">
        <v>42902</v>
      </c>
      <c r="H288" t="s">
        <v>657</v>
      </c>
      <c r="I288" t="s">
        <v>663</v>
      </c>
      <c r="J288">
        <v>373</v>
      </c>
      <c r="K288">
        <v>20</v>
      </c>
      <c r="L288">
        <v>5.6</v>
      </c>
      <c r="M288">
        <v>6.71</v>
      </c>
      <c r="N288">
        <v>11.21</v>
      </c>
      <c r="O288">
        <v>4</v>
      </c>
      <c r="Q288">
        <v>4</v>
      </c>
    </row>
    <row r="289" spans="1:18" x14ac:dyDescent="0.25">
      <c r="A289">
        <v>74</v>
      </c>
      <c r="B289" t="s">
        <v>292</v>
      </c>
      <c r="E289" t="s">
        <v>397</v>
      </c>
      <c r="F289">
        <v>2</v>
      </c>
      <c r="G289" s="3">
        <v>42902</v>
      </c>
      <c r="H289">
        <v>1.28</v>
      </c>
      <c r="I289">
        <v>1.05</v>
      </c>
      <c r="J289">
        <v>175</v>
      </c>
      <c r="K289">
        <v>100</v>
      </c>
      <c r="L289">
        <v>1.01</v>
      </c>
      <c r="M289" t="s">
        <v>141</v>
      </c>
      <c r="N289" t="s">
        <v>141</v>
      </c>
      <c r="O289">
        <v>4</v>
      </c>
      <c r="Q289">
        <v>4</v>
      </c>
    </row>
    <row r="290" spans="1:18" x14ac:dyDescent="0.25">
      <c r="A290">
        <v>79</v>
      </c>
      <c r="B290" t="s">
        <v>294</v>
      </c>
      <c r="E290" t="s">
        <v>397</v>
      </c>
      <c r="F290">
        <v>3</v>
      </c>
      <c r="G290" s="3">
        <v>42902</v>
      </c>
      <c r="H290" t="s">
        <v>660</v>
      </c>
      <c r="I290" t="s">
        <v>667</v>
      </c>
      <c r="J290">
        <v>365</v>
      </c>
      <c r="K290">
        <v>90</v>
      </c>
      <c r="L290">
        <v>8.0500000000000007</v>
      </c>
      <c r="M290">
        <v>5.91</v>
      </c>
      <c r="N290">
        <v>10.77</v>
      </c>
      <c r="O290">
        <v>4</v>
      </c>
      <c r="Q290">
        <v>4</v>
      </c>
    </row>
    <row r="291" spans="1:18" x14ac:dyDescent="0.25">
      <c r="A291">
        <v>88</v>
      </c>
      <c r="B291" t="s">
        <v>311</v>
      </c>
      <c r="E291" t="s">
        <v>397</v>
      </c>
      <c r="F291">
        <v>4</v>
      </c>
      <c r="G291" s="3">
        <v>42902</v>
      </c>
      <c r="H291">
        <v>23.9</v>
      </c>
      <c r="I291">
        <v>20.8</v>
      </c>
      <c r="J291">
        <v>535</v>
      </c>
      <c r="K291">
        <v>85</v>
      </c>
      <c r="L291">
        <v>22.7</v>
      </c>
      <c r="M291">
        <v>19.66</v>
      </c>
      <c r="N291">
        <v>15.6</v>
      </c>
      <c r="O291">
        <v>5</v>
      </c>
      <c r="Q291">
        <v>5</v>
      </c>
    </row>
    <row r="292" spans="1:18" x14ac:dyDescent="0.25">
      <c r="A292">
        <v>15</v>
      </c>
      <c r="B292" t="s">
        <v>530</v>
      </c>
      <c r="E292" t="s">
        <v>397</v>
      </c>
      <c r="F292">
        <v>5</v>
      </c>
      <c r="G292" s="3">
        <v>42909</v>
      </c>
      <c r="H292">
        <v>7</v>
      </c>
      <c r="I292" t="s">
        <v>579</v>
      </c>
      <c r="J292">
        <v>240</v>
      </c>
      <c r="K292">
        <v>60</v>
      </c>
      <c r="L292">
        <v>16.52</v>
      </c>
      <c r="M292">
        <v>16.75</v>
      </c>
      <c r="N292">
        <v>16.37</v>
      </c>
      <c r="O292">
        <v>4</v>
      </c>
      <c r="P292" t="s">
        <v>1065</v>
      </c>
      <c r="Q292">
        <v>4</v>
      </c>
      <c r="R292" t="s">
        <v>1065</v>
      </c>
    </row>
    <row r="293" spans="1:18" x14ac:dyDescent="0.25">
      <c r="A293">
        <v>78</v>
      </c>
      <c r="B293" t="s">
        <v>289</v>
      </c>
      <c r="E293" t="s">
        <v>396</v>
      </c>
      <c r="F293">
        <v>1</v>
      </c>
      <c r="G293" s="3">
        <v>42902</v>
      </c>
      <c r="H293">
        <v>2.6</v>
      </c>
      <c r="I293">
        <v>2</v>
      </c>
      <c r="J293">
        <v>322</v>
      </c>
      <c r="K293">
        <v>100</v>
      </c>
      <c r="L293">
        <v>1.1000000000000001</v>
      </c>
      <c r="M293">
        <v>1.1100000000000001</v>
      </c>
      <c r="N293">
        <v>1.07</v>
      </c>
      <c r="O293">
        <v>4</v>
      </c>
      <c r="Q293">
        <v>4</v>
      </c>
    </row>
    <row r="294" spans="1:18" x14ac:dyDescent="0.25">
      <c r="A294">
        <v>84</v>
      </c>
      <c r="B294" t="s">
        <v>301</v>
      </c>
      <c r="E294" t="s">
        <v>396</v>
      </c>
      <c r="F294">
        <v>2</v>
      </c>
      <c r="G294" s="3">
        <v>42902</v>
      </c>
      <c r="H294">
        <v>1.73</v>
      </c>
      <c r="I294">
        <v>0.96</v>
      </c>
      <c r="J294">
        <v>205</v>
      </c>
      <c r="K294">
        <v>70</v>
      </c>
      <c r="L294">
        <v>0.85</v>
      </c>
      <c r="M294">
        <v>1.19</v>
      </c>
      <c r="N294">
        <v>1.01</v>
      </c>
      <c r="O294">
        <v>4</v>
      </c>
      <c r="Q294">
        <v>4</v>
      </c>
    </row>
    <row r="295" spans="1:18" x14ac:dyDescent="0.25">
      <c r="A295">
        <v>213</v>
      </c>
      <c r="B295" t="s">
        <v>452</v>
      </c>
      <c r="E295" t="s">
        <v>396</v>
      </c>
      <c r="F295">
        <v>3</v>
      </c>
      <c r="G295" s="3">
        <v>42906</v>
      </c>
      <c r="H295">
        <v>2.65</v>
      </c>
      <c r="I295">
        <v>1.85</v>
      </c>
      <c r="J295">
        <v>260</v>
      </c>
      <c r="K295">
        <v>30</v>
      </c>
      <c r="L295">
        <v>2.4700000000000002</v>
      </c>
      <c r="M295">
        <v>1.43</v>
      </c>
      <c r="N295">
        <v>1.27</v>
      </c>
      <c r="O295">
        <v>4</v>
      </c>
      <c r="Q295">
        <v>4</v>
      </c>
    </row>
    <row r="296" spans="1:18" x14ac:dyDescent="0.25">
      <c r="A296">
        <v>237</v>
      </c>
      <c r="B296" t="s">
        <v>769</v>
      </c>
      <c r="E296" t="s">
        <v>396</v>
      </c>
      <c r="F296">
        <v>4</v>
      </c>
      <c r="G296" s="3">
        <v>42923</v>
      </c>
      <c r="H296">
        <v>1.19</v>
      </c>
      <c r="I296">
        <v>0.9</v>
      </c>
      <c r="J296">
        <v>210</v>
      </c>
      <c r="K296">
        <v>160</v>
      </c>
      <c r="L296">
        <v>0.33</v>
      </c>
      <c r="M296" t="s">
        <v>141</v>
      </c>
      <c r="N296" t="s">
        <v>141</v>
      </c>
      <c r="O296">
        <v>4</v>
      </c>
      <c r="Q296">
        <v>4</v>
      </c>
    </row>
    <row r="297" spans="1:18" x14ac:dyDescent="0.25">
      <c r="A297">
        <v>300</v>
      </c>
      <c r="B297" t="s">
        <v>829</v>
      </c>
      <c r="E297" t="s">
        <v>396</v>
      </c>
      <c r="F297">
        <v>5</v>
      </c>
      <c r="G297" s="3">
        <v>42927</v>
      </c>
      <c r="H297">
        <v>3</v>
      </c>
      <c r="I297">
        <v>2.8</v>
      </c>
      <c r="J297">
        <v>440</v>
      </c>
      <c r="K297">
        <v>245</v>
      </c>
      <c r="L297">
        <v>0.62</v>
      </c>
      <c r="M297">
        <v>0.51</v>
      </c>
      <c r="N297">
        <v>0.68</v>
      </c>
      <c r="O297">
        <v>3</v>
      </c>
      <c r="Q297">
        <v>3</v>
      </c>
    </row>
    <row r="298" spans="1:18" x14ac:dyDescent="0.25">
      <c r="A298">
        <v>512</v>
      </c>
      <c r="B298" t="s">
        <v>1163</v>
      </c>
      <c r="D298" t="s">
        <v>1110</v>
      </c>
      <c r="E298" t="s">
        <v>396</v>
      </c>
      <c r="G298" s="3">
        <v>42957</v>
      </c>
      <c r="H298">
        <v>7.6</v>
      </c>
      <c r="I298">
        <v>7.3</v>
      </c>
      <c r="J298" t="s">
        <v>141</v>
      </c>
      <c r="K298" t="s">
        <v>141</v>
      </c>
      <c r="L298">
        <v>0.79</v>
      </c>
      <c r="M298">
        <v>0.8</v>
      </c>
      <c r="N298">
        <v>0.88</v>
      </c>
      <c r="O298">
        <v>2</v>
      </c>
      <c r="P298">
        <v>1010</v>
      </c>
      <c r="Q298">
        <v>2</v>
      </c>
      <c r="R298">
        <v>1010</v>
      </c>
    </row>
    <row r="299" spans="1:18" x14ac:dyDescent="0.25">
      <c r="A299">
        <v>121</v>
      </c>
      <c r="B299" t="s">
        <v>486</v>
      </c>
      <c r="E299" t="s">
        <v>344</v>
      </c>
      <c r="F299">
        <v>1</v>
      </c>
      <c r="G299" s="3">
        <v>42901</v>
      </c>
      <c r="H299">
        <v>4.0999999999999996</v>
      </c>
      <c r="I299">
        <v>1.5</v>
      </c>
      <c r="J299">
        <v>220</v>
      </c>
      <c r="K299">
        <v>30</v>
      </c>
      <c r="L299">
        <v>4.1500000000000004</v>
      </c>
      <c r="M299">
        <v>4.01</v>
      </c>
      <c r="N299">
        <v>4.0599999999999996</v>
      </c>
      <c r="O299">
        <v>4</v>
      </c>
      <c r="Q299">
        <v>4</v>
      </c>
    </row>
    <row r="300" spans="1:18" x14ac:dyDescent="0.25">
      <c r="A300">
        <v>141</v>
      </c>
      <c r="B300" t="s">
        <v>495</v>
      </c>
      <c r="E300" t="s">
        <v>344</v>
      </c>
      <c r="F300">
        <v>2</v>
      </c>
      <c r="G300" s="3">
        <v>42900</v>
      </c>
      <c r="H300">
        <v>5</v>
      </c>
      <c r="I300" t="s">
        <v>704</v>
      </c>
      <c r="J300">
        <v>210</v>
      </c>
      <c r="K300">
        <v>87</v>
      </c>
      <c r="L300">
        <v>2.2400000000000002</v>
      </c>
      <c r="M300">
        <v>2.5</v>
      </c>
      <c r="N300">
        <v>2.1</v>
      </c>
      <c r="O300">
        <v>5</v>
      </c>
      <c r="Q300">
        <v>5</v>
      </c>
    </row>
    <row r="301" spans="1:18" x14ac:dyDescent="0.25">
      <c r="A301">
        <v>36</v>
      </c>
      <c r="B301" t="s">
        <v>613</v>
      </c>
      <c r="E301" t="s">
        <v>344</v>
      </c>
      <c r="F301">
        <v>3</v>
      </c>
      <c r="G301" s="3">
        <v>42915</v>
      </c>
      <c r="H301">
        <v>3.2</v>
      </c>
      <c r="I301" t="s">
        <v>642</v>
      </c>
      <c r="J301">
        <v>212</v>
      </c>
      <c r="K301">
        <v>130</v>
      </c>
      <c r="L301">
        <v>3.31</v>
      </c>
      <c r="M301">
        <v>3.25</v>
      </c>
      <c r="N301">
        <v>3.63</v>
      </c>
      <c r="O301">
        <v>4</v>
      </c>
      <c r="Q301">
        <v>4</v>
      </c>
    </row>
    <row r="302" spans="1:18" x14ac:dyDescent="0.25">
      <c r="A302">
        <v>134</v>
      </c>
      <c r="B302" t="s">
        <v>1215</v>
      </c>
      <c r="C302" t="s">
        <v>692</v>
      </c>
      <c r="E302" t="s">
        <v>344</v>
      </c>
      <c r="F302">
        <v>4</v>
      </c>
      <c r="G302" s="3">
        <v>42900</v>
      </c>
      <c r="H302">
        <v>7</v>
      </c>
      <c r="I302" t="s">
        <v>698</v>
      </c>
      <c r="J302">
        <v>301</v>
      </c>
      <c r="K302">
        <v>100</v>
      </c>
      <c r="L302">
        <v>6.9</v>
      </c>
      <c r="M302">
        <v>4.5999999999999996</v>
      </c>
      <c r="N302">
        <v>6.7</v>
      </c>
      <c r="O302">
        <v>4</v>
      </c>
      <c r="Q302">
        <v>4</v>
      </c>
    </row>
    <row r="303" spans="1:18" x14ac:dyDescent="0.25">
      <c r="A303">
        <v>223</v>
      </c>
      <c r="B303" t="s">
        <v>772</v>
      </c>
      <c r="E303" t="s">
        <v>344</v>
      </c>
      <c r="F303">
        <v>5</v>
      </c>
      <c r="G303" s="3">
        <v>42923</v>
      </c>
      <c r="H303">
        <v>3.2</v>
      </c>
      <c r="I303">
        <v>1.92</v>
      </c>
      <c r="J303">
        <v>255</v>
      </c>
      <c r="K303">
        <v>130</v>
      </c>
      <c r="L303">
        <v>3.81</v>
      </c>
      <c r="M303">
        <v>3.34</v>
      </c>
      <c r="N303">
        <v>4.4800000000000004</v>
      </c>
      <c r="O303">
        <v>4</v>
      </c>
      <c r="Q303">
        <v>4</v>
      </c>
    </row>
    <row r="304" spans="1:18" x14ac:dyDescent="0.25">
      <c r="A304">
        <v>514</v>
      </c>
      <c r="B304" t="s">
        <v>1165</v>
      </c>
      <c r="D304" t="s">
        <v>1110</v>
      </c>
      <c r="E304" t="s">
        <v>344</v>
      </c>
      <c r="G304" s="3">
        <v>42957</v>
      </c>
      <c r="H304">
        <v>11</v>
      </c>
      <c r="I304">
        <v>6.8</v>
      </c>
      <c r="J304" t="s">
        <v>141</v>
      </c>
      <c r="K304" t="s">
        <v>141</v>
      </c>
      <c r="L304">
        <v>5.56</v>
      </c>
      <c r="M304">
        <v>5.0199999999999996</v>
      </c>
      <c r="N304">
        <v>5.09</v>
      </c>
      <c r="O304">
        <v>3</v>
      </c>
      <c r="Q304">
        <v>3</v>
      </c>
    </row>
    <row r="305" spans="1:18" x14ac:dyDescent="0.25">
      <c r="A305">
        <v>527</v>
      </c>
      <c r="B305" t="s">
        <v>1180</v>
      </c>
      <c r="D305" t="s">
        <v>1110</v>
      </c>
      <c r="E305" t="s">
        <v>344</v>
      </c>
      <c r="G305" s="3">
        <v>42957</v>
      </c>
      <c r="H305">
        <v>20.9</v>
      </c>
      <c r="I305">
        <v>15.7</v>
      </c>
      <c r="J305" t="s">
        <v>141</v>
      </c>
      <c r="K305" t="s">
        <v>141</v>
      </c>
      <c r="L305">
        <v>8.3000000000000007</v>
      </c>
      <c r="M305">
        <v>7.62</v>
      </c>
      <c r="N305">
        <v>6.25</v>
      </c>
      <c r="O305">
        <v>3</v>
      </c>
      <c r="P305">
        <v>2763</v>
      </c>
      <c r="Q305">
        <v>3</v>
      </c>
      <c r="R305">
        <v>2763</v>
      </c>
    </row>
    <row r="306" spans="1:18" x14ac:dyDescent="0.25">
      <c r="A306">
        <v>383</v>
      </c>
      <c r="B306" t="s">
        <v>951</v>
      </c>
      <c r="E306" t="s">
        <v>952</v>
      </c>
      <c r="F306">
        <v>1</v>
      </c>
      <c r="G306" s="3">
        <v>42936</v>
      </c>
      <c r="H306">
        <v>9.5</v>
      </c>
      <c r="I306">
        <v>7.3</v>
      </c>
      <c r="J306">
        <v>920</v>
      </c>
      <c r="K306">
        <v>370</v>
      </c>
      <c r="L306">
        <v>5.39</v>
      </c>
      <c r="M306">
        <v>5.24</v>
      </c>
      <c r="N306">
        <v>5.34</v>
      </c>
      <c r="O306">
        <v>4</v>
      </c>
      <c r="P306">
        <v>3839</v>
      </c>
      <c r="Q306">
        <v>4</v>
      </c>
      <c r="R306">
        <v>3839</v>
      </c>
    </row>
    <row r="307" spans="1:18" x14ac:dyDescent="0.25">
      <c r="A307">
        <v>344</v>
      </c>
      <c r="B307" t="s">
        <v>966</v>
      </c>
      <c r="E307" t="s">
        <v>952</v>
      </c>
      <c r="F307">
        <v>2</v>
      </c>
      <c r="G307" s="3">
        <v>42940</v>
      </c>
      <c r="H307">
        <v>18.600000000000001</v>
      </c>
      <c r="I307">
        <v>16.2</v>
      </c>
      <c r="J307">
        <v>920</v>
      </c>
      <c r="K307">
        <v>410</v>
      </c>
      <c r="L307">
        <v>5.35</v>
      </c>
      <c r="M307">
        <v>5.33</v>
      </c>
      <c r="N307">
        <v>6.03</v>
      </c>
      <c r="O307">
        <v>4</v>
      </c>
      <c r="P307">
        <v>4200</v>
      </c>
      <c r="Q307">
        <v>4</v>
      </c>
      <c r="R307">
        <v>4200</v>
      </c>
    </row>
    <row r="308" spans="1:18" x14ac:dyDescent="0.25">
      <c r="A308">
        <v>347</v>
      </c>
      <c r="B308" t="s">
        <v>974</v>
      </c>
      <c r="E308" t="s">
        <v>952</v>
      </c>
      <c r="F308">
        <v>3</v>
      </c>
      <c r="G308" s="3">
        <v>42940</v>
      </c>
      <c r="H308" t="s">
        <v>987</v>
      </c>
      <c r="I308" t="s">
        <v>989</v>
      </c>
      <c r="J308">
        <v>860</v>
      </c>
      <c r="K308">
        <v>400</v>
      </c>
      <c r="L308">
        <v>4.72</v>
      </c>
      <c r="M308">
        <v>3.32</v>
      </c>
      <c r="N308">
        <v>3.97</v>
      </c>
      <c r="O308">
        <v>4</v>
      </c>
      <c r="P308">
        <v>4313</v>
      </c>
      <c r="Q308">
        <v>4</v>
      </c>
      <c r="R308">
        <v>4313</v>
      </c>
    </row>
    <row r="309" spans="1:18" x14ac:dyDescent="0.25">
      <c r="A309">
        <v>353</v>
      </c>
      <c r="B309" t="s">
        <v>981</v>
      </c>
      <c r="E309" t="s">
        <v>952</v>
      </c>
      <c r="F309">
        <v>4</v>
      </c>
      <c r="G309" s="3">
        <v>42940</v>
      </c>
      <c r="H309">
        <v>15.2</v>
      </c>
      <c r="I309">
        <v>13.5</v>
      </c>
      <c r="J309">
        <v>910</v>
      </c>
      <c r="K309">
        <v>480</v>
      </c>
      <c r="L309">
        <v>7.11</v>
      </c>
      <c r="M309">
        <v>8.17</v>
      </c>
      <c r="N309">
        <v>7.11</v>
      </c>
      <c r="O309">
        <v>4</v>
      </c>
      <c r="Q309">
        <v>4</v>
      </c>
    </row>
    <row r="310" spans="1:18" x14ac:dyDescent="0.25">
      <c r="A310">
        <v>357</v>
      </c>
      <c r="B310" t="s">
        <v>968</v>
      </c>
      <c r="E310" t="s">
        <v>952</v>
      </c>
      <c r="F310">
        <v>5</v>
      </c>
      <c r="G310" s="3">
        <v>42940</v>
      </c>
      <c r="H310">
        <v>13.4</v>
      </c>
      <c r="I310">
        <v>12.2</v>
      </c>
      <c r="J310">
        <v>1200</v>
      </c>
      <c r="K310">
        <v>445</v>
      </c>
      <c r="L310">
        <v>4.25</v>
      </c>
      <c r="M310">
        <v>4.01</v>
      </c>
      <c r="N310">
        <v>4.0999999999999996</v>
      </c>
      <c r="O310">
        <v>3</v>
      </c>
      <c r="P310">
        <v>4509</v>
      </c>
      <c r="Q310">
        <v>3</v>
      </c>
      <c r="R310">
        <v>4509</v>
      </c>
    </row>
    <row r="311" spans="1:18" x14ac:dyDescent="0.25">
      <c r="A311">
        <v>381</v>
      </c>
      <c r="B311" t="s">
        <v>910</v>
      </c>
      <c r="E311" t="s">
        <v>911</v>
      </c>
      <c r="F311">
        <v>1</v>
      </c>
      <c r="G311" s="3">
        <v>42936</v>
      </c>
      <c r="H311">
        <v>9.6</v>
      </c>
      <c r="I311">
        <v>9.1999999999999993</v>
      </c>
      <c r="J311">
        <v>900</v>
      </c>
      <c r="K311">
        <v>540</v>
      </c>
      <c r="L311">
        <v>4.49</v>
      </c>
      <c r="M311">
        <v>5.27</v>
      </c>
      <c r="N311">
        <v>4.91</v>
      </c>
      <c r="O311">
        <v>4</v>
      </c>
      <c r="P311">
        <v>3803</v>
      </c>
      <c r="Q311">
        <v>4</v>
      </c>
      <c r="R311">
        <v>3803</v>
      </c>
    </row>
    <row r="312" spans="1:18" x14ac:dyDescent="0.25">
      <c r="A312">
        <v>355</v>
      </c>
      <c r="B312" t="s">
        <v>976</v>
      </c>
      <c r="E312" t="s">
        <v>911</v>
      </c>
      <c r="F312">
        <v>2</v>
      </c>
      <c r="G312" s="3">
        <v>42940</v>
      </c>
      <c r="H312">
        <v>7.5</v>
      </c>
      <c r="I312">
        <v>7.3</v>
      </c>
      <c r="J312">
        <v>920</v>
      </c>
      <c r="K312">
        <v>495</v>
      </c>
      <c r="L312">
        <v>2.34</v>
      </c>
      <c r="M312">
        <v>3.03</v>
      </c>
      <c r="N312">
        <v>2.83</v>
      </c>
      <c r="O312">
        <v>3</v>
      </c>
      <c r="P312">
        <v>3474</v>
      </c>
      <c r="Q312">
        <v>3</v>
      </c>
      <c r="R312">
        <v>3474</v>
      </c>
    </row>
    <row r="313" spans="1:18" x14ac:dyDescent="0.25">
      <c r="A313">
        <v>359</v>
      </c>
      <c r="B313" t="s">
        <v>972</v>
      </c>
      <c r="E313" t="s">
        <v>911</v>
      </c>
      <c r="F313">
        <v>3</v>
      </c>
      <c r="G313" s="3">
        <v>42940</v>
      </c>
      <c r="H313">
        <v>14.5</v>
      </c>
      <c r="I313">
        <v>13.2</v>
      </c>
      <c r="J313">
        <v>1200</v>
      </c>
      <c r="K313">
        <v>780</v>
      </c>
      <c r="L313">
        <v>5.29</v>
      </c>
      <c r="M313">
        <v>4.5999999999999996</v>
      </c>
      <c r="N313">
        <v>4.1399999999999997</v>
      </c>
      <c r="O313">
        <v>4</v>
      </c>
      <c r="P313">
        <v>4546</v>
      </c>
      <c r="Q313">
        <v>4</v>
      </c>
      <c r="R313">
        <v>4546</v>
      </c>
    </row>
    <row r="314" spans="1:18" x14ac:dyDescent="0.25">
      <c r="A314">
        <v>360</v>
      </c>
      <c r="B314" t="s">
        <v>967</v>
      </c>
      <c r="E314" t="s">
        <v>911</v>
      </c>
      <c r="F314">
        <v>4</v>
      </c>
      <c r="G314" s="3">
        <v>42940</v>
      </c>
      <c r="H314">
        <v>6.5</v>
      </c>
      <c r="I314">
        <v>6.4</v>
      </c>
      <c r="J314">
        <v>850</v>
      </c>
      <c r="K314">
        <v>595</v>
      </c>
      <c r="L314">
        <v>3.02</v>
      </c>
      <c r="M314">
        <v>2.62</v>
      </c>
      <c r="N314">
        <v>3.11</v>
      </c>
      <c r="O314">
        <v>3</v>
      </c>
      <c r="P314">
        <v>4547</v>
      </c>
      <c r="Q314">
        <v>3</v>
      </c>
      <c r="R314">
        <v>4547</v>
      </c>
    </row>
    <row r="315" spans="1:18" x14ac:dyDescent="0.25">
      <c r="A315">
        <v>362</v>
      </c>
      <c r="B315" t="s">
        <v>965</v>
      </c>
      <c r="E315" t="s">
        <v>911</v>
      </c>
      <c r="F315">
        <v>5</v>
      </c>
      <c r="G315" s="3">
        <v>42940</v>
      </c>
      <c r="H315">
        <v>3.1</v>
      </c>
      <c r="I315">
        <v>2.8</v>
      </c>
      <c r="J315">
        <v>565</v>
      </c>
      <c r="K315">
        <v>225</v>
      </c>
      <c r="L315">
        <v>1.25</v>
      </c>
      <c r="M315" t="s">
        <v>141</v>
      </c>
      <c r="N315" t="s">
        <v>141</v>
      </c>
      <c r="O315">
        <v>2</v>
      </c>
      <c r="P315">
        <v>4710</v>
      </c>
      <c r="Q315">
        <v>2</v>
      </c>
      <c r="R315">
        <v>4710</v>
      </c>
    </row>
    <row r="316" spans="1:18" x14ac:dyDescent="0.25">
      <c r="A316">
        <v>374</v>
      </c>
      <c r="B316" t="s">
        <v>888</v>
      </c>
      <c r="E316" t="s">
        <v>889</v>
      </c>
      <c r="F316">
        <v>1</v>
      </c>
      <c r="G316" s="3">
        <v>42931</v>
      </c>
      <c r="H316">
        <v>9.5</v>
      </c>
      <c r="I316">
        <v>8.6999999999999993</v>
      </c>
      <c r="J316">
        <v>1000</v>
      </c>
      <c r="K316">
        <v>540</v>
      </c>
      <c r="L316">
        <v>4.0199999999999996</v>
      </c>
      <c r="M316">
        <v>4.0199999999999996</v>
      </c>
      <c r="N316">
        <v>4.4800000000000004</v>
      </c>
      <c r="O316">
        <v>4</v>
      </c>
      <c r="P316">
        <v>2850</v>
      </c>
      <c r="Q316">
        <v>4</v>
      </c>
      <c r="R316">
        <v>2850</v>
      </c>
    </row>
    <row r="317" spans="1:18" x14ac:dyDescent="0.25">
      <c r="A317">
        <v>136</v>
      </c>
      <c r="B317" t="s">
        <v>105</v>
      </c>
      <c r="E317" t="s">
        <v>361</v>
      </c>
      <c r="F317">
        <v>1</v>
      </c>
      <c r="G317" s="3">
        <v>42900</v>
      </c>
      <c r="H317" t="s">
        <v>694</v>
      </c>
      <c r="I317" t="s">
        <v>700</v>
      </c>
      <c r="J317">
        <v>340</v>
      </c>
      <c r="K317">
        <v>73</v>
      </c>
      <c r="L317">
        <v>1.95</v>
      </c>
      <c r="M317">
        <v>2.2000000000000002</v>
      </c>
      <c r="N317">
        <v>2.02</v>
      </c>
      <c r="O317">
        <v>5</v>
      </c>
      <c r="Q317">
        <v>5</v>
      </c>
    </row>
    <row r="318" spans="1:18" x14ac:dyDescent="0.25">
      <c r="A318">
        <v>159</v>
      </c>
      <c r="B318" t="s">
        <v>80</v>
      </c>
      <c r="E318" t="s">
        <v>361</v>
      </c>
      <c r="F318">
        <v>2</v>
      </c>
      <c r="G318" s="3">
        <v>42900</v>
      </c>
      <c r="H318">
        <v>16.5</v>
      </c>
      <c r="I318">
        <v>13.8</v>
      </c>
      <c r="J318">
        <v>600</v>
      </c>
      <c r="K318">
        <v>210</v>
      </c>
      <c r="L318">
        <v>5.28</v>
      </c>
      <c r="M318">
        <v>6.6</v>
      </c>
      <c r="N318">
        <v>6.61</v>
      </c>
      <c r="O318">
        <v>5</v>
      </c>
      <c r="Q318">
        <v>5</v>
      </c>
    </row>
    <row r="319" spans="1:18" x14ac:dyDescent="0.25">
      <c r="A319">
        <v>249</v>
      </c>
      <c r="B319" t="s">
        <v>76</v>
      </c>
      <c r="E319" t="s">
        <v>361</v>
      </c>
      <c r="F319">
        <v>3</v>
      </c>
      <c r="G319" s="3">
        <v>42898</v>
      </c>
      <c r="H319">
        <v>7</v>
      </c>
      <c r="I319">
        <v>6.2</v>
      </c>
      <c r="J319">
        <v>660</v>
      </c>
      <c r="K319">
        <v>101</v>
      </c>
      <c r="L319">
        <v>3.22</v>
      </c>
      <c r="M319">
        <v>3.02</v>
      </c>
      <c r="N319">
        <v>2.73</v>
      </c>
      <c r="O319">
        <v>4</v>
      </c>
      <c r="Q319">
        <v>4</v>
      </c>
    </row>
    <row r="320" spans="1:18" x14ac:dyDescent="0.25">
      <c r="A320">
        <v>283</v>
      </c>
      <c r="B320" t="s">
        <v>1248</v>
      </c>
      <c r="C320" t="s">
        <v>217</v>
      </c>
      <c r="E320" t="s">
        <v>361</v>
      </c>
      <c r="F320">
        <v>4</v>
      </c>
      <c r="G320" s="3">
        <v>42902</v>
      </c>
      <c r="H320">
        <v>9.3000000000000007</v>
      </c>
      <c r="I320">
        <v>5.6</v>
      </c>
      <c r="J320">
        <v>500</v>
      </c>
      <c r="K320">
        <v>20</v>
      </c>
      <c r="L320">
        <v>7.28</v>
      </c>
      <c r="M320">
        <v>8.15</v>
      </c>
      <c r="N320">
        <v>5.56</v>
      </c>
      <c r="O320">
        <v>4</v>
      </c>
      <c r="P320">
        <v>5108</v>
      </c>
      <c r="Q320">
        <v>4</v>
      </c>
      <c r="R320">
        <v>5108</v>
      </c>
    </row>
    <row r="321" spans="1:18" x14ac:dyDescent="0.25">
      <c r="A321">
        <v>273</v>
      </c>
      <c r="B321" t="s">
        <v>1249</v>
      </c>
      <c r="C321" t="s">
        <v>220</v>
      </c>
      <c r="E321" t="s">
        <v>361</v>
      </c>
      <c r="F321">
        <v>5</v>
      </c>
      <c r="G321" s="3">
        <v>42901</v>
      </c>
      <c r="H321">
        <v>15.2</v>
      </c>
      <c r="I321" t="s">
        <v>1052</v>
      </c>
      <c r="J321">
        <v>700</v>
      </c>
      <c r="K321">
        <v>150</v>
      </c>
      <c r="L321">
        <v>5.01</v>
      </c>
      <c r="M321">
        <v>7.15</v>
      </c>
      <c r="N321">
        <v>5.53</v>
      </c>
      <c r="P321">
        <v>1215</v>
      </c>
      <c r="R321">
        <v>1215</v>
      </c>
    </row>
    <row r="322" spans="1:18" x14ac:dyDescent="0.25">
      <c r="A322">
        <v>286</v>
      </c>
      <c r="B322" t="s">
        <v>1250</v>
      </c>
      <c r="C322" t="s">
        <v>267</v>
      </c>
      <c r="E322" t="s">
        <v>361</v>
      </c>
      <c r="F322">
        <v>6</v>
      </c>
      <c r="G322" s="3">
        <v>42902</v>
      </c>
      <c r="H322" t="s">
        <v>1059</v>
      </c>
      <c r="I322" t="s">
        <v>1060</v>
      </c>
      <c r="J322">
        <v>700</v>
      </c>
      <c r="K322">
        <v>30</v>
      </c>
      <c r="L322">
        <v>5.28</v>
      </c>
      <c r="M322">
        <v>4.78</v>
      </c>
      <c r="N322">
        <v>4.41</v>
      </c>
      <c r="O322">
        <v>5</v>
      </c>
      <c r="P322">
        <v>5096</v>
      </c>
      <c r="Q322">
        <v>5</v>
      </c>
      <c r="R322">
        <v>5096</v>
      </c>
    </row>
    <row r="323" spans="1:18" x14ac:dyDescent="0.25">
      <c r="A323">
        <v>492</v>
      </c>
      <c r="B323" t="s">
        <v>1138</v>
      </c>
      <c r="D323" t="s">
        <v>1110</v>
      </c>
      <c r="E323" t="s">
        <v>361</v>
      </c>
      <c r="G323" s="3">
        <v>42956</v>
      </c>
      <c r="H323">
        <v>30.5</v>
      </c>
      <c r="I323">
        <v>27.9</v>
      </c>
      <c r="J323">
        <v>781</v>
      </c>
      <c r="K323">
        <v>343</v>
      </c>
      <c r="L323">
        <v>16.5</v>
      </c>
      <c r="M323">
        <v>16.600000000000001</v>
      </c>
      <c r="N323">
        <v>15.06</v>
      </c>
      <c r="O323">
        <v>5</v>
      </c>
      <c r="P323" t="s">
        <v>1154</v>
      </c>
      <c r="Q323">
        <v>5</v>
      </c>
      <c r="R323" t="s">
        <v>1154</v>
      </c>
    </row>
    <row r="324" spans="1:18" x14ac:dyDescent="0.25">
      <c r="A324">
        <v>493</v>
      </c>
      <c r="B324" t="s">
        <v>1139</v>
      </c>
      <c r="D324" t="s">
        <v>1110</v>
      </c>
      <c r="E324" t="s">
        <v>361</v>
      </c>
      <c r="G324" s="3">
        <v>42956</v>
      </c>
      <c r="H324">
        <v>33.5</v>
      </c>
      <c r="I324">
        <v>27.2</v>
      </c>
      <c r="J324">
        <v>1060</v>
      </c>
      <c r="K324">
        <v>510</v>
      </c>
      <c r="L324">
        <v>13.14</v>
      </c>
      <c r="M324">
        <v>16.170000000000002</v>
      </c>
      <c r="N324">
        <v>15.05</v>
      </c>
      <c r="O324">
        <v>5</v>
      </c>
      <c r="P324" t="s">
        <v>1153</v>
      </c>
      <c r="Q324">
        <v>5</v>
      </c>
      <c r="R324" t="s">
        <v>1153</v>
      </c>
    </row>
    <row r="325" spans="1:18" x14ac:dyDescent="0.25">
      <c r="A325">
        <v>494</v>
      </c>
      <c r="B325" t="s">
        <v>1140</v>
      </c>
      <c r="D325" t="s">
        <v>1110</v>
      </c>
      <c r="E325" t="s">
        <v>361</v>
      </c>
      <c r="G325" s="3">
        <v>42956</v>
      </c>
      <c r="H325">
        <v>52</v>
      </c>
      <c r="I325">
        <v>31</v>
      </c>
      <c r="J325">
        <v>900</v>
      </c>
      <c r="K325">
        <v>420</v>
      </c>
      <c r="L325">
        <v>19.16</v>
      </c>
      <c r="M325">
        <v>20.440000000000001</v>
      </c>
      <c r="N325">
        <v>14.15</v>
      </c>
      <c r="O325">
        <v>5</v>
      </c>
      <c r="P325" t="s">
        <v>1154</v>
      </c>
      <c r="Q325">
        <v>5</v>
      </c>
      <c r="R325" t="s">
        <v>1154</v>
      </c>
    </row>
    <row r="326" spans="1:18" x14ac:dyDescent="0.25">
      <c r="A326">
        <v>536</v>
      </c>
      <c r="B326" t="s">
        <v>1185</v>
      </c>
      <c r="D326" t="s">
        <v>1110</v>
      </c>
      <c r="E326" t="s">
        <v>361</v>
      </c>
      <c r="G326" s="3">
        <v>42957</v>
      </c>
      <c r="H326">
        <v>22.1</v>
      </c>
      <c r="I326">
        <v>24.2</v>
      </c>
      <c r="J326" t="s">
        <v>141</v>
      </c>
      <c r="K326" t="s">
        <v>141</v>
      </c>
      <c r="L326">
        <v>23.31</v>
      </c>
      <c r="M326">
        <v>17.98</v>
      </c>
      <c r="N326">
        <v>18.55</v>
      </c>
      <c r="O326">
        <v>4</v>
      </c>
      <c r="P326" t="s">
        <v>1181</v>
      </c>
      <c r="Q326">
        <v>4</v>
      </c>
      <c r="R326" t="s">
        <v>1181</v>
      </c>
    </row>
    <row r="327" spans="1:18" x14ac:dyDescent="0.25">
      <c r="A327">
        <v>537</v>
      </c>
      <c r="B327" t="s">
        <v>1186</v>
      </c>
      <c r="D327" t="s">
        <v>1110</v>
      </c>
      <c r="E327" t="s">
        <v>361</v>
      </c>
      <c r="G327" s="3">
        <v>42957</v>
      </c>
      <c r="H327">
        <v>20.5</v>
      </c>
      <c r="I327">
        <v>19.5</v>
      </c>
      <c r="J327" t="s">
        <v>141</v>
      </c>
      <c r="K327" t="s">
        <v>141</v>
      </c>
      <c r="L327">
        <v>7.14</v>
      </c>
      <c r="M327">
        <v>7.15</v>
      </c>
      <c r="N327">
        <v>7.3</v>
      </c>
      <c r="O327">
        <v>4</v>
      </c>
      <c r="P327" t="s">
        <v>1181</v>
      </c>
      <c r="Q327">
        <v>4</v>
      </c>
      <c r="R327" t="s">
        <v>1181</v>
      </c>
    </row>
    <row r="328" spans="1:18" x14ac:dyDescent="0.25">
      <c r="A328">
        <v>538</v>
      </c>
      <c r="B328" t="s">
        <v>1187</v>
      </c>
      <c r="D328" t="s">
        <v>1110</v>
      </c>
      <c r="E328" t="s">
        <v>361</v>
      </c>
      <c r="G328" s="3">
        <v>42957</v>
      </c>
      <c r="H328">
        <v>17</v>
      </c>
      <c r="I328">
        <v>15.5</v>
      </c>
      <c r="J328" t="s">
        <v>141</v>
      </c>
      <c r="K328" t="s">
        <v>141</v>
      </c>
      <c r="L328">
        <v>7.34</v>
      </c>
      <c r="M328">
        <v>7.3</v>
      </c>
      <c r="N328">
        <v>7.62</v>
      </c>
      <c r="O328">
        <v>3</v>
      </c>
      <c r="P328" t="s">
        <v>1181</v>
      </c>
      <c r="Q328">
        <v>3</v>
      </c>
      <c r="R328" t="s">
        <v>1181</v>
      </c>
    </row>
    <row r="329" spans="1:18" x14ac:dyDescent="0.25">
      <c r="A329">
        <v>541</v>
      </c>
      <c r="B329" t="s">
        <v>1190</v>
      </c>
      <c r="D329" t="s">
        <v>1110</v>
      </c>
      <c r="E329" t="s">
        <v>361</v>
      </c>
      <c r="G329" s="3">
        <v>42957</v>
      </c>
      <c r="H329">
        <v>15.2</v>
      </c>
      <c r="I329">
        <v>13.8</v>
      </c>
      <c r="J329" t="s">
        <v>141</v>
      </c>
      <c r="K329" t="s">
        <v>141</v>
      </c>
      <c r="L329">
        <v>6.03</v>
      </c>
      <c r="M329">
        <v>6.94</v>
      </c>
      <c r="N329">
        <v>5.33</v>
      </c>
      <c r="O329">
        <v>4</v>
      </c>
      <c r="P329" t="s">
        <v>1181</v>
      </c>
      <c r="Q329">
        <v>4</v>
      </c>
      <c r="R329" t="s">
        <v>1181</v>
      </c>
    </row>
    <row r="330" spans="1:18" x14ac:dyDescent="0.25">
      <c r="A330">
        <v>329</v>
      </c>
      <c r="B330" t="s">
        <v>857</v>
      </c>
      <c r="E330" t="s">
        <v>844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O330">
        <v>4</v>
      </c>
      <c r="Q330">
        <v>4</v>
      </c>
    </row>
    <row r="331" spans="1:18" x14ac:dyDescent="0.25">
      <c r="A331">
        <v>332</v>
      </c>
      <c r="B331" t="s">
        <v>866</v>
      </c>
      <c r="E331" t="s">
        <v>844</v>
      </c>
      <c r="F331">
        <v>2</v>
      </c>
      <c r="G331" s="3">
        <v>42930</v>
      </c>
      <c r="H331">
        <v>4.0999999999999996</v>
      </c>
      <c r="I331">
        <v>2.6</v>
      </c>
      <c r="J331">
        <v>543</v>
      </c>
      <c r="K331">
        <v>160</v>
      </c>
      <c r="L331">
        <v>7.56</v>
      </c>
      <c r="M331">
        <v>6.51</v>
      </c>
      <c r="N331">
        <v>8.09</v>
      </c>
      <c r="O331">
        <v>4</v>
      </c>
      <c r="Q331">
        <v>4</v>
      </c>
    </row>
    <row r="332" spans="1:18" x14ac:dyDescent="0.25">
      <c r="A332">
        <v>335</v>
      </c>
      <c r="B332" t="s">
        <v>853</v>
      </c>
      <c r="E332" t="s">
        <v>844</v>
      </c>
      <c r="F332">
        <v>3</v>
      </c>
      <c r="G332" s="3">
        <v>42930</v>
      </c>
      <c r="H332">
        <v>2.1</v>
      </c>
      <c r="I332">
        <v>1.8</v>
      </c>
      <c r="J332">
        <v>520</v>
      </c>
      <c r="K332">
        <v>110</v>
      </c>
      <c r="L332">
        <v>4.32</v>
      </c>
      <c r="M332">
        <v>3.94</v>
      </c>
      <c r="N332">
        <v>4.13</v>
      </c>
      <c r="O332">
        <v>2</v>
      </c>
      <c r="Q332">
        <v>2</v>
      </c>
    </row>
    <row r="333" spans="1:18" x14ac:dyDescent="0.25">
      <c r="A333">
        <v>341</v>
      </c>
      <c r="B333" t="s">
        <v>843</v>
      </c>
      <c r="E333" t="s">
        <v>844</v>
      </c>
      <c r="F333">
        <v>4</v>
      </c>
      <c r="G333" s="3">
        <v>42930</v>
      </c>
      <c r="H333">
        <v>2.5</v>
      </c>
      <c r="I333">
        <v>2.1</v>
      </c>
      <c r="J333">
        <v>412</v>
      </c>
      <c r="K333">
        <v>238</v>
      </c>
      <c r="L333">
        <v>4.9800000000000004</v>
      </c>
      <c r="M333">
        <v>4.49</v>
      </c>
      <c r="N333">
        <v>4.74</v>
      </c>
      <c r="O333">
        <v>2</v>
      </c>
      <c r="Q333">
        <v>2</v>
      </c>
    </row>
    <row r="334" spans="1:18" x14ac:dyDescent="0.25">
      <c r="A334">
        <v>367</v>
      </c>
      <c r="B334" t="s">
        <v>879</v>
      </c>
      <c r="E334" t="s">
        <v>844</v>
      </c>
      <c r="F334">
        <v>5</v>
      </c>
      <c r="G334" s="3">
        <v>42931</v>
      </c>
      <c r="H334">
        <v>2.2999999999999998</v>
      </c>
      <c r="I334">
        <v>1.6</v>
      </c>
      <c r="J334">
        <v>283</v>
      </c>
      <c r="K334">
        <v>145</v>
      </c>
      <c r="L334">
        <v>3.33</v>
      </c>
      <c r="M334">
        <v>3.02</v>
      </c>
      <c r="N334">
        <v>3.4</v>
      </c>
      <c r="O334">
        <v>2</v>
      </c>
      <c r="P334">
        <v>2760</v>
      </c>
      <c r="Q334">
        <v>2</v>
      </c>
      <c r="R334">
        <v>2760</v>
      </c>
    </row>
    <row r="335" spans="1:18" x14ac:dyDescent="0.25">
      <c r="A335">
        <v>326</v>
      </c>
      <c r="B335" t="s">
        <v>916</v>
      </c>
      <c r="E335" t="s">
        <v>844</v>
      </c>
      <c r="F335">
        <v>6</v>
      </c>
      <c r="G335" s="3">
        <v>42930</v>
      </c>
      <c r="H335">
        <v>6.5</v>
      </c>
      <c r="I335">
        <v>5.0999999999999996</v>
      </c>
      <c r="J335">
        <v>543</v>
      </c>
      <c r="K335">
        <v>262</v>
      </c>
      <c r="L335">
        <v>5.68</v>
      </c>
      <c r="M335">
        <v>5.78</v>
      </c>
      <c r="N335">
        <v>7.75</v>
      </c>
      <c r="O335">
        <v>3</v>
      </c>
      <c r="Q335">
        <v>3</v>
      </c>
    </row>
    <row r="336" spans="1:18" x14ac:dyDescent="0.25">
      <c r="A336">
        <v>517</v>
      </c>
      <c r="B336" t="s">
        <v>1168</v>
      </c>
      <c r="D336" t="s">
        <v>1110</v>
      </c>
      <c r="E336" t="s">
        <v>844</v>
      </c>
      <c r="G336" s="3">
        <v>42957</v>
      </c>
      <c r="H336">
        <v>34</v>
      </c>
      <c r="I336">
        <v>32.5</v>
      </c>
      <c r="J336" t="s">
        <v>141</v>
      </c>
      <c r="K336" t="s">
        <v>141</v>
      </c>
      <c r="L336">
        <v>27.85</v>
      </c>
      <c r="M336">
        <v>26.23</v>
      </c>
      <c r="N336">
        <v>27.42</v>
      </c>
      <c r="O336">
        <v>5</v>
      </c>
      <c r="P336">
        <v>2038</v>
      </c>
      <c r="Q336">
        <v>5</v>
      </c>
      <c r="R336">
        <v>2038</v>
      </c>
    </row>
    <row r="337" spans="1:18" x14ac:dyDescent="0.25">
      <c r="A337">
        <v>75</v>
      </c>
      <c r="B337" t="s">
        <v>312</v>
      </c>
      <c r="E337" t="s">
        <v>387</v>
      </c>
      <c r="F337">
        <v>1</v>
      </c>
      <c r="G337" s="3">
        <v>42902</v>
      </c>
      <c r="H337" t="s">
        <v>658</v>
      </c>
      <c r="I337" t="s">
        <v>664</v>
      </c>
      <c r="J337">
        <v>495</v>
      </c>
      <c r="K337">
        <v>160</v>
      </c>
      <c r="L337">
        <v>2.76</v>
      </c>
      <c r="M337">
        <v>2.2000000000000002</v>
      </c>
      <c r="N337">
        <v>1.35</v>
      </c>
      <c r="O337">
        <v>5</v>
      </c>
      <c r="Q337">
        <v>5</v>
      </c>
    </row>
    <row r="338" spans="1:18" x14ac:dyDescent="0.25">
      <c r="A338">
        <v>76</v>
      </c>
      <c r="B338" t="s">
        <v>295</v>
      </c>
      <c r="E338" t="s">
        <v>387</v>
      </c>
      <c r="F338">
        <v>2</v>
      </c>
      <c r="G338" s="3">
        <v>42902</v>
      </c>
      <c r="H338" t="s">
        <v>659</v>
      </c>
      <c r="I338" t="s">
        <v>665</v>
      </c>
      <c r="J338">
        <v>395</v>
      </c>
      <c r="K338">
        <v>120</v>
      </c>
      <c r="L338">
        <v>1.2</v>
      </c>
      <c r="M338">
        <v>1.36</v>
      </c>
      <c r="N338">
        <v>1.52</v>
      </c>
      <c r="O338">
        <v>5</v>
      </c>
      <c r="Q338">
        <v>5</v>
      </c>
    </row>
    <row r="339" spans="1:18" x14ac:dyDescent="0.25">
      <c r="A339">
        <v>77</v>
      </c>
      <c r="B339" t="s">
        <v>297</v>
      </c>
      <c r="E339" t="s">
        <v>387</v>
      </c>
      <c r="F339">
        <v>3</v>
      </c>
      <c r="G339" s="3">
        <v>42902</v>
      </c>
      <c r="H339">
        <v>9.6</v>
      </c>
      <c r="I339" t="s">
        <v>666</v>
      </c>
      <c r="J339">
        <v>371</v>
      </c>
      <c r="K339">
        <v>180</v>
      </c>
      <c r="L339">
        <v>4.72</v>
      </c>
      <c r="M339">
        <v>3.76</v>
      </c>
      <c r="N339">
        <v>4.8899999999999997</v>
      </c>
      <c r="O339">
        <v>4</v>
      </c>
      <c r="Q339">
        <v>4</v>
      </c>
    </row>
    <row r="340" spans="1:18" x14ac:dyDescent="0.25">
      <c r="A340">
        <v>288</v>
      </c>
      <c r="B340" t="s">
        <v>1251</v>
      </c>
      <c r="C340" t="s">
        <v>235</v>
      </c>
      <c r="E340" t="s">
        <v>387</v>
      </c>
      <c r="F340">
        <v>4</v>
      </c>
      <c r="G340" s="3">
        <v>42902</v>
      </c>
      <c r="H340">
        <v>3.8</v>
      </c>
      <c r="I340">
        <v>2.2999999999999998</v>
      </c>
      <c r="J340">
        <v>400</v>
      </c>
      <c r="K340">
        <v>130</v>
      </c>
      <c r="L340">
        <v>1.81</v>
      </c>
      <c r="M340">
        <v>1.25</v>
      </c>
      <c r="N340">
        <v>1.45</v>
      </c>
      <c r="O340">
        <v>3</v>
      </c>
      <c r="P340" t="s">
        <v>997</v>
      </c>
      <c r="Q340">
        <v>3</v>
      </c>
      <c r="R340" t="s">
        <v>997</v>
      </c>
    </row>
    <row r="341" spans="1:18" x14ac:dyDescent="0.25">
      <c r="A341">
        <v>205</v>
      </c>
      <c r="B341" t="s">
        <v>419</v>
      </c>
      <c r="E341" t="s">
        <v>387</v>
      </c>
      <c r="F341">
        <v>5</v>
      </c>
      <c r="G341" s="3">
        <v>42906</v>
      </c>
      <c r="H341">
        <v>4.5</v>
      </c>
      <c r="I341">
        <v>3.6</v>
      </c>
      <c r="J341">
        <v>440</v>
      </c>
      <c r="K341">
        <v>242</v>
      </c>
      <c r="L341">
        <v>1.71</v>
      </c>
      <c r="M341">
        <v>2.0299999999999998</v>
      </c>
      <c r="N341">
        <v>1.9</v>
      </c>
      <c r="O341">
        <v>4</v>
      </c>
      <c r="Q341">
        <v>4</v>
      </c>
    </row>
    <row r="342" spans="1:18" x14ac:dyDescent="0.25">
      <c r="A342">
        <v>322</v>
      </c>
      <c r="B342" t="s">
        <v>862</v>
      </c>
      <c r="E342" t="s">
        <v>847</v>
      </c>
      <c r="F342">
        <v>1</v>
      </c>
      <c r="G342" s="3">
        <v>42930</v>
      </c>
      <c r="H342">
        <v>8.1</v>
      </c>
      <c r="I342">
        <v>7</v>
      </c>
      <c r="J342">
        <v>500</v>
      </c>
      <c r="K342">
        <v>262</v>
      </c>
      <c r="L342">
        <v>6.04</v>
      </c>
      <c r="M342">
        <v>5.7</v>
      </c>
      <c r="N342">
        <v>5.74</v>
      </c>
      <c r="O342">
        <v>3</v>
      </c>
      <c r="Q342">
        <v>3</v>
      </c>
    </row>
    <row r="343" spans="1:18" x14ac:dyDescent="0.25">
      <c r="A343">
        <v>328</v>
      </c>
      <c r="B343" t="s">
        <v>861</v>
      </c>
      <c r="E343" t="s">
        <v>847</v>
      </c>
      <c r="F343">
        <v>2</v>
      </c>
      <c r="G343" s="3">
        <v>42930</v>
      </c>
      <c r="H343">
        <v>3.8</v>
      </c>
      <c r="I343">
        <v>3.5</v>
      </c>
      <c r="J343">
        <v>632</v>
      </c>
      <c r="K343">
        <v>385</v>
      </c>
      <c r="L343">
        <v>3.87</v>
      </c>
      <c r="M343">
        <v>2.9</v>
      </c>
      <c r="N343">
        <v>3.01</v>
      </c>
      <c r="O343">
        <v>4</v>
      </c>
      <c r="Q343">
        <v>4</v>
      </c>
    </row>
    <row r="344" spans="1:18" x14ac:dyDescent="0.25">
      <c r="A344">
        <v>334</v>
      </c>
      <c r="B344" t="s">
        <v>846</v>
      </c>
      <c r="E344" t="s">
        <v>847</v>
      </c>
      <c r="F344">
        <v>3</v>
      </c>
      <c r="G344" s="3">
        <v>42930</v>
      </c>
      <c r="H344">
        <v>11.5</v>
      </c>
      <c r="I344">
        <v>9.6</v>
      </c>
      <c r="J344">
        <v>707</v>
      </c>
      <c r="K344">
        <v>471</v>
      </c>
      <c r="L344">
        <v>10.49</v>
      </c>
      <c r="M344">
        <v>9.9700000000000006</v>
      </c>
      <c r="N344">
        <v>8.9499999999999993</v>
      </c>
      <c r="O344">
        <v>2</v>
      </c>
      <c r="Q344">
        <v>2</v>
      </c>
    </row>
    <row r="345" spans="1:18" x14ac:dyDescent="0.25">
      <c r="A345">
        <v>339</v>
      </c>
      <c r="B345" t="s">
        <v>855</v>
      </c>
      <c r="E345" t="s">
        <v>847</v>
      </c>
      <c r="F345">
        <v>4</v>
      </c>
      <c r="G345" s="3">
        <v>42930</v>
      </c>
      <c r="H345">
        <v>5.0999999999999996</v>
      </c>
      <c r="I345">
        <v>2.7</v>
      </c>
      <c r="J345">
        <v>487</v>
      </c>
      <c r="K345">
        <v>410</v>
      </c>
      <c r="L345">
        <v>5.45</v>
      </c>
      <c r="M345">
        <v>5.0999999999999996</v>
      </c>
      <c r="N345">
        <v>7.82</v>
      </c>
      <c r="O345">
        <v>2</v>
      </c>
      <c r="Q345">
        <v>2</v>
      </c>
    </row>
    <row r="346" spans="1:18" x14ac:dyDescent="0.25">
      <c r="A346">
        <v>340</v>
      </c>
      <c r="B346" t="s">
        <v>852</v>
      </c>
      <c r="E346" t="s">
        <v>847</v>
      </c>
      <c r="F346">
        <v>5</v>
      </c>
      <c r="G346" s="3">
        <v>42930</v>
      </c>
      <c r="H346">
        <v>10.199999999999999</v>
      </c>
      <c r="I346">
        <v>8.5</v>
      </c>
      <c r="J346">
        <v>512</v>
      </c>
      <c r="K346">
        <v>345</v>
      </c>
      <c r="L346">
        <v>9.69</v>
      </c>
      <c r="M346">
        <v>12.33</v>
      </c>
      <c r="N346">
        <v>11.75</v>
      </c>
      <c r="O346">
        <v>3</v>
      </c>
      <c r="Q346">
        <v>3</v>
      </c>
    </row>
    <row r="347" spans="1:18" x14ac:dyDescent="0.25">
      <c r="A347">
        <v>325</v>
      </c>
      <c r="B347" t="s">
        <v>915</v>
      </c>
      <c r="E347" t="s">
        <v>847</v>
      </c>
      <c r="F347">
        <v>6</v>
      </c>
      <c r="G347" s="3">
        <v>42930</v>
      </c>
      <c r="H347">
        <v>7.6</v>
      </c>
      <c r="I347">
        <v>5.3</v>
      </c>
      <c r="J347">
        <v>652</v>
      </c>
      <c r="K347">
        <v>412</v>
      </c>
      <c r="L347">
        <v>6.66</v>
      </c>
      <c r="M347">
        <v>7.39</v>
      </c>
      <c r="N347">
        <v>6.92</v>
      </c>
      <c r="O347">
        <v>3</v>
      </c>
      <c r="Q347">
        <v>3</v>
      </c>
    </row>
    <row r="348" spans="1:18" x14ac:dyDescent="0.25">
      <c r="A348">
        <v>525</v>
      </c>
      <c r="B348" t="s">
        <v>1176</v>
      </c>
      <c r="D348" t="s">
        <v>1110</v>
      </c>
      <c r="E348" t="s">
        <v>847</v>
      </c>
      <c r="G348" s="3">
        <v>42957</v>
      </c>
      <c r="H348">
        <v>25.8</v>
      </c>
      <c r="I348">
        <v>24</v>
      </c>
      <c r="J348" t="s">
        <v>141</v>
      </c>
      <c r="K348" t="s">
        <v>141</v>
      </c>
      <c r="L348">
        <v>18.77</v>
      </c>
      <c r="M348">
        <v>15.43</v>
      </c>
      <c r="N348">
        <v>17.23</v>
      </c>
      <c r="O348">
        <v>4</v>
      </c>
      <c r="P348">
        <v>2740</v>
      </c>
      <c r="Q348">
        <v>4</v>
      </c>
      <c r="R348">
        <v>2740</v>
      </c>
    </row>
    <row r="349" spans="1:18" x14ac:dyDescent="0.25">
      <c r="A349">
        <v>526</v>
      </c>
      <c r="B349" t="s">
        <v>1177</v>
      </c>
      <c r="D349" t="s">
        <v>1110</v>
      </c>
      <c r="E349" t="s">
        <v>847</v>
      </c>
      <c r="G349" s="3">
        <v>42957</v>
      </c>
      <c r="H349">
        <v>16.8</v>
      </c>
      <c r="I349">
        <v>14</v>
      </c>
      <c r="J349" t="s">
        <v>141</v>
      </c>
      <c r="K349" t="s">
        <v>141</v>
      </c>
      <c r="L349">
        <v>12.19</v>
      </c>
      <c r="M349">
        <v>13.62</v>
      </c>
      <c r="N349">
        <v>11.49</v>
      </c>
      <c r="O349">
        <v>3</v>
      </c>
      <c r="P349">
        <v>2744</v>
      </c>
      <c r="Q349">
        <v>3</v>
      </c>
      <c r="R349">
        <v>2744</v>
      </c>
    </row>
    <row r="350" spans="1:18" x14ac:dyDescent="0.25">
      <c r="A350">
        <v>30</v>
      </c>
      <c r="B350" t="s">
        <v>1222</v>
      </c>
      <c r="C350" t="s">
        <v>198</v>
      </c>
      <c r="E350" t="s">
        <v>1066</v>
      </c>
      <c r="F350">
        <v>1</v>
      </c>
      <c r="G350"/>
      <c r="H350">
        <v>5.9</v>
      </c>
      <c r="I350">
        <v>5.6</v>
      </c>
      <c r="J350">
        <v>380</v>
      </c>
      <c r="K350">
        <v>140</v>
      </c>
      <c r="L350">
        <v>1.86</v>
      </c>
      <c r="M350">
        <v>1.91</v>
      </c>
      <c r="N350">
        <v>1.44</v>
      </c>
      <c r="O350">
        <v>3</v>
      </c>
      <c r="P350" t="s">
        <v>1254</v>
      </c>
      <c r="Q350">
        <v>3</v>
      </c>
      <c r="R350" t="s">
        <v>1254</v>
      </c>
    </row>
    <row r="351" spans="1:18" x14ac:dyDescent="0.25">
      <c r="A351">
        <v>131</v>
      </c>
      <c r="B351" t="s">
        <v>23</v>
      </c>
      <c r="E351" t="s">
        <v>351</v>
      </c>
      <c r="F351">
        <v>1</v>
      </c>
      <c r="G351" s="3">
        <v>42901</v>
      </c>
      <c r="H351" t="s">
        <v>681</v>
      </c>
      <c r="I351" t="s">
        <v>690</v>
      </c>
      <c r="J351">
        <v>270</v>
      </c>
      <c r="K351">
        <v>80</v>
      </c>
      <c r="L351">
        <v>12.88</v>
      </c>
      <c r="M351">
        <v>14.48</v>
      </c>
      <c r="N351">
        <v>14.67</v>
      </c>
      <c r="O351">
        <v>4</v>
      </c>
      <c r="Q351">
        <v>4</v>
      </c>
    </row>
    <row r="352" spans="1:18" x14ac:dyDescent="0.25">
      <c r="A352">
        <v>152</v>
      </c>
      <c r="B352" t="s">
        <v>499</v>
      </c>
      <c r="E352" t="s">
        <v>351</v>
      </c>
      <c r="F352">
        <v>2</v>
      </c>
      <c r="G352" s="3">
        <v>42900</v>
      </c>
      <c r="H352">
        <v>9.6</v>
      </c>
      <c r="I352" t="s">
        <v>718</v>
      </c>
      <c r="J352">
        <v>230</v>
      </c>
      <c r="K352">
        <v>45</v>
      </c>
      <c r="L352">
        <v>12.84</v>
      </c>
      <c r="M352">
        <v>10.8</v>
      </c>
      <c r="N352">
        <v>10.6</v>
      </c>
      <c r="O352">
        <v>5</v>
      </c>
      <c r="Q352">
        <v>5</v>
      </c>
    </row>
    <row r="353" spans="1:18" x14ac:dyDescent="0.25">
      <c r="A353">
        <v>278</v>
      </c>
      <c r="B353" t="s">
        <v>1223</v>
      </c>
      <c r="C353" t="s">
        <v>222</v>
      </c>
      <c r="E353" t="s">
        <v>351</v>
      </c>
      <c r="F353">
        <v>3</v>
      </c>
      <c r="G353" s="3">
        <v>42902</v>
      </c>
      <c r="H353">
        <v>8.8000000000000007</v>
      </c>
      <c r="I353">
        <v>7.5</v>
      </c>
      <c r="J353">
        <v>400</v>
      </c>
      <c r="K353">
        <v>100</v>
      </c>
      <c r="L353">
        <v>17.45</v>
      </c>
      <c r="M353">
        <v>8.9600000000000009</v>
      </c>
      <c r="N353">
        <v>14.39</v>
      </c>
      <c r="O353">
        <v>5</v>
      </c>
      <c r="P353">
        <v>5068</v>
      </c>
      <c r="Q353">
        <v>5</v>
      </c>
      <c r="R353">
        <v>5068</v>
      </c>
    </row>
    <row r="354" spans="1:18" x14ac:dyDescent="0.25">
      <c r="A354">
        <v>280</v>
      </c>
      <c r="B354" t="s">
        <v>1224</v>
      </c>
      <c r="C354" t="s">
        <v>225</v>
      </c>
      <c r="E354" t="s">
        <v>351</v>
      </c>
      <c r="F354">
        <v>4</v>
      </c>
      <c r="G354" s="3">
        <v>42902</v>
      </c>
      <c r="H354">
        <v>7.2</v>
      </c>
      <c r="I354" t="s">
        <v>1055</v>
      </c>
      <c r="J354">
        <v>400</v>
      </c>
      <c r="K354">
        <v>260</v>
      </c>
      <c r="L354">
        <v>13.08</v>
      </c>
      <c r="M354">
        <v>13.01</v>
      </c>
      <c r="N354">
        <v>13.33</v>
      </c>
      <c r="O354">
        <v>4</v>
      </c>
      <c r="P354">
        <v>5135</v>
      </c>
      <c r="Q354">
        <v>4</v>
      </c>
      <c r="R354">
        <v>5135</v>
      </c>
    </row>
    <row r="355" spans="1:18" x14ac:dyDescent="0.25">
      <c r="A355">
        <v>172</v>
      </c>
      <c r="B355" t="s">
        <v>470</v>
      </c>
      <c r="E355" t="s">
        <v>351</v>
      </c>
      <c r="F355">
        <v>5</v>
      </c>
      <c r="G355" s="3">
        <v>42907</v>
      </c>
      <c r="H355">
        <v>12.5</v>
      </c>
      <c r="I355">
        <v>11.5</v>
      </c>
      <c r="J355">
        <v>385</v>
      </c>
      <c r="K355">
        <v>240</v>
      </c>
      <c r="L355">
        <v>13.67</v>
      </c>
      <c r="M355">
        <v>11.4</v>
      </c>
      <c r="N355">
        <v>12.2</v>
      </c>
      <c r="O355">
        <v>5</v>
      </c>
      <c r="Q355">
        <v>5</v>
      </c>
    </row>
    <row r="356" spans="1:18" x14ac:dyDescent="0.25">
      <c r="A356">
        <v>275</v>
      </c>
      <c r="B356" t="s">
        <v>1225</v>
      </c>
      <c r="C356" t="s">
        <v>316</v>
      </c>
      <c r="E356" t="s">
        <v>351</v>
      </c>
      <c r="F356">
        <v>6</v>
      </c>
      <c r="G356" s="3">
        <v>42902</v>
      </c>
      <c r="H356" t="s">
        <v>1053</v>
      </c>
      <c r="I356" t="s">
        <v>1054</v>
      </c>
      <c r="J356">
        <v>460</v>
      </c>
      <c r="K356">
        <v>60</v>
      </c>
      <c r="L356">
        <v>9.27</v>
      </c>
      <c r="M356">
        <v>11.62</v>
      </c>
      <c r="N356">
        <v>13.56</v>
      </c>
      <c r="O356">
        <v>5</v>
      </c>
      <c r="P356">
        <v>5086</v>
      </c>
      <c r="Q356">
        <v>5</v>
      </c>
      <c r="R356">
        <v>5086</v>
      </c>
    </row>
    <row r="357" spans="1:18" x14ac:dyDescent="0.25">
      <c r="A357">
        <v>118</v>
      </c>
      <c r="B357" t="s">
        <v>4</v>
      </c>
      <c r="E357" t="s">
        <v>340</v>
      </c>
      <c r="F357">
        <v>1</v>
      </c>
      <c r="G357" s="3">
        <v>42901</v>
      </c>
      <c r="H357">
        <v>3.9</v>
      </c>
      <c r="I357">
        <v>3.2</v>
      </c>
      <c r="J357">
        <v>410</v>
      </c>
      <c r="K357">
        <v>180</v>
      </c>
      <c r="L357">
        <v>2.6</v>
      </c>
      <c r="M357">
        <v>2.8</v>
      </c>
      <c r="N357">
        <v>2.97</v>
      </c>
      <c r="O357">
        <v>4</v>
      </c>
      <c r="Q357">
        <v>4</v>
      </c>
    </row>
    <row r="358" spans="1:18" x14ac:dyDescent="0.25">
      <c r="A358">
        <v>148</v>
      </c>
      <c r="B358" t="s">
        <v>112</v>
      </c>
      <c r="E358" t="s">
        <v>340</v>
      </c>
      <c r="F358">
        <v>2</v>
      </c>
      <c r="G358" s="3">
        <v>42900</v>
      </c>
      <c r="H358" t="s">
        <v>697</v>
      </c>
      <c r="I358" t="s">
        <v>707</v>
      </c>
      <c r="J358">
        <v>384</v>
      </c>
      <c r="K358">
        <v>148</v>
      </c>
      <c r="L358">
        <v>6.46</v>
      </c>
      <c r="M358">
        <v>4.63</v>
      </c>
      <c r="N358">
        <v>5.15</v>
      </c>
      <c r="O358">
        <v>3</v>
      </c>
      <c r="Q358">
        <v>3</v>
      </c>
    </row>
    <row r="359" spans="1:18" x14ac:dyDescent="0.25">
      <c r="A359">
        <v>157</v>
      </c>
      <c r="B359" t="s">
        <v>121</v>
      </c>
      <c r="E359" t="s">
        <v>340</v>
      </c>
      <c r="F359">
        <v>3</v>
      </c>
      <c r="G359" s="3">
        <v>42900</v>
      </c>
      <c r="H359" t="s">
        <v>712</v>
      </c>
      <c r="I359" t="s">
        <v>720</v>
      </c>
      <c r="J359">
        <v>430</v>
      </c>
      <c r="K359">
        <v>20</v>
      </c>
      <c r="L359">
        <v>2.7</v>
      </c>
      <c r="M359">
        <v>2.1800000000000002</v>
      </c>
      <c r="N359">
        <v>2.46</v>
      </c>
      <c r="O359">
        <v>5</v>
      </c>
      <c r="Q359">
        <v>5</v>
      </c>
    </row>
    <row r="360" spans="1:18" x14ac:dyDescent="0.25">
      <c r="A360">
        <v>236</v>
      </c>
      <c r="B360" t="s">
        <v>767</v>
      </c>
      <c r="E360" t="s">
        <v>340</v>
      </c>
      <c r="F360">
        <v>4</v>
      </c>
      <c r="G360" s="3">
        <v>42923</v>
      </c>
      <c r="H360">
        <v>12</v>
      </c>
      <c r="I360">
        <v>13</v>
      </c>
      <c r="J360">
        <v>740</v>
      </c>
      <c r="K360">
        <v>470</v>
      </c>
      <c r="L360">
        <v>4.99</v>
      </c>
      <c r="M360">
        <v>5.14</v>
      </c>
      <c r="N360">
        <v>4.12</v>
      </c>
      <c r="O360">
        <v>5</v>
      </c>
      <c r="Q360">
        <v>5</v>
      </c>
    </row>
    <row r="361" spans="1:18" x14ac:dyDescent="0.25">
      <c r="A361">
        <v>307</v>
      </c>
      <c r="B361" t="s">
        <v>815</v>
      </c>
      <c r="E361" t="s">
        <v>340</v>
      </c>
      <c r="F361">
        <v>5</v>
      </c>
      <c r="G361" s="3">
        <v>42927</v>
      </c>
      <c r="H361">
        <v>14.4</v>
      </c>
      <c r="I361" t="s">
        <v>834</v>
      </c>
      <c r="J361">
        <v>670</v>
      </c>
      <c r="K361">
        <v>400</v>
      </c>
      <c r="L361">
        <v>7.54</v>
      </c>
      <c r="M361">
        <v>3.64</v>
      </c>
      <c r="N361">
        <v>4.87</v>
      </c>
      <c r="O361">
        <v>5</v>
      </c>
      <c r="Q361">
        <v>5</v>
      </c>
    </row>
    <row r="362" spans="1:18" x14ac:dyDescent="0.25">
      <c r="A362">
        <v>495</v>
      </c>
      <c r="B362" t="s">
        <v>1141</v>
      </c>
      <c r="D362" t="s">
        <v>1110</v>
      </c>
      <c r="E362" t="s">
        <v>340</v>
      </c>
      <c r="G362" s="3">
        <v>42956</v>
      </c>
      <c r="H362">
        <v>30</v>
      </c>
      <c r="I362" t="s">
        <v>1151</v>
      </c>
      <c r="J362">
        <v>870</v>
      </c>
      <c r="K362">
        <v>253</v>
      </c>
      <c r="L362">
        <v>7.23</v>
      </c>
      <c r="M362">
        <v>5.79</v>
      </c>
      <c r="N362">
        <v>5.4</v>
      </c>
      <c r="O362">
        <v>4</v>
      </c>
      <c r="P362" t="s">
        <v>1154</v>
      </c>
      <c r="Q362">
        <v>4</v>
      </c>
      <c r="R362" t="s">
        <v>1154</v>
      </c>
    </row>
    <row r="363" spans="1:18" x14ac:dyDescent="0.25">
      <c r="A363">
        <v>498</v>
      </c>
      <c r="B363" t="s">
        <v>1144</v>
      </c>
      <c r="D363" t="s">
        <v>1110</v>
      </c>
      <c r="E363" t="s">
        <v>340</v>
      </c>
      <c r="G363" s="3">
        <v>42956</v>
      </c>
      <c r="H363">
        <v>23.1</v>
      </c>
      <c r="I363" t="s">
        <v>1152</v>
      </c>
      <c r="J363">
        <v>910</v>
      </c>
      <c r="K363">
        <v>632</v>
      </c>
      <c r="L363">
        <v>7.55</v>
      </c>
      <c r="M363">
        <v>7.64</v>
      </c>
      <c r="N363">
        <v>6.76</v>
      </c>
      <c r="O363">
        <v>4</v>
      </c>
      <c r="P363" t="s">
        <v>1153</v>
      </c>
      <c r="Q363">
        <v>4</v>
      </c>
      <c r="R363" t="s">
        <v>1153</v>
      </c>
    </row>
    <row r="364" spans="1:18" x14ac:dyDescent="0.25">
      <c r="A364">
        <v>499</v>
      </c>
      <c r="B364" t="s">
        <v>1149</v>
      </c>
      <c r="D364" t="s">
        <v>1110</v>
      </c>
      <c r="E364" t="s">
        <v>340</v>
      </c>
      <c r="G364" s="3">
        <v>42956</v>
      </c>
      <c r="H364">
        <v>28.5</v>
      </c>
      <c r="I364">
        <v>27.9</v>
      </c>
      <c r="J364">
        <v>880</v>
      </c>
      <c r="K364">
        <v>245</v>
      </c>
      <c r="L364">
        <v>7.23</v>
      </c>
      <c r="M364">
        <v>8.23</v>
      </c>
      <c r="N364">
        <v>6.79</v>
      </c>
      <c r="O364">
        <v>4</v>
      </c>
      <c r="P364" t="s">
        <v>1153</v>
      </c>
      <c r="Q364">
        <v>4</v>
      </c>
      <c r="R364" t="s">
        <v>1153</v>
      </c>
    </row>
    <row r="365" spans="1:18" x14ac:dyDescent="0.25">
      <c r="A365">
        <v>504</v>
      </c>
      <c r="B365" t="s">
        <v>1155</v>
      </c>
      <c r="D365" t="s">
        <v>1110</v>
      </c>
      <c r="E365" t="s">
        <v>340</v>
      </c>
      <c r="G365" s="3">
        <v>42957</v>
      </c>
      <c r="H365">
        <v>27.5</v>
      </c>
      <c r="I365">
        <v>24.5</v>
      </c>
      <c r="J365" t="s">
        <v>141</v>
      </c>
      <c r="K365" t="s">
        <v>141</v>
      </c>
      <c r="L365">
        <v>10.07</v>
      </c>
      <c r="M365">
        <v>9.4499999999999993</v>
      </c>
      <c r="N365">
        <v>6.6</v>
      </c>
      <c r="O365">
        <v>3</v>
      </c>
      <c r="P365" t="s">
        <v>1153</v>
      </c>
      <c r="Q365">
        <v>3</v>
      </c>
      <c r="R365" t="s">
        <v>1153</v>
      </c>
    </row>
    <row r="366" spans="1:18" x14ac:dyDescent="0.25">
      <c r="A366">
        <v>521</v>
      </c>
      <c r="B366" t="s">
        <v>1172</v>
      </c>
      <c r="D366" t="s">
        <v>1110</v>
      </c>
      <c r="E366" t="s">
        <v>340</v>
      </c>
      <c r="G366" s="3">
        <v>42957</v>
      </c>
      <c r="H366">
        <v>14.4</v>
      </c>
      <c r="I366">
        <v>12.9</v>
      </c>
      <c r="J366" t="s">
        <v>141</v>
      </c>
      <c r="K366" t="s">
        <v>141</v>
      </c>
      <c r="L366">
        <v>4.1500000000000004</v>
      </c>
      <c r="M366">
        <v>4.74</v>
      </c>
      <c r="N366">
        <v>3.65</v>
      </c>
      <c r="O366">
        <v>4</v>
      </c>
      <c r="P366" t="s">
        <v>1181</v>
      </c>
      <c r="Q366">
        <v>4</v>
      </c>
      <c r="R366" t="s">
        <v>1181</v>
      </c>
    </row>
    <row r="367" spans="1:18" x14ac:dyDescent="0.25">
      <c r="A367">
        <v>539</v>
      </c>
      <c r="B367" t="s">
        <v>1188</v>
      </c>
      <c r="D367" t="s">
        <v>1110</v>
      </c>
      <c r="E367" t="s">
        <v>340</v>
      </c>
      <c r="G367" s="3">
        <v>42957</v>
      </c>
      <c r="H367">
        <v>38</v>
      </c>
      <c r="I367" t="s">
        <v>1195</v>
      </c>
      <c r="J367" t="s">
        <v>141</v>
      </c>
      <c r="K367" t="s">
        <v>141</v>
      </c>
      <c r="L367">
        <v>10.220000000000001</v>
      </c>
      <c r="M367">
        <v>9.93</v>
      </c>
      <c r="N367">
        <v>7.49</v>
      </c>
      <c r="O367">
        <v>5</v>
      </c>
      <c r="P367" t="s">
        <v>1181</v>
      </c>
      <c r="Q367">
        <v>5</v>
      </c>
      <c r="R367" t="s">
        <v>1181</v>
      </c>
    </row>
    <row r="368" spans="1:18" x14ac:dyDescent="0.25">
      <c r="A368">
        <v>169</v>
      </c>
      <c r="B368" t="s">
        <v>1219</v>
      </c>
      <c r="C368" t="s">
        <v>480</v>
      </c>
      <c r="E368" t="s">
        <v>1220</v>
      </c>
      <c r="F368">
        <v>1</v>
      </c>
      <c r="G368" s="3">
        <v>42907</v>
      </c>
      <c r="H368">
        <v>21.5</v>
      </c>
      <c r="I368">
        <v>18.600000000000001</v>
      </c>
      <c r="J368">
        <v>675</v>
      </c>
      <c r="K368">
        <v>305</v>
      </c>
      <c r="L368">
        <v>13.06</v>
      </c>
      <c r="M368">
        <v>11.83</v>
      </c>
      <c r="N368">
        <v>13.15</v>
      </c>
      <c r="O368">
        <v>5</v>
      </c>
      <c r="Q368">
        <v>5</v>
      </c>
    </row>
    <row r="369" spans="1:18" x14ac:dyDescent="0.25">
      <c r="A369">
        <v>452</v>
      </c>
      <c r="B369" t="s">
        <v>1093</v>
      </c>
      <c r="E369" t="s">
        <v>1094</v>
      </c>
      <c r="F369">
        <v>1</v>
      </c>
      <c r="G369" s="3">
        <v>42952</v>
      </c>
      <c r="H369">
        <v>6.4</v>
      </c>
      <c r="I369">
        <v>4.5</v>
      </c>
      <c r="J369">
        <v>353</v>
      </c>
      <c r="K369">
        <v>145</v>
      </c>
      <c r="L369">
        <v>6.51</v>
      </c>
      <c r="M369">
        <v>7.43</v>
      </c>
      <c r="N369">
        <v>6.11</v>
      </c>
      <c r="O369">
        <v>4</v>
      </c>
      <c r="Q369">
        <v>4</v>
      </c>
    </row>
    <row r="370" spans="1:18" x14ac:dyDescent="0.25">
      <c r="A370">
        <v>453</v>
      </c>
      <c r="B370" t="s">
        <v>1096</v>
      </c>
      <c r="E370" t="s">
        <v>1094</v>
      </c>
      <c r="F370">
        <v>2</v>
      </c>
      <c r="G370" s="3">
        <v>42952</v>
      </c>
      <c r="H370">
        <v>8.1</v>
      </c>
      <c r="I370">
        <v>7.3</v>
      </c>
      <c r="J370">
        <v>577</v>
      </c>
      <c r="K370">
        <v>327</v>
      </c>
      <c r="L370">
        <v>7.53</v>
      </c>
      <c r="M370">
        <v>8.76</v>
      </c>
      <c r="N370">
        <v>8.59</v>
      </c>
      <c r="O370">
        <v>4</v>
      </c>
      <c r="Q370">
        <v>4</v>
      </c>
    </row>
    <row r="371" spans="1:18" x14ac:dyDescent="0.25">
      <c r="A371">
        <v>454</v>
      </c>
      <c r="B371" t="s">
        <v>1097</v>
      </c>
      <c r="E371" t="s">
        <v>1094</v>
      </c>
      <c r="F371">
        <v>3</v>
      </c>
      <c r="G371" s="3">
        <v>42952</v>
      </c>
      <c r="H371">
        <v>9.6999999999999993</v>
      </c>
      <c r="I371">
        <v>6.7</v>
      </c>
      <c r="J371">
        <v>564</v>
      </c>
      <c r="K371">
        <v>184</v>
      </c>
      <c r="L371">
        <v>11.34</v>
      </c>
      <c r="M371">
        <v>12</v>
      </c>
      <c r="N371">
        <v>10.16</v>
      </c>
      <c r="O371">
        <v>3</v>
      </c>
      <c r="Q371">
        <v>3</v>
      </c>
    </row>
    <row r="372" spans="1:18" x14ac:dyDescent="0.25">
      <c r="A372">
        <v>455</v>
      </c>
      <c r="B372" t="s">
        <v>1098</v>
      </c>
      <c r="E372" t="s">
        <v>1094</v>
      </c>
      <c r="F372">
        <v>4</v>
      </c>
      <c r="G372" s="3">
        <v>42952</v>
      </c>
      <c r="H372">
        <v>2</v>
      </c>
      <c r="I372" t="s">
        <v>141</v>
      </c>
      <c r="J372">
        <v>127</v>
      </c>
      <c r="K372">
        <v>40</v>
      </c>
      <c r="L372">
        <v>2.52</v>
      </c>
      <c r="M372" t="s">
        <v>141</v>
      </c>
      <c r="N372" t="s">
        <v>141</v>
      </c>
      <c r="O372">
        <v>4</v>
      </c>
      <c r="Q372">
        <v>4</v>
      </c>
    </row>
    <row r="373" spans="1:18" x14ac:dyDescent="0.25">
      <c r="A373">
        <v>456</v>
      </c>
      <c r="B373" t="s">
        <v>1099</v>
      </c>
      <c r="E373" t="s">
        <v>1094</v>
      </c>
      <c r="F373">
        <v>5</v>
      </c>
      <c r="G373" s="3">
        <v>42952</v>
      </c>
      <c r="H373">
        <v>11.7</v>
      </c>
      <c r="I373">
        <v>10.3</v>
      </c>
      <c r="J373">
        <v>725</v>
      </c>
      <c r="K373">
        <v>263</v>
      </c>
      <c r="L373">
        <v>11.71</v>
      </c>
      <c r="M373">
        <v>9.61</v>
      </c>
      <c r="N373">
        <v>12.77</v>
      </c>
      <c r="O373">
        <v>4</v>
      </c>
      <c r="Q373">
        <v>4</v>
      </c>
    </row>
    <row r="374" spans="1:18" x14ac:dyDescent="0.25">
      <c r="A374">
        <v>485</v>
      </c>
      <c r="B374" t="s">
        <v>1131</v>
      </c>
      <c r="D374" t="s">
        <v>1110</v>
      </c>
      <c r="E374" t="s">
        <v>1094</v>
      </c>
      <c r="G374" s="3">
        <v>42954</v>
      </c>
      <c r="H374">
        <v>28</v>
      </c>
      <c r="I374" t="s">
        <v>141</v>
      </c>
      <c r="J374" t="s">
        <v>141</v>
      </c>
      <c r="K374" t="s">
        <v>141</v>
      </c>
      <c r="L374">
        <v>19.13</v>
      </c>
      <c r="M374">
        <v>14.87</v>
      </c>
      <c r="N374">
        <v>17.59</v>
      </c>
      <c r="O374" t="s">
        <v>141</v>
      </c>
      <c r="Q374" t="s">
        <v>141</v>
      </c>
    </row>
    <row r="375" spans="1:18" x14ac:dyDescent="0.25">
      <c r="A375">
        <v>487</v>
      </c>
      <c r="B375" t="s">
        <v>1133</v>
      </c>
      <c r="D375" t="s">
        <v>1110</v>
      </c>
      <c r="E375" t="s">
        <v>1094</v>
      </c>
      <c r="G375" s="3">
        <v>42954</v>
      </c>
      <c r="H375">
        <v>29</v>
      </c>
      <c r="I375" t="s">
        <v>141</v>
      </c>
      <c r="J375" t="s">
        <v>141</v>
      </c>
      <c r="K375" t="s">
        <v>141</v>
      </c>
      <c r="L375">
        <v>18.329999999999998</v>
      </c>
      <c r="M375">
        <v>22.34</v>
      </c>
      <c r="N375">
        <v>17.43</v>
      </c>
      <c r="O375" t="s">
        <v>141</v>
      </c>
      <c r="Q375" t="s">
        <v>141</v>
      </c>
    </row>
    <row r="376" spans="1:18" x14ac:dyDescent="0.25">
      <c r="A376">
        <v>10</v>
      </c>
      <c r="B376" t="s">
        <v>521</v>
      </c>
      <c r="E376" t="s">
        <v>522</v>
      </c>
      <c r="F376">
        <v>1</v>
      </c>
      <c r="G376" s="3">
        <v>42909</v>
      </c>
      <c r="H376">
        <v>9.6</v>
      </c>
      <c r="I376" t="s">
        <v>578</v>
      </c>
      <c r="J376">
        <v>370</v>
      </c>
      <c r="K376">
        <v>120</v>
      </c>
      <c r="L376">
        <v>13.97</v>
      </c>
      <c r="M376">
        <v>15.9</v>
      </c>
      <c r="N376">
        <v>16.2</v>
      </c>
      <c r="O376">
        <v>5</v>
      </c>
      <c r="Q376">
        <v>5</v>
      </c>
    </row>
    <row r="377" spans="1:18" x14ac:dyDescent="0.25">
      <c r="A377">
        <v>294</v>
      </c>
      <c r="B377" t="s">
        <v>819</v>
      </c>
      <c r="E377" t="s">
        <v>820</v>
      </c>
      <c r="F377">
        <v>1</v>
      </c>
      <c r="G377" s="3">
        <v>42927</v>
      </c>
      <c r="H377">
        <v>6</v>
      </c>
      <c r="I377">
        <v>5.5</v>
      </c>
      <c r="J377">
        <v>360</v>
      </c>
      <c r="K377">
        <v>205</v>
      </c>
      <c r="L377">
        <v>8.6</v>
      </c>
      <c r="M377">
        <v>9.06</v>
      </c>
      <c r="N377">
        <v>9.5299999999999994</v>
      </c>
      <c r="O377">
        <v>3</v>
      </c>
      <c r="Q377">
        <v>3</v>
      </c>
    </row>
    <row r="378" spans="1:18" x14ac:dyDescent="0.25">
      <c r="A378">
        <v>417</v>
      </c>
      <c r="B378" t="s">
        <v>1007</v>
      </c>
      <c r="E378" t="s">
        <v>820</v>
      </c>
      <c r="F378">
        <v>2</v>
      </c>
      <c r="G378" s="3">
        <v>42942</v>
      </c>
      <c r="H378">
        <v>1.17</v>
      </c>
      <c r="I378">
        <v>0.8</v>
      </c>
      <c r="J378">
        <v>170</v>
      </c>
      <c r="K378">
        <v>140</v>
      </c>
      <c r="L378">
        <v>0.65</v>
      </c>
      <c r="M378" t="s">
        <v>141</v>
      </c>
      <c r="N378" t="s">
        <v>141</v>
      </c>
      <c r="O378">
        <v>3</v>
      </c>
      <c r="Q378">
        <v>3</v>
      </c>
    </row>
    <row r="379" spans="1:18" x14ac:dyDescent="0.25">
      <c r="A379">
        <v>418</v>
      </c>
      <c r="B379" t="s">
        <v>1009</v>
      </c>
      <c r="E379" t="s">
        <v>820</v>
      </c>
      <c r="F379">
        <v>3</v>
      </c>
      <c r="G379" s="3">
        <v>42942</v>
      </c>
      <c r="H379">
        <v>3.89</v>
      </c>
      <c r="I379">
        <v>2.5</v>
      </c>
      <c r="J379">
        <v>280</v>
      </c>
      <c r="K379">
        <v>180</v>
      </c>
      <c r="L379">
        <v>6.28</v>
      </c>
      <c r="M379">
        <v>6.28</v>
      </c>
      <c r="N379">
        <v>5.87</v>
      </c>
      <c r="O379">
        <v>3</v>
      </c>
      <c r="Q379">
        <v>3</v>
      </c>
    </row>
    <row r="380" spans="1:18" x14ac:dyDescent="0.25">
      <c r="A380">
        <v>460</v>
      </c>
      <c r="B380" t="s">
        <v>1070</v>
      </c>
      <c r="E380" t="s">
        <v>820</v>
      </c>
      <c r="F380">
        <v>4</v>
      </c>
      <c r="G380" s="3">
        <v>42950</v>
      </c>
      <c r="H380">
        <v>15.4</v>
      </c>
      <c r="I380">
        <v>11.7</v>
      </c>
      <c r="J380">
        <v>1010</v>
      </c>
      <c r="K380">
        <v>700</v>
      </c>
      <c r="L380">
        <v>17.2</v>
      </c>
      <c r="M380">
        <v>20.45</v>
      </c>
      <c r="N380">
        <v>23.87</v>
      </c>
      <c r="O380">
        <v>3</v>
      </c>
      <c r="P380">
        <v>1394</v>
      </c>
      <c r="Q380">
        <v>3</v>
      </c>
      <c r="R380">
        <v>1394</v>
      </c>
    </row>
    <row r="381" spans="1:18" x14ac:dyDescent="0.25">
      <c r="A381">
        <v>471</v>
      </c>
      <c r="B381" t="s">
        <v>1073</v>
      </c>
      <c r="E381" t="s">
        <v>820</v>
      </c>
      <c r="F381">
        <v>5</v>
      </c>
      <c r="G381" s="3">
        <v>42950</v>
      </c>
      <c r="H381">
        <v>13.5</v>
      </c>
      <c r="I381">
        <v>8.9</v>
      </c>
      <c r="J381">
        <v>615</v>
      </c>
      <c r="K381">
        <v>372</v>
      </c>
      <c r="L381">
        <v>13.98</v>
      </c>
      <c r="M381">
        <v>9.5399999999999991</v>
      </c>
      <c r="N381">
        <v>9.3699999999999992</v>
      </c>
      <c r="O381">
        <v>4</v>
      </c>
      <c r="Q381">
        <v>4</v>
      </c>
    </row>
    <row r="382" spans="1:18" x14ac:dyDescent="0.25">
      <c r="A382">
        <v>461</v>
      </c>
      <c r="B382" t="s">
        <v>1161</v>
      </c>
      <c r="D382" t="s">
        <v>1110</v>
      </c>
      <c r="E382" t="s">
        <v>820</v>
      </c>
      <c r="G382" s="3">
        <v>42950</v>
      </c>
      <c r="H382">
        <v>16.2</v>
      </c>
      <c r="I382">
        <v>18.399999999999999</v>
      </c>
      <c r="J382">
        <v>1300</v>
      </c>
      <c r="K382">
        <v>1000</v>
      </c>
      <c r="L382">
        <v>30.72</v>
      </c>
      <c r="M382">
        <v>29.88</v>
      </c>
      <c r="N382">
        <v>30.36</v>
      </c>
      <c r="O382">
        <v>4</v>
      </c>
      <c r="P382">
        <v>1375</v>
      </c>
      <c r="Q382">
        <v>4</v>
      </c>
      <c r="R382">
        <v>1375</v>
      </c>
    </row>
    <row r="383" spans="1:18" x14ac:dyDescent="0.25">
      <c r="A383">
        <v>510</v>
      </c>
      <c r="B383" t="s">
        <v>1161</v>
      </c>
      <c r="D383" t="s">
        <v>1110</v>
      </c>
      <c r="E383" t="s">
        <v>820</v>
      </c>
      <c r="G383" s="3">
        <v>42957</v>
      </c>
      <c r="H383">
        <v>34.799999999999997</v>
      </c>
      <c r="I383">
        <v>33.200000000000003</v>
      </c>
      <c r="J383" t="s">
        <v>141</v>
      </c>
      <c r="K383" t="s">
        <v>141</v>
      </c>
      <c r="L383">
        <v>42.36</v>
      </c>
      <c r="M383">
        <v>35.43</v>
      </c>
      <c r="N383">
        <v>32.409999999999997</v>
      </c>
      <c r="O383">
        <v>4</v>
      </c>
      <c r="P383">
        <v>996</v>
      </c>
      <c r="Q383">
        <v>4</v>
      </c>
      <c r="R383">
        <v>996</v>
      </c>
    </row>
    <row r="384" spans="1:18" x14ac:dyDescent="0.25">
      <c r="A384">
        <v>511</v>
      </c>
      <c r="B384" t="s">
        <v>1162</v>
      </c>
      <c r="D384" t="s">
        <v>1110</v>
      </c>
      <c r="E384" t="s">
        <v>820</v>
      </c>
      <c r="G384" s="3">
        <v>42957</v>
      </c>
      <c r="H384">
        <v>25.5</v>
      </c>
      <c r="I384">
        <v>23.8</v>
      </c>
      <c r="J384" t="s">
        <v>141</v>
      </c>
      <c r="K384" t="s">
        <v>141</v>
      </c>
      <c r="L384">
        <v>16.87</v>
      </c>
      <c r="M384">
        <v>30.12</v>
      </c>
      <c r="N384">
        <v>16.149999999999999</v>
      </c>
      <c r="O384">
        <v>3</v>
      </c>
      <c r="P384">
        <v>997</v>
      </c>
      <c r="Q384">
        <v>3</v>
      </c>
      <c r="R384">
        <v>997</v>
      </c>
    </row>
    <row r="385" spans="1:18" x14ac:dyDescent="0.25">
      <c r="A385">
        <v>262</v>
      </c>
      <c r="B385" t="s">
        <v>1252</v>
      </c>
      <c r="C385" t="s">
        <v>230</v>
      </c>
      <c r="E385" t="s">
        <v>386</v>
      </c>
      <c r="F385">
        <v>1</v>
      </c>
      <c r="G385" s="3">
        <v>42901</v>
      </c>
      <c r="H385">
        <v>4.2</v>
      </c>
      <c r="I385">
        <v>3.6</v>
      </c>
      <c r="J385">
        <v>250</v>
      </c>
      <c r="K385">
        <v>170</v>
      </c>
      <c r="L385">
        <v>7.78</v>
      </c>
      <c r="M385">
        <v>9.06</v>
      </c>
      <c r="N385">
        <v>9.4499999999999993</v>
      </c>
      <c r="P385">
        <v>1559</v>
      </c>
      <c r="R385">
        <v>1559</v>
      </c>
    </row>
    <row r="386" spans="1:18" x14ac:dyDescent="0.25">
      <c r="A386">
        <v>258</v>
      </c>
      <c r="B386" t="s">
        <v>1253</v>
      </c>
      <c r="C386" t="s">
        <v>288</v>
      </c>
      <c r="E386" t="s">
        <v>386</v>
      </c>
      <c r="F386">
        <v>2</v>
      </c>
      <c r="G386" s="3">
        <v>42901</v>
      </c>
      <c r="H386">
        <v>6.2</v>
      </c>
      <c r="I386">
        <v>4</v>
      </c>
      <c r="J386">
        <v>220</v>
      </c>
      <c r="K386">
        <v>90</v>
      </c>
      <c r="L386">
        <v>12.64</v>
      </c>
      <c r="M386">
        <v>13.62</v>
      </c>
      <c r="N386">
        <v>13.87</v>
      </c>
      <c r="P386">
        <v>8330</v>
      </c>
      <c r="R386">
        <v>8330</v>
      </c>
    </row>
    <row r="387" spans="1:18" x14ac:dyDescent="0.25">
      <c r="A387">
        <v>199</v>
      </c>
      <c r="B387" t="s">
        <v>417</v>
      </c>
      <c r="E387" t="s">
        <v>386</v>
      </c>
      <c r="F387">
        <v>3</v>
      </c>
      <c r="G387" s="3">
        <v>42906</v>
      </c>
      <c r="H387">
        <v>5.5</v>
      </c>
      <c r="I387">
        <v>4.2</v>
      </c>
      <c r="J387">
        <v>290</v>
      </c>
      <c r="K387">
        <v>160</v>
      </c>
      <c r="L387">
        <v>12.81</v>
      </c>
      <c r="M387">
        <v>11.74</v>
      </c>
      <c r="N387">
        <v>9.6999999999999993</v>
      </c>
      <c r="O387">
        <v>4</v>
      </c>
      <c r="Q387">
        <v>4</v>
      </c>
    </row>
    <row r="388" spans="1:18" x14ac:dyDescent="0.25">
      <c r="A388">
        <v>200</v>
      </c>
      <c r="B388" t="s">
        <v>449</v>
      </c>
      <c r="E388" t="s">
        <v>386</v>
      </c>
      <c r="F388">
        <v>4</v>
      </c>
      <c r="G388" s="3">
        <v>42906</v>
      </c>
      <c r="H388">
        <v>5.0999999999999996</v>
      </c>
      <c r="I388">
        <v>2.1</v>
      </c>
      <c r="J388">
        <v>200</v>
      </c>
      <c r="K388">
        <v>80</v>
      </c>
      <c r="L388">
        <v>6.4</v>
      </c>
      <c r="M388">
        <v>6.01</v>
      </c>
      <c r="N388">
        <v>5.88</v>
      </c>
      <c r="O388">
        <v>4</v>
      </c>
      <c r="Q388">
        <v>4</v>
      </c>
    </row>
    <row r="389" spans="1:18" x14ac:dyDescent="0.25">
      <c r="A389">
        <v>11</v>
      </c>
      <c r="B389" t="s">
        <v>543</v>
      </c>
      <c r="E389" t="s">
        <v>386</v>
      </c>
      <c r="F389">
        <v>5</v>
      </c>
      <c r="G389" s="3">
        <v>42909</v>
      </c>
      <c r="H389">
        <v>4.9000000000000004</v>
      </c>
      <c r="I389">
        <v>3.7</v>
      </c>
      <c r="J389">
        <v>230</v>
      </c>
      <c r="K389">
        <v>60</v>
      </c>
      <c r="L389">
        <v>11.22</v>
      </c>
      <c r="M389">
        <v>11.41</v>
      </c>
      <c r="N389">
        <v>12.59</v>
      </c>
      <c r="O389">
        <v>4</v>
      </c>
      <c r="Q389">
        <v>4</v>
      </c>
    </row>
    <row r="390" spans="1:18" x14ac:dyDescent="0.25">
      <c r="A390">
        <v>488</v>
      </c>
      <c r="B390" t="s">
        <v>1134</v>
      </c>
      <c r="D390" t="s">
        <v>1110</v>
      </c>
      <c r="E390" t="s">
        <v>386</v>
      </c>
      <c r="G390" s="3">
        <v>42956</v>
      </c>
      <c r="H390">
        <v>27.1</v>
      </c>
      <c r="I390" t="s">
        <v>1150</v>
      </c>
      <c r="J390">
        <v>750</v>
      </c>
      <c r="K390">
        <v>110</v>
      </c>
      <c r="L390">
        <v>15.62</v>
      </c>
      <c r="M390">
        <v>12.39</v>
      </c>
      <c r="N390">
        <v>13.36</v>
      </c>
      <c r="O390">
        <v>5</v>
      </c>
      <c r="P390" t="s">
        <v>1153</v>
      </c>
      <c r="Q390">
        <v>5</v>
      </c>
      <c r="R390" t="s">
        <v>1153</v>
      </c>
    </row>
    <row r="391" spans="1:18" x14ac:dyDescent="0.25">
      <c r="A391">
        <v>399</v>
      </c>
      <c r="B391" t="s">
        <v>931</v>
      </c>
      <c r="E391" t="s">
        <v>932</v>
      </c>
      <c r="F391">
        <v>1</v>
      </c>
      <c r="G391" s="3">
        <v>42936</v>
      </c>
      <c r="H391">
        <v>9.6999999999999993</v>
      </c>
      <c r="I391">
        <v>9.5</v>
      </c>
      <c r="J391">
        <v>555</v>
      </c>
      <c r="K391">
        <v>375</v>
      </c>
      <c r="L391">
        <v>14.87</v>
      </c>
      <c r="M391">
        <v>18.100000000000001</v>
      </c>
      <c r="N391">
        <v>16.89</v>
      </c>
      <c r="O391">
        <v>3</v>
      </c>
      <c r="P391">
        <v>3989</v>
      </c>
      <c r="Q391">
        <v>3</v>
      </c>
      <c r="R391">
        <v>3989</v>
      </c>
    </row>
    <row r="392" spans="1:18" x14ac:dyDescent="0.25">
      <c r="A392">
        <v>387</v>
      </c>
      <c r="B392" t="s">
        <v>956</v>
      </c>
      <c r="E392" t="s">
        <v>932</v>
      </c>
      <c r="F392">
        <v>2</v>
      </c>
      <c r="G392" s="3">
        <v>42936</v>
      </c>
      <c r="H392">
        <v>7.8</v>
      </c>
      <c r="I392">
        <v>8</v>
      </c>
      <c r="J392">
        <v>620</v>
      </c>
      <c r="K392">
        <v>500</v>
      </c>
      <c r="L392">
        <v>9.5399999999999991</v>
      </c>
      <c r="M392">
        <v>9.5299999999999994</v>
      </c>
      <c r="N392">
        <v>9.01</v>
      </c>
      <c r="O392">
        <v>3</v>
      </c>
      <c r="P392">
        <v>3879</v>
      </c>
      <c r="Q392">
        <v>3</v>
      </c>
      <c r="R392">
        <v>3879</v>
      </c>
    </row>
    <row r="393" spans="1:18" x14ac:dyDescent="0.25">
      <c r="A393">
        <v>349</v>
      </c>
      <c r="B393" t="s">
        <v>975</v>
      </c>
      <c r="E393" t="s">
        <v>932</v>
      </c>
      <c r="F393">
        <v>3</v>
      </c>
      <c r="G393" s="3">
        <v>42940</v>
      </c>
      <c r="H393">
        <v>18.899999999999999</v>
      </c>
      <c r="I393">
        <v>18.8</v>
      </c>
      <c r="J393">
        <v>725</v>
      </c>
      <c r="K393">
        <v>521</v>
      </c>
      <c r="L393">
        <v>12.54</v>
      </c>
      <c r="M393">
        <v>11.14</v>
      </c>
      <c r="N393">
        <v>9.93</v>
      </c>
      <c r="O393">
        <v>3</v>
      </c>
      <c r="P393">
        <v>4332</v>
      </c>
      <c r="Q393">
        <v>3</v>
      </c>
      <c r="R393">
        <v>4332</v>
      </c>
    </row>
    <row r="394" spans="1:18" x14ac:dyDescent="0.25">
      <c r="A394">
        <v>354</v>
      </c>
      <c r="B394" t="s">
        <v>970</v>
      </c>
      <c r="E394" t="s">
        <v>932</v>
      </c>
      <c r="F394">
        <v>4</v>
      </c>
      <c r="G394" s="3">
        <v>42940</v>
      </c>
      <c r="H394">
        <v>17.100000000000001</v>
      </c>
      <c r="I394">
        <v>14.6</v>
      </c>
      <c r="J394">
        <v>533</v>
      </c>
      <c r="K394">
        <v>240</v>
      </c>
      <c r="L394">
        <v>14.76</v>
      </c>
      <c r="M394">
        <v>21.02</v>
      </c>
      <c r="N394">
        <v>19.46</v>
      </c>
      <c r="O394">
        <v>2</v>
      </c>
      <c r="Q394">
        <v>2</v>
      </c>
    </row>
    <row r="395" spans="1:18" x14ac:dyDescent="0.25">
      <c r="A395">
        <v>356</v>
      </c>
      <c r="B395" t="s">
        <v>964</v>
      </c>
      <c r="E395" t="s">
        <v>932</v>
      </c>
      <c r="F395">
        <v>5</v>
      </c>
      <c r="G395" s="3">
        <v>42940</v>
      </c>
      <c r="H395">
        <v>18.399999999999999</v>
      </c>
      <c r="I395">
        <v>17.600000000000001</v>
      </c>
      <c r="J395">
        <v>1010</v>
      </c>
      <c r="K395">
        <v>460</v>
      </c>
      <c r="L395">
        <v>14.89</v>
      </c>
      <c r="M395">
        <v>16.239999999999998</v>
      </c>
      <c r="N395">
        <v>24.22</v>
      </c>
      <c r="O395">
        <v>3</v>
      </c>
      <c r="P395">
        <v>4485</v>
      </c>
      <c r="Q395">
        <v>3</v>
      </c>
      <c r="R395">
        <v>4485</v>
      </c>
    </row>
    <row r="396" spans="1:18" x14ac:dyDescent="0.25">
      <c r="A396">
        <v>181</v>
      </c>
      <c r="B396" t="s">
        <v>462</v>
      </c>
      <c r="E396" t="s">
        <v>463</v>
      </c>
      <c r="F396">
        <v>1</v>
      </c>
      <c r="G396" s="3">
        <v>42907</v>
      </c>
      <c r="H396" t="s">
        <v>730</v>
      </c>
      <c r="I396" t="s">
        <v>734</v>
      </c>
      <c r="J396">
        <v>760</v>
      </c>
      <c r="K396">
        <v>140</v>
      </c>
      <c r="L396">
        <v>23.05</v>
      </c>
      <c r="M396">
        <v>25.49</v>
      </c>
      <c r="N396">
        <v>33.159999999999997</v>
      </c>
      <c r="O396">
        <v>4</v>
      </c>
      <c r="Q396">
        <v>4</v>
      </c>
    </row>
    <row r="397" spans="1:18" x14ac:dyDescent="0.25">
      <c r="A397">
        <v>182</v>
      </c>
      <c r="B397" t="s">
        <v>467</v>
      </c>
      <c r="E397" t="s">
        <v>463</v>
      </c>
      <c r="F397">
        <v>2</v>
      </c>
      <c r="G397" s="3">
        <v>42907</v>
      </c>
      <c r="H397">
        <v>24.5</v>
      </c>
      <c r="I397">
        <v>21.2</v>
      </c>
      <c r="J397">
        <v>770</v>
      </c>
      <c r="K397">
        <v>255</v>
      </c>
      <c r="L397">
        <v>30.29</v>
      </c>
      <c r="M397">
        <v>30.33</v>
      </c>
      <c r="N397">
        <v>26.17</v>
      </c>
      <c r="O397">
        <v>4</v>
      </c>
      <c r="Q397">
        <v>4</v>
      </c>
    </row>
    <row r="398" spans="1:18" x14ac:dyDescent="0.25">
      <c r="A398">
        <v>314</v>
      </c>
      <c r="B398" t="s">
        <v>740</v>
      </c>
      <c r="E398" t="s">
        <v>463</v>
      </c>
      <c r="F398">
        <v>3</v>
      </c>
      <c r="G398" s="3">
        <v>42921</v>
      </c>
      <c r="H398">
        <v>21.5</v>
      </c>
      <c r="I398">
        <v>18.5</v>
      </c>
      <c r="J398">
        <v>550</v>
      </c>
      <c r="K398">
        <v>300</v>
      </c>
      <c r="L398">
        <v>29.41</v>
      </c>
      <c r="M398">
        <v>29.93</v>
      </c>
      <c r="N398">
        <v>25.75</v>
      </c>
      <c r="O398">
        <v>4</v>
      </c>
      <c r="Q398">
        <v>4</v>
      </c>
    </row>
    <row r="399" spans="1:18" x14ac:dyDescent="0.25">
      <c r="A399">
        <v>395</v>
      </c>
      <c r="B399" t="s">
        <v>944</v>
      </c>
      <c r="E399" t="s">
        <v>463</v>
      </c>
      <c r="F399">
        <v>4</v>
      </c>
      <c r="G399" s="3">
        <v>42936</v>
      </c>
      <c r="H399">
        <v>22.5</v>
      </c>
      <c r="I399">
        <v>19.100000000000001</v>
      </c>
      <c r="J399">
        <v>655</v>
      </c>
      <c r="K399">
        <v>358</v>
      </c>
      <c r="L399">
        <v>30.75</v>
      </c>
      <c r="M399">
        <v>18.29</v>
      </c>
      <c r="N399">
        <v>14.23</v>
      </c>
      <c r="O399">
        <v>3</v>
      </c>
      <c r="Q399">
        <v>3</v>
      </c>
    </row>
    <row r="400" spans="1:18" x14ac:dyDescent="0.25">
      <c r="A400">
        <v>380</v>
      </c>
      <c r="B400" t="s">
        <v>958</v>
      </c>
      <c r="E400" t="s">
        <v>463</v>
      </c>
      <c r="F400">
        <v>5</v>
      </c>
      <c r="G400" s="3">
        <v>42936</v>
      </c>
      <c r="H400">
        <v>21.4</v>
      </c>
      <c r="I400">
        <v>19</v>
      </c>
      <c r="J400">
        <v>648</v>
      </c>
      <c r="K400">
        <v>348</v>
      </c>
      <c r="L400">
        <v>31.61</v>
      </c>
      <c r="M400">
        <v>19.68</v>
      </c>
      <c r="N400">
        <v>27.26</v>
      </c>
      <c r="O400">
        <v>4</v>
      </c>
      <c r="P400">
        <v>3828</v>
      </c>
      <c r="Q400">
        <v>4</v>
      </c>
      <c r="R400">
        <v>3828</v>
      </c>
    </row>
    <row r="401" spans="1:18" x14ac:dyDescent="0.25">
      <c r="A401">
        <v>358</v>
      </c>
      <c r="B401" t="s">
        <v>971</v>
      </c>
      <c r="E401" t="s">
        <v>463</v>
      </c>
      <c r="F401">
        <v>6</v>
      </c>
      <c r="G401" s="3">
        <v>42940</v>
      </c>
      <c r="H401">
        <v>15.5</v>
      </c>
      <c r="I401">
        <v>13.3</v>
      </c>
      <c r="J401">
        <v>840</v>
      </c>
      <c r="K401">
        <v>690</v>
      </c>
      <c r="L401">
        <v>22.88</v>
      </c>
      <c r="M401">
        <v>15.45</v>
      </c>
      <c r="N401">
        <v>17.32</v>
      </c>
      <c r="O401">
        <v>3</v>
      </c>
      <c r="P401">
        <v>4512</v>
      </c>
      <c r="Q401">
        <v>3</v>
      </c>
      <c r="R401">
        <v>4512</v>
      </c>
    </row>
    <row r="402" spans="1:18" x14ac:dyDescent="0.25">
      <c r="A402">
        <v>202</v>
      </c>
      <c r="B402" t="s">
        <v>439</v>
      </c>
      <c r="E402" t="s">
        <v>440</v>
      </c>
      <c r="F402">
        <v>1</v>
      </c>
      <c r="G402" s="3">
        <v>42906</v>
      </c>
      <c r="H402">
        <v>5.7</v>
      </c>
      <c r="I402">
        <v>4.5999999999999996</v>
      </c>
      <c r="J402">
        <v>565</v>
      </c>
      <c r="K402">
        <v>135</v>
      </c>
      <c r="L402">
        <v>2.23</v>
      </c>
      <c r="M402">
        <v>2.56</v>
      </c>
      <c r="N402">
        <v>2.68</v>
      </c>
      <c r="O402">
        <v>3</v>
      </c>
      <c r="Q402">
        <v>3</v>
      </c>
    </row>
    <row r="403" spans="1:18" x14ac:dyDescent="0.25">
      <c r="A403">
        <v>373</v>
      </c>
      <c r="B403" t="s">
        <v>887</v>
      </c>
      <c r="E403" t="s">
        <v>440</v>
      </c>
      <c r="F403">
        <v>2</v>
      </c>
      <c r="G403" s="3">
        <v>42931</v>
      </c>
      <c r="H403">
        <v>27.2</v>
      </c>
      <c r="I403">
        <v>23</v>
      </c>
      <c r="J403">
        <v>1300</v>
      </c>
      <c r="K403">
        <v>320</v>
      </c>
      <c r="L403">
        <v>6.32</v>
      </c>
      <c r="M403">
        <v>5.84</v>
      </c>
      <c r="N403">
        <v>5.29</v>
      </c>
      <c r="O403">
        <v>5</v>
      </c>
      <c r="P403">
        <v>2779</v>
      </c>
      <c r="Q403">
        <v>5</v>
      </c>
      <c r="R403">
        <v>2779</v>
      </c>
    </row>
    <row r="404" spans="1:18" x14ac:dyDescent="0.25">
      <c r="A404">
        <v>361</v>
      </c>
      <c r="B404" t="s">
        <v>973</v>
      </c>
      <c r="E404" t="s">
        <v>440</v>
      </c>
      <c r="F404">
        <v>3</v>
      </c>
      <c r="G404" s="3">
        <v>42940</v>
      </c>
      <c r="H404">
        <v>10.6</v>
      </c>
      <c r="I404">
        <v>9</v>
      </c>
      <c r="J404">
        <v>890</v>
      </c>
      <c r="K404">
        <v>570</v>
      </c>
      <c r="L404">
        <v>3.64</v>
      </c>
      <c r="M404">
        <v>2.4</v>
      </c>
      <c r="N404">
        <v>2.9</v>
      </c>
      <c r="O404">
        <v>3</v>
      </c>
      <c r="P404">
        <v>4613</v>
      </c>
      <c r="Q404">
        <v>3</v>
      </c>
      <c r="R404">
        <v>4613</v>
      </c>
    </row>
    <row r="405" spans="1:18" x14ac:dyDescent="0.25">
      <c r="A405">
        <v>475</v>
      </c>
      <c r="B405" t="s">
        <v>1120</v>
      </c>
      <c r="E405" t="s">
        <v>440</v>
      </c>
      <c r="F405">
        <v>4</v>
      </c>
      <c r="G405" s="3">
        <v>42954</v>
      </c>
      <c r="H405">
        <v>14.8</v>
      </c>
      <c r="I405">
        <v>12.2</v>
      </c>
      <c r="J405">
        <v>1200</v>
      </c>
      <c r="K405">
        <v>565</v>
      </c>
      <c r="L405">
        <v>4.07</v>
      </c>
      <c r="M405">
        <v>3.62</v>
      </c>
      <c r="N405">
        <v>3.22</v>
      </c>
      <c r="O405">
        <v>4</v>
      </c>
      <c r="Q405">
        <v>4</v>
      </c>
    </row>
    <row r="406" spans="1:18" x14ac:dyDescent="0.25">
      <c r="A406">
        <v>476</v>
      </c>
      <c r="B406" t="s">
        <v>1121</v>
      </c>
      <c r="E406" t="s">
        <v>440</v>
      </c>
      <c r="F406">
        <v>5</v>
      </c>
      <c r="G406" s="3">
        <v>42954</v>
      </c>
      <c r="H406">
        <v>14.4</v>
      </c>
      <c r="I406">
        <v>13.2</v>
      </c>
      <c r="J406">
        <v>1100</v>
      </c>
      <c r="K406">
        <v>545</v>
      </c>
      <c r="L406">
        <v>4.55</v>
      </c>
      <c r="M406">
        <v>5.14</v>
      </c>
      <c r="N406">
        <v>4.91</v>
      </c>
      <c r="O406">
        <v>3</v>
      </c>
      <c r="Q406">
        <v>3</v>
      </c>
    </row>
    <row r="407" spans="1:18" x14ac:dyDescent="0.25">
      <c r="A407">
        <v>170</v>
      </c>
      <c r="B407" t="s">
        <v>478</v>
      </c>
      <c r="E407" t="s">
        <v>477</v>
      </c>
      <c r="F407">
        <v>1</v>
      </c>
      <c r="G407" s="3">
        <v>42907</v>
      </c>
      <c r="H407">
        <v>4</v>
      </c>
      <c r="I407">
        <v>3.2</v>
      </c>
      <c r="J407">
        <v>430</v>
      </c>
      <c r="K407">
        <v>135</v>
      </c>
      <c r="L407">
        <v>2.64</v>
      </c>
      <c r="M407">
        <v>2.4</v>
      </c>
      <c r="N407">
        <v>2.0699999999999998</v>
      </c>
      <c r="O407">
        <v>4</v>
      </c>
      <c r="Q407">
        <v>4</v>
      </c>
    </row>
    <row r="408" spans="1:18" x14ac:dyDescent="0.25">
      <c r="A408">
        <v>37</v>
      </c>
      <c r="B408" t="s">
        <v>618</v>
      </c>
      <c r="E408" t="s">
        <v>611</v>
      </c>
      <c r="F408">
        <v>1</v>
      </c>
      <c r="G408" s="3">
        <v>42915</v>
      </c>
      <c r="H408">
        <v>7.9</v>
      </c>
      <c r="I408">
        <v>4.8</v>
      </c>
      <c r="J408">
        <v>285</v>
      </c>
      <c r="K408">
        <v>120</v>
      </c>
      <c r="L408">
        <v>6.1</v>
      </c>
      <c r="M408">
        <v>8.8699999999999992</v>
      </c>
      <c r="N408">
        <v>11.14</v>
      </c>
      <c r="O408">
        <v>4</v>
      </c>
      <c r="Q408">
        <v>4</v>
      </c>
    </row>
    <row r="409" spans="1:18" x14ac:dyDescent="0.25">
      <c r="A409">
        <v>38</v>
      </c>
      <c r="B409" t="s">
        <v>610</v>
      </c>
      <c r="E409" t="s">
        <v>611</v>
      </c>
      <c r="F409">
        <v>2</v>
      </c>
      <c r="G409" s="3">
        <v>42915</v>
      </c>
      <c r="H409">
        <v>2.2000000000000002</v>
      </c>
      <c r="I409" t="s">
        <v>643</v>
      </c>
      <c r="J409">
        <v>175</v>
      </c>
      <c r="K409">
        <v>80</v>
      </c>
      <c r="L409">
        <v>3.08</v>
      </c>
      <c r="M409" t="s">
        <v>141</v>
      </c>
      <c r="N409" t="s">
        <v>141</v>
      </c>
      <c r="O409">
        <v>4</v>
      </c>
      <c r="Q409">
        <v>4</v>
      </c>
    </row>
    <row r="410" spans="1:18" x14ac:dyDescent="0.25">
      <c r="A410">
        <v>298</v>
      </c>
      <c r="B410" t="s">
        <v>827</v>
      </c>
      <c r="E410" t="s">
        <v>611</v>
      </c>
      <c r="F410">
        <v>3</v>
      </c>
      <c r="G410" s="3">
        <v>42927</v>
      </c>
      <c r="H410">
        <v>3.2</v>
      </c>
      <c r="I410">
        <v>2.2000000000000002</v>
      </c>
      <c r="J410">
        <v>220</v>
      </c>
      <c r="K410">
        <v>130</v>
      </c>
      <c r="L410">
        <v>5.07</v>
      </c>
      <c r="M410">
        <v>4.34</v>
      </c>
      <c r="N410">
        <v>5.56</v>
      </c>
      <c r="O410">
        <v>3</v>
      </c>
      <c r="Q410">
        <v>3</v>
      </c>
    </row>
    <row r="411" spans="1:18" x14ac:dyDescent="0.25">
      <c r="A411">
        <v>299</v>
      </c>
      <c r="B411" t="s">
        <v>830</v>
      </c>
      <c r="E411" t="s">
        <v>611</v>
      </c>
      <c r="F411">
        <v>4</v>
      </c>
      <c r="G411" s="3">
        <v>42927</v>
      </c>
      <c r="H411">
        <v>7.8</v>
      </c>
      <c r="I411" t="s">
        <v>833</v>
      </c>
      <c r="J411">
        <v>213</v>
      </c>
      <c r="K411">
        <v>140</v>
      </c>
      <c r="L411">
        <v>16.010000000000002</v>
      </c>
      <c r="M411">
        <v>17.41</v>
      </c>
      <c r="N411">
        <v>13.4</v>
      </c>
      <c r="O411">
        <v>4</v>
      </c>
      <c r="Q411">
        <v>4</v>
      </c>
    </row>
    <row r="412" spans="1:18" x14ac:dyDescent="0.25">
      <c r="A412">
        <v>301</v>
      </c>
      <c r="B412" t="s">
        <v>807</v>
      </c>
      <c r="E412" t="s">
        <v>611</v>
      </c>
      <c r="F412">
        <v>5</v>
      </c>
      <c r="G412" s="3">
        <v>42927</v>
      </c>
      <c r="H412">
        <v>3.64</v>
      </c>
      <c r="I412">
        <v>0.43</v>
      </c>
      <c r="J412">
        <v>150</v>
      </c>
      <c r="K412">
        <v>70</v>
      </c>
      <c r="L412">
        <v>4.66</v>
      </c>
      <c r="M412">
        <v>7.25</v>
      </c>
      <c r="N412">
        <v>6.51</v>
      </c>
      <c r="O412">
        <v>4</v>
      </c>
      <c r="Q412">
        <v>4</v>
      </c>
    </row>
    <row r="413" spans="1:18" x14ac:dyDescent="0.25">
      <c r="A413">
        <v>95</v>
      </c>
      <c r="B413" t="s">
        <v>37</v>
      </c>
      <c r="E413" t="s">
        <v>357</v>
      </c>
      <c r="F413">
        <v>1</v>
      </c>
      <c r="G413" s="3">
        <v>42901</v>
      </c>
      <c r="H413">
        <v>6.5</v>
      </c>
      <c r="I413">
        <v>5.7</v>
      </c>
      <c r="J413">
        <v>460</v>
      </c>
      <c r="K413">
        <v>70</v>
      </c>
      <c r="L413">
        <v>12.45</v>
      </c>
      <c r="M413">
        <v>11.45</v>
      </c>
      <c r="N413">
        <v>11.7</v>
      </c>
      <c r="O413">
        <v>5</v>
      </c>
      <c r="Q413">
        <v>5</v>
      </c>
    </row>
    <row r="414" spans="1:18" x14ac:dyDescent="0.25">
      <c r="A414">
        <v>135</v>
      </c>
      <c r="B414" t="s">
        <v>191</v>
      </c>
      <c r="E414" t="s">
        <v>357</v>
      </c>
      <c r="F414">
        <v>2</v>
      </c>
      <c r="G414" s="3">
        <v>42900</v>
      </c>
      <c r="H414" t="s">
        <v>693</v>
      </c>
      <c r="I414" t="s">
        <v>699</v>
      </c>
      <c r="J414">
        <v>494</v>
      </c>
      <c r="K414">
        <v>170</v>
      </c>
      <c r="L414">
        <v>12.2</v>
      </c>
      <c r="M414">
        <v>12.7</v>
      </c>
      <c r="N414">
        <v>13.6</v>
      </c>
      <c r="O414">
        <v>5</v>
      </c>
      <c r="Q414">
        <v>5</v>
      </c>
    </row>
    <row r="415" spans="1:18" x14ac:dyDescent="0.25">
      <c r="A415">
        <v>171</v>
      </c>
      <c r="B415" t="s">
        <v>474</v>
      </c>
      <c r="E415" t="s">
        <v>357</v>
      </c>
      <c r="F415">
        <v>3</v>
      </c>
      <c r="G415" s="3">
        <v>42907</v>
      </c>
      <c r="H415">
        <v>9.4</v>
      </c>
      <c r="I415" t="s">
        <v>732</v>
      </c>
      <c r="J415">
        <v>265</v>
      </c>
      <c r="K415">
        <v>110</v>
      </c>
      <c r="L415">
        <v>10.66</v>
      </c>
      <c r="M415">
        <v>10.72</v>
      </c>
      <c r="N415">
        <v>10.51</v>
      </c>
      <c r="O415">
        <v>5</v>
      </c>
      <c r="Q415">
        <v>5</v>
      </c>
    </row>
    <row r="416" spans="1:18" x14ac:dyDescent="0.25">
      <c r="A416">
        <v>312</v>
      </c>
      <c r="B416" t="s">
        <v>747</v>
      </c>
      <c r="E416" t="s">
        <v>357</v>
      </c>
      <c r="F416">
        <v>4</v>
      </c>
      <c r="G416" s="3">
        <v>42921</v>
      </c>
      <c r="H416">
        <v>10.4</v>
      </c>
      <c r="I416">
        <v>7.3</v>
      </c>
      <c r="J416">
        <v>500</v>
      </c>
      <c r="K416">
        <v>300</v>
      </c>
      <c r="L416">
        <v>15.74</v>
      </c>
      <c r="M416">
        <v>12.96</v>
      </c>
      <c r="N416">
        <v>14.13</v>
      </c>
      <c r="O416">
        <v>4</v>
      </c>
      <c r="Q416">
        <v>4</v>
      </c>
    </row>
    <row r="417" spans="1:18" x14ac:dyDescent="0.25">
      <c r="A417">
        <v>222</v>
      </c>
      <c r="B417" t="s">
        <v>770</v>
      </c>
      <c r="E417" t="s">
        <v>357</v>
      </c>
      <c r="F417">
        <v>5</v>
      </c>
      <c r="G417" s="3">
        <v>42923</v>
      </c>
      <c r="H417">
        <v>21.8</v>
      </c>
      <c r="I417">
        <v>22.8</v>
      </c>
      <c r="J417">
        <v>490</v>
      </c>
      <c r="K417">
        <v>240</v>
      </c>
      <c r="L417">
        <v>30</v>
      </c>
      <c r="M417">
        <v>26</v>
      </c>
      <c r="N417">
        <v>28.13</v>
      </c>
      <c r="O417">
        <v>5</v>
      </c>
      <c r="Q417">
        <v>5</v>
      </c>
    </row>
    <row r="418" spans="1:18" x14ac:dyDescent="0.25">
      <c r="A418">
        <v>178</v>
      </c>
      <c r="B418" t="s">
        <v>476</v>
      </c>
      <c r="E418" t="s">
        <v>460</v>
      </c>
      <c r="F418">
        <v>1</v>
      </c>
      <c r="G418" s="3">
        <v>42907</v>
      </c>
      <c r="H418">
        <v>14</v>
      </c>
      <c r="I418">
        <v>13.5</v>
      </c>
      <c r="J418">
        <v>415</v>
      </c>
      <c r="K418">
        <v>245</v>
      </c>
      <c r="L418">
        <v>10.57</v>
      </c>
      <c r="M418">
        <v>13</v>
      </c>
      <c r="N418">
        <v>12.72</v>
      </c>
      <c r="O418">
        <v>3</v>
      </c>
      <c r="Q418">
        <v>3</v>
      </c>
    </row>
    <row r="419" spans="1:18" x14ac:dyDescent="0.25">
      <c r="A419">
        <v>180</v>
      </c>
      <c r="B419" t="s">
        <v>459</v>
      </c>
      <c r="E419" t="s">
        <v>460</v>
      </c>
      <c r="F419">
        <v>2</v>
      </c>
      <c r="G419" s="3">
        <v>42907</v>
      </c>
      <c r="H419">
        <v>6.8</v>
      </c>
      <c r="I419">
        <v>7.3</v>
      </c>
      <c r="J419">
        <v>335</v>
      </c>
      <c r="K419">
        <v>180</v>
      </c>
      <c r="L419">
        <v>8.06</v>
      </c>
      <c r="M419">
        <v>7.58</v>
      </c>
      <c r="N419">
        <v>7.78</v>
      </c>
      <c r="O419">
        <v>4</v>
      </c>
      <c r="Q419">
        <v>4</v>
      </c>
    </row>
    <row r="420" spans="1:18" x14ac:dyDescent="0.25">
      <c r="A420">
        <v>402</v>
      </c>
      <c r="B420" t="s">
        <v>938</v>
      </c>
      <c r="E420" t="s">
        <v>460</v>
      </c>
      <c r="F420">
        <v>3</v>
      </c>
      <c r="G420" s="3">
        <v>42936</v>
      </c>
      <c r="H420">
        <v>20.5</v>
      </c>
      <c r="I420">
        <v>17.8</v>
      </c>
      <c r="J420">
        <v>740</v>
      </c>
      <c r="K420">
        <v>445</v>
      </c>
      <c r="L420">
        <v>14.84</v>
      </c>
      <c r="M420">
        <v>15.97</v>
      </c>
      <c r="N420">
        <v>13.7</v>
      </c>
      <c r="O420">
        <v>3</v>
      </c>
      <c r="P420">
        <v>4100</v>
      </c>
      <c r="Q420">
        <v>3</v>
      </c>
      <c r="R420">
        <v>4100</v>
      </c>
    </row>
    <row r="421" spans="1:18" x14ac:dyDescent="0.25">
      <c r="A421">
        <v>396</v>
      </c>
      <c r="B421" t="s">
        <v>942</v>
      </c>
      <c r="E421" t="s">
        <v>460</v>
      </c>
      <c r="F421">
        <v>4</v>
      </c>
      <c r="G421" s="3">
        <v>42936</v>
      </c>
      <c r="H421">
        <v>12</v>
      </c>
      <c r="I421">
        <v>10.7</v>
      </c>
      <c r="J421">
        <v>642</v>
      </c>
      <c r="K421">
        <v>246</v>
      </c>
      <c r="L421">
        <v>7.36</v>
      </c>
      <c r="M421">
        <v>7.09</v>
      </c>
      <c r="N421">
        <v>11.53</v>
      </c>
      <c r="O421">
        <v>3</v>
      </c>
      <c r="P421">
        <v>3944</v>
      </c>
      <c r="Q421">
        <v>3</v>
      </c>
      <c r="R421">
        <v>3944</v>
      </c>
    </row>
    <row r="422" spans="1:18" x14ac:dyDescent="0.25">
      <c r="A422">
        <v>388</v>
      </c>
      <c r="B422" t="s">
        <v>957</v>
      </c>
      <c r="E422" t="s">
        <v>460</v>
      </c>
      <c r="F422">
        <v>5</v>
      </c>
      <c r="G422" s="3">
        <v>42936</v>
      </c>
      <c r="H422">
        <v>18.2</v>
      </c>
      <c r="I422">
        <v>12.2</v>
      </c>
      <c r="J422">
        <v>680</v>
      </c>
      <c r="K422">
        <v>485</v>
      </c>
      <c r="L422">
        <v>11.61</v>
      </c>
      <c r="M422">
        <v>9.42</v>
      </c>
      <c r="N422">
        <v>9.73</v>
      </c>
      <c r="O422">
        <v>4</v>
      </c>
      <c r="P422">
        <v>3870</v>
      </c>
      <c r="Q422">
        <v>4</v>
      </c>
      <c r="R422">
        <v>3870</v>
      </c>
    </row>
    <row r="423" spans="1:18" x14ac:dyDescent="0.25">
      <c r="A423">
        <v>72</v>
      </c>
      <c r="B423" t="s">
        <v>656</v>
      </c>
      <c r="E423" t="s">
        <v>391</v>
      </c>
      <c r="F423">
        <v>1</v>
      </c>
      <c r="G423" s="3">
        <v>42902</v>
      </c>
      <c r="H423">
        <v>1.27</v>
      </c>
      <c r="I423">
        <v>0.77</v>
      </c>
      <c r="J423">
        <v>155</v>
      </c>
      <c r="K423">
        <v>60</v>
      </c>
      <c r="L423">
        <v>1.54</v>
      </c>
      <c r="M423" t="s">
        <v>141</v>
      </c>
      <c r="N423" t="s">
        <v>141</v>
      </c>
      <c r="O423">
        <v>4</v>
      </c>
      <c r="Q423">
        <v>4</v>
      </c>
    </row>
    <row r="424" spans="1:18" x14ac:dyDescent="0.25">
      <c r="A424">
        <v>265</v>
      </c>
      <c r="B424" t="s">
        <v>1226</v>
      </c>
      <c r="C424" t="s">
        <v>254</v>
      </c>
      <c r="E424" t="s">
        <v>391</v>
      </c>
      <c r="F424">
        <v>2</v>
      </c>
      <c r="G424" s="3">
        <v>42901</v>
      </c>
      <c r="H424">
        <v>3.3</v>
      </c>
      <c r="I424">
        <v>2.5</v>
      </c>
      <c r="J424">
        <v>400</v>
      </c>
      <c r="K424">
        <v>230</v>
      </c>
      <c r="L424">
        <v>2.08</v>
      </c>
      <c r="M424">
        <v>1.94</v>
      </c>
      <c r="N424">
        <v>2.4300000000000002</v>
      </c>
      <c r="P424">
        <v>1195</v>
      </c>
      <c r="R424">
        <v>1195</v>
      </c>
    </row>
    <row r="425" spans="1:18" x14ac:dyDescent="0.25">
      <c r="A425">
        <v>162</v>
      </c>
      <c r="B425" t="s">
        <v>1228</v>
      </c>
      <c r="C425" t="s">
        <v>95</v>
      </c>
      <c r="E425" t="s">
        <v>391</v>
      </c>
      <c r="F425">
        <v>3</v>
      </c>
      <c r="G425" s="3">
        <v>42900</v>
      </c>
      <c r="H425">
        <v>1.61</v>
      </c>
      <c r="I425">
        <v>2.54</v>
      </c>
      <c r="J425">
        <v>225</v>
      </c>
      <c r="K425">
        <v>60</v>
      </c>
      <c r="L425">
        <v>2.5</v>
      </c>
      <c r="M425">
        <v>2.4</v>
      </c>
      <c r="N425">
        <v>2.2200000000000002</v>
      </c>
      <c r="O425">
        <v>4</v>
      </c>
      <c r="Q425">
        <v>4</v>
      </c>
    </row>
    <row r="426" spans="1:18" x14ac:dyDescent="0.25">
      <c r="A426">
        <v>155</v>
      </c>
      <c r="B426" t="s">
        <v>1227</v>
      </c>
      <c r="C426" t="s">
        <v>102</v>
      </c>
      <c r="E426" t="s">
        <v>391</v>
      </c>
      <c r="F426">
        <v>6</v>
      </c>
      <c r="G426" s="3">
        <v>42900</v>
      </c>
      <c r="H426" t="s">
        <v>1588</v>
      </c>
      <c r="I426" t="s">
        <v>719</v>
      </c>
      <c r="J426">
        <v>180</v>
      </c>
      <c r="K426">
        <v>55</v>
      </c>
      <c r="L426">
        <v>1.28</v>
      </c>
      <c r="M426">
        <v>1.6</v>
      </c>
      <c r="N426">
        <v>1.59</v>
      </c>
      <c r="O426">
        <v>5</v>
      </c>
      <c r="Q426">
        <v>5</v>
      </c>
    </row>
    <row r="427" spans="1:18" x14ac:dyDescent="0.25">
      <c r="A427">
        <v>296</v>
      </c>
      <c r="B427" t="s">
        <v>814</v>
      </c>
      <c r="E427" t="s">
        <v>391</v>
      </c>
      <c r="F427">
        <v>4</v>
      </c>
      <c r="G427" s="3">
        <v>42927</v>
      </c>
      <c r="H427">
        <v>1.59</v>
      </c>
      <c r="I427">
        <v>0.9</v>
      </c>
      <c r="J427">
        <v>197</v>
      </c>
      <c r="K427">
        <v>90</v>
      </c>
      <c r="L427">
        <v>1.38</v>
      </c>
      <c r="M427" t="s">
        <v>141</v>
      </c>
      <c r="N427" t="s">
        <v>141</v>
      </c>
      <c r="O427">
        <v>4</v>
      </c>
      <c r="Q427">
        <v>4</v>
      </c>
    </row>
    <row r="428" spans="1:18" x14ac:dyDescent="0.25">
      <c r="A428">
        <v>315</v>
      </c>
      <c r="B428" t="s">
        <v>1229</v>
      </c>
      <c r="C428" t="s">
        <v>743</v>
      </c>
      <c r="E428" t="s">
        <v>391</v>
      </c>
      <c r="F428">
        <v>5</v>
      </c>
      <c r="G428" s="3">
        <v>42921</v>
      </c>
      <c r="H428">
        <v>2.9</v>
      </c>
      <c r="I428">
        <v>2.4</v>
      </c>
      <c r="J428">
        <v>240</v>
      </c>
      <c r="K428">
        <v>200</v>
      </c>
      <c r="L428">
        <v>1.83</v>
      </c>
      <c r="M428">
        <v>1.77</v>
      </c>
      <c r="N428">
        <v>1.26</v>
      </c>
      <c r="O428">
        <v>3</v>
      </c>
      <c r="Q428">
        <v>3</v>
      </c>
    </row>
    <row r="429" spans="1:18" x14ac:dyDescent="0.25">
      <c r="A429">
        <v>530</v>
      </c>
      <c r="B429" t="s">
        <v>1182</v>
      </c>
      <c r="D429" t="s">
        <v>1110</v>
      </c>
      <c r="E429" t="s">
        <v>391</v>
      </c>
      <c r="G429" s="3">
        <v>42957</v>
      </c>
      <c r="H429">
        <v>8.8000000000000007</v>
      </c>
      <c r="I429">
        <v>6.5</v>
      </c>
      <c r="J429" t="s">
        <v>141</v>
      </c>
      <c r="K429" t="s">
        <v>141</v>
      </c>
      <c r="L429">
        <v>3.9</v>
      </c>
      <c r="M429">
        <v>3.76</v>
      </c>
      <c r="N429">
        <v>3.52</v>
      </c>
      <c r="O429">
        <v>3</v>
      </c>
      <c r="P429">
        <v>4898</v>
      </c>
      <c r="Q429">
        <v>3</v>
      </c>
      <c r="R429">
        <v>4898</v>
      </c>
    </row>
    <row r="430" spans="1:18" x14ac:dyDescent="0.25">
      <c r="A430">
        <v>197</v>
      </c>
      <c r="B430" t="s">
        <v>443</v>
      </c>
      <c r="E430" t="s">
        <v>444</v>
      </c>
      <c r="F430">
        <v>1</v>
      </c>
      <c r="G430" s="3">
        <v>42906</v>
      </c>
      <c r="H430">
        <v>1.1000000000000001</v>
      </c>
      <c r="I430" t="s">
        <v>141</v>
      </c>
      <c r="J430">
        <v>86</v>
      </c>
      <c r="K430">
        <v>15</v>
      </c>
      <c r="L430">
        <v>1.73</v>
      </c>
      <c r="M430" t="s">
        <v>141</v>
      </c>
      <c r="N430" t="s">
        <v>141</v>
      </c>
      <c r="O430">
        <v>4</v>
      </c>
      <c r="Q430">
        <v>4</v>
      </c>
    </row>
    <row r="431" spans="1:18" x14ac:dyDescent="0.25">
      <c r="A431">
        <v>176</v>
      </c>
      <c r="B431" t="s">
        <v>469</v>
      </c>
      <c r="E431" t="s">
        <v>444</v>
      </c>
      <c r="F431">
        <v>2</v>
      </c>
      <c r="G431" s="3">
        <v>42907</v>
      </c>
      <c r="H431" t="s">
        <v>728</v>
      </c>
      <c r="I431">
        <v>1.6</v>
      </c>
      <c r="J431">
        <v>170</v>
      </c>
      <c r="K431">
        <v>90</v>
      </c>
      <c r="L431">
        <v>4.57</v>
      </c>
      <c r="M431">
        <v>3.46</v>
      </c>
      <c r="N431">
        <v>3.49</v>
      </c>
      <c r="O431">
        <v>4</v>
      </c>
      <c r="Q431">
        <v>4</v>
      </c>
    </row>
    <row r="432" spans="1:18" x14ac:dyDescent="0.25">
      <c r="A432">
        <v>179</v>
      </c>
      <c r="B432" t="s">
        <v>468</v>
      </c>
      <c r="E432" t="s">
        <v>444</v>
      </c>
      <c r="F432">
        <v>3</v>
      </c>
      <c r="G432" s="3">
        <v>42907</v>
      </c>
      <c r="H432">
        <v>5.2</v>
      </c>
      <c r="I432">
        <v>3.2</v>
      </c>
      <c r="J432">
        <v>286</v>
      </c>
      <c r="K432">
        <v>205</v>
      </c>
      <c r="L432">
        <v>7.85</v>
      </c>
      <c r="M432">
        <v>7.51</v>
      </c>
      <c r="N432">
        <v>8.77</v>
      </c>
      <c r="O432">
        <v>3</v>
      </c>
      <c r="Q432">
        <v>3</v>
      </c>
    </row>
    <row r="433" spans="1:18" x14ac:dyDescent="0.25">
      <c r="A433">
        <v>49</v>
      </c>
      <c r="B433" t="s">
        <v>620</v>
      </c>
      <c r="E433" t="s">
        <v>444</v>
      </c>
      <c r="F433">
        <v>4</v>
      </c>
      <c r="G433" s="3">
        <v>42915</v>
      </c>
      <c r="H433">
        <v>14</v>
      </c>
      <c r="I433" t="s">
        <v>647</v>
      </c>
      <c r="J433">
        <v>570</v>
      </c>
      <c r="K433">
        <v>240</v>
      </c>
      <c r="L433">
        <v>19.53</v>
      </c>
      <c r="M433">
        <v>17.12</v>
      </c>
      <c r="N433">
        <v>17.7</v>
      </c>
      <c r="O433">
        <v>4</v>
      </c>
      <c r="Q433">
        <v>4</v>
      </c>
    </row>
    <row r="434" spans="1:18" x14ac:dyDescent="0.25">
      <c r="A434">
        <v>234</v>
      </c>
      <c r="B434" t="s">
        <v>765</v>
      </c>
      <c r="E434" t="s">
        <v>444</v>
      </c>
      <c r="F434">
        <v>5</v>
      </c>
      <c r="G434" s="3">
        <v>42923</v>
      </c>
      <c r="H434">
        <v>9.3000000000000007</v>
      </c>
      <c r="I434" t="s">
        <v>786</v>
      </c>
      <c r="J434">
        <v>365</v>
      </c>
      <c r="K434">
        <v>170</v>
      </c>
      <c r="L434">
        <v>9.35</v>
      </c>
      <c r="M434">
        <v>10.51</v>
      </c>
      <c r="N434">
        <v>14.58</v>
      </c>
      <c r="O434">
        <v>4</v>
      </c>
      <c r="Q434">
        <v>4</v>
      </c>
    </row>
    <row r="435" spans="1:18" x14ac:dyDescent="0.25">
      <c r="A435">
        <v>277</v>
      </c>
      <c r="B435" t="s">
        <v>1232</v>
      </c>
      <c r="C435" t="s">
        <v>198</v>
      </c>
      <c r="E435" t="s">
        <v>1066</v>
      </c>
      <c r="F435">
        <v>1</v>
      </c>
      <c r="G435" s="3">
        <v>42902</v>
      </c>
      <c r="H435">
        <v>5.9</v>
      </c>
      <c r="I435">
        <v>5.6</v>
      </c>
      <c r="J435">
        <v>380</v>
      </c>
      <c r="K435">
        <v>140</v>
      </c>
      <c r="L435">
        <v>1.86</v>
      </c>
      <c r="M435">
        <v>1.91</v>
      </c>
      <c r="N435">
        <v>1.44</v>
      </c>
      <c r="O435">
        <v>3</v>
      </c>
      <c r="P435">
        <v>5075</v>
      </c>
      <c r="Q435">
        <v>3</v>
      </c>
      <c r="R435">
        <v>5075</v>
      </c>
    </row>
    <row r="436" spans="1:18" x14ac:dyDescent="0.25">
      <c r="A436">
        <v>279</v>
      </c>
      <c r="B436" t="s">
        <v>1255</v>
      </c>
      <c r="C436" t="s">
        <v>257</v>
      </c>
      <c r="E436" t="s">
        <v>392</v>
      </c>
      <c r="F436">
        <v>1</v>
      </c>
      <c r="G436" s="3">
        <v>42902</v>
      </c>
      <c r="H436">
        <v>7.5</v>
      </c>
      <c r="I436">
        <v>7.1</v>
      </c>
      <c r="J436">
        <v>600</v>
      </c>
      <c r="K436">
        <v>190</v>
      </c>
      <c r="L436">
        <v>6.25</v>
      </c>
      <c r="M436">
        <v>6.11</v>
      </c>
      <c r="N436">
        <v>5.3</v>
      </c>
      <c r="O436">
        <v>4</v>
      </c>
      <c r="P436">
        <v>5024</v>
      </c>
      <c r="Q436">
        <v>4</v>
      </c>
      <c r="R436">
        <v>5024</v>
      </c>
    </row>
    <row r="437" spans="1:18" x14ac:dyDescent="0.25">
      <c r="A437">
        <v>268</v>
      </c>
      <c r="B437" t="s">
        <v>1256</v>
      </c>
      <c r="C437" t="s">
        <v>262</v>
      </c>
      <c r="E437" t="s">
        <v>392</v>
      </c>
      <c r="F437">
        <v>2</v>
      </c>
      <c r="G437" s="3">
        <v>42901</v>
      </c>
      <c r="H437">
        <v>10.7</v>
      </c>
      <c r="I437">
        <v>7.5</v>
      </c>
      <c r="J437">
        <v>550</v>
      </c>
      <c r="K437">
        <v>210</v>
      </c>
      <c r="L437">
        <v>3.05</v>
      </c>
      <c r="M437">
        <v>3.68</v>
      </c>
      <c r="N437">
        <v>2.9</v>
      </c>
      <c r="P437">
        <v>1057</v>
      </c>
      <c r="R437">
        <v>1057</v>
      </c>
    </row>
    <row r="438" spans="1:18" x14ac:dyDescent="0.25">
      <c r="A438">
        <v>89</v>
      </c>
      <c r="B438" t="s">
        <v>308</v>
      </c>
      <c r="E438" t="s">
        <v>392</v>
      </c>
      <c r="F438">
        <v>3</v>
      </c>
      <c r="G438" s="3">
        <v>42902</v>
      </c>
      <c r="H438">
        <v>3.6</v>
      </c>
      <c r="I438">
        <v>2.8</v>
      </c>
      <c r="J438">
        <v>375</v>
      </c>
      <c r="K438">
        <v>170</v>
      </c>
      <c r="L438">
        <v>2.62</v>
      </c>
      <c r="M438">
        <v>3.18</v>
      </c>
      <c r="N438">
        <v>2.04</v>
      </c>
      <c r="O438">
        <v>4</v>
      </c>
      <c r="Q438">
        <v>4</v>
      </c>
    </row>
    <row r="439" spans="1:18" x14ac:dyDescent="0.25">
      <c r="A439">
        <v>235</v>
      </c>
      <c r="B439" t="s">
        <v>766</v>
      </c>
      <c r="E439" t="s">
        <v>392</v>
      </c>
      <c r="F439">
        <v>4</v>
      </c>
      <c r="G439" s="3">
        <v>42923</v>
      </c>
      <c r="H439">
        <v>2.4</v>
      </c>
      <c r="I439" t="s">
        <v>787</v>
      </c>
      <c r="J439">
        <v>255</v>
      </c>
      <c r="K439">
        <v>105</v>
      </c>
      <c r="L439">
        <v>1.44</v>
      </c>
      <c r="M439">
        <v>1.54</v>
      </c>
      <c r="N439">
        <v>2.15</v>
      </c>
      <c r="O439">
        <v>4</v>
      </c>
      <c r="Q439">
        <v>4</v>
      </c>
    </row>
    <row r="440" spans="1:18" x14ac:dyDescent="0.25">
      <c r="A440">
        <v>291</v>
      </c>
      <c r="B440" t="s">
        <v>826</v>
      </c>
      <c r="E440" t="s">
        <v>392</v>
      </c>
      <c r="F440">
        <v>5</v>
      </c>
      <c r="G440" s="3">
        <v>42927</v>
      </c>
      <c r="H440">
        <v>2.2999999999999998</v>
      </c>
      <c r="I440">
        <v>1.5</v>
      </c>
      <c r="J440">
        <v>290</v>
      </c>
      <c r="K440">
        <v>140</v>
      </c>
      <c r="L440">
        <v>2.11</v>
      </c>
      <c r="M440" t="s">
        <v>141</v>
      </c>
      <c r="N440" t="s">
        <v>141</v>
      </c>
      <c r="O440">
        <v>3</v>
      </c>
      <c r="Q440">
        <v>3</v>
      </c>
    </row>
    <row r="441" spans="1:18" x14ac:dyDescent="0.25">
      <c r="A441">
        <v>507</v>
      </c>
      <c r="B441" t="s">
        <v>1158</v>
      </c>
      <c r="D441" t="s">
        <v>1110</v>
      </c>
      <c r="E441" t="s">
        <v>392</v>
      </c>
      <c r="G441" s="3">
        <v>42957</v>
      </c>
      <c r="H441">
        <v>14.5</v>
      </c>
      <c r="I441">
        <v>12.8</v>
      </c>
      <c r="J441" t="s">
        <v>141</v>
      </c>
      <c r="K441" t="s">
        <v>141</v>
      </c>
      <c r="L441">
        <v>8.49</v>
      </c>
      <c r="M441">
        <v>6.93</v>
      </c>
      <c r="N441">
        <v>6.61</v>
      </c>
      <c r="O441">
        <v>4</v>
      </c>
      <c r="P441">
        <v>881</v>
      </c>
      <c r="Q441">
        <v>4</v>
      </c>
      <c r="R441">
        <v>881</v>
      </c>
    </row>
    <row r="442" spans="1:18" x14ac:dyDescent="0.25">
      <c r="A442">
        <v>1</v>
      </c>
      <c r="B442" t="s">
        <v>542</v>
      </c>
      <c r="E442" t="s">
        <v>508</v>
      </c>
      <c r="F442">
        <v>1</v>
      </c>
      <c r="G442" s="3">
        <v>42909</v>
      </c>
      <c r="H442">
        <v>13.6</v>
      </c>
      <c r="I442" t="s">
        <v>566</v>
      </c>
      <c r="J442">
        <v>510</v>
      </c>
      <c r="K442">
        <v>140</v>
      </c>
      <c r="L442">
        <v>15.96</v>
      </c>
      <c r="M442">
        <v>12.44</v>
      </c>
      <c r="N442">
        <v>10.25</v>
      </c>
      <c r="O442">
        <v>5</v>
      </c>
      <c r="Q442">
        <v>5</v>
      </c>
    </row>
    <row r="443" spans="1:18" x14ac:dyDescent="0.25">
      <c r="A443">
        <v>4</v>
      </c>
      <c r="B443" t="s">
        <v>538</v>
      </c>
      <c r="E443" t="s">
        <v>508</v>
      </c>
      <c r="F443">
        <v>2</v>
      </c>
      <c r="G443" s="3">
        <v>42909</v>
      </c>
      <c r="H443">
        <v>8.5</v>
      </c>
      <c r="I443">
        <v>7.6</v>
      </c>
      <c r="J443">
        <v>310</v>
      </c>
      <c r="K443">
        <v>190</v>
      </c>
      <c r="L443">
        <v>9.69</v>
      </c>
      <c r="M443">
        <v>11.99</v>
      </c>
      <c r="N443">
        <v>11.78</v>
      </c>
      <c r="O443">
        <v>3</v>
      </c>
      <c r="Q443">
        <v>3</v>
      </c>
    </row>
    <row r="444" spans="1:18" x14ac:dyDescent="0.25">
      <c r="A444">
        <v>5</v>
      </c>
      <c r="B444" t="s">
        <v>507</v>
      </c>
      <c r="E444" t="s">
        <v>508</v>
      </c>
      <c r="F444">
        <v>3</v>
      </c>
      <c r="G444" s="3">
        <v>42909</v>
      </c>
      <c r="H444">
        <v>7.2</v>
      </c>
      <c r="I444">
        <v>7.3</v>
      </c>
      <c r="J444">
        <v>430</v>
      </c>
      <c r="K444">
        <v>130</v>
      </c>
      <c r="L444">
        <v>6.42</v>
      </c>
      <c r="M444">
        <v>6.89</v>
      </c>
      <c r="N444">
        <v>5.49</v>
      </c>
      <c r="O444">
        <v>5</v>
      </c>
      <c r="Q444">
        <v>5</v>
      </c>
    </row>
    <row r="445" spans="1:18" x14ac:dyDescent="0.25">
      <c r="A445">
        <v>6</v>
      </c>
      <c r="B445" t="s">
        <v>510</v>
      </c>
      <c r="E445" t="s">
        <v>508</v>
      </c>
      <c r="F445">
        <v>4</v>
      </c>
      <c r="G445" s="3">
        <v>42909</v>
      </c>
      <c r="H445">
        <v>8</v>
      </c>
      <c r="I445" t="s">
        <v>568</v>
      </c>
      <c r="J445">
        <v>270</v>
      </c>
      <c r="K445">
        <v>140</v>
      </c>
      <c r="L445">
        <v>9.07</v>
      </c>
      <c r="M445">
        <v>7.27</v>
      </c>
      <c r="N445">
        <v>8.69</v>
      </c>
      <c r="O445">
        <v>4</v>
      </c>
      <c r="Q445">
        <v>4</v>
      </c>
    </row>
    <row r="446" spans="1:18" x14ac:dyDescent="0.25">
      <c r="A446">
        <v>309</v>
      </c>
      <c r="B446" t="s">
        <v>750</v>
      </c>
      <c r="E446" t="s">
        <v>508</v>
      </c>
      <c r="F446">
        <v>5</v>
      </c>
      <c r="G446" s="3">
        <v>42921</v>
      </c>
      <c r="H446">
        <v>3.8</v>
      </c>
      <c r="I446">
        <v>1.6579999999999999</v>
      </c>
      <c r="J446">
        <v>220</v>
      </c>
      <c r="K446">
        <v>76</v>
      </c>
      <c r="L446">
        <v>6.64</v>
      </c>
      <c r="M446">
        <v>4.03</v>
      </c>
      <c r="N446">
        <v>4.07</v>
      </c>
      <c r="O446">
        <v>3</v>
      </c>
      <c r="Q446">
        <v>3</v>
      </c>
    </row>
    <row r="447" spans="1:18" x14ac:dyDescent="0.25">
      <c r="A447">
        <v>276</v>
      </c>
      <c r="B447" t="s">
        <v>1257</v>
      </c>
      <c r="C447" t="s">
        <v>240</v>
      </c>
      <c r="E447" t="s">
        <v>390</v>
      </c>
      <c r="F447">
        <v>1</v>
      </c>
      <c r="G447" s="3">
        <v>42902</v>
      </c>
      <c r="H447">
        <v>1.8</v>
      </c>
      <c r="I447">
        <v>1.3</v>
      </c>
      <c r="J447">
        <v>230</v>
      </c>
      <c r="K447">
        <v>40</v>
      </c>
      <c r="L447">
        <v>1.7</v>
      </c>
      <c r="M447">
        <v>1.56</v>
      </c>
      <c r="N447">
        <v>1.67</v>
      </c>
      <c r="O447">
        <v>4</v>
      </c>
      <c r="P447">
        <v>5091</v>
      </c>
      <c r="Q447">
        <v>4</v>
      </c>
      <c r="R447">
        <v>5091</v>
      </c>
    </row>
    <row r="448" spans="1:18" x14ac:dyDescent="0.25">
      <c r="A448">
        <v>85</v>
      </c>
      <c r="B448" t="s">
        <v>300</v>
      </c>
      <c r="E448" t="s">
        <v>390</v>
      </c>
      <c r="F448">
        <v>2</v>
      </c>
      <c r="G448" s="3">
        <v>42902</v>
      </c>
      <c r="H448">
        <v>2.0499999999999998</v>
      </c>
      <c r="I448" t="s">
        <v>669</v>
      </c>
      <c r="J448">
        <v>280</v>
      </c>
      <c r="K448">
        <v>30</v>
      </c>
      <c r="L448">
        <v>1.9</v>
      </c>
      <c r="M448">
        <v>2.15</v>
      </c>
      <c r="N448">
        <v>2.4700000000000002</v>
      </c>
      <c r="O448">
        <v>4</v>
      </c>
      <c r="Q448">
        <v>4</v>
      </c>
    </row>
    <row r="449" spans="1:18" x14ac:dyDescent="0.25">
      <c r="A449">
        <v>208</v>
      </c>
      <c r="B449" t="s">
        <v>454</v>
      </c>
      <c r="E449" t="s">
        <v>390</v>
      </c>
      <c r="F449">
        <v>3</v>
      </c>
      <c r="G449" s="3">
        <v>42906</v>
      </c>
      <c r="H449">
        <v>1.56</v>
      </c>
      <c r="I449">
        <v>0.79</v>
      </c>
      <c r="J449">
        <v>160</v>
      </c>
      <c r="K449">
        <v>50</v>
      </c>
      <c r="L449">
        <v>0.53</v>
      </c>
      <c r="M449" t="s">
        <v>141</v>
      </c>
      <c r="N449" t="s">
        <v>141</v>
      </c>
      <c r="O449">
        <v>3</v>
      </c>
      <c r="Q449">
        <v>3</v>
      </c>
    </row>
    <row r="450" spans="1:18" x14ac:dyDescent="0.25">
      <c r="A450">
        <v>188</v>
      </c>
      <c r="B450" t="s">
        <v>418</v>
      </c>
      <c r="E450" t="s">
        <v>390</v>
      </c>
      <c r="F450">
        <v>4</v>
      </c>
      <c r="G450" s="3">
        <v>42906</v>
      </c>
      <c r="H450">
        <v>2.2400000000000002</v>
      </c>
      <c r="I450">
        <v>1.79</v>
      </c>
      <c r="J450">
        <v>305</v>
      </c>
      <c r="K450">
        <v>181</v>
      </c>
      <c r="L450">
        <v>1.83</v>
      </c>
      <c r="M450">
        <v>1.76</v>
      </c>
      <c r="N450">
        <v>1.81</v>
      </c>
      <c r="O450">
        <v>4</v>
      </c>
      <c r="Q450">
        <v>4</v>
      </c>
    </row>
    <row r="451" spans="1:18" x14ac:dyDescent="0.25">
      <c r="A451">
        <v>40</v>
      </c>
      <c r="B451" t="s">
        <v>631</v>
      </c>
      <c r="E451" t="s">
        <v>390</v>
      </c>
      <c r="F451">
        <v>5</v>
      </c>
      <c r="G451" s="3">
        <v>42915</v>
      </c>
      <c r="H451">
        <v>3.5</v>
      </c>
      <c r="I451" t="s">
        <v>644</v>
      </c>
      <c r="J451">
        <v>245</v>
      </c>
      <c r="K451">
        <v>150</v>
      </c>
      <c r="L451">
        <v>2.12</v>
      </c>
      <c r="M451">
        <v>1.97</v>
      </c>
      <c r="N451">
        <v>2.14</v>
      </c>
      <c r="O451">
        <v>4</v>
      </c>
      <c r="Q451">
        <v>4</v>
      </c>
    </row>
    <row r="452" spans="1:18" x14ac:dyDescent="0.25">
      <c r="A452">
        <v>212</v>
      </c>
      <c r="B452" t="s">
        <v>412</v>
      </c>
      <c r="E452" t="s">
        <v>413</v>
      </c>
      <c r="F452">
        <v>1</v>
      </c>
      <c r="G452" s="3">
        <v>42906</v>
      </c>
      <c r="H452">
        <v>0.71</v>
      </c>
      <c r="I452">
        <v>0.55000000000000004</v>
      </c>
      <c r="J452">
        <v>135</v>
      </c>
      <c r="K452">
        <v>40</v>
      </c>
      <c r="L452">
        <v>1.05</v>
      </c>
      <c r="M452" t="s">
        <v>141</v>
      </c>
      <c r="N452" t="s">
        <v>141</v>
      </c>
      <c r="O452">
        <v>3</v>
      </c>
      <c r="Q452">
        <v>3</v>
      </c>
    </row>
    <row r="453" spans="1:18" x14ac:dyDescent="0.25">
      <c r="A453">
        <v>370</v>
      </c>
      <c r="B453" t="s">
        <v>881</v>
      </c>
      <c r="E453" t="s">
        <v>413</v>
      </c>
      <c r="F453">
        <v>2</v>
      </c>
      <c r="G453" s="3">
        <v>42931</v>
      </c>
      <c r="H453">
        <v>5.9</v>
      </c>
      <c r="I453">
        <v>5.2</v>
      </c>
      <c r="J453">
        <v>600</v>
      </c>
      <c r="K453">
        <v>244</v>
      </c>
      <c r="L453">
        <v>2.25</v>
      </c>
      <c r="M453">
        <v>2.98</v>
      </c>
      <c r="N453">
        <v>2.96</v>
      </c>
      <c r="O453">
        <v>3</v>
      </c>
      <c r="P453">
        <v>9144</v>
      </c>
      <c r="Q453">
        <v>3</v>
      </c>
      <c r="R453">
        <v>9144</v>
      </c>
    </row>
    <row r="454" spans="1:18" x14ac:dyDescent="0.25">
      <c r="A454">
        <v>333</v>
      </c>
      <c r="B454" t="s">
        <v>842</v>
      </c>
      <c r="E454" t="s">
        <v>413</v>
      </c>
      <c r="F454">
        <v>3</v>
      </c>
      <c r="G454" s="3">
        <v>42930</v>
      </c>
      <c r="H454" t="s">
        <v>917</v>
      </c>
      <c r="I454" t="s">
        <v>918</v>
      </c>
      <c r="J454">
        <v>240</v>
      </c>
      <c r="K454">
        <v>35</v>
      </c>
      <c r="L454">
        <v>0.96</v>
      </c>
      <c r="M454">
        <v>0.99</v>
      </c>
      <c r="N454" t="s">
        <v>141</v>
      </c>
      <c r="O454">
        <v>2</v>
      </c>
      <c r="Q454">
        <v>2</v>
      </c>
    </row>
    <row r="455" spans="1:18" x14ac:dyDescent="0.25">
      <c r="A455">
        <v>337</v>
      </c>
      <c r="B455" t="s">
        <v>838</v>
      </c>
      <c r="E455" t="s">
        <v>413</v>
      </c>
      <c r="F455">
        <v>4</v>
      </c>
      <c r="G455" s="3">
        <v>42930</v>
      </c>
      <c r="H455">
        <v>3.9</v>
      </c>
      <c r="I455">
        <v>3.4</v>
      </c>
      <c r="J455">
        <v>650</v>
      </c>
      <c r="K455">
        <v>262</v>
      </c>
      <c r="L455">
        <v>2.2000000000000002</v>
      </c>
      <c r="M455">
        <v>1.84</v>
      </c>
      <c r="N455">
        <v>2.11</v>
      </c>
      <c r="O455">
        <v>3</v>
      </c>
      <c r="Q455">
        <v>3</v>
      </c>
    </row>
    <row r="456" spans="1:18" x14ac:dyDescent="0.25">
      <c r="A456">
        <v>372</v>
      </c>
      <c r="B456" t="s">
        <v>883</v>
      </c>
      <c r="E456" t="s">
        <v>413</v>
      </c>
      <c r="F456">
        <v>5</v>
      </c>
      <c r="G456" s="3">
        <v>42931</v>
      </c>
      <c r="H456">
        <v>1.1220000000000001</v>
      </c>
      <c r="I456">
        <v>1.361</v>
      </c>
      <c r="J456">
        <v>306</v>
      </c>
      <c r="K456">
        <v>80</v>
      </c>
      <c r="L456">
        <v>0.71</v>
      </c>
      <c r="M456" t="s">
        <v>141</v>
      </c>
      <c r="N456" t="s">
        <v>141</v>
      </c>
      <c r="O456">
        <v>3</v>
      </c>
      <c r="Q456">
        <v>3</v>
      </c>
    </row>
    <row r="457" spans="1:18" x14ac:dyDescent="0.25">
      <c r="A457">
        <v>378</v>
      </c>
      <c r="B457" t="s">
        <v>1001</v>
      </c>
      <c r="C457" t="s">
        <v>946</v>
      </c>
      <c r="E457" t="s">
        <v>413</v>
      </c>
      <c r="F457">
        <v>6</v>
      </c>
      <c r="G457" s="3">
        <v>42936</v>
      </c>
      <c r="H457">
        <v>6.7</v>
      </c>
      <c r="I457" t="s">
        <v>1045</v>
      </c>
      <c r="J457">
        <v>660</v>
      </c>
      <c r="K457">
        <v>432</v>
      </c>
      <c r="L457">
        <v>2.19</v>
      </c>
      <c r="M457">
        <v>2.71</v>
      </c>
      <c r="N457">
        <v>2.67</v>
      </c>
      <c r="O457">
        <v>3</v>
      </c>
      <c r="P457">
        <v>3821</v>
      </c>
      <c r="Q457">
        <v>3</v>
      </c>
      <c r="R457">
        <v>3821</v>
      </c>
    </row>
    <row r="458" spans="1:18" x14ac:dyDescent="0.25">
      <c r="A458">
        <v>124</v>
      </c>
      <c r="B458" t="s">
        <v>11</v>
      </c>
      <c r="E458" t="s">
        <v>343</v>
      </c>
      <c r="F458">
        <v>1</v>
      </c>
      <c r="G458" s="3">
        <v>42901</v>
      </c>
      <c r="H458" t="s">
        <v>679</v>
      </c>
      <c r="I458" t="s">
        <v>141</v>
      </c>
      <c r="J458">
        <v>120</v>
      </c>
      <c r="K458">
        <v>0</v>
      </c>
      <c r="L458">
        <v>2.0299999999999998</v>
      </c>
      <c r="M458">
        <v>1.99</v>
      </c>
      <c r="N458">
        <v>2.1800000000000002</v>
      </c>
      <c r="O458">
        <v>4</v>
      </c>
      <c r="Q458">
        <v>4</v>
      </c>
    </row>
    <row r="459" spans="1:18" x14ac:dyDescent="0.25">
      <c r="A459">
        <v>216</v>
      </c>
      <c r="B459" t="s">
        <v>428</v>
      </c>
      <c r="E459" t="s">
        <v>343</v>
      </c>
      <c r="F459">
        <v>2</v>
      </c>
      <c r="G459" s="3">
        <v>42906</v>
      </c>
      <c r="H459">
        <v>0.94699999999999995</v>
      </c>
      <c r="I459" t="s">
        <v>141</v>
      </c>
      <c r="J459">
        <v>110</v>
      </c>
      <c r="K459">
        <v>40</v>
      </c>
      <c r="L459">
        <v>0.92</v>
      </c>
      <c r="M459" t="s">
        <v>141</v>
      </c>
      <c r="N459" t="s">
        <v>141</v>
      </c>
      <c r="O459">
        <v>4</v>
      </c>
      <c r="Q459">
        <v>4</v>
      </c>
    </row>
    <row r="460" spans="1:18" x14ac:dyDescent="0.25">
      <c r="A460">
        <v>217</v>
      </c>
      <c r="B460" t="s">
        <v>427</v>
      </c>
      <c r="E460" t="s">
        <v>343</v>
      </c>
      <c r="F460">
        <v>3</v>
      </c>
      <c r="G460" s="3">
        <v>42906</v>
      </c>
      <c r="H460">
        <v>0.78500000000000003</v>
      </c>
      <c r="I460" t="s">
        <v>141</v>
      </c>
      <c r="J460">
        <v>90</v>
      </c>
      <c r="K460">
        <v>40</v>
      </c>
      <c r="L460">
        <v>0.78</v>
      </c>
      <c r="M460" t="s">
        <v>141</v>
      </c>
      <c r="N460" t="s">
        <v>141</v>
      </c>
      <c r="O460">
        <v>4</v>
      </c>
      <c r="Q460">
        <v>4</v>
      </c>
    </row>
    <row r="461" spans="1:18" x14ac:dyDescent="0.25">
      <c r="A461">
        <v>194</v>
      </c>
      <c r="B461" t="s">
        <v>448</v>
      </c>
      <c r="E461" t="s">
        <v>343</v>
      </c>
      <c r="F461">
        <v>4</v>
      </c>
      <c r="G461" s="3">
        <v>42906</v>
      </c>
      <c r="H461">
        <v>1.46</v>
      </c>
      <c r="I461" t="s">
        <v>141</v>
      </c>
      <c r="J461">
        <v>100</v>
      </c>
      <c r="K461">
        <v>15</v>
      </c>
      <c r="L461">
        <v>1.37</v>
      </c>
      <c r="M461" t="s">
        <v>141</v>
      </c>
      <c r="N461" t="s">
        <v>141</v>
      </c>
      <c r="O461">
        <v>4</v>
      </c>
      <c r="Q461">
        <v>4</v>
      </c>
    </row>
    <row r="462" spans="1:18" x14ac:dyDescent="0.25">
      <c r="A462">
        <v>211</v>
      </c>
      <c r="B462" t="s">
        <v>456</v>
      </c>
      <c r="C462" t="s">
        <v>11</v>
      </c>
      <c r="E462" t="s">
        <v>343</v>
      </c>
      <c r="F462">
        <v>5</v>
      </c>
      <c r="G462" s="3">
        <v>42906</v>
      </c>
      <c r="H462">
        <v>1.92</v>
      </c>
      <c r="I462">
        <v>1.23</v>
      </c>
      <c r="J462">
        <v>100</v>
      </c>
      <c r="K462">
        <v>5</v>
      </c>
      <c r="L462">
        <v>1.96</v>
      </c>
      <c r="M462" t="s">
        <v>141</v>
      </c>
      <c r="N462" t="s">
        <v>141</v>
      </c>
      <c r="O462">
        <v>4</v>
      </c>
      <c r="Q462">
        <v>4</v>
      </c>
    </row>
    <row r="463" spans="1:18" x14ac:dyDescent="0.25">
      <c r="A463">
        <v>19</v>
      </c>
      <c r="B463" t="s">
        <v>523</v>
      </c>
      <c r="E463" t="s">
        <v>524</v>
      </c>
      <c r="F463">
        <v>1</v>
      </c>
      <c r="G463" s="3">
        <v>42909</v>
      </c>
      <c r="H463">
        <v>3.1</v>
      </c>
      <c r="I463" t="s">
        <v>141</v>
      </c>
      <c r="J463">
        <v>110</v>
      </c>
      <c r="K463">
        <v>50</v>
      </c>
      <c r="L463">
        <v>5.81</v>
      </c>
      <c r="M463">
        <v>5.91</v>
      </c>
      <c r="N463">
        <v>5</v>
      </c>
      <c r="O463">
        <v>4</v>
      </c>
      <c r="Q463">
        <v>4</v>
      </c>
    </row>
    <row r="464" spans="1:18" x14ac:dyDescent="0.25">
      <c r="A464">
        <v>34</v>
      </c>
      <c r="B464" t="s">
        <v>609</v>
      </c>
      <c r="E464" t="s">
        <v>524</v>
      </c>
      <c r="F464">
        <v>2</v>
      </c>
      <c r="G464" s="3">
        <v>42915</v>
      </c>
      <c r="H464">
        <v>3.8</v>
      </c>
      <c r="I464">
        <v>2.8</v>
      </c>
      <c r="J464">
        <v>225</v>
      </c>
      <c r="K464">
        <v>105</v>
      </c>
      <c r="L464">
        <v>5.8</v>
      </c>
      <c r="M464">
        <v>7.09</v>
      </c>
      <c r="N464">
        <v>6.57</v>
      </c>
      <c r="O464">
        <v>3</v>
      </c>
      <c r="Q464">
        <v>3</v>
      </c>
    </row>
    <row r="465" spans="1:18" x14ac:dyDescent="0.25">
      <c r="A465">
        <v>68</v>
      </c>
      <c r="B465" t="s">
        <v>603</v>
      </c>
      <c r="E465" t="s">
        <v>524</v>
      </c>
      <c r="F465">
        <v>3</v>
      </c>
      <c r="G465" s="3">
        <v>42915</v>
      </c>
      <c r="H465">
        <v>6.5</v>
      </c>
      <c r="I465">
        <v>6</v>
      </c>
      <c r="J465">
        <v>345</v>
      </c>
      <c r="K465">
        <v>60</v>
      </c>
      <c r="L465">
        <v>10.98</v>
      </c>
      <c r="M465">
        <v>10.61</v>
      </c>
      <c r="N465">
        <v>11.6</v>
      </c>
      <c r="O465">
        <v>4</v>
      </c>
      <c r="Q465">
        <v>4</v>
      </c>
    </row>
    <row r="466" spans="1:18" x14ac:dyDescent="0.25">
      <c r="A466">
        <v>409</v>
      </c>
      <c r="B466" t="s">
        <v>903</v>
      </c>
      <c r="E466" t="s">
        <v>524</v>
      </c>
      <c r="F466">
        <v>4</v>
      </c>
      <c r="G466" s="3">
        <v>42934</v>
      </c>
      <c r="H466">
        <v>1.53</v>
      </c>
      <c r="I466">
        <v>0.4</v>
      </c>
      <c r="J466">
        <v>140</v>
      </c>
      <c r="K466">
        <v>30</v>
      </c>
      <c r="L466">
        <v>1.82</v>
      </c>
      <c r="M466" t="s">
        <v>141</v>
      </c>
      <c r="N466" t="s">
        <v>141</v>
      </c>
      <c r="O466">
        <v>3</v>
      </c>
      <c r="Q466">
        <v>3</v>
      </c>
    </row>
    <row r="467" spans="1:18" x14ac:dyDescent="0.25">
      <c r="A467">
        <v>469</v>
      </c>
      <c r="B467" t="s">
        <v>1072</v>
      </c>
      <c r="E467" t="s">
        <v>524</v>
      </c>
      <c r="F467">
        <v>5</v>
      </c>
      <c r="G467" s="3">
        <v>42950</v>
      </c>
      <c r="H467">
        <v>1.1000000000000001</v>
      </c>
      <c r="I467" t="s">
        <v>141</v>
      </c>
      <c r="J467">
        <v>65</v>
      </c>
      <c r="K467">
        <v>25</v>
      </c>
      <c r="L467">
        <v>0.8</v>
      </c>
      <c r="M467" t="s">
        <v>141</v>
      </c>
      <c r="N467" t="s">
        <v>141</v>
      </c>
      <c r="O467">
        <v>4</v>
      </c>
      <c r="Q467">
        <v>4</v>
      </c>
    </row>
    <row r="468" spans="1:18" x14ac:dyDescent="0.25">
      <c r="A468">
        <v>114</v>
      </c>
      <c r="B468" t="s">
        <v>97</v>
      </c>
      <c r="E468" t="s">
        <v>378</v>
      </c>
      <c r="F468">
        <v>1</v>
      </c>
      <c r="G468" s="3">
        <v>42901</v>
      </c>
      <c r="H468">
        <v>5.9</v>
      </c>
      <c r="I468">
        <v>5.5</v>
      </c>
      <c r="J468">
        <v>350</v>
      </c>
      <c r="K468">
        <v>220</v>
      </c>
      <c r="L468">
        <v>4.08</v>
      </c>
      <c r="M468">
        <v>3.96</v>
      </c>
      <c r="N468">
        <v>4.87</v>
      </c>
      <c r="O468">
        <v>4</v>
      </c>
      <c r="Q468">
        <v>4</v>
      </c>
    </row>
    <row r="469" spans="1:18" x14ac:dyDescent="0.25">
      <c r="A469">
        <v>116</v>
      </c>
      <c r="B469" t="s">
        <v>124</v>
      </c>
      <c r="E469" t="s">
        <v>378</v>
      </c>
      <c r="F469">
        <v>2</v>
      </c>
      <c r="G469" s="3">
        <v>42901</v>
      </c>
      <c r="H469">
        <v>6.8</v>
      </c>
      <c r="I469" t="s">
        <v>683</v>
      </c>
      <c r="J469">
        <v>340</v>
      </c>
      <c r="K469">
        <v>170</v>
      </c>
      <c r="L469">
        <v>4.9000000000000004</v>
      </c>
      <c r="M469">
        <v>4.9800000000000004</v>
      </c>
      <c r="N469">
        <v>5.32</v>
      </c>
      <c r="O469">
        <v>4</v>
      </c>
      <c r="Q469">
        <v>4</v>
      </c>
    </row>
    <row r="470" spans="1:18" x14ac:dyDescent="0.25">
      <c r="A470">
        <v>110</v>
      </c>
      <c r="B470" t="s">
        <v>118</v>
      </c>
      <c r="E470" t="s">
        <v>378</v>
      </c>
      <c r="F470">
        <v>3</v>
      </c>
      <c r="G470" s="3">
        <v>42901</v>
      </c>
      <c r="H470">
        <v>4</v>
      </c>
      <c r="I470">
        <v>3</v>
      </c>
      <c r="J470">
        <v>250</v>
      </c>
      <c r="K470">
        <v>98</v>
      </c>
      <c r="L470">
        <v>1.88</v>
      </c>
      <c r="M470">
        <v>1.77</v>
      </c>
      <c r="N470">
        <v>2.27</v>
      </c>
      <c r="O470">
        <v>4</v>
      </c>
      <c r="Q470">
        <v>4</v>
      </c>
    </row>
    <row r="471" spans="1:18" x14ac:dyDescent="0.25">
      <c r="A471">
        <v>137</v>
      </c>
      <c r="B471" t="s">
        <v>100</v>
      </c>
      <c r="E471" t="s">
        <v>378</v>
      </c>
      <c r="F471">
        <v>4</v>
      </c>
      <c r="G471" s="3">
        <v>42900</v>
      </c>
      <c r="H471">
        <v>4.2</v>
      </c>
      <c r="I471" t="s">
        <v>701</v>
      </c>
      <c r="J471">
        <v>292</v>
      </c>
      <c r="K471">
        <v>132</v>
      </c>
      <c r="L471">
        <v>3.12</v>
      </c>
      <c r="M471">
        <v>2.39</v>
      </c>
      <c r="N471">
        <v>2.23</v>
      </c>
      <c r="O471">
        <v>4</v>
      </c>
      <c r="Q471">
        <v>4</v>
      </c>
    </row>
    <row r="472" spans="1:18" x14ac:dyDescent="0.25">
      <c r="A472">
        <v>31</v>
      </c>
      <c r="B472" t="s">
        <v>608</v>
      </c>
      <c r="E472" t="s">
        <v>378</v>
      </c>
      <c r="F472">
        <v>5</v>
      </c>
      <c r="G472" s="3">
        <v>42915</v>
      </c>
      <c r="H472">
        <v>1.77</v>
      </c>
      <c r="I472">
        <v>1.33</v>
      </c>
      <c r="J472">
        <v>203</v>
      </c>
      <c r="K472">
        <v>90</v>
      </c>
      <c r="L472">
        <v>0.95</v>
      </c>
      <c r="M472">
        <v>1.23</v>
      </c>
      <c r="N472">
        <v>1.06</v>
      </c>
      <c r="O472">
        <v>4</v>
      </c>
      <c r="Q472">
        <v>4</v>
      </c>
    </row>
    <row r="473" spans="1:18" x14ac:dyDescent="0.25">
      <c r="A473">
        <v>2</v>
      </c>
      <c r="B473" t="s">
        <v>1027</v>
      </c>
      <c r="C473" t="s">
        <v>100</v>
      </c>
      <c r="E473" t="s">
        <v>378</v>
      </c>
      <c r="F473">
        <v>6</v>
      </c>
      <c r="G473" s="3">
        <v>42909</v>
      </c>
      <c r="H473" t="s">
        <v>565</v>
      </c>
      <c r="I473" t="s">
        <v>567</v>
      </c>
      <c r="J473">
        <v>340</v>
      </c>
      <c r="K473">
        <v>100</v>
      </c>
      <c r="L473">
        <v>6.63</v>
      </c>
      <c r="M473">
        <v>5.13</v>
      </c>
      <c r="N473">
        <v>5.18</v>
      </c>
      <c r="O473">
        <v>4</v>
      </c>
      <c r="Q473">
        <v>4</v>
      </c>
    </row>
    <row r="474" spans="1:18" x14ac:dyDescent="0.25">
      <c r="A474">
        <v>529</v>
      </c>
      <c r="B474" t="s">
        <v>1179</v>
      </c>
      <c r="D474" t="s">
        <v>1110</v>
      </c>
      <c r="E474" t="s">
        <v>378</v>
      </c>
      <c r="G474" s="3">
        <v>42957</v>
      </c>
      <c r="H474">
        <v>8.8000000000000007</v>
      </c>
      <c r="I474">
        <v>7.5</v>
      </c>
      <c r="J474" t="s">
        <v>141</v>
      </c>
      <c r="K474" t="s">
        <v>141</v>
      </c>
      <c r="L474">
        <v>3.3</v>
      </c>
      <c r="M474">
        <v>2.89</v>
      </c>
      <c r="N474">
        <v>3.1</v>
      </c>
      <c r="O474">
        <v>2</v>
      </c>
      <c r="P474">
        <v>4894</v>
      </c>
      <c r="Q474">
        <v>2</v>
      </c>
      <c r="R474">
        <v>4894</v>
      </c>
    </row>
    <row r="475" spans="1:18" x14ac:dyDescent="0.25">
      <c r="A475">
        <v>87</v>
      </c>
      <c r="B475" t="s">
        <v>306</v>
      </c>
      <c r="E475" t="s">
        <v>399</v>
      </c>
      <c r="F475">
        <v>1</v>
      </c>
      <c r="G475" s="3">
        <v>42902</v>
      </c>
      <c r="H475" t="s">
        <v>661</v>
      </c>
      <c r="I475" t="s">
        <v>670</v>
      </c>
      <c r="J475">
        <v>582</v>
      </c>
      <c r="K475">
        <v>150</v>
      </c>
      <c r="L475">
        <v>23.9</v>
      </c>
      <c r="M475">
        <v>18.75</v>
      </c>
      <c r="N475">
        <v>23.6</v>
      </c>
      <c r="O475">
        <v>5</v>
      </c>
      <c r="Q475">
        <v>5</v>
      </c>
    </row>
    <row r="476" spans="1:18" x14ac:dyDescent="0.25">
      <c r="A476">
        <v>204</v>
      </c>
      <c r="B476" t="s">
        <v>437</v>
      </c>
      <c r="E476" t="s">
        <v>399</v>
      </c>
      <c r="F476">
        <v>2</v>
      </c>
      <c r="G476" s="3">
        <v>42906</v>
      </c>
      <c r="H476">
        <v>19.2</v>
      </c>
      <c r="I476">
        <v>18.100000000000001</v>
      </c>
      <c r="J476">
        <v>645</v>
      </c>
      <c r="K476">
        <v>170</v>
      </c>
      <c r="L476">
        <v>39.020000000000003</v>
      </c>
      <c r="M476">
        <v>30.87</v>
      </c>
      <c r="N476">
        <v>39.06</v>
      </c>
      <c r="O476">
        <v>5</v>
      </c>
      <c r="Q476">
        <v>5</v>
      </c>
    </row>
    <row r="477" spans="1:18" x14ac:dyDescent="0.25">
      <c r="A477">
        <v>206</v>
      </c>
      <c r="B477" t="s">
        <v>436</v>
      </c>
      <c r="E477" t="s">
        <v>399</v>
      </c>
      <c r="F477">
        <v>3</v>
      </c>
      <c r="G477" s="3">
        <v>42906</v>
      </c>
      <c r="H477">
        <v>18.5</v>
      </c>
      <c r="I477">
        <v>16.8</v>
      </c>
      <c r="J477">
        <v>460</v>
      </c>
      <c r="K477">
        <v>120</v>
      </c>
      <c r="L477">
        <v>10.4</v>
      </c>
      <c r="M477">
        <v>16.78</v>
      </c>
      <c r="N477">
        <v>18.899999999999999</v>
      </c>
      <c r="O477">
        <v>5</v>
      </c>
      <c r="Q477">
        <v>5</v>
      </c>
    </row>
    <row r="478" spans="1:18" x14ac:dyDescent="0.25">
      <c r="A478">
        <v>207</v>
      </c>
      <c r="B478" t="s">
        <v>450</v>
      </c>
      <c r="E478" t="s">
        <v>399</v>
      </c>
      <c r="F478">
        <v>4</v>
      </c>
      <c r="G478" s="3">
        <v>42906</v>
      </c>
      <c r="H478">
        <v>15</v>
      </c>
      <c r="I478">
        <v>9.5</v>
      </c>
      <c r="J478">
        <v>390</v>
      </c>
      <c r="K478">
        <v>100</v>
      </c>
      <c r="L478">
        <v>20.3</v>
      </c>
      <c r="M478">
        <v>14.04</v>
      </c>
      <c r="N478">
        <v>16.27</v>
      </c>
      <c r="O478">
        <v>5</v>
      </c>
      <c r="Q478">
        <v>5</v>
      </c>
    </row>
    <row r="479" spans="1:18" x14ac:dyDescent="0.25">
      <c r="A479">
        <v>174</v>
      </c>
      <c r="B479" t="s">
        <v>466</v>
      </c>
      <c r="E479" t="s">
        <v>399</v>
      </c>
      <c r="F479">
        <v>5</v>
      </c>
      <c r="G479" s="3">
        <v>42907</v>
      </c>
      <c r="H479">
        <v>11.1</v>
      </c>
      <c r="I479">
        <v>7.7</v>
      </c>
      <c r="J479">
        <v>405</v>
      </c>
      <c r="K479">
        <v>150</v>
      </c>
      <c r="L479">
        <v>20.100000000000001</v>
      </c>
      <c r="M479">
        <v>18.600000000000001</v>
      </c>
      <c r="N479">
        <v>18.77</v>
      </c>
      <c r="O479">
        <v>5</v>
      </c>
      <c r="Q479">
        <v>5</v>
      </c>
    </row>
    <row r="480" spans="1:18" x14ac:dyDescent="0.25">
      <c r="A480">
        <v>192</v>
      </c>
      <c r="B480" t="s">
        <v>1258</v>
      </c>
      <c r="C480" t="s">
        <v>450</v>
      </c>
      <c r="E480" t="s">
        <v>399</v>
      </c>
      <c r="F480">
        <v>6</v>
      </c>
      <c r="G480" s="3">
        <v>42906</v>
      </c>
      <c r="H480">
        <v>17.7</v>
      </c>
      <c r="I480">
        <v>15.5</v>
      </c>
      <c r="J480">
        <v>265</v>
      </c>
      <c r="K480">
        <v>70</v>
      </c>
      <c r="L480">
        <v>27.23</v>
      </c>
      <c r="M480">
        <v>26.96</v>
      </c>
      <c r="N480">
        <v>30.77</v>
      </c>
      <c r="O480">
        <v>4</v>
      </c>
      <c r="P480" t="s">
        <v>1259</v>
      </c>
      <c r="Q480">
        <v>4</v>
      </c>
      <c r="R480" t="s">
        <v>1259</v>
      </c>
    </row>
    <row r="481" spans="1:18" x14ac:dyDescent="0.25">
      <c r="A481">
        <v>201</v>
      </c>
      <c r="B481" t="s">
        <v>1262</v>
      </c>
      <c r="C481" t="s">
        <v>415</v>
      </c>
      <c r="E481" t="s">
        <v>1264</v>
      </c>
      <c r="F481">
        <v>1</v>
      </c>
      <c r="G481" s="3">
        <v>42906</v>
      </c>
      <c r="H481">
        <v>6</v>
      </c>
      <c r="I481">
        <v>5.2</v>
      </c>
      <c r="J481">
        <v>588</v>
      </c>
      <c r="K481">
        <v>217</v>
      </c>
      <c r="L481">
        <v>6.83</v>
      </c>
      <c r="M481">
        <v>7.33</v>
      </c>
      <c r="N481">
        <v>6.11</v>
      </c>
      <c r="O481">
        <v>3</v>
      </c>
      <c r="Q481">
        <v>3</v>
      </c>
    </row>
    <row r="482" spans="1:18" x14ac:dyDescent="0.25">
      <c r="A482">
        <v>94</v>
      </c>
      <c r="B482" t="s">
        <v>18</v>
      </c>
      <c r="E482" t="s">
        <v>347</v>
      </c>
      <c r="F482">
        <v>1</v>
      </c>
      <c r="G482" s="3">
        <v>42901</v>
      </c>
      <c r="H482">
        <v>14.5</v>
      </c>
      <c r="I482">
        <v>14.7</v>
      </c>
      <c r="J482">
        <v>460</v>
      </c>
      <c r="K482">
        <v>270</v>
      </c>
      <c r="L482">
        <v>14.52</v>
      </c>
      <c r="M482">
        <v>21.83</v>
      </c>
      <c r="N482">
        <v>17.059999999999999</v>
      </c>
      <c r="O482">
        <v>4</v>
      </c>
      <c r="Q482">
        <v>4</v>
      </c>
    </row>
    <row r="483" spans="1:18" x14ac:dyDescent="0.25">
      <c r="A483">
        <v>109</v>
      </c>
      <c r="B483" t="s">
        <v>114</v>
      </c>
      <c r="E483" t="s">
        <v>347</v>
      </c>
      <c r="F483">
        <v>2</v>
      </c>
      <c r="G483" s="3">
        <v>42901</v>
      </c>
      <c r="H483">
        <v>6.8</v>
      </c>
      <c r="I483" t="s">
        <v>682</v>
      </c>
      <c r="J483">
        <v>325</v>
      </c>
      <c r="K483">
        <v>160</v>
      </c>
      <c r="L483">
        <v>8.19</v>
      </c>
      <c r="M483">
        <v>8.9499999999999993</v>
      </c>
      <c r="N483">
        <v>8.31</v>
      </c>
      <c r="O483">
        <v>5</v>
      </c>
      <c r="Q483">
        <v>5</v>
      </c>
    </row>
    <row r="484" spans="1:18" x14ac:dyDescent="0.25">
      <c r="A484">
        <v>252</v>
      </c>
      <c r="B484" t="s">
        <v>83</v>
      </c>
      <c r="E484" t="s">
        <v>347</v>
      </c>
      <c r="F484">
        <v>3</v>
      </c>
      <c r="G484" s="3">
        <v>42898</v>
      </c>
      <c r="H484">
        <v>5.7</v>
      </c>
      <c r="I484" t="s">
        <v>804</v>
      </c>
      <c r="J484">
        <v>300</v>
      </c>
      <c r="K484">
        <v>126</v>
      </c>
      <c r="L484">
        <v>5.84</v>
      </c>
      <c r="M484">
        <v>5.64</v>
      </c>
      <c r="N484">
        <v>6.38</v>
      </c>
      <c r="O484">
        <v>4</v>
      </c>
      <c r="Q484">
        <v>4</v>
      </c>
    </row>
    <row r="485" spans="1:18" x14ac:dyDescent="0.25">
      <c r="A485">
        <v>250</v>
      </c>
      <c r="B485" t="s">
        <v>116</v>
      </c>
      <c r="E485" t="s">
        <v>347</v>
      </c>
      <c r="F485">
        <v>4</v>
      </c>
      <c r="G485" s="3">
        <v>42898</v>
      </c>
      <c r="H485">
        <v>10</v>
      </c>
      <c r="I485">
        <v>8.5</v>
      </c>
      <c r="J485">
        <v>370</v>
      </c>
      <c r="K485">
        <v>161</v>
      </c>
      <c r="L485">
        <v>3.22</v>
      </c>
      <c r="M485">
        <v>3.02</v>
      </c>
      <c r="N485">
        <v>2.73</v>
      </c>
      <c r="O485">
        <v>4</v>
      </c>
      <c r="Q485">
        <v>4</v>
      </c>
    </row>
    <row r="486" spans="1:18" x14ac:dyDescent="0.25">
      <c r="A486">
        <v>47</v>
      </c>
      <c r="B486" t="s">
        <v>635</v>
      </c>
      <c r="E486" t="s">
        <v>347</v>
      </c>
      <c r="F486">
        <v>5</v>
      </c>
      <c r="G486" s="3">
        <v>42915</v>
      </c>
      <c r="H486">
        <v>5.5</v>
      </c>
      <c r="I486">
        <v>4.2</v>
      </c>
      <c r="J486">
        <v>260</v>
      </c>
      <c r="K486">
        <v>110</v>
      </c>
      <c r="L486">
        <v>6.02</v>
      </c>
      <c r="M486">
        <v>6.06</v>
      </c>
      <c r="N486">
        <v>6.83</v>
      </c>
      <c r="O486">
        <v>4</v>
      </c>
      <c r="Q486">
        <v>4</v>
      </c>
    </row>
    <row r="487" spans="1:18" x14ac:dyDescent="0.25">
      <c r="A487">
        <v>364</v>
      </c>
      <c r="B487" t="s">
        <v>969</v>
      </c>
      <c r="E487" t="s">
        <v>347</v>
      </c>
      <c r="F487">
        <v>6</v>
      </c>
      <c r="G487" s="3">
        <v>42940</v>
      </c>
      <c r="H487">
        <v>2.37</v>
      </c>
      <c r="I487" t="s">
        <v>141</v>
      </c>
      <c r="J487">
        <v>110</v>
      </c>
      <c r="K487">
        <v>50</v>
      </c>
      <c r="L487">
        <v>2.25</v>
      </c>
      <c r="M487" t="s">
        <v>141</v>
      </c>
      <c r="N487" t="s">
        <v>141</v>
      </c>
      <c r="O487">
        <v>0</v>
      </c>
      <c r="P487">
        <v>2743</v>
      </c>
      <c r="Q487">
        <v>0</v>
      </c>
      <c r="R487">
        <v>2743</v>
      </c>
    </row>
    <row r="488" spans="1:18" x14ac:dyDescent="0.25">
      <c r="A488">
        <v>240</v>
      </c>
      <c r="B488" t="s">
        <v>1266</v>
      </c>
      <c r="C488" t="s">
        <v>69</v>
      </c>
      <c r="E488" t="s">
        <v>347</v>
      </c>
      <c r="F488">
        <v>7</v>
      </c>
      <c r="G488" s="3">
        <v>42896</v>
      </c>
      <c r="H488">
        <v>5.0999999999999996</v>
      </c>
      <c r="I488">
        <v>3.9</v>
      </c>
      <c r="J488">
        <v>194</v>
      </c>
      <c r="K488">
        <v>138</v>
      </c>
      <c r="L488">
        <v>7.49</v>
      </c>
      <c r="M488">
        <v>7.21</v>
      </c>
      <c r="N488">
        <v>7.55</v>
      </c>
      <c r="O488">
        <v>3</v>
      </c>
      <c r="Q488">
        <v>3</v>
      </c>
    </row>
    <row r="489" spans="1:18" x14ac:dyDescent="0.25">
      <c r="A489">
        <v>542</v>
      </c>
      <c r="B489" t="s">
        <v>1191</v>
      </c>
      <c r="D489" t="s">
        <v>1110</v>
      </c>
      <c r="E489" t="s">
        <v>347</v>
      </c>
      <c r="G489" s="3">
        <v>42957</v>
      </c>
      <c r="H489">
        <v>20.2</v>
      </c>
      <c r="I489">
        <v>19.399999999999999</v>
      </c>
      <c r="J489" t="s">
        <v>141</v>
      </c>
      <c r="K489" t="s">
        <v>141</v>
      </c>
      <c r="L489">
        <v>21.51</v>
      </c>
      <c r="M489">
        <v>18.78</v>
      </c>
      <c r="N489">
        <v>17.61</v>
      </c>
      <c r="O489">
        <v>4</v>
      </c>
      <c r="Q489">
        <v>4</v>
      </c>
    </row>
    <row r="490" spans="1:18" x14ac:dyDescent="0.25">
      <c r="A490">
        <v>43</v>
      </c>
      <c r="B490" t="s">
        <v>615</v>
      </c>
      <c r="E490" t="s">
        <v>625</v>
      </c>
      <c r="F490">
        <v>1</v>
      </c>
      <c r="G490" s="3">
        <v>42915</v>
      </c>
      <c r="H490">
        <v>2.4</v>
      </c>
      <c r="I490">
        <v>1.9</v>
      </c>
      <c r="J490">
        <v>320</v>
      </c>
      <c r="K490">
        <v>160</v>
      </c>
      <c r="L490">
        <v>1.85</v>
      </c>
      <c r="M490">
        <v>1.78</v>
      </c>
      <c r="N490">
        <v>1.61</v>
      </c>
      <c r="O490">
        <v>3</v>
      </c>
      <c r="Q490">
        <v>3</v>
      </c>
    </row>
    <row r="491" spans="1:18" x14ac:dyDescent="0.25">
      <c r="A491">
        <v>62</v>
      </c>
      <c r="B491" t="s">
        <v>624</v>
      </c>
      <c r="E491" t="s">
        <v>625</v>
      </c>
      <c r="F491">
        <v>2</v>
      </c>
      <c r="G491" s="3">
        <v>42915</v>
      </c>
      <c r="H491">
        <v>2.2000000000000002</v>
      </c>
      <c r="I491">
        <v>1.7</v>
      </c>
      <c r="J491">
        <v>290</v>
      </c>
      <c r="K491">
        <v>195</v>
      </c>
      <c r="L491">
        <v>1.89</v>
      </c>
      <c r="M491">
        <v>1.47</v>
      </c>
      <c r="N491">
        <v>1.8</v>
      </c>
      <c r="O491">
        <v>2</v>
      </c>
      <c r="Q491">
        <v>2</v>
      </c>
    </row>
    <row r="492" spans="1:18" x14ac:dyDescent="0.25">
      <c r="A492">
        <v>319</v>
      </c>
      <c r="B492" t="s">
        <v>737</v>
      </c>
      <c r="E492" t="s">
        <v>625</v>
      </c>
      <c r="F492">
        <v>3</v>
      </c>
      <c r="G492" s="3">
        <v>42921</v>
      </c>
      <c r="H492">
        <v>4.8</v>
      </c>
      <c r="I492">
        <v>3</v>
      </c>
      <c r="J492">
        <v>450</v>
      </c>
      <c r="K492">
        <v>215</v>
      </c>
      <c r="L492">
        <v>10.59</v>
      </c>
      <c r="M492">
        <v>10.51</v>
      </c>
      <c r="N492">
        <v>13.96</v>
      </c>
      <c r="O492">
        <v>3</v>
      </c>
      <c r="Q492">
        <v>3</v>
      </c>
    </row>
    <row r="493" spans="1:18" x14ac:dyDescent="0.25">
      <c r="A493">
        <v>233</v>
      </c>
      <c r="B493" t="s">
        <v>764</v>
      </c>
      <c r="E493" t="s">
        <v>625</v>
      </c>
      <c r="F493">
        <v>4</v>
      </c>
      <c r="G493" s="3">
        <v>42923</v>
      </c>
      <c r="H493">
        <v>7.5</v>
      </c>
      <c r="I493">
        <v>5.3</v>
      </c>
      <c r="J493">
        <v>420</v>
      </c>
      <c r="K493">
        <v>160</v>
      </c>
      <c r="L493">
        <v>5.7</v>
      </c>
      <c r="M493">
        <v>5.0999999999999996</v>
      </c>
      <c r="N493">
        <v>4.4000000000000004</v>
      </c>
      <c r="O493">
        <v>4</v>
      </c>
      <c r="Q493">
        <v>4</v>
      </c>
    </row>
    <row r="494" spans="1:18" x14ac:dyDescent="0.25">
      <c r="A494">
        <v>238</v>
      </c>
      <c r="B494" t="s">
        <v>757</v>
      </c>
      <c r="E494" t="s">
        <v>625</v>
      </c>
      <c r="F494">
        <v>5</v>
      </c>
      <c r="G494" s="3">
        <v>42923</v>
      </c>
      <c r="H494" t="s">
        <v>784</v>
      </c>
      <c r="I494" t="s">
        <v>788</v>
      </c>
      <c r="J494">
        <v>615</v>
      </c>
      <c r="K494">
        <v>170</v>
      </c>
      <c r="L494">
        <v>5.9</v>
      </c>
      <c r="M494">
        <v>6.06</v>
      </c>
      <c r="N494">
        <v>4.72</v>
      </c>
      <c r="O494">
        <v>4</v>
      </c>
      <c r="Q494">
        <v>4</v>
      </c>
    </row>
    <row r="495" spans="1:18" x14ac:dyDescent="0.25">
      <c r="A495">
        <v>145</v>
      </c>
      <c r="B495" t="s">
        <v>109</v>
      </c>
      <c r="E495" t="s">
        <v>362</v>
      </c>
      <c r="F495">
        <v>1</v>
      </c>
      <c r="G495" s="3">
        <v>42900</v>
      </c>
      <c r="H495">
        <v>3.8</v>
      </c>
      <c r="I495">
        <v>2.87</v>
      </c>
      <c r="J495">
        <v>205</v>
      </c>
      <c r="K495">
        <v>64</v>
      </c>
      <c r="L495">
        <v>3.3</v>
      </c>
      <c r="M495">
        <v>4.5</v>
      </c>
      <c r="N495">
        <v>5.08</v>
      </c>
      <c r="O495">
        <v>4</v>
      </c>
      <c r="Q495">
        <v>4</v>
      </c>
    </row>
    <row r="496" spans="1:18" x14ac:dyDescent="0.25">
      <c r="A496">
        <v>143</v>
      </c>
      <c r="B496" t="s">
        <v>120</v>
      </c>
      <c r="E496" t="s">
        <v>362</v>
      </c>
      <c r="F496">
        <v>2</v>
      </c>
      <c r="G496" s="3">
        <v>42900</v>
      </c>
      <c r="H496">
        <v>4.4000000000000004</v>
      </c>
      <c r="I496" t="s">
        <v>705</v>
      </c>
      <c r="J496">
        <v>260</v>
      </c>
      <c r="K496">
        <v>91</v>
      </c>
      <c r="L496">
        <v>3.88</v>
      </c>
      <c r="M496">
        <v>4.12</v>
      </c>
      <c r="N496">
        <v>3.89</v>
      </c>
      <c r="O496">
        <v>5</v>
      </c>
      <c r="Q496">
        <v>5</v>
      </c>
    </row>
    <row r="497" spans="1:18" x14ac:dyDescent="0.25">
      <c r="A497">
        <v>133</v>
      </c>
      <c r="B497" t="s">
        <v>77</v>
      </c>
      <c r="E497" t="s">
        <v>362</v>
      </c>
      <c r="F497">
        <v>3</v>
      </c>
      <c r="G497" s="3">
        <v>42900</v>
      </c>
      <c r="H497">
        <v>7.8</v>
      </c>
      <c r="I497">
        <v>5.0999999999999996</v>
      </c>
      <c r="J497">
        <v>272</v>
      </c>
      <c r="K497">
        <v>45</v>
      </c>
      <c r="L497">
        <v>6.61</v>
      </c>
      <c r="M497">
        <v>8.02</v>
      </c>
      <c r="N497">
        <v>7.42</v>
      </c>
      <c r="O497">
        <v>4</v>
      </c>
      <c r="Q497">
        <v>4</v>
      </c>
    </row>
    <row r="498" spans="1:18" x14ac:dyDescent="0.25">
      <c r="A498">
        <v>158</v>
      </c>
      <c r="B498" t="s">
        <v>78</v>
      </c>
      <c r="E498" t="s">
        <v>362</v>
      </c>
      <c r="F498">
        <v>4</v>
      </c>
      <c r="G498" s="3">
        <v>42900</v>
      </c>
      <c r="H498" t="s">
        <v>713</v>
      </c>
      <c r="I498" t="s">
        <v>721</v>
      </c>
      <c r="J498">
        <v>332</v>
      </c>
      <c r="K498">
        <v>60</v>
      </c>
      <c r="L498">
        <v>8.0500000000000007</v>
      </c>
      <c r="M498">
        <v>9.09</v>
      </c>
      <c r="N498">
        <v>8.18</v>
      </c>
      <c r="O498">
        <v>4</v>
      </c>
      <c r="Q498">
        <v>4</v>
      </c>
    </row>
    <row r="499" spans="1:18" x14ac:dyDescent="0.25">
      <c r="A499">
        <v>247</v>
      </c>
      <c r="B499" t="s">
        <v>138</v>
      </c>
      <c r="E499" t="s">
        <v>362</v>
      </c>
      <c r="F499">
        <v>5</v>
      </c>
      <c r="G499" s="3">
        <v>42898</v>
      </c>
      <c r="H499">
        <v>19.8</v>
      </c>
      <c r="I499" t="s">
        <v>800</v>
      </c>
      <c r="J499">
        <v>400</v>
      </c>
      <c r="K499">
        <v>80</v>
      </c>
      <c r="L499">
        <v>8.52</v>
      </c>
      <c r="M499">
        <v>7.91</v>
      </c>
      <c r="N499">
        <v>7.81</v>
      </c>
      <c r="O499">
        <v>5</v>
      </c>
      <c r="Q499">
        <v>5</v>
      </c>
    </row>
    <row r="500" spans="1:18" x14ac:dyDescent="0.25">
      <c r="A500">
        <v>271</v>
      </c>
      <c r="B500" t="s">
        <v>1268</v>
      </c>
      <c r="C500" t="s">
        <v>208</v>
      </c>
      <c r="E500" t="s">
        <v>385</v>
      </c>
      <c r="F500">
        <v>1</v>
      </c>
      <c r="G500" s="3">
        <v>42901</v>
      </c>
      <c r="H500">
        <v>6</v>
      </c>
      <c r="I500">
        <v>5</v>
      </c>
      <c r="J500">
        <v>500</v>
      </c>
      <c r="K500">
        <v>190</v>
      </c>
      <c r="L500">
        <v>3.24</v>
      </c>
      <c r="M500">
        <v>3.36</v>
      </c>
      <c r="N500">
        <v>2.67</v>
      </c>
      <c r="P500">
        <v>1243</v>
      </c>
      <c r="R500">
        <v>1243</v>
      </c>
    </row>
    <row r="501" spans="1:18" x14ac:dyDescent="0.25">
      <c r="A501">
        <v>264</v>
      </c>
      <c r="B501" t="s">
        <v>1269</v>
      </c>
      <c r="C501" t="s">
        <v>233</v>
      </c>
      <c r="E501" t="s">
        <v>385</v>
      </c>
      <c r="F501">
        <v>2</v>
      </c>
      <c r="G501" s="3">
        <v>42901</v>
      </c>
      <c r="H501">
        <v>6</v>
      </c>
      <c r="I501">
        <v>5.4</v>
      </c>
      <c r="J501">
        <v>700</v>
      </c>
      <c r="K501">
        <v>220</v>
      </c>
      <c r="L501">
        <v>2.76</v>
      </c>
      <c r="M501">
        <v>2.46</v>
      </c>
      <c r="N501">
        <v>2.5299999999999998</v>
      </c>
      <c r="P501">
        <v>1513</v>
      </c>
      <c r="R501">
        <v>1513</v>
      </c>
    </row>
    <row r="502" spans="1:18" x14ac:dyDescent="0.25">
      <c r="A502">
        <v>81</v>
      </c>
      <c r="B502" t="s">
        <v>291</v>
      </c>
      <c r="E502" t="s">
        <v>385</v>
      </c>
      <c r="F502">
        <v>3</v>
      </c>
      <c r="G502" s="3">
        <v>42902</v>
      </c>
      <c r="H502">
        <v>8.5</v>
      </c>
      <c r="I502">
        <v>7.6</v>
      </c>
      <c r="J502">
        <v>535</v>
      </c>
      <c r="K502">
        <v>80</v>
      </c>
      <c r="L502">
        <v>3.52</v>
      </c>
      <c r="M502">
        <v>3.28</v>
      </c>
      <c r="N502">
        <v>4.34</v>
      </c>
      <c r="O502">
        <v>5</v>
      </c>
      <c r="Q502">
        <v>5</v>
      </c>
    </row>
    <row r="503" spans="1:18" x14ac:dyDescent="0.25">
      <c r="A503">
        <v>263</v>
      </c>
      <c r="B503" t="s">
        <v>291</v>
      </c>
      <c r="C503" t="s">
        <v>284</v>
      </c>
      <c r="E503" t="s">
        <v>385</v>
      </c>
      <c r="F503">
        <v>3</v>
      </c>
      <c r="G503" s="3">
        <v>42901</v>
      </c>
      <c r="H503">
        <v>6.9</v>
      </c>
      <c r="I503">
        <v>6</v>
      </c>
      <c r="J503">
        <v>700</v>
      </c>
      <c r="K503">
        <v>300</v>
      </c>
      <c r="L503">
        <v>2.27</v>
      </c>
      <c r="M503">
        <v>3.18</v>
      </c>
      <c r="N503">
        <v>2.88</v>
      </c>
      <c r="P503">
        <v>1533</v>
      </c>
      <c r="R503">
        <v>1533</v>
      </c>
    </row>
    <row r="504" spans="1:18" x14ac:dyDescent="0.25">
      <c r="A504">
        <v>221</v>
      </c>
      <c r="B504" t="s">
        <v>776</v>
      </c>
      <c r="E504" t="s">
        <v>385</v>
      </c>
      <c r="F504">
        <v>5</v>
      </c>
      <c r="G504" s="3">
        <v>42923</v>
      </c>
      <c r="H504">
        <v>3</v>
      </c>
      <c r="I504">
        <v>2.5299999999999998</v>
      </c>
      <c r="J504">
        <v>312</v>
      </c>
      <c r="K504">
        <v>236</v>
      </c>
      <c r="L504">
        <v>2.0699999999999998</v>
      </c>
      <c r="M504">
        <v>1.85</v>
      </c>
      <c r="N504">
        <v>2.06</v>
      </c>
      <c r="O504">
        <v>3</v>
      </c>
      <c r="Q504">
        <v>3</v>
      </c>
    </row>
    <row r="505" spans="1:18" x14ac:dyDescent="0.25">
      <c r="A505">
        <v>503</v>
      </c>
      <c r="B505" t="s">
        <v>1148</v>
      </c>
      <c r="D505" t="s">
        <v>1110</v>
      </c>
      <c r="E505" t="s">
        <v>385</v>
      </c>
      <c r="G505" s="3">
        <v>42956</v>
      </c>
      <c r="H505">
        <v>31.9</v>
      </c>
      <c r="I505">
        <v>28.4</v>
      </c>
      <c r="J505">
        <v>1050</v>
      </c>
      <c r="K505">
        <v>540</v>
      </c>
      <c r="L505">
        <v>8.1999999999999993</v>
      </c>
      <c r="M505">
        <v>8.68</v>
      </c>
      <c r="N505">
        <v>7.5</v>
      </c>
      <c r="O505">
        <v>5</v>
      </c>
      <c r="P505" t="s">
        <v>1154</v>
      </c>
      <c r="Q505">
        <v>5</v>
      </c>
      <c r="R505" t="s">
        <v>1154</v>
      </c>
    </row>
    <row r="506" spans="1:18" x14ac:dyDescent="0.25">
      <c r="A506">
        <v>129</v>
      </c>
      <c r="B506" t="s">
        <v>10</v>
      </c>
      <c r="E506" t="s">
        <v>342</v>
      </c>
      <c r="F506">
        <v>1</v>
      </c>
      <c r="G506" s="3">
        <v>42901</v>
      </c>
      <c r="H506">
        <v>4.5</v>
      </c>
      <c r="I506" t="s">
        <v>688</v>
      </c>
      <c r="J506">
        <v>170</v>
      </c>
      <c r="K506">
        <v>110</v>
      </c>
      <c r="L506">
        <v>11.1</v>
      </c>
      <c r="M506">
        <v>15.5</v>
      </c>
      <c r="N506">
        <v>11</v>
      </c>
      <c r="O506">
        <v>4</v>
      </c>
      <c r="Q506">
        <v>4</v>
      </c>
    </row>
    <row r="507" spans="1:18" x14ac:dyDescent="0.25">
      <c r="A507">
        <v>125</v>
      </c>
      <c r="B507" t="s">
        <v>9</v>
      </c>
      <c r="E507" t="s">
        <v>342</v>
      </c>
      <c r="F507">
        <v>2</v>
      </c>
      <c r="G507" s="3">
        <v>42901</v>
      </c>
      <c r="H507">
        <v>2.92</v>
      </c>
      <c r="I507">
        <v>0.48</v>
      </c>
      <c r="J507">
        <v>150</v>
      </c>
      <c r="K507">
        <v>80</v>
      </c>
      <c r="L507">
        <v>10.8</v>
      </c>
      <c r="M507">
        <v>11.1</v>
      </c>
      <c r="N507">
        <v>8.01</v>
      </c>
      <c r="O507">
        <v>4</v>
      </c>
      <c r="Q507">
        <v>4</v>
      </c>
    </row>
    <row r="508" spans="1:18" x14ac:dyDescent="0.25">
      <c r="A508">
        <v>226</v>
      </c>
      <c r="B508" t="s">
        <v>771</v>
      </c>
      <c r="E508" t="s">
        <v>342</v>
      </c>
      <c r="F508">
        <v>4</v>
      </c>
      <c r="G508" s="3">
        <v>42923</v>
      </c>
      <c r="H508">
        <v>6</v>
      </c>
      <c r="I508">
        <v>4.9000000000000004</v>
      </c>
      <c r="J508">
        <v>205</v>
      </c>
      <c r="K508">
        <v>130</v>
      </c>
      <c r="L508">
        <v>20.46</v>
      </c>
      <c r="M508">
        <v>11.47</v>
      </c>
      <c r="N508">
        <v>13.56</v>
      </c>
      <c r="O508">
        <v>4</v>
      </c>
      <c r="Q508">
        <v>4</v>
      </c>
    </row>
    <row r="509" spans="1:18" x14ac:dyDescent="0.25">
      <c r="A509">
        <v>366</v>
      </c>
      <c r="B509" t="s">
        <v>873</v>
      </c>
      <c r="E509" t="s">
        <v>342</v>
      </c>
      <c r="F509">
        <v>5</v>
      </c>
      <c r="G509" s="3">
        <v>42931</v>
      </c>
      <c r="H509">
        <v>5.0999999999999996</v>
      </c>
      <c r="I509">
        <v>3.7</v>
      </c>
      <c r="J509">
        <v>440</v>
      </c>
      <c r="K509">
        <v>229</v>
      </c>
      <c r="L509">
        <v>8.49</v>
      </c>
      <c r="M509">
        <v>11.65</v>
      </c>
      <c r="N509">
        <v>10.02</v>
      </c>
      <c r="O509">
        <v>2</v>
      </c>
      <c r="P509">
        <v>2743</v>
      </c>
      <c r="Q509">
        <v>2</v>
      </c>
      <c r="R509">
        <v>2743</v>
      </c>
    </row>
    <row r="510" spans="1:18" x14ac:dyDescent="0.25">
      <c r="A510">
        <v>425</v>
      </c>
      <c r="B510" t="s">
        <v>1271</v>
      </c>
      <c r="C510" t="s">
        <v>1013</v>
      </c>
      <c r="E510" t="s">
        <v>342</v>
      </c>
      <c r="F510">
        <v>3</v>
      </c>
      <c r="G510" s="3">
        <v>42942</v>
      </c>
      <c r="H510">
        <v>3.23</v>
      </c>
      <c r="I510" t="s">
        <v>141</v>
      </c>
      <c r="J510">
        <v>120</v>
      </c>
      <c r="K510">
        <v>80</v>
      </c>
      <c r="L510">
        <v>10.38</v>
      </c>
      <c r="M510" t="s">
        <v>141</v>
      </c>
      <c r="N510" t="s">
        <v>141</v>
      </c>
      <c r="O510">
        <v>4</v>
      </c>
      <c r="Q510">
        <v>4</v>
      </c>
    </row>
    <row r="511" spans="1:18" x14ac:dyDescent="0.25">
      <c r="A511">
        <v>16</v>
      </c>
      <c r="B511" t="s">
        <v>501</v>
      </c>
      <c r="E511" t="s">
        <v>502</v>
      </c>
      <c r="F511">
        <v>1</v>
      </c>
      <c r="G511" s="3">
        <v>42909</v>
      </c>
      <c r="H511" t="s">
        <v>573</v>
      </c>
      <c r="I511" t="s">
        <v>580</v>
      </c>
      <c r="J511">
        <v>930</v>
      </c>
      <c r="K511">
        <v>140</v>
      </c>
      <c r="L511">
        <v>11.11</v>
      </c>
      <c r="M511">
        <v>11.1</v>
      </c>
      <c r="N511">
        <v>9.6</v>
      </c>
      <c r="O511">
        <v>5</v>
      </c>
      <c r="Q511">
        <v>5</v>
      </c>
    </row>
    <row r="512" spans="1:18" x14ac:dyDescent="0.25">
      <c r="A512">
        <v>55</v>
      </c>
      <c r="B512" t="s">
        <v>590</v>
      </c>
      <c r="E512" t="s">
        <v>502</v>
      </c>
      <c r="F512">
        <v>2</v>
      </c>
      <c r="G512" s="3">
        <v>42915</v>
      </c>
      <c r="H512">
        <v>1.6</v>
      </c>
      <c r="I512">
        <v>0.8</v>
      </c>
      <c r="J512">
        <v>155</v>
      </c>
      <c r="K512">
        <v>100</v>
      </c>
      <c r="L512">
        <v>1.1000000000000001</v>
      </c>
      <c r="M512" t="s">
        <v>141</v>
      </c>
      <c r="N512" t="s">
        <v>141</v>
      </c>
      <c r="O512">
        <v>2</v>
      </c>
      <c r="Q512">
        <v>2</v>
      </c>
    </row>
    <row r="513" spans="1:18" x14ac:dyDescent="0.25">
      <c r="A513">
        <v>56</v>
      </c>
      <c r="B513" t="s">
        <v>591</v>
      </c>
      <c r="E513" t="s">
        <v>502</v>
      </c>
      <c r="F513">
        <v>3</v>
      </c>
      <c r="G513" s="3">
        <v>42915</v>
      </c>
      <c r="H513">
        <v>2.4</v>
      </c>
      <c r="I513">
        <v>1.8</v>
      </c>
      <c r="J513">
        <v>160</v>
      </c>
      <c r="K513">
        <v>120</v>
      </c>
      <c r="L513">
        <v>3.5</v>
      </c>
      <c r="M513">
        <v>3.17</v>
      </c>
      <c r="N513">
        <v>2.72</v>
      </c>
      <c r="O513">
        <v>3</v>
      </c>
      <c r="Q513">
        <v>3</v>
      </c>
    </row>
    <row r="514" spans="1:18" x14ac:dyDescent="0.25">
      <c r="A514">
        <v>57</v>
      </c>
      <c r="B514" t="s">
        <v>595</v>
      </c>
      <c r="E514" t="s">
        <v>502</v>
      </c>
      <c r="F514">
        <v>4</v>
      </c>
      <c r="G514" s="3">
        <v>42915</v>
      </c>
      <c r="H514">
        <v>3.2</v>
      </c>
      <c r="I514">
        <v>2.6</v>
      </c>
      <c r="J514">
        <v>275</v>
      </c>
      <c r="K514">
        <v>200</v>
      </c>
      <c r="L514">
        <v>3.66</v>
      </c>
      <c r="M514">
        <v>3.21</v>
      </c>
      <c r="N514">
        <v>3.09</v>
      </c>
      <c r="O514">
        <v>3</v>
      </c>
      <c r="Q514">
        <v>3</v>
      </c>
    </row>
    <row r="515" spans="1:18" x14ac:dyDescent="0.25">
      <c r="A515">
        <v>419</v>
      </c>
      <c r="B515" t="s">
        <v>1010</v>
      </c>
      <c r="E515" t="s">
        <v>502</v>
      </c>
      <c r="F515">
        <v>5</v>
      </c>
      <c r="G515" s="3">
        <v>42942</v>
      </c>
      <c r="H515">
        <v>14.6</v>
      </c>
      <c r="I515">
        <v>13.7</v>
      </c>
      <c r="J515">
        <v>530</v>
      </c>
      <c r="K515">
        <v>337</v>
      </c>
      <c r="L515">
        <v>8.11</v>
      </c>
      <c r="M515">
        <v>8.86</v>
      </c>
      <c r="N515">
        <v>8.57</v>
      </c>
      <c r="O515">
        <v>3</v>
      </c>
      <c r="Q515">
        <v>3</v>
      </c>
    </row>
    <row r="516" spans="1:18" x14ac:dyDescent="0.25">
      <c r="A516">
        <v>462</v>
      </c>
      <c r="B516" t="s">
        <v>1104</v>
      </c>
      <c r="D516" t="s">
        <v>1110</v>
      </c>
      <c r="E516" t="s">
        <v>502</v>
      </c>
      <c r="G516" s="3">
        <v>42950</v>
      </c>
      <c r="H516">
        <v>76</v>
      </c>
      <c r="I516" t="s">
        <v>1106</v>
      </c>
      <c r="J516">
        <v>1300</v>
      </c>
      <c r="K516">
        <v>340</v>
      </c>
      <c r="L516">
        <v>19.55</v>
      </c>
      <c r="M516">
        <v>10.82</v>
      </c>
      <c r="N516">
        <v>13.79</v>
      </c>
      <c r="O516">
        <v>5</v>
      </c>
      <c r="P516">
        <v>1372</v>
      </c>
      <c r="Q516">
        <v>5</v>
      </c>
      <c r="R516">
        <v>1372</v>
      </c>
    </row>
    <row r="517" spans="1:18" x14ac:dyDescent="0.25">
      <c r="A517">
        <v>91</v>
      </c>
      <c r="B517" t="s">
        <v>35</v>
      </c>
      <c r="E517" t="s">
        <v>356</v>
      </c>
      <c r="F517">
        <v>1</v>
      </c>
      <c r="G517" s="3">
        <v>42901</v>
      </c>
      <c r="H517">
        <v>1.5</v>
      </c>
      <c r="I517">
        <v>1.05</v>
      </c>
      <c r="J517">
        <v>150</v>
      </c>
      <c r="K517">
        <v>134</v>
      </c>
      <c r="L517">
        <v>0.76</v>
      </c>
      <c r="M517" t="s">
        <v>141</v>
      </c>
      <c r="N517" t="s">
        <v>141</v>
      </c>
      <c r="O517">
        <v>3</v>
      </c>
      <c r="Q517">
        <v>3</v>
      </c>
    </row>
    <row r="518" spans="1:18" x14ac:dyDescent="0.25">
      <c r="A518">
        <v>209</v>
      </c>
      <c r="B518" t="s">
        <v>442</v>
      </c>
      <c r="E518" t="s">
        <v>356</v>
      </c>
      <c r="F518">
        <v>2</v>
      </c>
      <c r="G518" s="3">
        <v>42906</v>
      </c>
      <c r="H518">
        <v>1.4</v>
      </c>
      <c r="I518">
        <v>0.93</v>
      </c>
      <c r="J518">
        <v>175</v>
      </c>
      <c r="K518">
        <v>80</v>
      </c>
      <c r="L518">
        <v>1.28</v>
      </c>
      <c r="M518" t="s">
        <v>141</v>
      </c>
      <c r="N518" t="s">
        <v>141</v>
      </c>
      <c r="O518">
        <v>4</v>
      </c>
      <c r="Q518">
        <v>4</v>
      </c>
    </row>
    <row r="519" spans="1:18" x14ac:dyDescent="0.25">
      <c r="A519">
        <v>210</v>
      </c>
      <c r="B519" t="s">
        <v>423</v>
      </c>
      <c r="E519" t="s">
        <v>356</v>
      </c>
      <c r="F519">
        <v>3</v>
      </c>
      <c r="G519" s="3">
        <v>42906</v>
      </c>
      <c r="H519">
        <v>1.33</v>
      </c>
      <c r="I519">
        <v>0.74</v>
      </c>
      <c r="J519">
        <v>140</v>
      </c>
      <c r="K519">
        <v>95</v>
      </c>
      <c r="L519">
        <v>1.31</v>
      </c>
      <c r="M519" t="s">
        <v>141</v>
      </c>
      <c r="N519" t="s">
        <v>141</v>
      </c>
      <c r="O519">
        <v>5</v>
      </c>
      <c r="Q519">
        <v>5</v>
      </c>
    </row>
    <row r="520" spans="1:18" x14ac:dyDescent="0.25">
      <c r="A520">
        <v>196</v>
      </c>
      <c r="B520" t="s">
        <v>458</v>
      </c>
      <c r="E520" t="s">
        <v>356</v>
      </c>
      <c r="F520">
        <v>4</v>
      </c>
      <c r="G520" s="3">
        <v>42906</v>
      </c>
      <c r="H520">
        <v>1.45</v>
      </c>
      <c r="I520">
        <v>0.49</v>
      </c>
      <c r="J520">
        <v>137</v>
      </c>
      <c r="K520">
        <v>105</v>
      </c>
      <c r="L520">
        <v>1.1000000000000001</v>
      </c>
      <c r="M520" t="s">
        <v>141</v>
      </c>
      <c r="N520" t="s">
        <v>141</v>
      </c>
      <c r="O520">
        <v>3</v>
      </c>
      <c r="Q520">
        <v>3</v>
      </c>
    </row>
    <row r="521" spans="1:18" x14ac:dyDescent="0.25">
      <c r="A521">
        <v>313</v>
      </c>
      <c r="B521" t="s">
        <v>752</v>
      </c>
      <c r="E521" t="s">
        <v>356</v>
      </c>
      <c r="F521">
        <v>5</v>
      </c>
      <c r="G521" s="3">
        <v>42921</v>
      </c>
      <c r="H521">
        <v>1.67</v>
      </c>
      <c r="I521">
        <v>1.23</v>
      </c>
      <c r="J521">
        <v>205</v>
      </c>
      <c r="K521">
        <v>140</v>
      </c>
      <c r="L521">
        <v>0.72</v>
      </c>
      <c r="M521" t="s">
        <v>141</v>
      </c>
      <c r="N521" t="s">
        <v>141</v>
      </c>
      <c r="O521">
        <v>3</v>
      </c>
      <c r="Q521">
        <v>3</v>
      </c>
    </row>
    <row r="522" spans="1:18" x14ac:dyDescent="0.25">
      <c r="A522">
        <v>105</v>
      </c>
      <c r="B522" t="s">
        <v>26</v>
      </c>
      <c r="E522" t="s">
        <v>353</v>
      </c>
      <c r="F522">
        <v>1</v>
      </c>
      <c r="G522" s="3">
        <v>42901</v>
      </c>
      <c r="H522">
        <v>11.3</v>
      </c>
      <c r="I522">
        <v>8.6</v>
      </c>
      <c r="J522">
        <v>520</v>
      </c>
      <c r="K522">
        <v>50</v>
      </c>
      <c r="L522">
        <v>8.93</v>
      </c>
      <c r="M522">
        <v>10.58</v>
      </c>
      <c r="N522">
        <v>10.07</v>
      </c>
      <c r="O522">
        <v>5</v>
      </c>
      <c r="Q522">
        <v>5</v>
      </c>
    </row>
    <row r="523" spans="1:18" x14ac:dyDescent="0.25">
      <c r="A523">
        <v>160</v>
      </c>
      <c r="B523" t="s">
        <v>128</v>
      </c>
      <c r="E523" t="s">
        <v>353</v>
      </c>
      <c r="F523">
        <v>2</v>
      </c>
      <c r="G523" s="3">
        <v>42900</v>
      </c>
      <c r="H523" t="s">
        <v>714</v>
      </c>
      <c r="I523" t="s">
        <v>722</v>
      </c>
      <c r="J523">
        <v>420</v>
      </c>
      <c r="K523">
        <v>20</v>
      </c>
      <c r="L523">
        <v>6.4</v>
      </c>
      <c r="M523">
        <v>6.81</v>
      </c>
      <c r="N523">
        <v>6.22</v>
      </c>
      <c r="O523">
        <v>5</v>
      </c>
      <c r="Q523">
        <v>5</v>
      </c>
    </row>
    <row r="524" spans="1:18" x14ac:dyDescent="0.25">
      <c r="A524">
        <v>254</v>
      </c>
      <c r="B524" t="s">
        <v>482</v>
      </c>
      <c r="E524" t="s">
        <v>353</v>
      </c>
      <c r="F524">
        <v>3</v>
      </c>
      <c r="G524" s="3">
        <v>42901</v>
      </c>
      <c r="H524">
        <v>7</v>
      </c>
      <c r="I524">
        <v>5.8</v>
      </c>
      <c r="J524">
        <v>450</v>
      </c>
      <c r="K524">
        <v>140</v>
      </c>
      <c r="L524">
        <v>6.8</v>
      </c>
      <c r="M524">
        <v>6.6</v>
      </c>
      <c r="N524">
        <v>6.14</v>
      </c>
      <c r="P524">
        <v>8355</v>
      </c>
      <c r="R524">
        <v>8355</v>
      </c>
    </row>
    <row r="525" spans="1:18" x14ac:dyDescent="0.25">
      <c r="A525">
        <v>297</v>
      </c>
      <c r="B525" t="s">
        <v>828</v>
      </c>
      <c r="E525" t="s">
        <v>353</v>
      </c>
      <c r="F525">
        <v>4</v>
      </c>
      <c r="G525" s="3">
        <v>42927</v>
      </c>
      <c r="H525">
        <v>7</v>
      </c>
      <c r="I525">
        <v>5.3</v>
      </c>
      <c r="J525">
        <v>340</v>
      </c>
      <c r="K525">
        <v>130</v>
      </c>
      <c r="L525">
        <v>6.3</v>
      </c>
      <c r="M525">
        <v>6.98</v>
      </c>
      <c r="N525">
        <v>7.95</v>
      </c>
      <c r="O525">
        <v>4</v>
      </c>
      <c r="Q525">
        <v>4</v>
      </c>
    </row>
    <row r="526" spans="1:18" x14ac:dyDescent="0.25">
      <c r="A526">
        <v>241</v>
      </c>
      <c r="B526" t="s">
        <v>1267</v>
      </c>
      <c r="C526" t="s">
        <v>72</v>
      </c>
      <c r="E526" t="s">
        <v>353</v>
      </c>
      <c r="F526">
        <v>6</v>
      </c>
      <c r="G526" s="3">
        <v>42896</v>
      </c>
      <c r="H526">
        <v>11.2</v>
      </c>
      <c r="I526" t="s">
        <v>791</v>
      </c>
      <c r="J526">
        <v>430</v>
      </c>
      <c r="K526">
        <v>158</v>
      </c>
      <c r="L526">
        <v>8.34</v>
      </c>
      <c r="M526">
        <v>9.7200000000000006</v>
      </c>
      <c r="N526">
        <v>8.7799999999999994</v>
      </c>
      <c r="O526">
        <v>4</v>
      </c>
      <c r="Q526">
        <v>4</v>
      </c>
    </row>
    <row r="527" spans="1:18" x14ac:dyDescent="0.25">
      <c r="A527">
        <v>255</v>
      </c>
      <c r="B527" t="s">
        <v>1272</v>
      </c>
      <c r="C527" t="s">
        <v>286</v>
      </c>
      <c r="E527" t="s">
        <v>353</v>
      </c>
      <c r="F527">
        <v>4</v>
      </c>
      <c r="G527" s="3">
        <v>42901</v>
      </c>
      <c r="H527">
        <v>6.3</v>
      </c>
      <c r="I527">
        <v>5</v>
      </c>
      <c r="J527">
        <v>450</v>
      </c>
      <c r="K527">
        <v>110</v>
      </c>
      <c r="L527">
        <v>8.02</v>
      </c>
      <c r="M527">
        <v>6.38</v>
      </c>
      <c r="N527">
        <v>7.01</v>
      </c>
      <c r="P527">
        <v>8340</v>
      </c>
      <c r="R527">
        <v>8340</v>
      </c>
    </row>
    <row r="528" spans="1:18" x14ac:dyDescent="0.25">
      <c r="A528">
        <v>496</v>
      </c>
      <c r="B528" t="s">
        <v>1142</v>
      </c>
      <c r="D528" t="s">
        <v>1110</v>
      </c>
      <c r="E528" t="s">
        <v>353</v>
      </c>
      <c r="G528" s="3">
        <v>42956</v>
      </c>
      <c r="H528">
        <v>35.5</v>
      </c>
      <c r="I528">
        <v>29.7</v>
      </c>
      <c r="J528">
        <v>820</v>
      </c>
      <c r="K528">
        <v>456</v>
      </c>
      <c r="L528">
        <v>22.41</v>
      </c>
      <c r="M528">
        <v>20.47</v>
      </c>
      <c r="N528">
        <v>22.56</v>
      </c>
      <c r="O528">
        <v>5</v>
      </c>
      <c r="P528" t="s">
        <v>1153</v>
      </c>
      <c r="Q528">
        <v>5</v>
      </c>
      <c r="R528" t="s">
        <v>1153</v>
      </c>
    </row>
    <row r="529" spans="1:18" x14ac:dyDescent="0.25">
      <c r="A529">
        <v>501</v>
      </c>
      <c r="B529" t="s">
        <v>1146</v>
      </c>
      <c r="D529" t="s">
        <v>1110</v>
      </c>
      <c r="E529" t="s">
        <v>353</v>
      </c>
      <c r="G529" s="3">
        <v>42956</v>
      </c>
      <c r="H529">
        <v>45.5</v>
      </c>
      <c r="I529">
        <v>47.5</v>
      </c>
      <c r="J529">
        <v>1050</v>
      </c>
      <c r="K529">
        <v>309</v>
      </c>
      <c r="L529">
        <v>21.09</v>
      </c>
      <c r="M529">
        <v>29.08</v>
      </c>
      <c r="N529">
        <v>30.06</v>
      </c>
      <c r="O529">
        <v>4</v>
      </c>
      <c r="P529" t="s">
        <v>1154</v>
      </c>
      <c r="Q529">
        <v>4</v>
      </c>
      <c r="R529" t="s">
        <v>1154</v>
      </c>
    </row>
    <row r="530" spans="1:18" x14ac:dyDescent="0.25">
      <c r="A530">
        <v>505</v>
      </c>
      <c r="B530" t="s">
        <v>1156</v>
      </c>
      <c r="D530" t="s">
        <v>1110</v>
      </c>
      <c r="E530" t="s">
        <v>353</v>
      </c>
      <c r="G530" s="3">
        <v>42957</v>
      </c>
      <c r="H530">
        <v>48.8</v>
      </c>
      <c r="I530">
        <v>45.5</v>
      </c>
      <c r="J530" t="s">
        <v>141</v>
      </c>
      <c r="K530" t="s">
        <v>141</v>
      </c>
      <c r="L530">
        <v>28.48</v>
      </c>
      <c r="M530">
        <v>29.06</v>
      </c>
      <c r="N530">
        <v>31.25</v>
      </c>
      <c r="O530">
        <v>4</v>
      </c>
      <c r="Q530">
        <v>4</v>
      </c>
    </row>
    <row r="531" spans="1:18" x14ac:dyDescent="0.25">
      <c r="A531">
        <v>506</v>
      </c>
      <c r="B531" t="s">
        <v>1157</v>
      </c>
      <c r="D531" t="s">
        <v>1110</v>
      </c>
      <c r="E531" t="s">
        <v>353</v>
      </c>
      <c r="G531" s="3">
        <v>42957</v>
      </c>
      <c r="H531">
        <v>26.5</v>
      </c>
      <c r="I531">
        <v>25.6</v>
      </c>
      <c r="J531" t="s">
        <v>141</v>
      </c>
      <c r="K531" t="s">
        <v>141</v>
      </c>
      <c r="L531">
        <v>21.12</v>
      </c>
      <c r="M531">
        <v>21.43</v>
      </c>
      <c r="N531">
        <v>21.98</v>
      </c>
      <c r="O531">
        <v>4</v>
      </c>
      <c r="P531" t="s">
        <v>1153</v>
      </c>
      <c r="Q531">
        <v>4</v>
      </c>
      <c r="R531" t="s">
        <v>1153</v>
      </c>
    </row>
    <row r="532" spans="1:18" x14ac:dyDescent="0.25">
      <c r="A532">
        <v>516</v>
      </c>
      <c r="B532" t="s">
        <v>1167</v>
      </c>
      <c r="D532" t="s">
        <v>1110</v>
      </c>
      <c r="E532" t="s">
        <v>353</v>
      </c>
      <c r="G532" s="3">
        <v>42957</v>
      </c>
      <c r="H532">
        <v>56</v>
      </c>
      <c r="I532">
        <v>53.4</v>
      </c>
      <c r="J532" t="s">
        <v>141</v>
      </c>
      <c r="K532" t="s">
        <v>141</v>
      </c>
      <c r="L532">
        <v>26.93</v>
      </c>
      <c r="M532">
        <v>32.61</v>
      </c>
      <c r="N532">
        <v>27.91</v>
      </c>
      <c r="O532">
        <v>5</v>
      </c>
      <c r="P532">
        <v>2016</v>
      </c>
      <c r="Q532">
        <v>5</v>
      </c>
      <c r="R532">
        <v>2016</v>
      </c>
    </row>
    <row r="533" spans="1:18" x14ac:dyDescent="0.25">
      <c r="A533">
        <v>534</v>
      </c>
      <c r="B533" t="s">
        <v>1194</v>
      </c>
      <c r="D533" t="s">
        <v>1110</v>
      </c>
      <c r="E533" t="s">
        <v>353</v>
      </c>
      <c r="G533" s="3">
        <v>42957</v>
      </c>
      <c r="H533">
        <v>18</v>
      </c>
      <c r="I533">
        <v>16.100000000000001</v>
      </c>
      <c r="J533" t="s">
        <v>141</v>
      </c>
      <c r="K533" t="s">
        <v>141</v>
      </c>
      <c r="L533">
        <v>13.59</v>
      </c>
      <c r="M533">
        <v>14.14</v>
      </c>
      <c r="N533">
        <v>13.37</v>
      </c>
      <c r="O533">
        <v>4</v>
      </c>
      <c r="P533" t="s">
        <v>1181</v>
      </c>
      <c r="Q533">
        <v>4</v>
      </c>
      <c r="R533" t="s">
        <v>1181</v>
      </c>
    </row>
    <row r="534" spans="1:18" x14ac:dyDescent="0.25">
      <c r="A534">
        <v>543</v>
      </c>
      <c r="B534" t="s">
        <v>1192</v>
      </c>
      <c r="D534" t="s">
        <v>1110</v>
      </c>
      <c r="E534" t="s">
        <v>353</v>
      </c>
      <c r="G534" s="3">
        <v>42957</v>
      </c>
      <c r="H534">
        <v>26.8</v>
      </c>
      <c r="I534">
        <v>22.4</v>
      </c>
      <c r="J534" t="s">
        <v>141</v>
      </c>
      <c r="K534" t="s">
        <v>141</v>
      </c>
      <c r="L534">
        <v>16.690000000000001</v>
      </c>
      <c r="M534">
        <v>19.88</v>
      </c>
      <c r="N534">
        <v>16.22</v>
      </c>
      <c r="O534">
        <v>3</v>
      </c>
      <c r="P534" t="s">
        <v>1181</v>
      </c>
      <c r="Q534">
        <v>3</v>
      </c>
      <c r="R534" t="s">
        <v>1181</v>
      </c>
    </row>
    <row r="535" spans="1:18" x14ac:dyDescent="0.25">
      <c r="A535">
        <v>544</v>
      </c>
      <c r="B535" t="s">
        <v>1193</v>
      </c>
      <c r="D535" t="s">
        <v>1110</v>
      </c>
      <c r="E535" t="s">
        <v>353</v>
      </c>
      <c r="G535" s="3">
        <v>42957</v>
      </c>
      <c r="H535">
        <v>15.2</v>
      </c>
      <c r="I535">
        <v>14</v>
      </c>
      <c r="J535" t="s">
        <v>141</v>
      </c>
      <c r="K535" t="s">
        <v>141</v>
      </c>
      <c r="L535">
        <v>16.64</v>
      </c>
      <c r="M535">
        <v>21.09</v>
      </c>
      <c r="N535">
        <v>17.649999999999999</v>
      </c>
      <c r="O535">
        <v>3</v>
      </c>
      <c r="P535" t="s">
        <v>1181</v>
      </c>
      <c r="Q535">
        <v>3</v>
      </c>
      <c r="R535" t="s">
        <v>1181</v>
      </c>
    </row>
    <row r="536" spans="1:18" x14ac:dyDescent="0.25">
      <c r="A536">
        <v>153</v>
      </c>
      <c r="B536" t="s">
        <v>82</v>
      </c>
      <c r="E536" t="s">
        <v>365</v>
      </c>
      <c r="F536">
        <v>1</v>
      </c>
      <c r="G536" s="3">
        <v>42900</v>
      </c>
      <c r="H536">
        <v>2.1800000000000002</v>
      </c>
      <c r="I536" t="s">
        <v>141</v>
      </c>
      <c r="J536">
        <v>115</v>
      </c>
      <c r="K536">
        <v>50</v>
      </c>
      <c r="L536">
        <v>2.0699999999999998</v>
      </c>
      <c r="M536">
        <v>1.96</v>
      </c>
      <c r="N536">
        <v>1.89</v>
      </c>
      <c r="O536">
        <v>5</v>
      </c>
      <c r="Q536">
        <v>5</v>
      </c>
    </row>
    <row r="537" spans="1:18" x14ac:dyDescent="0.25">
      <c r="A537">
        <v>28</v>
      </c>
      <c r="B537" t="s">
        <v>531</v>
      </c>
      <c r="E537" t="s">
        <v>365</v>
      </c>
      <c r="F537">
        <v>2</v>
      </c>
      <c r="G537" s="3">
        <v>42909</v>
      </c>
      <c r="H537">
        <v>0.9</v>
      </c>
      <c r="I537" t="s">
        <v>141</v>
      </c>
      <c r="J537">
        <v>120</v>
      </c>
      <c r="K537">
        <v>100</v>
      </c>
      <c r="L537">
        <v>0.7</v>
      </c>
      <c r="M537" t="s">
        <v>141</v>
      </c>
      <c r="N537" t="s">
        <v>141</v>
      </c>
      <c r="O537">
        <v>3</v>
      </c>
      <c r="Q537">
        <v>3</v>
      </c>
    </row>
    <row r="538" spans="1:18" x14ac:dyDescent="0.25">
      <c r="A538">
        <v>66</v>
      </c>
      <c r="B538" t="s">
        <v>599</v>
      </c>
      <c r="E538" t="s">
        <v>365</v>
      </c>
      <c r="F538">
        <v>3</v>
      </c>
      <c r="G538" s="3">
        <v>42915</v>
      </c>
      <c r="H538">
        <v>2</v>
      </c>
      <c r="I538">
        <v>1.2</v>
      </c>
      <c r="J538">
        <v>150</v>
      </c>
      <c r="K538">
        <v>30</v>
      </c>
      <c r="L538">
        <v>1.78</v>
      </c>
      <c r="M538">
        <v>2.48</v>
      </c>
      <c r="N538">
        <v>1.91</v>
      </c>
      <c r="O538">
        <v>2</v>
      </c>
      <c r="Q538">
        <v>2</v>
      </c>
    </row>
    <row r="539" spans="1:18" x14ac:dyDescent="0.25">
      <c r="A539">
        <v>459</v>
      </c>
      <c r="B539" t="s">
        <v>1069</v>
      </c>
      <c r="E539" t="s">
        <v>365</v>
      </c>
      <c r="F539">
        <v>4</v>
      </c>
      <c r="G539" s="3">
        <v>42950</v>
      </c>
      <c r="H539">
        <v>18</v>
      </c>
      <c r="I539">
        <v>15.6</v>
      </c>
      <c r="J539">
        <v>1400</v>
      </c>
      <c r="K539">
        <v>724</v>
      </c>
      <c r="L539">
        <v>4.78</v>
      </c>
      <c r="M539">
        <v>3.8</v>
      </c>
      <c r="N539">
        <v>4.0199999999999996</v>
      </c>
      <c r="O539">
        <v>4</v>
      </c>
      <c r="Q539">
        <v>4</v>
      </c>
    </row>
    <row r="540" spans="1:18" x14ac:dyDescent="0.25">
      <c r="A540">
        <v>467</v>
      </c>
      <c r="B540" t="s">
        <v>1076</v>
      </c>
      <c r="E540" t="s">
        <v>365</v>
      </c>
      <c r="F540">
        <v>5</v>
      </c>
      <c r="G540" s="3">
        <v>42950</v>
      </c>
      <c r="H540">
        <v>12</v>
      </c>
      <c r="I540">
        <v>10.1</v>
      </c>
      <c r="J540">
        <v>910</v>
      </c>
      <c r="K540">
        <v>415</v>
      </c>
      <c r="L540">
        <v>4.5</v>
      </c>
      <c r="M540">
        <v>4.33</v>
      </c>
      <c r="N540">
        <v>2.65</v>
      </c>
      <c r="O540">
        <v>4</v>
      </c>
      <c r="P540">
        <v>2058</v>
      </c>
      <c r="Q540">
        <v>4</v>
      </c>
      <c r="R540">
        <v>2058</v>
      </c>
    </row>
    <row r="541" spans="1:18" x14ac:dyDescent="0.25">
      <c r="A541">
        <v>41</v>
      </c>
      <c r="B541" t="s">
        <v>627</v>
      </c>
      <c r="E541" t="s">
        <v>394</v>
      </c>
      <c r="F541">
        <v>2</v>
      </c>
      <c r="G541" s="3">
        <v>42915</v>
      </c>
      <c r="H541">
        <v>1.78</v>
      </c>
      <c r="I541" t="s">
        <v>141</v>
      </c>
      <c r="J541">
        <v>120</v>
      </c>
      <c r="K541">
        <v>20</v>
      </c>
      <c r="L541">
        <v>4.57</v>
      </c>
      <c r="M541" t="s">
        <v>141</v>
      </c>
      <c r="N541" t="s">
        <v>141</v>
      </c>
      <c r="O541">
        <v>4</v>
      </c>
      <c r="Q541">
        <v>4</v>
      </c>
    </row>
    <row r="542" spans="1:18" x14ac:dyDescent="0.25">
      <c r="A542">
        <v>51</v>
      </c>
      <c r="B542" t="s">
        <v>614</v>
      </c>
      <c r="E542" t="s">
        <v>394</v>
      </c>
      <c r="F542">
        <v>3</v>
      </c>
      <c r="G542" s="3">
        <v>42915</v>
      </c>
      <c r="H542">
        <v>2.8</v>
      </c>
      <c r="I542" t="s">
        <v>648</v>
      </c>
      <c r="J542">
        <v>240</v>
      </c>
      <c r="K542">
        <v>130</v>
      </c>
      <c r="L542">
        <v>3.58</v>
      </c>
      <c r="M542">
        <v>4.0599999999999996</v>
      </c>
      <c r="N542">
        <v>4.0599999999999996</v>
      </c>
      <c r="O542">
        <v>4</v>
      </c>
      <c r="Q542">
        <v>4</v>
      </c>
    </row>
    <row r="543" spans="1:18" x14ac:dyDescent="0.25">
      <c r="A543">
        <v>408</v>
      </c>
      <c r="B543" t="s">
        <v>898</v>
      </c>
      <c r="E543" t="s">
        <v>394</v>
      </c>
      <c r="F543">
        <v>4</v>
      </c>
      <c r="G543" s="3">
        <v>42934</v>
      </c>
      <c r="H543">
        <v>1.1599999999999999</v>
      </c>
      <c r="I543" t="s">
        <v>141</v>
      </c>
      <c r="J543">
        <v>110</v>
      </c>
      <c r="K543">
        <v>20</v>
      </c>
      <c r="L543">
        <v>1.18</v>
      </c>
      <c r="M543" t="s">
        <v>141</v>
      </c>
      <c r="N543" t="s">
        <v>141</v>
      </c>
      <c r="O543">
        <v>4</v>
      </c>
      <c r="Q543">
        <v>4</v>
      </c>
    </row>
    <row r="544" spans="1:18" x14ac:dyDescent="0.25">
      <c r="A544">
        <v>472</v>
      </c>
      <c r="B544" t="s">
        <v>1078</v>
      </c>
      <c r="E544" t="s">
        <v>394</v>
      </c>
      <c r="F544">
        <v>5</v>
      </c>
      <c r="G544" s="3">
        <v>42950</v>
      </c>
      <c r="H544">
        <v>1.26</v>
      </c>
      <c r="I544">
        <v>0.69</v>
      </c>
      <c r="J544">
        <v>190</v>
      </c>
      <c r="K544">
        <v>20</v>
      </c>
      <c r="L544">
        <v>2.06</v>
      </c>
      <c r="M544" t="s">
        <v>141</v>
      </c>
      <c r="N544" t="s">
        <v>141</v>
      </c>
      <c r="O544">
        <v>4</v>
      </c>
      <c r="Q544">
        <v>4</v>
      </c>
    </row>
    <row r="545" spans="1:18" x14ac:dyDescent="0.25">
      <c r="A545">
        <v>274</v>
      </c>
      <c r="B545" t="s">
        <v>1273</v>
      </c>
      <c r="C545" t="s">
        <v>263</v>
      </c>
      <c r="E545" t="s">
        <v>394</v>
      </c>
      <c r="F545">
        <v>1</v>
      </c>
      <c r="G545" s="3">
        <v>42901</v>
      </c>
      <c r="H545">
        <v>4.5999999999999996</v>
      </c>
      <c r="I545">
        <v>4.0999999999999996</v>
      </c>
      <c r="J545">
        <v>280</v>
      </c>
      <c r="K545">
        <v>110</v>
      </c>
      <c r="L545">
        <v>6.4</v>
      </c>
      <c r="M545">
        <v>7.08</v>
      </c>
      <c r="N545">
        <v>9.31</v>
      </c>
      <c r="O545" t="s">
        <v>141</v>
      </c>
      <c r="P545">
        <v>1197</v>
      </c>
      <c r="R545">
        <v>1197</v>
      </c>
    </row>
    <row r="546" spans="1:18" x14ac:dyDescent="0.25">
      <c r="A546">
        <v>546</v>
      </c>
      <c r="B546" t="s">
        <v>1283</v>
      </c>
      <c r="D546" t="s">
        <v>1110</v>
      </c>
      <c r="E546" t="s">
        <v>366</v>
      </c>
      <c r="F546">
        <v>1</v>
      </c>
      <c r="G546" s="2">
        <v>43255</v>
      </c>
      <c r="H546">
        <v>3.6</v>
      </c>
      <c r="I546">
        <v>2.1</v>
      </c>
      <c r="J546">
        <v>266</v>
      </c>
      <c r="K546">
        <v>180</v>
      </c>
      <c r="L546" t="s">
        <v>141</v>
      </c>
      <c r="M546" t="s">
        <v>141</v>
      </c>
      <c r="N546" t="s">
        <v>141</v>
      </c>
      <c r="O546">
        <v>4</v>
      </c>
    </row>
    <row r="547" spans="1:18" x14ac:dyDescent="0.25">
      <c r="A547">
        <v>547</v>
      </c>
      <c r="B547" t="s">
        <v>1285</v>
      </c>
      <c r="D547" t="s">
        <v>1110</v>
      </c>
      <c r="E547" t="s">
        <v>366</v>
      </c>
      <c r="F547">
        <v>2</v>
      </c>
      <c r="G547" s="2">
        <v>43255</v>
      </c>
      <c r="H547">
        <v>3.7</v>
      </c>
      <c r="I547">
        <v>3.2</v>
      </c>
      <c r="J547">
        <v>302</v>
      </c>
      <c r="K547">
        <v>129</v>
      </c>
      <c r="L547" t="s">
        <v>141</v>
      </c>
      <c r="M547" t="s">
        <v>141</v>
      </c>
      <c r="N547" t="s">
        <v>141</v>
      </c>
      <c r="O547">
        <v>4</v>
      </c>
    </row>
    <row r="548" spans="1:18" x14ac:dyDescent="0.25">
      <c r="A548">
        <v>548</v>
      </c>
      <c r="B548" t="s">
        <v>1286</v>
      </c>
      <c r="D548" t="s">
        <v>1110</v>
      </c>
      <c r="E548" t="s">
        <v>366</v>
      </c>
      <c r="F548">
        <v>3</v>
      </c>
      <c r="G548" s="2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141</v>
      </c>
      <c r="M548" t="s">
        <v>141</v>
      </c>
      <c r="N548" t="s">
        <v>141</v>
      </c>
      <c r="O548">
        <v>4</v>
      </c>
    </row>
    <row r="549" spans="1:18" x14ac:dyDescent="0.25">
      <c r="A549">
        <v>549</v>
      </c>
      <c r="B549" t="s">
        <v>1287</v>
      </c>
      <c r="D549" t="s">
        <v>1110</v>
      </c>
      <c r="E549" t="s">
        <v>366</v>
      </c>
      <c r="F549">
        <v>4</v>
      </c>
      <c r="G549" s="2">
        <v>43255</v>
      </c>
      <c r="H549">
        <v>3.4</v>
      </c>
      <c r="I549">
        <v>2</v>
      </c>
      <c r="J549">
        <v>248</v>
      </c>
      <c r="K549">
        <v>182</v>
      </c>
      <c r="L549" t="s">
        <v>141</v>
      </c>
      <c r="M549" t="s">
        <v>141</v>
      </c>
      <c r="N549" t="s">
        <v>141</v>
      </c>
      <c r="O549">
        <v>5</v>
      </c>
    </row>
    <row r="550" spans="1:18" x14ac:dyDescent="0.25">
      <c r="A550">
        <v>550</v>
      </c>
      <c r="B550" t="s">
        <v>1288</v>
      </c>
      <c r="D550" t="s">
        <v>1110</v>
      </c>
      <c r="E550" t="s">
        <v>366</v>
      </c>
      <c r="F550">
        <v>5</v>
      </c>
      <c r="G550" s="2">
        <v>43255</v>
      </c>
      <c r="H550">
        <v>2</v>
      </c>
      <c r="I550">
        <v>2.7</v>
      </c>
      <c r="J550">
        <v>167</v>
      </c>
      <c r="K550">
        <v>72</v>
      </c>
      <c r="L550" t="s">
        <v>141</v>
      </c>
      <c r="M550" t="s">
        <v>141</v>
      </c>
      <c r="N550" t="s">
        <v>141</v>
      </c>
      <c r="O550">
        <v>5</v>
      </c>
    </row>
    <row r="551" spans="1:18" x14ac:dyDescent="0.25">
      <c r="A551">
        <v>551</v>
      </c>
      <c r="B551" t="s">
        <v>1289</v>
      </c>
      <c r="D551" t="s">
        <v>1110</v>
      </c>
      <c r="E551" t="s">
        <v>366</v>
      </c>
      <c r="F551">
        <v>6</v>
      </c>
      <c r="G551" s="2">
        <v>43270</v>
      </c>
      <c r="H551">
        <v>4.7</v>
      </c>
      <c r="I551">
        <v>3.5</v>
      </c>
      <c r="J551">
        <v>300</v>
      </c>
      <c r="K551">
        <v>140</v>
      </c>
      <c r="L551" t="s">
        <v>141</v>
      </c>
      <c r="M551" t="s">
        <v>141</v>
      </c>
      <c r="N551" t="s">
        <v>141</v>
      </c>
      <c r="O551">
        <v>4</v>
      </c>
    </row>
    <row r="552" spans="1:18" x14ac:dyDescent="0.25">
      <c r="A552">
        <v>552</v>
      </c>
      <c r="B552" t="s">
        <v>1290</v>
      </c>
      <c r="D552" t="s">
        <v>1110</v>
      </c>
      <c r="E552" t="s">
        <v>430</v>
      </c>
      <c r="F552">
        <v>1</v>
      </c>
      <c r="G552" s="2">
        <v>43276</v>
      </c>
      <c r="H552">
        <v>8.8000000000000007</v>
      </c>
      <c r="I552" t="s">
        <v>1589</v>
      </c>
      <c r="J552">
        <v>517</v>
      </c>
      <c r="K552">
        <v>90</v>
      </c>
      <c r="L552">
        <v>4.05</v>
      </c>
      <c r="M552">
        <v>3.21</v>
      </c>
      <c r="N552">
        <v>4.46</v>
      </c>
      <c r="O552">
        <v>3</v>
      </c>
    </row>
    <row r="553" spans="1:18" x14ac:dyDescent="0.25">
      <c r="A553">
        <v>553</v>
      </c>
      <c r="B553" t="s">
        <v>1292</v>
      </c>
      <c r="D553" t="s">
        <v>1110</v>
      </c>
      <c r="E553" t="s">
        <v>430</v>
      </c>
      <c r="F553">
        <v>2</v>
      </c>
      <c r="G553" s="2">
        <v>43292</v>
      </c>
      <c r="H553">
        <v>4.5</v>
      </c>
      <c r="I553" t="s">
        <v>1590</v>
      </c>
      <c r="J553">
        <v>485</v>
      </c>
      <c r="K553">
        <v>197</v>
      </c>
      <c r="L553">
        <v>2.93</v>
      </c>
      <c r="M553">
        <v>2.31</v>
      </c>
      <c r="N553">
        <v>2.46</v>
      </c>
      <c r="O553">
        <v>3</v>
      </c>
    </row>
    <row r="554" spans="1:18" x14ac:dyDescent="0.25">
      <c r="A554">
        <v>554</v>
      </c>
      <c r="B554" t="s">
        <v>1293</v>
      </c>
      <c r="D554" t="s">
        <v>1110</v>
      </c>
      <c r="E554" t="s">
        <v>430</v>
      </c>
      <c r="F554">
        <v>3</v>
      </c>
      <c r="G554" s="2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O554">
        <v>3</v>
      </c>
    </row>
    <row r="555" spans="1:18" x14ac:dyDescent="0.25">
      <c r="A555">
        <v>555</v>
      </c>
      <c r="B555" t="s">
        <v>1294</v>
      </c>
      <c r="D555" t="s">
        <v>1110</v>
      </c>
      <c r="E555" t="s">
        <v>430</v>
      </c>
      <c r="F555">
        <v>4</v>
      </c>
      <c r="G555" s="2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O555">
        <v>3</v>
      </c>
    </row>
    <row r="556" spans="1:18" x14ac:dyDescent="0.25">
      <c r="A556">
        <v>556</v>
      </c>
      <c r="B556" t="s">
        <v>1295</v>
      </c>
      <c r="D556" t="s">
        <v>1110</v>
      </c>
      <c r="E556" t="s">
        <v>430</v>
      </c>
      <c r="F556">
        <v>5</v>
      </c>
      <c r="G556" s="2">
        <v>43292</v>
      </c>
      <c r="H556">
        <v>7.8</v>
      </c>
      <c r="I556" t="s">
        <v>1591</v>
      </c>
      <c r="J556">
        <v>504</v>
      </c>
      <c r="K556">
        <v>160</v>
      </c>
      <c r="L556">
        <v>3.08</v>
      </c>
      <c r="M556">
        <v>3.58</v>
      </c>
      <c r="N556">
        <v>5.35</v>
      </c>
      <c r="O556">
        <v>4</v>
      </c>
    </row>
    <row r="557" spans="1:18" x14ac:dyDescent="0.25">
      <c r="A557">
        <v>557</v>
      </c>
      <c r="B557" t="s">
        <v>1296</v>
      </c>
      <c r="D557" t="s">
        <v>1110</v>
      </c>
      <c r="E557" t="s">
        <v>393</v>
      </c>
      <c r="F557">
        <v>1</v>
      </c>
      <c r="G557" s="2">
        <v>43271</v>
      </c>
      <c r="H557">
        <v>11.8</v>
      </c>
      <c r="I557">
        <v>10.4</v>
      </c>
      <c r="J557">
        <v>464</v>
      </c>
      <c r="K557">
        <v>170</v>
      </c>
      <c r="L557" t="s">
        <v>141</v>
      </c>
      <c r="M557" t="s">
        <v>141</v>
      </c>
      <c r="N557" t="s">
        <v>141</v>
      </c>
      <c r="O557">
        <v>5</v>
      </c>
    </row>
    <row r="558" spans="1:18" x14ac:dyDescent="0.25">
      <c r="A558">
        <v>558</v>
      </c>
      <c r="B558" t="s">
        <v>1297</v>
      </c>
      <c r="D558" t="s">
        <v>1110</v>
      </c>
      <c r="E558" t="s">
        <v>393</v>
      </c>
      <c r="F558">
        <v>2</v>
      </c>
      <c r="G558" s="2">
        <v>43271</v>
      </c>
      <c r="H558">
        <v>15</v>
      </c>
      <c r="I558">
        <v>12.5</v>
      </c>
      <c r="J558">
        <v>542</v>
      </c>
      <c r="K558">
        <v>240</v>
      </c>
      <c r="L558" t="s">
        <v>141</v>
      </c>
      <c r="M558" t="s">
        <v>141</v>
      </c>
      <c r="N558" t="s">
        <v>141</v>
      </c>
      <c r="O558">
        <v>5</v>
      </c>
    </row>
    <row r="559" spans="1:18" x14ac:dyDescent="0.25">
      <c r="A559">
        <v>559</v>
      </c>
      <c r="B559" t="s">
        <v>1298</v>
      </c>
      <c r="D559" t="s">
        <v>1110</v>
      </c>
      <c r="E559" t="s">
        <v>393</v>
      </c>
      <c r="F559">
        <v>3</v>
      </c>
      <c r="G559" s="2">
        <v>43272</v>
      </c>
      <c r="H559">
        <v>9.9</v>
      </c>
      <c r="I559">
        <v>8</v>
      </c>
      <c r="J559">
        <v>444</v>
      </c>
      <c r="K559">
        <v>40</v>
      </c>
      <c r="L559" t="s">
        <v>141</v>
      </c>
      <c r="M559" t="s">
        <v>141</v>
      </c>
      <c r="N559" t="s">
        <v>141</v>
      </c>
      <c r="O559">
        <v>4</v>
      </c>
    </row>
    <row r="560" spans="1:18" x14ac:dyDescent="0.25">
      <c r="A560">
        <v>560</v>
      </c>
      <c r="B560" t="s">
        <v>1299</v>
      </c>
      <c r="D560" t="s">
        <v>1110</v>
      </c>
      <c r="E560" t="s">
        <v>393</v>
      </c>
      <c r="F560">
        <v>4</v>
      </c>
      <c r="G560" s="2">
        <v>43270</v>
      </c>
      <c r="H560">
        <v>17.2</v>
      </c>
      <c r="I560">
        <v>16.2</v>
      </c>
      <c r="J560">
        <v>539</v>
      </c>
      <c r="K560">
        <v>130</v>
      </c>
      <c r="L560" t="s">
        <v>141</v>
      </c>
      <c r="M560" t="s">
        <v>141</v>
      </c>
      <c r="N560" t="s">
        <v>141</v>
      </c>
      <c r="O560">
        <v>5</v>
      </c>
    </row>
    <row r="561" spans="1:15" x14ac:dyDescent="0.25">
      <c r="A561">
        <v>561</v>
      </c>
      <c r="B561" t="s">
        <v>1300</v>
      </c>
      <c r="D561" t="s">
        <v>1110</v>
      </c>
      <c r="E561" t="s">
        <v>393</v>
      </c>
      <c r="F561">
        <v>5</v>
      </c>
      <c r="G561" s="2">
        <v>43270</v>
      </c>
      <c r="H561">
        <v>14.6</v>
      </c>
      <c r="I561">
        <v>13.8</v>
      </c>
      <c r="J561">
        <v>404</v>
      </c>
      <c r="K561">
        <v>130</v>
      </c>
      <c r="L561" t="s">
        <v>141</v>
      </c>
      <c r="M561" t="s">
        <v>141</v>
      </c>
      <c r="N561" t="s">
        <v>141</v>
      </c>
      <c r="O561">
        <v>5</v>
      </c>
    </row>
    <row r="562" spans="1:15" x14ac:dyDescent="0.25">
      <c r="A562">
        <v>562</v>
      </c>
      <c r="B562" t="s">
        <v>1301</v>
      </c>
      <c r="D562" t="s">
        <v>1110</v>
      </c>
      <c r="E562" t="s">
        <v>920</v>
      </c>
      <c r="F562">
        <v>1</v>
      </c>
      <c r="G562" s="2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O562">
        <v>4</v>
      </c>
    </row>
    <row r="563" spans="1:15" x14ac:dyDescent="0.25">
      <c r="A563">
        <v>563</v>
      </c>
      <c r="B563" t="s">
        <v>1302</v>
      </c>
      <c r="D563" t="s">
        <v>1110</v>
      </c>
      <c r="E563" t="s">
        <v>920</v>
      </c>
      <c r="F563">
        <v>10</v>
      </c>
      <c r="G563" s="2">
        <v>43292</v>
      </c>
      <c r="H563">
        <v>16.7</v>
      </c>
      <c r="I563">
        <v>15.7</v>
      </c>
      <c r="J563">
        <v>617</v>
      </c>
      <c r="K563">
        <v>467</v>
      </c>
      <c r="L563" t="s">
        <v>141</v>
      </c>
      <c r="M563" t="s">
        <v>141</v>
      </c>
      <c r="N563" t="s">
        <v>141</v>
      </c>
      <c r="O563">
        <v>4</v>
      </c>
    </row>
    <row r="564" spans="1:15" x14ac:dyDescent="0.25">
      <c r="A564">
        <v>564</v>
      </c>
      <c r="B564" t="s">
        <v>1304</v>
      </c>
      <c r="D564" t="s">
        <v>1110</v>
      </c>
      <c r="E564" t="s">
        <v>920</v>
      </c>
      <c r="F564">
        <v>2</v>
      </c>
      <c r="G564" s="2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O564">
        <v>4</v>
      </c>
    </row>
    <row r="565" spans="1:15" x14ac:dyDescent="0.25">
      <c r="A565">
        <v>565</v>
      </c>
      <c r="B565" t="s">
        <v>1305</v>
      </c>
      <c r="D565" t="s">
        <v>1110</v>
      </c>
      <c r="E565" t="s">
        <v>920</v>
      </c>
      <c r="F565">
        <v>3</v>
      </c>
      <c r="G565" s="2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O565">
        <v>4</v>
      </c>
    </row>
    <row r="566" spans="1:15" x14ac:dyDescent="0.25">
      <c r="A566">
        <v>566</v>
      </c>
      <c r="B566" t="s">
        <v>1306</v>
      </c>
      <c r="D566" t="s">
        <v>1110</v>
      </c>
      <c r="E566" t="s">
        <v>920</v>
      </c>
      <c r="F566">
        <v>4</v>
      </c>
      <c r="G566" s="2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O566">
        <v>4</v>
      </c>
    </row>
    <row r="567" spans="1:15" x14ac:dyDescent="0.25">
      <c r="A567">
        <v>567</v>
      </c>
      <c r="B567" t="s">
        <v>1307</v>
      </c>
      <c r="D567" t="s">
        <v>1110</v>
      </c>
      <c r="E567" t="s">
        <v>920</v>
      </c>
      <c r="F567">
        <v>5</v>
      </c>
      <c r="G567" s="2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O567">
        <v>4</v>
      </c>
    </row>
    <row r="568" spans="1:15" x14ac:dyDescent="0.25">
      <c r="A568">
        <v>568</v>
      </c>
      <c r="B568" t="s">
        <v>1308</v>
      </c>
      <c r="D568" t="s">
        <v>1110</v>
      </c>
      <c r="E568" t="s">
        <v>920</v>
      </c>
      <c r="F568">
        <v>6</v>
      </c>
      <c r="G568" s="2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O568">
        <v>4</v>
      </c>
    </row>
    <row r="569" spans="1:15" x14ac:dyDescent="0.25">
      <c r="A569">
        <v>569</v>
      </c>
      <c r="B569" t="s">
        <v>1310</v>
      </c>
      <c r="D569" t="s">
        <v>1110</v>
      </c>
      <c r="E569" t="s">
        <v>920</v>
      </c>
      <c r="F569">
        <v>7</v>
      </c>
      <c r="G569" s="2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O569">
        <v>5</v>
      </c>
    </row>
    <row r="570" spans="1:15" x14ac:dyDescent="0.25">
      <c r="A570">
        <v>570</v>
      </c>
      <c r="B570" t="s">
        <v>1312</v>
      </c>
      <c r="D570" t="s">
        <v>1110</v>
      </c>
      <c r="E570" t="s">
        <v>920</v>
      </c>
      <c r="F570">
        <v>8</v>
      </c>
      <c r="G570" s="2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O570">
        <v>4</v>
      </c>
    </row>
    <row r="571" spans="1:15" x14ac:dyDescent="0.25">
      <c r="A571">
        <v>571</v>
      </c>
      <c r="B571" t="s">
        <v>1314</v>
      </c>
      <c r="D571" t="s">
        <v>1110</v>
      </c>
      <c r="E571" t="s">
        <v>920</v>
      </c>
      <c r="F571">
        <v>9</v>
      </c>
      <c r="G571" s="2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O571">
        <v>4</v>
      </c>
    </row>
    <row r="572" spans="1:15" x14ac:dyDescent="0.25">
      <c r="A572">
        <v>572</v>
      </c>
      <c r="B572" t="s">
        <v>1316</v>
      </c>
      <c r="D572" t="s">
        <v>1110</v>
      </c>
      <c r="E572" t="s">
        <v>382</v>
      </c>
      <c r="F572">
        <v>1</v>
      </c>
      <c r="G572" s="2">
        <v>43289</v>
      </c>
      <c r="H572">
        <v>2</v>
      </c>
      <c r="I572" t="s">
        <v>1592</v>
      </c>
      <c r="J572">
        <v>211</v>
      </c>
      <c r="K572">
        <v>126</v>
      </c>
      <c r="L572">
        <v>1.75</v>
      </c>
      <c r="M572" t="s">
        <v>141</v>
      </c>
      <c r="N572" t="s">
        <v>141</v>
      </c>
      <c r="O572">
        <v>4</v>
      </c>
    </row>
    <row r="573" spans="1:15" x14ac:dyDescent="0.25">
      <c r="A573">
        <v>573</v>
      </c>
      <c r="B573" t="s">
        <v>1317</v>
      </c>
      <c r="D573" t="s">
        <v>1110</v>
      </c>
      <c r="E573" t="s">
        <v>382</v>
      </c>
      <c r="F573">
        <v>2</v>
      </c>
      <c r="G573" s="2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141</v>
      </c>
      <c r="N573" t="s">
        <v>141</v>
      </c>
      <c r="O573">
        <v>4</v>
      </c>
    </row>
    <row r="574" spans="1:15" x14ac:dyDescent="0.25">
      <c r="A574">
        <v>574</v>
      </c>
      <c r="B574" t="s">
        <v>1318</v>
      </c>
      <c r="D574" t="s">
        <v>1110</v>
      </c>
      <c r="E574" t="s">
        <v>382</v>
      </c>
      <c r="F574">
        <v>3</v>
      </c>
      <c r="G574" s="2">
        <v>43289</v>
      </c>
      <c r="H574">
        <v>2.1</v>
      </c>
      <c r="I574" t="s">
        <v>1593</v>
      </c>
      <c r="J574">
        <v>181</v>
      </c>
      <c r="K574">
        <v>90</v>
      </c>
      <c r="L574">
        <v>1.88</v>
      </c>
      <c r="M574" t="s">
        <v>141</v>
      </c>
      <c r="N574" t="s">
        <v>141</v>
      </c>
      <c r="O574">
        <v>4</v>
      </c>
    </row>
    <row r="575" spans="1:15" x14ac:dyDescent="0.25">
      <c r="A575">
        <v>575</v>
      </c>
      <c r="B575" t="s">
        <v>1319</v>
      </c>
      <c r="D575" t="s">
        <v>1110</v>
      </c>
      <c r="E575" t="s">
        <v>382</v>
      </c>
      <c r="F575">
        <v>4</v>
      </c>
      <c r="G575" s="2">
        <v>43289</v>
      </c>
      <c r="H575">
        <v>2.7</v>
      </c>
      <c r="I575" t="s">
        <v>1594</v>
      </c>
      <c r="J575">
        <v>190</v>
      </c>
      <c r="K575">
        <v>80</v>
      </c>
      <c r="L575">
        <v>1.98</v>
      </c>
      <c r="M575" t="s">
        <v>141</v>
      </c>
      <c r="N575" t="s">
        <v>141</v>
      </c>
      <c r="O575">
        <v>4</v>
      </c>
    </row>
    <row r="576" spans="1:15" x14ac:dyDescent="0.25">
      <c r="A576">
        <v>576</v>
      </c>
      <c r="B576" t="s">
        <v>1320</v>
      </c>
      <c r="D576" t="s">
        <v>1110</v>
      </c>
      <c r="E576" t="s">
        <v>382</v>
      </c>
      <c r="F576">
        <v>5</v>
      </c>
      <c r="G576" s="2">
        <v>43289</v>
      </c>
      <c r="H576">
        <v>4.0999999999999996</v>
      </c>
      <c r="I576" t="s">
        <v>1595</v>
      </c>
      <c r="J576">
        <v>191</v>
      </c>
      <c r="K576">
        <v>140</v>
      </c>
      <c r="L576">
        <v>2.8</v>
      </c>
      <c r="M576" t="s">
        <v>141</v>
      </c>
      <c r="N576" t="s">
        <v>141</v>
      </c>
      <c r="O576">
        <v>4</v>
      </c>
    </row>
    <row r="577" spans="1:15" x14ac:dyDescent="0.25">
      <c r="A577">
        <v>577</v>
      </c>
      <c r="B577" t="s">
        <v>1321</v>
      </c>
      <c r="D577" t="s">
        <v>1110</v>
      </c>
      <c r="E577" t="s">
        <v>368</v>
      </c>
      <c r="F577">
        <v>1</v>
      </c>
      <c r="G577" s="2">
        <v>43307</v>
      </c>
      <c r="H577">
        <v>2.4</v>
      </c>
      <c r="I577">
        <v>1</v>
      </c>
      <c r="J577">
        <v>205</v>
      </c>
      <c r="K577">
        <v>90</v>
      </c>
      <c r="L577" t="s">
        <v>141</v>
      </c>
      <c r="M577" t="s">
        <v>141</v>
      </c>
      <c r="N577" t="s">
        <v>141</v>
      </c>
      <c r="O577">
        <v>4</v>
      </c>
    </row>
    <row r="578" spans="1:15" x14ac:dyDescent="0.25">
      <c r="A578">
        <v>578</v>
      </c>
      <c r="B578" t="s">
        <v>1322</v>
      </c>
      <c r="D578" t="s">
        <v>1110</v>
      </c>
      <c r="E578" t="s">
        <v>368</v>
      </c>
      <c r="F578">
        <v>2</v>
      </c>
      <c r="G578" s="2">
        <v>43307</v>
      </c>
      <c r="H578">
        <v>4</v>
      </c>
      <c r="I578">
        <v>2</v>
      </c>
      <c r="J578">
        <v>250</v>
      </c>
      <c r="K578">
        <v>100</v>
      </c>
      <c r="L578" t="s">
        <v>141</v>
      </c>
      <c r="M578" t="s">
        <v>141</v>
      </c>
      <c r="N578" t="s">
        <v>141</v>
      </c>
      <c r="O578">
        <v>4</v>
      </c>
    </row>
    <row r="579" spans="1:15" x14ac:dyDescent="0.25">
      <c r="A579">
        <v>579</v>
      </c>
      <c r="B579" t="s">
        <v>1323</v>
      </c>
      <c r="D579" t="s">
        <v>1110</v>
      </c>
      <c r="E579" t="s">
        <v>368</v>
      </c>
      <c r="F579">
        <v>3</v>
      </c>
      <c r="G579" s="2">
        <v>43307</v>
      </c>
      <c r="H579">
        <v>5.5</v>
      </c>
      <c r="I579">
        <v>2</v>
      </c>
      <c r="J579">
        <v>217</v>
      </c>
      <c r="K579">
        <v>135</v>
      </c>
      <c r="L579" t="s">
        <v>141</v>
      </c>
      <c r="M579" t="s">
        <v>141</v>
      </c>
      <c r="N579" t="s">
        <v>141</v>
      </c>
      <c r="O579">
        <v>4</v>
      </c>
    </row>
    <row r="580" spans="1:15" x14ac:dyDescent="0.25">
      <c r="A580">
        <v>580</v>
      </c>
      <c r="B580" t="s">
        <v>1324</v>
      </c>
      <c r="D580" t="s">
        <v>1110</v>
      </c>
      <c r="E580" t="s">
        <v>368</v>
      </c>
      <c r="F580">
        <v>4</v>
      </c>
      <c r="G580" s="2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141</v>
      </c>
      <c r="O580">
        <v>4</v>
      </c>
    </row>
    <row r="581" spans="1:15" x14ac:dyDescent="0.25">
      <c r="A581">
        <v>581</v>
      </c>
      <c r="B581" t="s">
        <v>1325</v>
      </c>
      <c r="D581" t="s">
        <v>1110</v>
      </c>
      <c r="E581" t="s">
        <v>368</v>
      </c>
      <c r="F581">
        <v>5</v>
      </c>
      <c r="G581" s="2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141</v>
      </c>
      <c r="N581" t="s">
        <v>141</v>
      </c>
      <c r="O581">
        <v>4</v>
      </c>
    </row>
    <row r="582" spans="1:15" x14ac:dyDescent="0.25">
      <c r="A582">
        <v>582</v>
      </c>
      <c r="B582" t="s">
        <v>1326</v>
      </c>
      <c r="D582" t="s">
        <v>1110</v>
      </c>
      <c r="E582" t="s">
        <v>398</v>
      </c>
      <c r="F582">
        <v>1</v>
      </c>
      <c r="G582" s="2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O582">
        <v>4</v>
      </c>
    </row>
    <row r="583" spans="1:15" x14ac:dyDescent="0.25">
      <c r="A583">
        <v>583</v>
      </c>
      <c r="B583" t="s">
        <v>1327</v>
      </c>
      <c r="D583" t="s">
        <v>1110</v>
      </c>
      <c r="E583" t="s">
        <v>398</v>
      </c>
      <c r="F583">
        <v>2</v>
      </c>
      <c r="G583" s="2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O583">
        <v>4</v>
      </c>
    </row>
    <row r="584" spans="1:15" x14ac:dyDescent="0.25">
      <c r="A584">
        <v>584</v>
      </c>
      <c r="B584" t="s">
        <v>1328</v>
      </c>
      <c r="D584" t="s">
        <v>1110</v>
      </c>
      <c r="E584" t="s">
        <v>398</v>
      </c>
      <c r="F584">
        <v>3</v>
      </c>
      <c r="G584" s="2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O584">
        <v>4</v>
      </c>
    </row>
    <row r="585" spans="1:15" x14ac:dyDescent="0.25">
      <c r="A585">
        <v>585</v>
      </c>
      <c r="B585" t="s">
        <v>1329</v>
      </c>
      <c r="D585" t="s">
        <v>1110</v>
      </c>
      <c r="E585" t="s">
        <v>398</v>
      </c>
      <c r="F585">
        <v>4</v>
      </c>
      <c r="G585" s="2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O585">
        <v>3</v>
      </c>
    </row>
    <row r="586" spans="1:15" x14ac:dyDescent="0.25">
      <c r="A586">
        <v>586</v>
      </c>
      <c r="B586" t="s">
        <v>1330</v>
      </c>
      <c r="D586" t="s">
        <v>1110</v>
      </c>
      <c r="E586" t="s">
        <v>398</v>
      </c>
      <c r="F586">
        <v>5</v>
      </c>
      <c r="G586" s="2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O586">
        <v>5</v>
      </c>
    </row>
    <row r="587" spans="1:15" x14ac:dyDescent="0.25">
      <c r="A587">
        <v>587</v>
      </c>
      <c r="B587" t="s">
        <v>1331</v>
      </c>
      <c r="D587" t="s">
        <v>1110</v>
      </c>
      <c r="E587" t="s">
        <v>349</v>
      </c>
      <c r="F587">
        <v>1</v>
      </c>
      <c r="G587" s="2">
        <v>43307</v>
      </c>
      <c r="H587">
        <v>11</v>
      </c>
      <c r="I587">
        <v>8.6</v>
      </c>
      <c r="J587">
        <v>451</v>
      </c>
      <c r="K587">
        <v>150</v>
      </c>
      <c r="L587" t="s">
        <v>141</v>
      </c>
      <c r="M587" t="s">
        <v>141</v>
      </c>
      <c r="N587" t="s">
        <v>141</v>
      </c>
      <c r="O587">
        <v>5</v>
      </c>
    </row>
    <row r="588" spans="1:15" x14ac:dyDescent="0.25">
      <c r="A588">
        <v>588</v>
      </c>
      <c r="B588" t="s">
        <v>1332</v>
      </c>
      <c r="D588" t="s">
        <v>1110</v>
      </c>
      <c r="E588" t="s">
        <v>349</v>
      </c>
      <c r="F588">
        <v>2</v>
      </c>
      <c r="G588" s="2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141</v>
      </c>
      <c r="N588" t="s">
        <v>141</v>
      </c>
      <c r="O588">
        <v>5</v>
      </c>
    </row>
    <row r="589" spans="1:15" x14ac:dyDescent="0.25">
      <c r="A589">
        <v>589</v>
      </c>
      <c r="B589" t="s">
        <v>1333</v>
      </c>
      <c r="D589" t="s">
        <v>1110</v>
      </c>
      <c r="E589" t="s">
        <v>349</v>
      </c>
      <c r="F589">
        <v>3</v>
      </c>
      <c r="G589" s="2">
        <v>43307</v>
      </c>
      <c r="H589">
        <v>10.8</v>
      </c>
      <c r="I589" t="s">
        <v>1596</v>
      </c>
      <c r="J589">
        <v>370</v>
      </c>
      <c r="K589">
        <v>110</v>
      </c>
      <c r="L589">
        <v>17.670000000000002</v>
      </c>
      <c r="M589" t="s">
        <v>141</v>
      </c>
      <c r="N589" t="s">
        <v>141</v>
      </c>
      <c r="O589">
        <v>5</v>
      </c>
    </row>
    <row r="590" spans="1:15" x14ac:dyDescent="0.25">
      <c r="A590">
        <v>590</v>
      </c>
      <c r="B590" t="s">
        <v>1334</v>
      </c>
      <c r="D590" t="s">
        <v>1110</v>
      </c>
      <c r="E590" t="s">
        <v>349</v>
      </c>
      <c r="F590">
        <v>4</v>
      </c>
      <c r="G590" s="2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141</v>
      </c>
      <c r="M590" t="s">
        <v>141</v>
      </c>
      <c r="N590" t="s">
        <v>141</v>
      </c>
      <c r="O590">
        <v>5</v>
      </c>
    </row>
    <row r="591" spans="1:15" x14ac:dyDescent="0.25">
      <c r="A591">
        <v>591</v>
      </c>
      <c r="B591" t="s">
        <v>1335</v>
      </c>
      <c r="D591" t="s">
        <v>1110</v>
      </c>
      <c r="E591" t="s">
        <v>349</v>
      </c>
      <c r="F591">
        <v>5</v>
      </c>
      <c r="G591" s="2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141</v>
      </c>
      <c r="N591" t="s">
        <v>141</v>
      </c>
      <c r="O591">
        <v>5</v>
      </c>
    </row>
    <row r="592" spans="1:15" x14ac:dyDescent="0.25">
      <c r="A592">
        <v>592</v>
      </c>
      <c r="B592" t="s">
        <v>1336</v>
      </c>
      <c r="D592" t="s">
        <v>1110</v>
      </c>
      <c r="E592" t="s">
        <v>605</v>
      </c>
      <c r="F592">
        <v>1</v>
      </c>
      <c r="G592" s="2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O592">
        <v>5</v>
      </c>
    </row>
    <row r="593" spans="1:15" x14ac:dyDescent="0.25">
      <c r="A593">
        <v>593</v>
      </c>
      <c r="B593" t="s">
        <v>1338</v>
      </c>
      <c r="D593" t="s">
        <v>1110</v>
      </c>
      <c r="E593" t="s">
        <v>605</v>
      </c>
      <c r="F593">
        <v>2</v>
      </c>
      <c r="G593" s="2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O593">
        <v>5</v>
      </c>
    </row>
    <row r="594" spans="1:15" x14ac:dyDescent="0.25">
      <c r="A594">
        <v>594</v>
      </c>
      <c r="B594" t="s">
        <v>1339</v>
      </c>
      <c r="D594" t="s">
        <v>1110</v>
      </c>
      <c r="E594" t="s">
        <v>605</v>
      </c>
      <c r="F594">
        <v>3</v>
      </c>
      <c r="G594" s="2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O594">
        <v>5</v>
      </c>
    </row>
    <row r="595" spans="1:15" x14ac:dyDescent="0.25">
      <c r="A595">
        <v>595</v>
      </c>
      <c r="B595" t="s">
        <v>1340</v>
      </c>
      <c r="D595" t="s">
        <v>1110</v>
      </c>
      <c r="E595" t="s">
        <v>605</v>
      </c>
      <c r="F595">
        <v>4</v>
      </c>
      <c r="G595" s="2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O595">
        <v>5</v>
      </c>
    </row>
    <row r="596" spans="1:15" x14ac:dyDescent="0.25">
      <c r="A596">
        <v>596</v>
      </c>
      <c r="B596" t="s">
        <v>1341</v>
      </c>
      <c r="D596" t="s">
        <v>1110</v>
      </c>
      <c r="E596" t="s">
        <v>605</v>
      </c>
      <c r="F596">
        <v>5</v>
      </c>
      <c r="G596" s="2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O596">
        <v>5</v>
      </c>
    </row>
    <row r="597" spans="1:15" x14ac:dyDescent="0.25">
      <c r="A597">
        <v>597</v>
      </c>
      <c r="B597" t="s">
        <v>1342</v>
      </c>
      <c r="D597" t="s">
        <v>1110</v>
      </c>
      <c r="E597" t="s">
        <v>348</v>
      </c>
      <c r="F597">
        <v>1</v>
      </c>
      <c r="G597" s="2">
        <v>43288</v>
      </c>
      <c r="H597">
        <v>5</v>
      </c>
      <c r="I597" t="s">
        <v>1597</v>
      </c>
      <c r="J597">
        <v>230</v>
      </c>
      <c r="K597">
        <v>115</v>
      </c>
      <c r="L597">
        <v>2.31</v>
      </c>
      <c r="M597" t="s">
        <v>141</v>
      </c>
      <c r="N597" t="s">
        <v>141</v>
      </c>
      <c r="O597">
        <v>4</v>
      </c>
    </row>
    <row r="598" spans="1:15" x14ac:dyDescent="0.25">
      <c r="A598">
        <v>598</v>
      </c>
      <c r="B598" t="s">
        <v>1343</v>
      </c>
      <c r="D598" t="s">
        <v>1110</v>
      </c>
      <c r="E598" t="s">
        <v>348</v>
      </c>
      <c r="F598">
        <v>2</v>
      </c>
      <c r="G598" s="2">
        <v>43288</v>
      </c>
      <c r="H598">
        <v>2.5</v>
      </c>
      <c r="I598" t="s">
        <v>1598</v>
      </c>
      <c r="J598">
        <v>277</v>
      </c>
      <c r="K598">
        <v>105</v>
      </c>
      <c r="L598">
        <v>2.0099999999999998</v>
      </c>
      <c r="M598" t="s">
        <v>141</v>
      </c>
      <c r="N598" t="s">
        <v>141</v>
      </c>
      <c r="O598">
        <v>5</v>
      </c>
    </row>
    <row r="599" spans="1:15" x14ac:dyDescent="0.25">
      <c r="A599">
        <v>599</v>
      </c>
      <c r="B599" t="s">
        <v>1344</v>
      </c>
      <c r="D599" t="s">
        <v>1110</v>
      </c>
      <c r="E599" t="s">
        <v>348</v>
      </c>
      <c r="F599">
        <v>3</v>
      </c>
      <c r="G599" s="2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141</v>
      </c>
      <c r="N599" t="s">
        <v>141</v>
      </c>
      <c r="O599">
        <v>5</v>
      </c>
    </row>
    <row r="600" spans="1:15" x14ac:dyDescent="0.25">
      <c r="A600">
        <v>600</v>
      </c>
      <c r="B600" t="s">
        <v>1345</v>
      </c>
      <c r="D600" t="s">
        <v>1110</v>
      </c>
      <c r="E600" t="s">
        <v>348</v>
      </c>
      <c r="F600">
        <v>4</v>
      </c>
      <c r="G600" s="2">
        <v>43288</v>
      </c>
      <c r="H600">
        <v>3</v>
      </c>
      <c r="I600" t="s">
        <v>1599</v>
      </c>
      <c r="J600">
        <v>238</v>
      </c>
      <c r="K600">
        <v>120</v>
      </c>
      <c r="L600">
        <v>2.19</v>
      </c>
      <c r="M600" t="s">
        <v>141</v>
      </c>
      <c r="N600" t="s">
        <v>141</v>
      </c>
      <c r="O600">
        <v>5</v>
      </c>
    </row>
    <row r="601" spans="1:15" x14ac:dyDescent="0.25">
      <c r="A601">
        <v>601</v>
      </c>
      <c r="B601" t="s">
        <v>1346</v>
      </c>
      <c r="D601" t="s">
        <v>1110</v>
      </c>
      <c r="E601" t="s">
        <v>348</v>
      </c>
      <c r="F601">
        <v>5</v>
      </c>
      <c r="G601" s="2">
        <v>43288</v>
      </c>
      <c r="H601">
        <v>2</v>
      </c>
      <c r="I601" t="s">
        <v>1600</v>
      </c>
      <c r="J601">
        <v>182</v>
      </c>
      <c r="K601">
        <v>80</v>
      </c>
      <c r="L601">
        <v>1.45</v>
      </c>
      <c r="M601" t="s">
        <v>141</v>
      </c>
      <c r="N601" t="s">
        <v>141</v>
      </c>
      <c r="O601">
        <v>5</v>
      </c>
    </row>
    <row r="602" spans="1:15" x14ac:dyDescent="0.25">
      <c r="A602">
        <v>602</v>
      </c>
      <c r="B602" t="s">
        <v>1347</v>
      </c>
      <c r="D602" t="s">
        <v>1110</v>
      </c>
      <c r="E602" t="s">
        <v>341</v>
      </c>
      <c r="F602">
        <v>1</v>
      </c>
      <c r="G602" s="2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141</v>
      </c>
      <c r="M602" t="s">
        <v>141</v>
      </c>
      <c r="N602" t="s">
        <v>141</v>
      </c>
      <c r="O602">
        <v>5</v>
      </c>
    </row>
    <row r="603" spans="1:15" x14ac:dyDescent="0.25">
      <c r="A603">
        <v>603</v>
      </c>
      <c r="B603" t="s">
        <v>1349</v>
      </c>
      <c r="D603" t="s">
        <v>1110</v>
      </c>
      <c r="E603" t="s">
        <v>341</v>
      </c>
      <c r="F603">
        <v>10</v>
      </c>
      <c r="G603" s="2">
        <v>43251</v>
      </c>
      <c r="H603">
        <v>6.2</v>
      </c>
      <c r="I603">
        <v>5.4</v>
      </c>
      <c r="J603">
        <v>301</v>
      </c>
      <c r="K603">
        <v>60</v>
      </c>
      <c r="L603" t="s">
        <v>141</v>
      </c>
      <c r="M603" t="s">
        <v>141</v>
      </c>
      <c r="N603" t="s">
        <v>141</v>
      </c>
      <c r="O603">
        <v>5</v>
      </c>
    </row>
    <row r="604" spans="1:15" x14ac:dyDescent="0.25">
      <c r="A604">
        <v>604</v>
      </c>
      <c r="B604" t="s">
        <v>1351</v>
      </c>
      <c r="D604" t="s">
        <v>1110</v>
      </c>
      <c r="E604" t="s">
        <v>341</v>
      </c>
      <c r="F604">
        <v>11</v>
      </c>
      <c r="G604" s="2">
        <v>43251</v>
      </c>
      <c r="H604">
        <v>6.8</v>
      </c>
      <c r="I604" t="s">
        <v>1601</v>
      </c>
      <c r="J604">
        <v>325</v>
      </c>
      <c r="K604">
        <v>60</v>
      </c>
      <c r="L604" t="s">
        <v>141</v>
      </c>
      <c r="M604" t="s">
        <v>141</v>
      </c>
      <c r="N604" t="s">
        <v>141</v>
      </c>
      <c r="O604">
        <v>5</v>
      </c>
    </row>
    <row r="605" spans="1:15" x14ac:dyDescent="0.25">
      <c r="A605">
        <v>605</v>
      </c>
      <c r="B605" t="s">
        <v>1353</v>
      </c>
      <c r="D605" t="s">
        <v>1110</v>
      </c>
      <c r="E605" t="s">
        <v>341</v>
      </c>
      <c r="F605">
        <v>12</v>
      </c>
      <c r="G605" s="2">
        <v>43251</v>
      </c>
      <c r="H605">
        <v>7.2</v>
      </c>
      <c r="I605">
        <v>4.5</v>
      </c>
      <c r="J605">
        <v>322</v>
      </c>
      <c r="K605">
        <v>75</v>
      </c>
      <c r="L605" t="s">
        <v>141</v>
      </c>
      <c r="M605" t="s">
        <v>141</v>
      </c>
      <c r="N605" t="s">
        <v>141</v>
      </c>
      <c r="O605">
        <v>5</v>
      </c>
    </row>
    <row r="606" spans="1:15" x14ac:dyDescent="0.25">
      <c r="A606">
        <v>606</v>
      </c>
      <c r="B606" t="s">
        <v>1355</v>
      </c>
      <c r="D606" t="s">
        <v>1110</v>
      </c>
      <c r="E606" t="s">
        <v>341</v>
      </c>
      <c r="F606">
        <v>13</v>
      </c>
      <c r="G606" s="2">
        <v>43251</v>
      </c>
      <c r="H606">
        <v>6</v>
      </c>
      <c r="I606">
        <v>5.4</v>
      </c>
      <c r="J606">
        <v>361</v>
      </c>
      <c r="K606">
        <v>153</v>
      </c>
      <c r="L606" t="s">
        <v>141</v>
      </c>
      <c r="M606" t="s">
        <v>141</v>
      </c>
      <c r="N606" t="s">
        <v>141</v>
      </c>
      <c r="O606">
        <v>5</v>
      </c>
    </row>
    <row r="607" spans="1:15" x14ac:dyDescent="0.25">
      <c r="A607">
        <v>607</v>
      </c>
      <c r="B607" t="s">
        <v>1357</v>
      </c>
      <c r="D607" t="s">
        <v>1110</v>
      </c>
      <c r="E607" t="s">
        <v>341</v>
      </c>
      <c r="F607">
        <v>14</v>
      </c>
      <c r="G607" s="2">
        <v>43251</v>
      </c>
      <c r="H607">
        <v>16</v>
      </c>
      <c r="I607">
        <v>12.3</v>
      </c>
      <c r="J607">
        <v>476</v>
      </c>
      <c r="K607">
        <v>55</v>
      </c>
      <c r="L607" t="s">
        <v>141</v>
      </c>
      <c r="M607" t="s">
        <v>141</v>
      </c>
      <c r="N607" t="s">
        <v>141</v>
      </c>
      <c r="O607">
        <v>5</v>
      </c>
    </row>
    <row r="608" spans="1:15" x14ac:dyDescent="0.25">
      <c r="A608">
        <v>608</v>
      </c>
      <c r="B608" t="s">
        <v>1359</v>
      </c>
      <c r="D608" t="s">
        <v>1110</v>
      </c>
      <c r="E608" t="s">
        <v>341</v>
      </c>
      <c r="F608">
        <v>15</v>
      </c>
      <c r="G608" s="2">
        <v>43270</v>
      </c>
      <c r="H608">
        <v>37.5</v>
      </c>
      <c r="I608" t="s">
        <v>1602</v>
      </c>
      <c r="J608">
        <v>630</v>
      </c>
      <c r="K608">
        <v>50</v>
      </c>
      <c r="L608" t="s">
        <v>141</v>
      </c>
      <c r="M608" t="s">
        <v>141</v>
      </c>
      <c r="N608" t="s">
        <v>141</v>
      </c>
      <c r="O608">
        <v>5</v>
      </c>
    </row>
    <row r="609" spans="1:15" x14ac:dyDescent="0.25">
      <c r="A609">
        <v>609</v>
      </c>
      <c r="B609" t="s">
        <v>1361</v>
      </c>
      <c r="D609" t="s">
        <v>1110</v>
      </c>
      <c r="E609" t="s">
        <v>341</v>
      </c>
      <c r="F609">
        <v>2</v>
      </c>
      <c r="G609" s="2">
        <v>43248</v>
      </c>
      <c r="H609">
        <v>7.7</v>
      </c>
      <c r="I609">
        <v>3.4</v>
      </c>
      <c r="J609">
        <v>340</v>
      </c>
      <c r="K609">
        <v>120</v>
      </c>
      <c r="L609" t="s">
        <v>141</v>
      </c>
      <c r="M609" t="s">
        <v>141</v>
      </c>
      <c r="N609" t="s">
        <v>141</v>
      </c>
      <c r="O609">
        <v>5</v>
      </c>
    </row>
    <row r="610" spans="1:15" x14ac:dyDescent="0.25">
      <c r="A610">
        <v>610</v>
      </c>
      <c r="B610" t="s">
        <v>1362</v>
      </c>
      <c r="D610" t="s">
        <v>1110</v>
      </c>
      <c r="E610" t="s">
        <v>341</v>
      </c>
      <c r="F610">
        <v>3</v>
      </c>
      <c r="G610" s="2">
        <v>43249</v>
      </c>
      <c r="H610">
        <v>10.5</v>
      </c>
      <c r="I610" t="s">
        <v>1603</v>
      </c>
      <c r="J610">
        <v>230</v>
      </c>
      <c r="K610">
        <v>120</v>
      </c>
      <c r="L610" t="s">
        <v>141</v>
      </c>
      <c r="M610" t="s">
        <v>141</v>
      </c>
      <c r="N610" t="s">
        <v>141</v>
      </c>
      <c r="O610">
        <v>5</v>
      </c>
    </row>
    <row r="611" spans="1:15" x14ac:dyDescent="0.25">
      <c r="A611">
        <v>611</v>
      </c>
      <c r="B611" t="s">
        <v>1363</v>
      </c>
      <c r="D611" t="s">
        <v>1110</v>
      </c>
      <c r="E611" t="s">
        <v>341</v>
      </c>
      <c r="F611">
        <v>4</v>
      </c>
      <c r="G611" s="2">
        <v>43249</v>
      </c>
      <c r="H611">
        <v>7.8</v>
      </c>
      <c r="I611">
        <v>7</v>
      </c>
      <c r="J611">
        <v>315</v>
      </c>
      <c r="K611">
        <v>110</v>
      </c>
      <c r="L611" t="s">
        <v>141</v>
      </c>
      <c r="M611" t="s">
        <v>141</v>
      </c>
      <c r="N611" t="s">
        <v>141</v>
      </c>
      <c r="O611">
        <v>5</v>
      </c>
    </row>
    <row r="612" spans="1:15" x14ac:dyDescent="0.25">
      <c r="A612">
        <v>612</v>
      </c>
      <c r="B612" t="s">
        <v>1364</v>
      </c>
      <c r="D612" t="s">
        <v>1110</v>
      </c>
      <c r="E612" t="s">
        <v>341</v>
      </c>
      <c r="F612">
        <v>5</v>
      </c>
      <c r="G612" s="2">
        <v>43249</v>
      </c>
      <c r="H612" t="s">
        <v>1604</v>
      </c>
      <c r="I612" t="s">
        <v>1605</v>
      </c>
      <c r="J612">
        <v>355</v>
      </c>
      <c r="K612">
        <v>120</v>
      </c>
      <c r="L612" t="s">
        <v>141</v>
      </c>
      <c r="M612" t="s">
        <v>141</v>
      </c>
      <c r="N612" t="s">
        <v>141</v>
      </c>
      <c r="O612">
        <v>5</v>
      </c>
    </row>
    <row r="613" spans="1:15" x14ac:dyDescent="0.25">
      <c r="A613">
        <v>613</v>
      </c>
      <c r="B613" t="s">
        <v>1365</v>
      </c>
      <c r="D613" t="s">
        <v>1110</v>
      </c>
      <c r="E613" t="s">
        <v>341</v>
      </c>
      <c r="F613">
        <v>6</v>
      </c>
      <c r="G613" s="2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141</v>
      </c>
      <c r="M613" t="s">
        <v>141</v>
      </c>
      <c r="N613" t="s">
        <v>141</v>
      </c>
      <c r="O613">
        <v>5</v>
      </c>
    </row>
    <row r="614" spans="1:15" x14ac:dyDescent="0.25">
      <c r="A614">
        <v>614</v>
      </c>
      <c r="B614" t="s">
        <v>1366</v>
      </c>
      <c r="D614" t="s">
        <v>1110</v>
      </c>
      <c r="E614" t="s">
        <v>341</v>
      </c>
      <c r="F614">
        <v>7</v>
      </c>
      <c r="G614" s="2">
        <v>43249</v>
      </c>
      <c r="H614">
        <v>9.5</v>
      </c>
      <c r="I614" t="s">
        <v>1606</v>
      </c>
      <c r="J614">
        <v>230</v>
      </c>
      <c r="K614">
        <v>40</v>
      </c>
      <c r="L614" t="s">
        <v>141</v>
      </c>
      <c r="M614" t="s">
        <v>141</v>
      </c>
      <c r="N614" t="s">
        <v>141</v>
      </c>
      <c r="O614">
        <v>5</v>
      </c>
    </row>
    <row r="615" spans="1:15" x14ac:dyDescent="0.25">
      <c r="A615">
        <v>615</v>
      </c>
      <c r="B615" t="s">
        <v>1368</v>
      </c>
      <c r="D615" t="s">
        <v>1110</v>
      </c>
      <c r="E615" t="s">
        <v>341</v>
      </c>
      <c r="F615">
        <v>8</v>
      </c>
      <c r="G615" s="2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141</v>
      </c>
      <c r="M615" t="s">
        <v>141</v>
      </c>
      <c r="N615" t="s">
        <v>141</v>
      </c>
      <c r="O615">
        <v>5</v>
      </c>
    </row>
    <row r="616" spans="1:15" x14ac:dyDescent="0.25">
      <c r="A616">
        <v>616</v>
      </c>
      <c r="B616" t="s">
        <v>1370</v>
      </c>
      <c r="D616" t="s">
        <v>1110</v>
      </c>
      <c r="E616" t="s">
        <v>341</v>
      </c>
      <c r="F616">
        <v>9</v>
      </c>
      <c r="G616" s="2">
        <v>43251</v>
      </c>
      <c r="H616">
        <v>2.8</v>
      </c>
      <c r="I616">
        <v>1.5</v>
      </c>
      <c r="J616">
        <v>230</v>
      </c>
      <c r="K616">
        <v>77</v>
      </c>
      <c r="L616" t="s">
        <v>141</v>
      </c>
      <c r="M616" t="s">
        <v>141</v>
      </c>
      <c r="N616" t="s">
        <v>141</v>
      </c>
      <c r="O616">
        <v>5</v>
      </c>
    </row>
    <row r="617" spans="1:15" x14ac:dyDescent="0.25">
      <c r="A617">
        <v>617</v>
      </c>
      <c r="B617" t="s">
        <v>1372</v>
      </c>
      <c r="D617" t="s">
        <v>1110</v>
      </c>
      <c r="E617" t="s">
        <v>516</v>
      </c>
      <c r="F617">
        <v>1</v>
      </c>
      <c r="G617" s="2">
        <v>43248</v>
      </c>
      <c r="H617">
        <v>2</v>
      </c>
      <c r="I617">
        <v>1.5</v>
      </c>
      <c r="J617">
        <v>170</v>
      </c>
      <c r="K617">
        <v>16</v>
      </c>
      <c r="L617" t="s">
        <v>141</v>
      </c>
      <c r="M617" t="s">
        <v>141</v>
      </c>
      <c r="N617" t="s">
        <v>141</v>
      </c>
      <c r="O617">
        <v>2</v>
      </c>
    </row>
    <row r="618" spans="1:15" x14ac:dyDescent="0.25">
      <c r="A618">
        <v>618</v>
      </c>
      <c r="B618" t="s">
        <v>1374</v>
      </c>
      <c r="D618" t="s">
        <v>1110</v>
      </c>
      <c r="E618" t="s">
        <v>360</v>
      </c>
      <c r="F618">
        <v>1</v>
      </c>
      <c r="G618" s="2">
        <v>43267</v>
      </c>
      <c r="H618">
        <v>5.2</v>
      </c>
      <c r="I618">
        <v>3.7</v>
      </c>
      <c r="J618">
        <v>231</v>
      </c>
      <c r="K618">
        <v>100</v>
      </c>
      <c r="L618" t="s">
        <v>141</v>
      </c>
      <c r="M618" t="s">
        <v>141</v>
      </c>
      <c r="N618" t="s">
        <v>141</v>
      </c>
      <c r="O618">
        <v>4</v>
      </c>
    </row>
    <row r="619" spans="1:15" x14ac:dyDescent="0.25">
      <c r="A619">
        <v>619</v>
      </c>
      <c r="B619" t="s">
        <v>1375</v>
      </c>
      <c r="D619" t="s">
        <v>1110</v>
      </c>
      <c r="E619" t="s">
        <v>360</v>
      </c>
      <c r="F619">
        <v>10</v>
      </c>
      <c r="G619" s="2">
        <v>43268</v>
      </c>
      <c r="H619">
        <v>8.3000000000000007</v>
      </c>
      <c r="I619" t="s">
        <v>1607</v>
      </c>
      <c r="J619">
        <v>260</v>
      </c>
      <c r="K619">
        <v>136</v>
      </c>
      <c r="L619">
        <v>22.14</v>
      </c>
      <c r="M619">
        <v>24.63</v>
      </c>
      <c r="N619">
        <v>22.9</v>
      </c>
      <c r="O619">
        <v>3</v>
      </c>
    </row>
    <row r="620" spans="1:15" x14ac:dyDescent="0.25">
      <c r="A620">
        <v>620</v>
      </c>
      <c r="B620" t="s">
        <v>1377</v>
      </c>
      <c r="D620" t="s">
        <v>1110</v>
      </c>
      <c r="E620" t="s">
        <v>360</v>
      </c>
      <c r="F620">
        <v>2</v>
      </c>
      <c r="G620" s="2">
        <v>43267</v>
      </c>
      <c r="H620">
        <v>4.7</v>
      </c>
      <c r="I620">
        <v>3.5</v>
      </c>
      <c r="J620">
        <v>242</v>
      </c>
      <c r="K620">
        <v>100</v>
      </c>
      <c r="L620" t="s">
        <v>141</v>
      </c>
      <c r="M620" t="s">
        <v>141</v>
      </c>
      <c r="N620" t="s">
        <v>141</v>
      </c>
      <c r="O620">
        <v>3</v>
      </c>
    </row>
    <row r="621" spans="1:15" x14ac:dyDescent="0.25">
      <c r="A621">
        <v>621</v>
      </c>
      <c r="B621" t="s">
        <v>1378</v>
      </c>
      <c r="D621" t="s">
        <v>1110</v>
      </c>
      <c r="E621" t="s">
        <v>360</v>
      </c>
      <c r="F621">
        <v>3</v>
      </c>
      <c r="G621" s="2">
        <v>43267</v>
      </c>
      <c r="H621">
        <v>5.6</v>
      </c>
      <c r="I621" t="s">
        <v>1608</v>
      </c>
      <c r="J621">
        <v>242</v>
      </c>
      <c r="K621">
        <v>80</v>
      </c>
      <c r="L621" t="s">
        <v>141</v>
      </c>
      <c r="M621" t="s">
        <v>141</v>
      </c>
      <c r="N621" t="s">
        <v>141</v>
      </c>
      <c r="O621">
        <v>3</v>
      </c>
    </row>
    <row r="622" spans="1:15" x14ac:dyDescent="0.25">
      <c r="A622">
        <v>622</v>
      </c>
      <c r="B622" t="s">
        <v>1379</v>
      </c>
      <c r="D622" t="s">
        <v>1110</v>
      </c>
      <c r="E622" t="s">
        <v>360</v>
      </c>
      <c r="F622">
        <v>4</v>
      </c>
      <c r="G622" s="2">
        <v>43267</v>
      </c>
      <c r="H622">
        <v>7</v>
      </c>
      <c r="I622">
        <v>6.4</v>
      </c>
      <c r="J622">
        <v>311</v>
      </c>
      <c r="K622">
        <v>130</v>
      </c>
      <c r="L622" t="s">
        <v>141</v>
      </c>
      <c r="M622" t="s">
        <v>141</v>
      </c>
      <c r="N622" t="s">
        <v>141</v>
      </c>
      <c r="O622">
        <v>3</v>
      </c>
    </row>
    <row r="623" spans="1:15" x14ac:dyDescent="0.25">
      <c r="A623">
        <v>623</v>
      </c>
      <c r="B623" t="s">
        <v>1380</v>
      </c>
      <c r="D623" t="s">
        <v>1110</v>
      </c>
      <c r="E623" t="s">
        <v>360</v>
      </c>
      <c r="F623">
        <v>5</v>
      </c>
      <c r="G623" s="2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O623">
        <v>4</v>
      </c>
    </row>
    <row r="624" spans="1:15" x14ac:dyDescent="0.25">
      <c r="A624">
        <v>624</v>
      </c>
      <c r="B624" t="s">
        <v>1381</v>
      </c>
      <c r="D624" t="s">
        <v>1110</v>
      </c>
      <c r="E624" t="s">
        <v>360</v>
      </c>
      <c r="F624">
        <v>6</v>
      </c>
      <c r="G624" s="2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O624">
        <v>4</v>
      </c>
    </row>
    <row r="625" spans="1:15" x14ac:dyDescent="0.25">
      <c r="A625">
        <v>625</v>
      </c>
      <c r="B625" t="s">
        <v>1383</v>
      </c>
      <c r="D625" t="s">
        <v>1110</v>
      </c>
      <c r="E625" t="s">
        <v>360</v>
      </c>
      <c r="F625">
        <v>7</v>
      </c>
      <c r="G625" s="2">
        <v>43268</v>
      </c>
      <c r="H625">
        <v>6.4</v>
      </c>
      <c r="I625" t="s">
        <v>1609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O625">
        <v>4</v>
      </c>
    </row>
    <row r="626" spans="1:15" x14ac:dyDescent="0.25">
      <c r="A626">
        <v>626</v>
      </c>
      <c r="B626" t="s">
        <v>1385</v>
      </c>
      <c r="D626" t="s">
        <v>1110</v>
      </c>
      <c r="E626" t="s">
        <v>360</v>
      </c>
      <c r="F626">
        <v>8</v>
      </c>
      <c r="G626" s="2">
        <v>43268</v>
      </c>
      <c r="H626">
        <v>6.5</v>
      </c>
      <c r="I626" t="s">
        <v>1610</v>
      </c>
      <c r="J626">
        <v>188</v>
      </c>
      <c r="K626">
        <v>70</v>
      </c>
      <c r="L626">
        <v>16.72</v>
      </c>
      <c r="M626">
        <v>18.71</v>
      </c>
      <c r="N626">
        <v>22.72</v>
      </c>
      <c r="O626">
        <v>4</v>
      </c>
    </row>
    <row r="627" spans="1:15" x14ac:dyDescent="0.25">
      <c r="A627">
        <v>627</v>
      </c>
      <c r="B627" t="s">
        <v>1387</v>
      </c>
      <c r="D627" t="s">
        <v>1110</v>
      </c>
      <c r="E627" t="s">
        <v>360</v>
      </c>
      <c r="F627">
        <v>9</v>
      </c>
      <c r="G627" s="2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O627">
        <v>3</v>
      </c>
    </row>
    <row r="628" spans="1:15" x14ac:dyDescent="0.25">
      <c r="A628">
        <v>628</v>
      </c>
      <c r="B628" t="s">
        <v>1389</v>
      </c>
      <c r="D628" t="s">
        <v>1110</v>
      </c>
      <c r="E628" t="s">
        <v>355</v>
      </c>
      <c r="F628">
        <v>1</v>
      </c>
      <c r="G628" s="2">
        <v>43253</v>
      </c>
      <c r="H628">
        <v>5</v>
      </c>
      <c r="I628">
        <v>2.7</v>
      </c>
      <c r="J628">
        <v>265</v>
      </c>
      <c r="K628">
        <v>110</v>
      </c>
      <c r="L628" t="s">
        <v>141</v>
      </c>
      <c r="M628" t="s">
        <v>141</v>
      </c>
      <c r="N628" t="s">
        <v>141</v>
      </c>
      <c r="O628">
        <v>5</v>
      </c>
    </row>
    <row r="629" spans="1:15" x14ac:dyDescent="0.25">
      <c r="A629">
        <v>629</v>
      </c>
      <c r="B629" t="s">
        <v>1390</v>
      </c>
      <c r="D629" t="s">
        <v>1110</v>
      </c>
      <c r="E629" t="s">
        <v>355</v>
      </c>
      <c r="F629">
        <v>10</v>
      </c>
      <c r="G629" s="2">
        <v>43268</v>
      </c>
      <c r="H629">
        <v>7.9</v>
      </c>
      <c r="I629" t="s">
        <v>1611</v>
      </c>
      <c r="J629">
        <v>398</v>
      </c>
      <c r="K629">
        <v>170</v>
      </c>
      <c r="L629" t="s">
        <v>141</v>
      </c>
      <c r="M629" t="s">
        <v>141</v>
      </c>
      <c r="N629" t="s">
        <v>141</v>
      </c>
      <c r="O629">
        <v>4</v>
      </c>
    </row>
    <row r="630" spans="1:15" x14ac:dyDescent="0.25">
      <c r="A630">
        <v>630</v>
      </c>
      <c r="B630" t="s">
        <v>1392</v>
      </c>
      <c r="D630" t="s">
        <v>1110</v>
      </c>
      <c r="E630" t="s">
        <v>355</v>
      </c>
      <c r="F630">
        <v>2</v>
      </c>
      <c r="G630" s="2">
        <v>43253</v>
      </c>
      <c r="H630">
        <v>2.6</v>
      </c>
      <c r="I630">
        <v>1</v>
      </c>
      <c r="J630">
        <v>177</v>
      </c>
      <c r="K630">
        <v>80</v>
      </c>
      <c r="L630" t="s">
        <v>141</v>
      </c>
      <c r="M630" t="s">
        <v>141</v>
      </c>
      <c r="N630" t="s">
        <v>141</v>
      </c>
      <c r="O630">
        <v>5</v>
      </c>
    </row>
    <row r="631" spans="1:15" x14ac:dyDescent="0.25">
      <c r="A631">
        <v>631</v>
      </c>
      <c r="B631" t="s">
        <v>1393</v>
      </c>
      <c r="D631" t="s">
        <v>1110</v>
      </c>
      <c r="E631" t="s">
        <v>355</v>
      </c>
      <c r="F631">
        <v>3</v>
      </c>
      <c r="G631" s="2">
        <v>43253</v>
      </c>
      <c r="H631" t="s">
        <v>1612</v>
      </c>
      <c r="I631" t="s">
        <v>1613</v>
      </c>
      <c r="J631">
        <v>195</v>
      </c>
      <c r="K631">
        <v>100</v>
      </c>
      <c r="L631" t="s">
        <v>141</v>
      </c>
      <c r="M631" t="s">
        <v>141</v>
      </c>
      <c r="N631" t="s">
        <v>141</v>
      </c>
      <c r="O631">
        <v>5</v>
      </c>
    </row>
    <row r="632" spans="1:15" x14ac:dyDescent="0.25">
      <c r="A632">
        <v>632</v>
      </c>
      <c r="B632" t="s">
        <v>1394</v>
      </c>
      <c r="D632" t="s">
        <v>1110</v>
      </c>
      <c r="E632" t="s">
        <v>355</v>
      </c>
      <c r="F632">
        <v>4</v>
      </c>
      <c r="G632" s="2">
        <v>43253</v>
      </c>
      <c r="H632">
        <v>1.8</v>
      </c>
      <c r="I632">
        <v>0.8</v>
      </c>
      <c r="J632">
        <v>172</v>
      </c>
      <c r="K632">
        <v>70</v>
      </c>
      <c r="L632" t="s">
        <v>141</v>
      </c>
      <c r="M632" t="s">
        <v>141</v>
      </c>
      <c r="N632" t="s">
        <v>141</v>
      </c>
      <c r="O632">
        <v>5</v>
      </c>
    </row>
    <row r="633" spans="1:15" x14ac:dyDescent="0.25">
      <c r="A633">
        <v>633</v>
      </c>
      <c r="B633" t="s">
        <v>1395</v>
      </c>
      <c r="D633" t="s">
        <v>1110</v>
      </c>
      <c r="E633" t="s">
        <v>355</v>
      </c>
      <c r="F633">
        <v>5</v>
      </c>
      <c r="G633" s="2">
        <v>43253</v>
      </c>
      <c r="H633" t="s">
        <v>1614</v>
      </c>
      <c r="I633" t="s">
        <v>1615</v>
      </c>
      <c r="J633">
        <v>487</v>
      </c>
      <c r="K633">
        <v>200</v>
      </c>
      <c r="L633" t="s">
        <v>141</v>
      </c>
      <c r="M633" t="s">
        <v>141</v>
      </c>
      <c r="N633" t="s">
        <v>141</v>
      </c>
      <c r="O633">
        <v>5</v>
      </c>
    </row>
    <row r="634" spans="1:15" x14ac:dyDescent="0.25">
      <c r="A634">
        <v>634</v>
      </c>
      <c r="B634" t="s">
        <v>1396</v>
      </c>
      <c r="D634" t="s">
        <v>1110</v>
      </c>
      <c r="E634" t="s">
        <v>355</v>
      </c>
      <c r="F634">
        <v>6</v>
      </c>
      <c r="G634" s="2">
        <v>43269</v>
      </c>
      <c r="H634">
        <v>20.9</v>
      </c>
      <c r="I634">
        <v>21.2</v>
      </c>
      <c r="J634">
        <v>740</v>
      </c>
      <c r="K634">
        <v>460</v>
      </c>
      <c r="L634" t="s">
        <v>141</v>
      </c>
      <c r="M634" t="s">
        <v>141</v>
      </c>
      <c r="N634" t="s">
        <v>141</v>
      </c>
      <c r="O634">
        <v>5</v>
      </c>
    </row>
    <row r="635" spans="1:15" x14ac:dyDescent="0.25">
      <c r="A635">
        <v>635</v>
      </c>
      <c r="B635" t="s">
        <v>1398</v>
      </c>
      <c r="D635" t="s">
        <v>1110</v>
      </c>
      <c r="E635" t="s">
        <v>355</v>
      </c>
      <c r="F635">
        <v>7</v>
      </c>
      <c r="G635" s="2">
        <v>43269</v>
      </c>
      <c r="H635">
        <v>12.5</v>
      </c>
      <c r="I635">
        <v>12</v>
      </c>
      <c r="J635">
        <v>546</v>
      </c>
      <c r="K635">
        <v>252</v>
      </c>
      <c r="L635" t="s">
        <v>141</v>
      </c>
      <c r="M635" t="s">
        <v>141</v>
      </c>
      <c r="N635" t="s">
        <v>141</v>
      </c>
      <c r="O635">
        <v>4</v>
      </c>
    </row>
    <row r="636" spans="1:15" x14ac:dyDescent="0.25">
      <c r="A636">
        <v>636</v>
      </c>
      <c r="B636" t="s">
        <v>1400</v>
      </c>
      <c r="D636" t="s">
        <v>1110</v>
      </c>
      <c r="E636" t="s">
        <v>355</v>
      </c>
      <c r="F636">
        <v>8</v>
      </c>
      <c r="G636" s="2">
        <v>43267</v>
      </c>
      <c r="H636">
        <v>5</v>
      </c>
      <c r="I636">
        <v>3.8</v>
      </c>
      <c r="J636">
        <v>342</v>
      </c>
      <c r="K636">
        <v>145</v>
      </c>
      <c r="L636" t="s">
        <v>141</v>
      </c>
      <c r="M636" t="s">
        <v>141</v>
      </c>
      <c r="N636" t="s">
        <v>141</v>
      </c>
      <c r="O636">
        <v>4</v>
      </c>
    </row>
    <row r="637" spans="1:15" x14ac:dyDescent="0.25">
      <c r="A637">
        <v>637</v>
      </c>
      <c r="B637" t="s">
        <v>1402</v>
      </c>
      <c r="D637" t="s">
        <v>1110</v>
      </c>
      <c r="E637" t="s">
        <v>355</v>
      </c>
      <c r="F637">
        <v>9</v>
      </c>
      <c r="G637" s="2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141</v>
      </c>
      <c r="M637" t="s">
        <v>141</v>
      </c>
      <c r="N637" t="s">
        <v>141</v>
      </c>
      <c r="O637">
        <v>4</v>
      </c>
    </row>
    <row r="638" spans="1:15" x14ac:dyDescent="0.25">
      <c r="A638">
        <v>638</v>
      </c>
      <c r="B638" t="s">
        <v>1404</v>
      </c>
      <c r="D638" t="s">
        <v>1110</v>
      </c>
      <c r="E638" t="s">
        <v>377</v>
      </c>
      <c r="F638">
        <v>1</v>
      </c>
      <c r="G638" s="2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O638">
        <v>4</v>
      </c>
    </row>
    <row r="639" spans="1:15" x14ac:dyDescent="0.25">
      <c r="A639">
        <v>639</v>
      </c>
      <c r="B639" t="s">
        <v>1405</v>
      </c>
      <c r="D639" t="s">
        <v>1110</v>
      </c>
      <c r="E639" t="s">
        <v>377</v>
      </c>
      <c r="F639">
        <v>2</v>
      </c>
      <c r="G639" s="2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O639">
        <v>5</v>
      </c>
    </row>
    <row r="640" spans="1:15" x14ac:dyDescent="0.25">
      <c r="A640">
        <v>640</v>
      </c>
      <c r="B640" t="s">
        <v>1406</v>
      </c>
      <c r="D640" t="s">
        <v>1110</v>
      </c>
      <c r="E640" t="s">
        <v>377</v>
      </c>
      <c r="F640">
        <v>3</v>
      </c>
      <c r="G640" s="2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O640">
        <v>5</v>
      </c>
    </row>
    <row r="641" spans="1:15" x14ac:dyDescent="0.25">
      <c r="A641">
        <v>641</v>
      </c>
      <c r="B641" t="s">
        <v>1407</v>
      </c>
      <c r="D641" t="s">
        <v>1110</v>
      </c>
      <c r="E641" t="s">
        <v>377</v>
      </c>
      <c r="F641">
        <v>4</v>
      </c>
      <c r="G641" s="2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O641">
        <v>5</v>
      </c>
    </row>
    <row r="642" spans="1:15" x14ac:dyDescent="0.25">
      <c r="A642">
        <v>642</v>
      </c>
      <c r="B642" t="s">
        <v>1408</v>
      </c>
      <c r="D642" t="s">
        <v>1110</v>
      </c>
      <c r="E642" t="s">
        <v>377</v>
      </c>
      <c r="F642">
        <v>5</v>
      </c>
      <c r="G642" s="2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O642">
        <v>5</v>
      </c>
    </row>
    <row r="643" spans="1:15" x14ac:dyDescent="0.25">
      <c r="A643">
        <v>643</v>
      </c>
      <c r="B643" t="s">
        <v>1409</v>
      </c>
      <c r="D643" t="s">
        <v>1110</v>
      </c>
      <c r="E643" t="s">
        <v>375</v>
      </c>
      <c r="F643">
        <v>1</v>
      </c>
      <c r="G643" s="2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141</v>
      </c>
      <c r="N643" t="s">
        <v>141</v>
      </c>
      <c r="O643">
        <v>4</v>
      </c>
    </row>
    <row r="644" spans="1:15" x14ac:dyDescent="0.25">
      <c r="A644">
        <v>644</v>
      </c>
      <c r="B644" t="s">
        <v>1410</v>
      </c>
      <c r="D644" t="s">
        <v>1110</v>
      </c>
      <c r="E644" t="s">
        <v>375</v>
      </c>
      <c r="F644">
        <v>2</v>
      </c>
      <c r="G644" s="2">
        <v>43286</v>
      </c>
      <c r="H644" t="s">
        <v>1616</v>
      </c>
      <c r="I644" t="s">
        <v>1617</v>
      </c>
      <c r="J644">
        <v>713</v>
      </c>
      <c r="K644">
        <v>210</v>
      </c>
      <c r="L644">
        <v>6.65</v>
      </c>
      <c r="M644">
        <v>5.88</v>
      </c>
      <c r="N644">
        <v>5.99</v>
      </c>
      <c r="O644">
        <v>5</v>
      </c>
    </row>
    <row r="645" spans="1:15" x14ac:dyDescent="0.25">
      <c r="A645">
        <v>645</v>
      </c>
      <c r="B645" t="s">
        <v>1411</v>
      </c>
      <c r="D645" t="s">
        <v>1110</v>
      </c>
      <c r="E645" t="s">
        <v>375</v>
      </c>
      <c r="F645">
        <v>3</v>
      </c>
      <c r="G645" s="2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O645">
        <v>5</v>
      </c>
    </row>
    <row r="646" spans="1:15" x14ac:dyDescent="0.25">
      <c r="A646">
        <v>646</v>
      </c>
      <c r="B646" t="s">
        <v>1412</v>
      </c>
      <c r="D646" t="s">
        <v>1110</v>
      </c>
      <c r="E646" t="s">
        <v>375</v>
      </c>
      <c r="F646">
        <v>4</v>
      </c>
      <c r="G646" s="2">
        <v>43295</v>
      </c>
      <c r="H646">
        <v>4.2</v>
      </c>
      <c r="I646" t="s">
        <v>1618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O646">
        <v>4</v>
      </c>
    </row>
    <row r="647" spans="1:15" x14ac:dyDescent="0.25">
      <c r="A647">
        <v>647</v>
      </c>
      <c r="B647" t="s">
        <v>1413</v>
      </c>
      <c r="D647" t="s">
        <v>1110</v>
      </c>
      <c r="E647" t="s">
        <v>375</v>
      </c>
      <c r="F647">
        <v>5</v>
      </c>
      <c r="G647" s="2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O647">
        <v>5</v>
      </c>
    </row>
    <row r="648" spans="1:15" x14ac:dyDescent="0.25">
      <c r="A648">
        <v>648</v>
      </c>
      <c r="B648" t="s">
        <v>1414</v>
      </c>
      <c r="D648" t="s">
        <v>1110</v>
      </c>
      <c r="E648" t="s">
        <v>352</v>
      </c>
      <c r="F648">
        <v>1</v>
      </c>
      <c r="G648" s="2">
        <v>43293</v>
      </c>
      <c r="H648">
        <v>4.8</v>
      </c>
      <c r="I648" t="s">
        <v>1619</v>
      </c>
      <c r="J648">
        <v>276</v>
      </c>
      <c r="K648">
        <v>40</v>
      </c>
      <c r="L648">
        <v>4.33</v>
      </c>
      <c r="M648">
        <v>5.28</v>
      </c>
      <c r="N648">
        <v>4.5</v>
      </c>
      <c r="O648">
        <v>4</v>
      </c>
    </row>
    <row r="649" spans="1:15" x14ac:dyDescent="0.25">
      <c r="A649">
        <v>649</v>
      </c>
      <c r="B649" t="s">
        <v>1415</v>
      </c>
      <c r="D649" t="s">
        <v>1110</v>
      </c>
      <c r="E649" t="s">
        <v>352</v>
      </c>
      <c r="F649">
        <v>2</v>
      </c>
      <c r="G649" s="2">
        <v>43293</v>
      </c>
      <c r="H649">
        <v>4.5</v>
      </c>
      <c r="I649" t="s">
        <v>1620</v>
      </c>
      <c r="J649">
        <v>259</v>
      </c>
      <c r="K649">
        <v>30</v>
      </c>
      <c r="L649">
        <v>4.45</v>
      </c>
      <c r="M649">
        <v>5.12</v>
      </c>
      <c r="N649">
        <v>4.25</v>
      </c>
      <c r="O649">
        <v>4</v>
      </c>
    </row>
    <row r="650" spans="1:15" x14ac:dyDescent="0.25">
      <c r="A650">
        <v>650</v>
      </c>
      <c r="B650" t="s">
        <v>1416</v>
      </c>
      <c r="D650" t="s">
        <v>1110</v>
      </c>
      <c r="E650" t="s">
        <v>352</v>
      </c>
      <c r="F650">
        <v>3</v>
      </c>
      <c r="G650" s="2">
        <v>43293</v>
      </c>
      <c r="H650">
        <v>6.1</v>
      </c>
      <c r="I650" t="s">
        <v>1621</v>
      </c>
      <c r="J650">
        <v>337</v>
      </c>
      <c r="K650">
        <v>10</v>
      </c>
      <c r="L650">
        <v>6.36</v>
      </c>
      <c r="M650">
        <v>6.68</v>
      </c>
      <c r="N650">
        <v>6.79</v>
      </c>
      <c r="O650">
        <v>5</v>
      </c>
    </row>
    <row r="651" spans="1:15" x14ac:dyDescent="0.25">
      <c r="A651">
        <v>651</v>
      </c>
      <c r="B651" t="s">
        <v>1418</v>
      </c>
      <c r="D651" t="s">
        <v>1110</v>
      </c>
      <c r="E651" t="s">
        <v>352</v>
      </c>
      <c r="F651">
        <v>4</v>
      </c>
      <c r="G651" s="2">
        <v>43294</v>
      </c>
      <c r="H651" t="s">
        <v>1622</v>
      </c>
      <c r="I651" t="s">
        <v>1623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O651">
        <v>4</v>
      </c>
    </row>
    <row r="652" spans="1:15" x14ac:dyDescent="0.25">
      <c r="A652">
        <v>652</v>
      </c>
      <c r="B652" t="s">
        <v>1419</v>
      </c>
      <c r="D652" t="s">
        <v>1110</v>
      </c>
      <c r="E652" t="s">
        <v>352</v>
      </c>
      <c r="F652">
        <v>5</v>
      </c>
      <c r="G652" s="2">
        <v>43294</v>
      </c>
      <c r="H652" t="s">
        <v>1624</v>
      </c>
      <c r="I652" t="s">
        <v>1625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O652">
        <v>4</v>
      </c>
    </row>
    <row r="653" spans="1:15" x14ac:dyDescent="0.25">
      <c r="A653">
        <v>653</v>
      </c>
      <c r="B653" t="s">
        <v>1420</v>
      </c>
      <c r="D653" t="s">
        <v>1110</v>
      </c>
      <c r="E653" t="s">
        <v>388</v>
      </c>
      <c r="F653">
        <v>1</v>
      </c>
      <c r="G653" s="2">
        <v>43269</v>
      </c>
      <c r="H653">
        <v>27</v>
      </c>
      <c r="I653" t="s">
        <v>1626</v>
      </c>
      <c r="J653">
        <v>673</v>
      </c>
      <c r="K653">
        <v>100</v>
      </c>
      <c r="L653" t="s">
        <v>141</v>
      </c>
      <c r="M653" t="s">
        <v>141</v>
      </c>
      <c r="N653" t="s">
        <v>141</v>
      </c>
      <c r="O653">
        <v>5</v>
      </c>
    </row>
    <row r="654" spans="1:15" x14ac:dyDescent="0.25">
      <c r="A654">
        <v>654</v>
      </c>
      <c r="B654" t="s">
        <v>1421</v>
      </c>
      <c r="D654" t="s">
        <v>1110</v>
      </c>
      <c r="E654" t="s">
        <v>388</v>
      </c>
      <c r="F654">
        <v>2</v>
      </c>
      <c r="G654" s="2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O654">
        <v>4</v>
      </c>
    </row>
    <row r="655" spans="1:15" x14ac:dyDescent="0.25">
      <c r="A655">
        <v>655</v>
      </c>
      <c r="B655" t="s">
        <v>1422</v>
      </c>
      <c r="D655" t="s">
        <v>1110</v>
      </c>
      <c r="E655" t="s">
        <v>388</v>
      </c>
      <c r="F655">
        <v>3</v>
      </c>
      <c r="G655" s="2">
        <v>43281</v>
      </c>
      <c r="H655" t="s">
        <v>1627</v>
      </c>
      <c r="I655" t="s">
        <v>1628</v>
      </c>
      <c r="J655">
        <v>388</v>
      </c>
      <c r="K655">
        <v>140</v>
      </c>
      <c r="L655">
        <v>7.44</v>
      </c>
      <c r="M655">
        <v>8.15</v>
      </c>
      <c r="N655">
        <v>7.68</v>
      </c>
      <c r="O655">
        <v>4</v>
      </c>
    </row>
    <row r="656" spans="1:15" x14ac:dyDescent="0.25">
      <c r="A656">
        <v>656</v>
      </c>
      <c r="B656" t="s">
        <v>1423</v>
      </c>
      <c r="D656" t="s">
        <v>1110</v>
      </c>
      <c r="E656" t="s">
        <v>388</v>
      </c>
      <c r="F656">
        <v>4</v>
      </c>
      <c r="G656" s="2">
        <v>43281</v>
      </c>
      <c r="H656">
        <v>8.1999999999999993</v>
      </c>
      <c r="I656" t="s">
        <v>1629</v>
      </c>
      <c r="J656">
        <v>405</v>
      </c>
      <c r="K656">
        <v>155</v>
      </c>
      <c r="L656">
        <v>6.02</v>
      </c>
      <c r="M656">
        <v>6.87</v>
      </c>
      <c r="N656">
        <v>5.83</v>
      </c>
      <c r="O656">
        <v>4</v>
      </c>
    </row>
    <row r="657" spans="1:15" x14ac:dyDescent="0.25">
      <c r="A657">
        <v>657</v>
      </c>
      <c r="B657" t="s">
        <v>1424</v>
      </c>
      <c r="D657" t="s">
        <v>1110</v>
      </c>
      <c r="E657" t="s">
        <v>388</v>
      </c>
      <c r="F657">
        <v>5</v>
      </c>
      <c r="G657" s="2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O657">
        <v>4</v>
      </c>
    </row>
    <row r="658" spans="1:15" x14ac:dyDescent="0.25">
      <c r="A658">
        <v>658</v>
      </c>
      <c r="B658" t="s">
        <v>1425</v>
      </c>
      <c r="D658" t="s">
        <v>1110</v>
      </c>
      <c r="E658" t="s">
        <v>367</v>
      </c>
      <c r="F658">
        <v>1</v>
      </c>
      <c r="G658" s="2">
        <v>43251</v>
      </c>
      <c r="H658">
        <v>3.9</v>
      </c>
      <c r="I658">
        <v>2.6</v>
      </c>
      <c r="J658">
        <v>275</v>
      </c>
      <c r="K658">
        <v>40</v>
      </c>
      <c r="L658" t="s">
        <v>141</v>
      </c>
      <c r="M658" t="s">
        <v>141</v>
      </c>
      <c r="N658" t="s">
        <v>141</v>
      </c>
      <c r="O658">
        <v>5</v>
      </c>
    </row>
    <row r="659" spans="1:15" x14ac:dyDescent="0.25">
      <c r="A659">
        <v>659</v>
      </c>
      <c r="B659" t="s">
        <v>1426</v>
      </c>
      <c r="D659" t="s">
        <v>1110</v>
      </c>
      <c r="E659" t="s">
        <v>367</v>
      </c>
      <c r="F659">
        <v>10</v>
      </c>
      <c r="G659" s="2">
        <v>43294</v>
      </c>
      <c r="H659">
        <v>13</v>
      </c>
      <c r="I659" t="s">
        <v>1630</v>
      </c>
      <c r="J659">
        <v>440</v>
      </c>
      <c r="K659">
        <v>220</v>
      </c>
      <c r="L659">
        <v>20.73</v>
      </c>
      <c r="M659">
        <v>19.71</v>
      </c>
      <c r="N659">
        <v>20.43</v>
      </c>
      <c r="O659">
        <v>5</v>
      </c>
    </row>
    <row r="660" spans="1:15" x14ac:dyDescent="0.25">
      <c r="A660">
        <v>660</v>
      </c>
      <c r="B660" t="s">
        <v>1428</v>
      </c>
      <c r="D660" t="s">
        <v>1110</v>
      </c>
      <c r="E660" t="s">
        <v>367</v>
      </c>
      <c r="F660">
        <v>11</v>
      </c>
      <c r="G660" s="2">
        <v>43301</v>
      </c>
      <c r="H660" t="s">
        <v>1631</v>
      </c>
      <c r="I660" t="s">
        <v>1632</v>
      </c>
      <c r="J660">
        <v>292</v>
      </c>
      <c r="K660">
        <v>130</v>
      </c>
      <c r="L660" t="s">
        <v>141</v>
      </c>
      <c r="M660" t="s">
        <v>141</v>
      </c>
      <c r="N660" t="s">
        <v>141</v>
      </c>
      <c r="O660">
        <v>5</v>
      </c>
    </row>
    <row r="661" spans="1:15" x14ac:dyDescent="0.25">
      <c r="A661">
        <v>661</v>
      </c>
      <c r="B661" t="s">
        <v>1430</v>
      </c>
      <c r="D661" t="s">
        <v>1110</v>
      </c>
      <c r="E661" t="s">
        <v>367</v>
      </c>
      <c r="F661">
        <v>2</v>
      </c>
      <c r="G661" s="2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141</v>
      </c>
      <c r="N661" t="s">
        <v>141</v>
      </c>
      <c r="O661">
        <v>4</v>
      </c>
    </row>
    <row r="662" spans="1:15" x14ac:dyDescent="0.25">
      <c r="A662">
        <v>662</v>
      </c>
      <c r="B662" t="s">
        <v>1431</v>
      </c>
      <c r="D662" t="s">
        <v>1110</v>
      </c>
      <c r="E662" t="s">
        <v>367</v>
      </c>
      <c r="F662">
        <v>3</v>
      </c>
      <c r="G662" s="2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141</v>
      </c>
      <c r="N662" t="s">
        <v>141</v>
      </c>
      <c r="O662">
        <v>4</v>
      </c>
    </row>
    <row r="663" spans="1:15" x14ac:dyDescent="0.25">
      <c r="A663">
        <v>663</v>
      </c>
      <c r="B663" t="s">
        <v>1432</v>
      </c>
      <c r="D663" t="s">
        <v>1110</v>
      </c>
      <c r="E663" t="s">
        <v>367</v>
      </c>
      <c r="F663">
        <v>4</v>
      </c>
      <c r="G663" s="2">
        <v>43281</v>
      </c>
      <c r="H663">
        <v>6</v>
      </c>
      <c r="I663" t="s">
        <v>1633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O663">
        <v>4</v>
      </c>
    </row>
    <row r="664" spans="1:15" x14ac:dyDescent="0.25">
      <c r="A664">
        <v>664</v>
      </c>
      <c r="B664" t="s">
        <v>1433</v>
      </c>
      <c r="D664" t="s">
        <v>1110</v>
      </c>
      <c r="E664" t="s">
        <v>367</v>
      </c>
      <c r="F664">
        <v>5</v>
      </c>
      <c r="G664" s="2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O664">
        <v>5</v>
      </c>
    </row>
    <row r="665" spans="1:15" x14ac:dyDescent="0.25">
      <c r="A665">
        <v>665</v>
      </c>
      <c r="B665" t="s">
        <v>1434</v>
      </c>
      <c r="D665" t="s">
        <v>1110</v>
      </c>
      <c r="E665" t="s">
        <v>367</v>
      </c>
      <c r="F665">
        <v>6</v>
      </c>
      <c r="G665" s="2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141</v>
      </c>
      <c r="N665" t="s">
        <v>141</v>
      </c>
      <c r="O665">
        <v>4</v>
      </c>
    </row>
    <row r="666" spans="1:15" x14ac:dyDescent="0.25">
      <c r="A666">
        <v>666</v>
      </c>
      <c r="B666" t="s">
        <v>1435</v>
      </c>
      <c r="D666" t="s">
        <v>1110</v>
      </c>
      <c r="E666" t="s">
        <v>367</v>
      </c>
      <c r="F666">
        <v>7</v>
      </c>
      <c r="G666" s="2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O666">
        <v>4</v>
      </c>
    </row>
    <row r="667" spans="1:15" x14ac:dyDescent="0.25">
      <c r="A667">
        <v>667</v>
      </c>
      <c r="B667" t="s">
        <v>1437</v>
      </c>
      <c r="D667" t="s">
        <v>1110</v>
      </c>
      <c r="E667" t="s">
        <v>367</v>
      </c>
      <c r="F667">
        <v>8</v>
      </c>
      <c r="G667" s="2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O667">
        <v>4</v>
      </c>
    </row>
    <row r="668" spans="1:15" x14ac:dyDescent="0.25">
      <c r="A668">
        <v>668</v>
      </c>
      <c r="B668" t="s">
        <v>1439</v>
      </c>
      <c r="D668" t="s">
        <v>1110</v>
      </c>
      <c r="E668" t="s">
        <v>367</v>
      </c>
      <c r="F668">
        <v>9</v>
      </c>
      <c r="G668" t="s">
        <v>141</v>
      </c>
      <c r="H668">
        <v>3.2</v>
      </c>
      <c r="I668">
        <v>2</v>
      </c>
      <c r="J668">
        <v>224</v>
      </c>
      <c r="K668">
        <v>95</v>
      </c>
      <c r="L668" t="s">
        <v>141</v>
      </c>
      <c r="M668" t="s">
        <v>141</v>
      </c>
      <c r="N668" t="s">
        <v>141</v>
      </c>
      <c r="O668">
        <v>3</v>
      </c>
    </row>
    <row r="669" spans="1:15" x14ac:dyDescent="0.25">
      <c r="A669">
        <v>669</v>
      </c>
      <c r="B669" t="s">
        <v>1441</v>
      </c>
      <c r="D669" t="s">
        <v>1110</v>
      </c>
      <c r="E669" t="s">
        <v>344</v>
      </c>
      <c r="F669">
        <v>1</v>
      </c>
      <c r="G669" s="2">
        <v>43267</v>
      </c>
      <c r="H669">
        <v>4.8</v>
      </c>
      <c r="I669">
        <v>2.7</v>
      </c>
      <c r="J669">
        <v>320</v>
      </c>
      <c r="K669">
        <v>115</v>
      </c>
      <c r="L669" t="s">
        <v>141</v>
      </c>
      <c r="M669" t="s">
        <v>141</v>
      </c>
      <c r="N669" t="s">
        <v>141</v>
      </c>
      <c r="O669">
        <v>4</v>
      </c>
    </row>
    <row r="670" spans="1:15" x14ac:dyDescent="0.25">
      <c r="A670">
        <v>670</v>
      </c>
      <c r="B670" t="s">
        <v>1442</v>
      </c>
      <c r="D670" t="s">
        <v>1110</v>
      </c>
      <c r="E670" t="s">
        <v>344</v>
      </c>
      <c r="F670">
        <v>2</v>
      </c>
      <c r="G670" s="2">
        <v>43270</v>
      </c>
      <c r="H670">
        <v>3.1</v>
      </c>
      <c r="I670">
        <v>2.4</v>
      </c>
      <c r="J670">
        <v>236</v>
      </c>
      <c r="K670">
        <v>80</v>
      </c>
      <c r="L670" t="s">
        <v>141</v>
      </c>
      <c r="M670" t="s">
        <v>141</v>
      </c>
      <c r="N670" t="s">
        <v>141</v>
      </c>
      <c r="O670">
        <v>4</v>
      </c>
    </row>
    <row r="671" spans="1:15" x14ac:dyDescent="0.25">
      <c r="A671">
        <v>671</v>
      </c>
      <c r="B671" t="s">
        <v>1443</v>
      </c>
      <c r="D671" t="s">
        <v>1110</v>
      </c>
      <c r="E671" t="s">
        <v>344</v>
      </c>
      <c r="F671">
        <v>3</v>
      </c>
      <c r="G671" s="2">
        <v>43286</v>
      </c>
      <c r="H671">
        <v>8.5</v>
      </c>
      <c r="I671" t="s">
        <v>1634</v>
      </c>
      <c r="J671">
        <v>374</v>
      </c>
      <c r="K671">
        <v>100</v>
      </c>
      <c r="L671" t="s">
        <v>141</v>
      </c>
      <c r="M671" t="s">
        <v>141</v>
      </c>
      <c r="N671" t="s">
        <v>141</v>
      </c>
      <c r="O671">
        <v>4</v>
      </c>
    </row>
    <row r="672" spans="1:15" x14ac:dyDescent="0.25">
      <c r="A672">
        <v>672</v>
      </c>
      <c r="B672" t="s">
        <v>1444</v>
      </c>
      <c r="D672" t="s">
        <v>1110</v>
      </c>
      <c r="E672" t="s">
        <v>344</v>
      </c>
      <c r="F672">
        <v>4</v>
      </c>
      <c r="G672" s="2">
        <v>43286</v>
      </c>
      <c r="H672">
        <v>8.4</v>
      </c>
      <c r="I672" t="s">
        <v>1635</v>
      </c>
      <c r="J672">
        <v>421</v>
      </c>
      <c r="K672">
        <v>105</v>
      </c>
      <c r="L672">
        <v>7.43</v>
      </c>
      <c r="M672">
        <v>7.31</v>
      </c>
      <c r="N672">
        <v>7.5</v>
      </c>
      <c r="O672">
        <v>4</v>
      </c>
    </row>
    <row r="673" spans="1:15" x14ac:dyDescent="0.25">
      <c r="A673">
        <v>673</v>
      </c>
      <c r="B673" t="s">
        <v>1445</v>
      </c>
      <c r="D673" t="s">
        <v>1110</v>
      </c>
      <c r="E673" t="s">
        <v>344</v>
      </c>
      <c r="F673">
        <v>5</v>
      </c>
      <c r="G673" s="2">
        <v>43297</v>
      </c>
      <c r="H673">
        <v>3.5</v>
      </c>
      <c r="I673" t="s">
        <v>1636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O673">
        <v>4</v>
      </c>
    </row>
    <row r="674" spans="1:15" x14ac:dyDescent="0.25">
      <c r="A674">
        <v>674</v>
      </c>
      <c r="B674" t="s">
        <v>1446</v>
      </c>
      <c r="D674" t="s">
        <v>1110</v>
      </c>
      <c r="E674" t="s">
        <v>361</v>
      </c>
      <c r="F674">
        <v>1</v>
      </c>
      <c r="G674" s="2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141</v>
      </c>
      <c r="M674" t="s">
        <v>141</v>
      </c>
      <c r="N674" t="s">
        <v>141</v>
      </c>
      <c r="O674">
        <v>5</v>
      </c>
    </row>
    <row r="675" spans="1:15" x14ac:dyDescent="0.25">
      <c r="A675">
        <v>675</v>
      </c>
      <c r="B675" t="s">
        <v>1447</v>
      </c>
      <c r="D675" t="s">
        <v>1110</v>
      </c>
      <c r="E675" t="s">
        <v>361</v>
      </c>
      <c r="F675">
        <v>10</v>
      </c>
      <c r="G675" s="2">
        <v>43270</v>
      </c>
      <c r="H675">
        <v>5.8</v>
      </c>
      <c r="I675">
        <v>4.8</v>
      </c>
      <c r="J675">
        <v>387</v>
      </c>
      <c r="K675">
        <v>50</v>
      </c>
      <c r="L675" t="s">
        <v>141</v>
      </c>
      <c r="M675" t="s">
        <v>141</v>
      </c>
      <c r="N675" t="s">
        <v>141</v>
      </c>
      <c r="O675">
        <v>5</v>
      </c>
    </row>
    <row r="676" spans="1:15" x14ac:dyDescent="0.25">
      <c r="A676">
        <v>676</v>
      </c>
      <c r="B676" t="s">
        <v>1449</v>
      </c>
      <c r="D676" t="s">
        <v>1110</v>
      </c>
      <c r="E676" t="s">
        <v>361</v>
      </c>
      <c r="F676">
        <v>11</v>
      </c>
      <c r="G676" s="2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O676">
        <v>4</v>
      </c>
    </row>
    <row r="677" spans="1:15" x14ac:dyDescent="0.25">
      <c r="A677">
        <v>677</v>
      </c>
      <c r="B677" t="s">
        <v>1451</v>
      </c>
      <c r="D677" t="s">
        <v>1110</v>
      </c>
      <c r="E677" t="s">
        <v>361</v>
      </c>
      <c r="F677">
        <v>2</v>
      </c>
      <c r="G677" s="2">
        <v>43251</v>
      </c>
      <c r="H677">
        <v>4.5</v>
      </c>
      <c r="I677">
        <v>3.5</v>
      </c>
      <c r="J677">
        <v>394</v>
      </c>
      <c r="K677">
        <v>105</v>
      </c>
      <c r="L677" t="s">
        <v>141</v>
      </c>
      <c r="M677" t="s">
        <v>141</v>
      </c>
      <c r="N677" t="s">
        <v>141</v>
      </c>
      <c r="O677">
        <v>5</v>
      </c>
    </row>
    <row r="678" spans="1:15" x14ac:dyDescent="0.25">
      <c r="A678">
        <v>678</v>
      </c>
      <c r="B678" t="s">
        <v>1452</v>
      </c>
      <c r="D678" t="s">
        <v>1110</v>
      </c>
      <c r="E678" t="s">
        <v>361</v>
      </c>
      <c r="F678">
        <v>3</v>
      </c>
      <c r="G678" s="2">
        <v>43252</v>
      </c>
      <c r="H678">
        <v>2</v>
      </c>
      <c r="I678" t="s">
        <v>1637</v>
      </c>
      <c r="J678">
        <v>217</v>
      </c>
      <c r="K678">
        <v>55</v>
      </c>
      <c r="L678" t="s">
        <v>141</v>
      </c>
      <c r="M678" t="s">
        <v>141</v>
      </c>
      <c r="N678" t="s">
        <v>141</v>
      </c>
      <c r="O678">
        <v>5</v>
      </c>
    </row>
    <row r="679" spans="1:15" x14ac:dyDescent="0.25">
      <c r="A679">
        <v>679</v>
      </c>
      <c r="B679" t="s">
        <v>1453</v>
      </c>
      <c r="D679" t="s">
        <v>1110</v>
      </c>
      <c r="E679" t="s">
        <v>361</v>
      </c>
      <c r="F679">
        <v>4</v>
      </c>
      <c r="G679" s="2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141</v>
      </c>
      <c r="M679" t="s">
        <v>141</v>
      </c>
      <c r="N679" t="s">
        <v>141</v>
      </c>
      <c r="O679">
        <v>5</v>
      </c>
    </row>
    <row r="680" spans="1:15" x14ac:dyDescent="0.25">
      <c r="A680">
        <v>680</v>
      </c>
      <c r="B680" t="s">
        <v>1454</v>
      </c>
      <c r="D680" t="s">
        <v>1110</v>
      </c>
      <c r="E680" t="s">
        <v>361</v>
      </c>
      <c r="F680">
        <v>5</v>
      </c>
      <c r="G680" s="2">
        <v>43253</v>
      </c>
      <c r="H680">
        <v>3.2</v>
      </c>
      <c r="I680">
        <v>1.8</v>
      </c>
      <c r="J680">
        <v>234</v>
      </c>
      <c r="K680">
        <v>65</v>
      </c>
      <c r="L680" t="s">
        <v>141</v>
      </c>
      <c r="M680" t="s">
        <v>141</v>
      </c>
      <c r="N680" t="s">
        <v>141</v>
      </c>
      <c r="O680">
        <v>5</v>
      </c>
    </row>
    <row r="681" spans="1:15" x14ac:dyDescent="0.25">
      <c r="A681">
        <v>681</v>
      </c>
      <c r="B681" t="s">
        <v>1455</v>
      </c>
      <c r="D681" t="s">
        <v>1110</v>
      </c>
      <c r="E681" t="s">
        <v>361</v>
      </c>
      <c r="F681">
        <v>6</v>
      </c>
      <c r="G681" s="2">
        <v>43267</v>
      </c>
      <c r="H681">
        <v>18</v>
      </c>
      <c r="I681">
        <v>17.5</v>
      </c>
      <c r="J681">
        <v>621</v>
      </c>
      <c r="K681">
        <v>10</v>
      </c>
      <c r="L681" t="s">
        <v>141</v>
      </c>
      <c r="M681" t="s">
        <v>141</v>
      </c>
      <c r="N681" t="s">
        <v>141</v>
      </c>
      <c r="O681">
        <v>4</v>
      </c>
    </row>
    <row r="682" spans="1:15" x14ac:dyDescent="0.25">
      <c r="A682">
        <v>682</v>
      </c>
      <c r="B682" t="s">
        <v>1456</v>
      </c>
      <c r="D682" t="s">
        <v>1110</v>
      </c>
      <c r="E682" t="s">
        <v>361</v>
      </c>
      <c r="F682">
        <v>7</v>
      </c>
      <c r="G682" s="2">
        <v>43267</v>
      </c>
      <c r="H682">
        <v>15.1</v>
      </c>
      <c r="I682" t="s">
        <v>1638</v>
      </c>
      <c r="J682">
        <v>473</v>
      </c>
      <c r="K682">
        <v>170</v>
      </c>
      <c r="L682" t="s">
        <v>141</v>
      </c>
      <c r="M682" t="s">
        <v>141</v>
      </c>
      <c r="N682" t="s">
        <v>141</v>
      </c>
      <c r="O682">
        <v>4</v>
      </c>
    </row>
    <row r="683" spans="1:15" x14ac:dyDescent="0.25">
      <c r="A683">
        <v>683</v>
      </c>
      <c r="B683" t="s">
        <v>1458</v>
      </c>
      <c r="D683" t="s">
        <v>1110</v>
      </c>
      <c r="E683" t="s">
        <v>361</v>
      </c>
      <c r="F683">
        <v>8</v>
      </c>
      <c r="G683" s="2">
        <v>43271</v>
      </c>
      <c r="H683">
        <v>16.3</v>
      </c>
      <c r="I683">
        <v>14.2</v>
      </c>
      <c r="J683">
        <v>728</v>
      </c>
      <c r="K683">
        <v>204</v>
      </c>
      <c r="L683" t="s">
        <v>141</v>
      </c>
      <c r="M683" t="s">
        <v>141</v>
      </c>
      <c r="N683" t="s">
        <v>141</v>
      </c>
      <c r="O683">
        <v>5</v>
      </c>
    </row>
    <row r="684" spans="1:15" x14ac:dyDescent="0.25">
      <c r="A684">
        <v>684</v>
      </c>
      <c r="B684" t="s">
        <v>1460</v>
      </c>
      <c r="D684" t="s">
        <v>1110</v>
      </c>
      <c r="E684" t="s">
        <v>361</v>
      </c>
      <c r="F684">
        <v>9</v>
      </c>
      <c r="G684" s="2">
        <v>43270</v>
      </c>
      <c r="H684" t="s">
        <v>1639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O684">
        <v>5</v>
      </c>
    </row>
    <row r="685" spans="1:15" x14ac:dyDescent="0.25">
      <c r="A685">
        <v>685</v>
      </c>
      <c r="B685" t="s">
        <v>1462</v>
      </c>
      <c r="D685" t="s">
        <v>1110</v>
      </c>
      <c r="E685" t="s">
        <v>387</v>
      </c>
      <c r="F685">
        <v>1</v>
      </c>
      <c r="G685" s="2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O685">
        <v>4</v>
      </c>
    </row>
    <row r="686" spans="1:15" x14ac:dyDescent="0.25">
      <c r="A686">
        <v>686</v>
      </c>
      <c r="B686" t="s">
        <v>1463</v>
      </c>
      <c r="D686" t="s">
        <v>1110</v>
      </c>
      <c r="E686" t="s">
        <v>387</v>
      </c>
      <c r="F686">
        <v>2</v>
      </c>
      <c r="G686" s="2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141</v>
      </c>
      <c r="N686" t="s">
        <v>141</v>
      </c>
      <c r="O686">
        <v>4</v>
      </c>
    </row>
    <row r="687" spans="1:15" x14ac:dyDescent="0.25">
      <c r="A687">
        <v>687</v>
      </c>
      <c r="B687" t="s">
        <v>1464</v>
      </c>
      <c r="D687" t="s">
        <v>1110</v>
      </c>
      <c r="E687" t="s">
        <v>387</v>
      </c>
      <c r="F687">
        <v>3</v>
      </c>
      <c r="G687" s="2">
        <v>43304</v>
      </c>
      <c r="H687">
        <v>15.1</v>
      </c>
      <c r="I687" t="s">
        <v>1640</v>
      </c>
      <c r="J687">
        <v>516</v>
      </c>
      <c r="K687">
        <v>130</v>
      </c>
      <c r="L687" t="s">
        <v>141</v>
      </c>
      <c r="M687" t="s">
        <v>141</v>
      </c>
      <c r="N687" t="s">
        <v>141</v>
      </c>
      <c r="O687">
        <v>4</v>
      </c>
    </row>
    <row r="688" spans="1:15" x14ac:dyDescent="0.25">
      <c r="A688">
        <v>688</v>
      </c>
      <c r="B688" t="s">
        <v>1465</v>
      </c>
      <c r="D688" t="s">
        <v>1110</v>
      </c>
      <c r="E688" t="s">
        <v>387</v>
      </c>
      <c r="F688">
        <v>4</v>
      </c>
      <c r="G688" s="2">
        <v>43304</v>
      </c>
      <c r="H688" t="s">
        <v>1641</v>
      </c>
      <c r="I688" t="s">
        <v>1642</v>
      </c>
      <c r="J688">
        <v>317</v>
      </c>
      <c r="K688">
        <v>70</v>
      </c>
      <c r="L688" t="s">
        <v>141</v>
      </c>
      <c r="M688" t="s">
        <v>141</v>
      </c>
      <c r="N688" t="s">
        <v>141</v>
      </c>
      <c r="O688">
        <v>4</v>
      </c>
    </row>
    <row r="689" spans="1:15" x14ac:dyDescent="0.25">
      <c r="A689">
        <v>689</v>
      </c>
      <c r="B689" t="s">
        <v>1466</v>
      </c>
      <c r="D689" t="s">
        <v>1110</v>
      </c>
      <c r="E689" t="s">
        <v>387</v>
      </c>
      <c r="F689">
        <v>5</v>
      </c>
      <c r="G689" s="2">
        <v>43304</v>
      </c>
      <c r="H689">
        <v>9</v>
      </c>
      <c r="I689">
        <v>6.9</v>
      </c>
      <c r="J689">
        <v>382</v>
      </c>
      <c r="K689">
        <v>115</v>
      </c>
      <c r="L689" t="s">
        <v>141</v>
      </c>
      <c r="M689" t="s">
        <v>141</v>
      </c>
      <c r="N689" t="s">
        <v>141</v>
      </c>
      <c r="O689">
        <v>4</v>
      </c>
    </row>
    <row r="690" spans="1:15" x14ac:dyDescent="0.25">
      <c r="A690">
        <v>690</v>
      </c>
      <c r="B690" t="s">
        <v>1467</v>
      </c>
      <c r="D690" t="s">
        <v>1110</v>
      </c>
      <c r="E690" t="s">
        <v>351</v>
      </c>
      <c r="F690">
        <v>1</v>
      </c>
      <c r="G690" s="2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O690">
        <v>5</v>
      </c>
    </row>
    <row r="691" spans="1:15" x14ac:dyDescent="0.25">
      <c r="A691">
        <v>691</v>
      </c>
      <c r="B691" t="s">
        <v>1468</v>
      </c>
      <c r="D691" t="s">
        <v>1110</v>
      </c>
      <c r="E691" t="s">
        <v>351</v>
      </c>
      <c r="F691">
        <v>2</v>
      </c>
      <c r="G691" s="2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O691">
        <v>5</v>
      </c>
    </row>
    <row r="692" spans="1:15" x14ac:dyDescent="0.25">
      <c r="A692">
        <v>692</v>
      </c>
      <c r="B692" t="s">
        <v>1469</v>
      </c>
      <c r="D692" t="s">
        <v>1110</v>
      </c>
      <c r="E692" t="s">
        <v>351</v>
      </c>
      <c r="F692">
        <v>3</v>
      </c>
      <c r="G692" s="2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O692">
        <v>5</v>
      </c>
    </row>
    <row r="693" spans="1:15" x14ac:dyDescent="0.25">
      <c r="A693">
        <v>693</v>
      </c>
      <c r="B693" t="s">
        <v>1470</v>
      </c>
      <c r="D693" t="s">
        <v>1110</v>
      </c>
      <c r="E693" t="s">
        <v>351</v>
      </c>
      <c r="F693">
        <v>4</v>
      </c>
      <c r="G693" s="2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O693">
        <v>5</v>
      </c>
    </row>
    <row r="694" spans="1:15" x14ac:dyDescent="0.25">
      <c r="A694">
        <v>694</v>
      </c>
      <c r="B694" t="s">
        <v>1471</v>
      </c>
      <c r="D694" t="s">
        <v>1110</v>
      </c>
      <c r="E694" t="s">
        <v>351</v>
      </c>
      <c r="F694">
        <v>5</v>
      </c>
      <c r="G694" s="2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O694">
        <v>5</v>
      </c>
    </row>
    <row r="695" spans="1:15" x14ac:dyDescent="0.25">
      <c r="A695">
        <v>695</v>
      </c>
      <c r="B695" t="s">
        <v>1472</v>
      </c>
      <c r="D695" t="s">
        <v>1110</v>
      </c>
      <c r="E695" t="s">
        <v>340</v>
      </c>
      <c r="F695">
        <v>1</v>
      </c>
      <c r="G695" s="2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O695">
        <v>5</v>
      </c>
    </row>
    <row r="696" spans="1:15" x14ac:dyDescent="0.25">
      <c r="A696">
        <v>696</v>
      </c>
      <c r="B696" t="s">
        <v>1473</v>
      </c>
      <c r="D696" t="s">
        <v>1110</v>
      </c>
      <c r="E696" t="s">
        <v>340</v>
      </c>
      <c r="F696">
        <v>10</v>
      </c>
      <c r="G696" s="2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O696">
        <v>4</v>
      </c>
    </row>
    <row r="697" spans="1:15" x14ac:dyDescent="0.25">
      <c r="A697">
        <v>697</v>
      </c>
      <c r="B697" t="s">
        <v>1475</v>
      </c>
      <c r="D697" t="s">
        <v>1110</v>
      </c>
      <c r="E697" t="s">
        <v>340</v>
      </c>
      <c r="F697">
        <v>2</v>
      </c>
      <c r="G697" s="2">
        <v>43285</v>
      </c>
      <c r="H697">
        <v>2.1</v>
      </c>
      <c r="I697">
        <v>1.5</v>
      </c>
      <c r="J697">
        <v>263</v>
      </c>
      <c r="K697">
        <v>140</v>
      </c>
      <c r="L697" t="s">
        <v>141</v>
      </c>
      <c r="M697" t="s">
        <v>141</v>
      </c>
      <c r="N697" t="s">
        <v>141</v>
      </c>
      <c r="O697">
        <v>3</v>
      </c>
    </row>
    <row r="698" spans="1:15" x14ac:dyDescent="0.25">
      <c r="A698">
        <v>698</v>
      </c>
      <c r="B698" t="s">
        <v>1476</v>
      </c>
      <c r="D698" t="s">
        <v>1110</v>
      </c>
      <c r="E698" t="s">
        <v>340</v>
      </c>
      <c r="F698">
        <v>3</v>
      </c>
      <c r="G698" s="2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O698">
        <v>4</v>
      </c>
    </row>
    <row r="699" spans="1:15" x14ac:dyDescent="0.25">
      <c r="A699">
        <v>699</v>
      </c>
      <c r="B699" t="s">
        <v>1477</v>
      </c>
      <c r="D699" t="s">
        <v>1110</v>
      </c>
      <c r="E699" t="s">
        <v>340</v>
      </c>
      <c r="F699">
        <v>4</v>
      </c>
      <c r="G699" s="2">
        <v>43253</v>
      </c>
      <c r="H699">
        <v>4.8</v>
      </c>
      <c r="I699">
        <v>3.4</v>
      </c>
      <c r="J699">
        <v>313</v>
      </c>
      <c r="K699">
        <v>60</v>
      </c>
      <c r="L699" t="s">
        <v>141</v>
      </c>
      <c r="M699" t="s">
        <v>141</v>
      </c>
      <c r="N699" t="s">
        <v>141</v>
      </c>
      <c r="O699">
        <v>4</v>
      </c>
    </row>
    <row r="700" spans="1:15" x14ac:dyDescent="0.25">
      <c r="A700">
        <v>700</v>
      </c>
      <c r="B700" t="s">
        <v>1478</v>
      </c>
      <c r="D700" t="s">
        <v>1110</v>
      </c>
      <c r="E700" t="s">
        <v>340</v>
      </c>
      <c r="F700">
        <v>5</v>
      </c>
      <c r="G700" s="2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141</v>
      </c>
      <c r="M700" t="s">
        <v>141</v>
      </c>
      <c r="N700" t="s">
        <v>141</v>
      </c>
      <c r="O700">
        <v>5</v>
      </c>
    </row>
    <row r="701" spans="1:15" x14ac:dyDescent="0.25">
      <c r="A701">
        <v>701</v>
      </c>
      <c r="B701" t="s">
        <v>1479</v>
      </c>
      <c r="D701" t="s">
        <v>1110</v>
      </c>
      <c r="E701" t="s">
        <v>340</v>
      </c>
      <c r="F701">
        <v>6</v>
      </c>
      <c r="G701" s="2">
        <v>43253</v>
      </c>
      <c r="H701">
        <v>4.3</v>
      </c>
      <c r="I701" t="s">
        <v>1643</v>
      </c>
      <c r="J701">
        <v>257</v>
      </c>
      <c r="K701">
        <v>20</v>
      </c>
      <c r="L701" t="s">
        <v>141</v>
      </c>
      <c r="M701" t="s">
        <v>141</v>
      </c>
      <c r="N701" t="s">
        <v>141</v>
      </c>
      <c r="O701">
        <v>5</v>
      </c>
    </row>
    <row r="702" spans="1:15" x14ac:dyDescent="0.25">
      <c r="A702">
        <v>702</v>
      </c>
      <c r="B702" t="s">
        <v>1481</v>
      </c>
      <c r="D702" t="s">
        <v>1110</v>
      </c>
      <c r="E702" t="s">
        <v>340</v>
      </c>
      <c r="F702">
        <v>7</v>
      </c>
      <c r="G702" s="2">
        <v>43272</v>
      </c>
      <c r="H702" t="s">
        <v>1644</v>
      </c>
      <c r="I702" t="s">
        <v>1645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O702">
        <v>5</v>
      </c>
    </row>
    <row r="703" spans="1:15" x14ac:dyDescent="0.25">
      <c r="A703">
        <v>703</v>
      </c>
      <c r="B703" t="s">
        <v>1483</v>
      </c>
      <c r="D703" t="s">
        <v>1110</v>
      </c>
      <c r="E703" t="s">
        <v>340</v>
      </c>
      <c r="F703">
        <v>8</v>
      </c>
      <c r="G703" s="2">
        <v>43272</v>
      </c>
      <c r="H703">
        <v>43</v>
      </c>
      <c r="I703" t="s">
        <v>1646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O703">
        <v>5</v>
      </c>
    </row>
    <row r="704" spans="1:15" x14ac:dyDescent="0.25">
      <c r="A704">
        <v>704</v>
      </c>
      <c r="B704" t="s">
        <v>1485</v>
      </c>
      <c r="D704" t="s">
        <v>1110</v>
      </c>
      <c r="E704" t="s">
        <v>340</v>
      </c>
      <c r="F704">
        <v>9</v>
      </c>
      <c r="G704" s="2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O704">
        <v>4</v>
      </c>
    </row>
    <row r="705" spans="1:15" x14ac:dyDescent="0.25">
      <c r="A705">
        <v>705</v>
      </c>
      <c r="B705" t="s">
        <v>1487</v>
      </c>
      <c r="D705" t="s">
        <v>1110</v>
      </c>
      <c r="E705" t="s">
        <v>1094</v>
      </c>
      <c r="F705">
        <v>1</v>
      </c>
      <c r="G705" s="2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O705">
        <v>5</v>
      </c>
    </row>
    <row r="706" spans="1:15" x14ac:dyDescent="0.25">
      <c r="A706">
        <v>706</v>
      </c>
      <c r="B706" t="s">
        <v>1488</v>
      </c>
      <c r="D706" t="s">
        <v>1110</v>
      </c>
      <c r="E706" t="s">
        <v>1094</v>
      </c>
      <c r="F706">
        <v>2</v>
      </c>
      <c r="G706" s="2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O706">
        <v>5</v>
      </c>
    </row>
    <row r="707" spans="1:15" x14ac:dyDescent="0.25">
      <c r="A707">
        <v>707</v>
      </c>
      <c r="B707" t="s">
        <v>1489</v>
      </c>
      <c r="D707" t="s">
        <v>1110</v>
      </c>
      <c r="E707" t="s">
        <v>1094</v>
      </c>
      <c r="F707">
        <v>3</v>
      </c>
      <c r="G707" s="2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O707">
        <v>4</v>
      </c>
    </row>
    <row r="708" spans="1:15" x14ac:dyDescent="0.25">
      <c r="A708">
        <v>708</v>
      </c>
      <c r="B708" t="s">
        <v>1490</v>
      </c>
      <c r="D708" t="s">
        <v>1110</v>
      </c>
      <c r="E708" t="s">
        <v>1094</v>
      </c>
      <c r="F708">
        <v>4</v>
      </c>
      <c r="G708" s="2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O708">
        <v>4</v>
      </c>
    </row>
    <row r="709" spans="1:15" x14ac:dyDescent="0.25">
      <c r="A709">
        <v>709</v>
      </c>
      <c r="B709" t="s">
        <v>1491</v>
      </c>
      <c r="D709" t="s">
        <v>1110</v>
      </c>
      <c r="E709" t="s">
        <v>1094</v>
      </c>
      <c r="F709">
        <v>5</v>
      </c>
      <c r="G709" s="2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O709">
        <v>5</v>
      </c>
    </row>
    <row r="710" spans="1:15" x14ac:dyDescent="0.25">
      <c r="A710">
        <v>710</v>
      </c>
      <c r="B710" t="s">
        <v>1492</v>
      </c>
      <c r="D710" t="s">
        <v>1110</v>
      </c>
      <c r="E710" t="s">
        <v>820</v>
      </c>
      <c r="F710">
        <v>1</v>
      </c>
      <c r="G710" s="2">
        <v>43262</v>
      </c>
      <c r="H710">
        <v>11.4</v>
      </c>
      <c r="I710" t="s">
        <v>1647</v>
      </c>
      <c r="J710">
        <v>533</v>
      </c>
      <c r="K710">
        <v>270</v>
      </c>
      <c r="L710">
        <v>19.03</v>
      </c>
      <c r="M710">
        <v>14.3</v>
      </c>
      <c r="N710">
        <v>15.55</v>
      </c>
      <c r="O710">
        <v>4</v>
      </c>
    </row>
    <row r="711" spans="1:15" x14ac:dyDescent="0.25">
      <c r="A711">
        <v>711</v>
      </c>
      <c r="B711" t="s">
        <v>1493</v>
      </c>
      <c r="D711" t="s">
        <v>1110</v>
      </c>
      <c r="E711" t="s">
        <v>386</v>
      </c>
      <c r="F711">
        <v>1</v>
      </c>
      <c r="G711" s="2">
        <v>43270</v>
      </c>
      <c r="H711">
        <v>10.8</v>
      </c>
      <c r="I711" t="s">
        <v>1648</v>
      </c>
      <c r="J711">
        <v>465</v>
      </c>
      <c r="K711">
        <v>60</v>
      </c>
      <c r="L711" t="s">
        <v>141</v>
      </c>
      <c r="M711" t="s">
        <v>141</v>
      </c>
      <c r="N711" t="s">
        <v>141</v>
      </c>
      <c r="O711">
        <v>5</v>
      </c>
    </row>
    <row r="712" spans="1:15" x14ac:dyDescent="0.25">
      <c r="A712">
        <v>712</v>
      </c>
      <c r="B712" t="s">
        <v>1494</v>
      </c>
      <c r="D712" t="s">
        <v>1110</v>
      </c>
      <c r="E712" t="s">
        <v>386</v>
      </c>
      <c r="F712">
        <v>2</v>
      </c>
      <c r="G712" s="2">
        <v>43270</v>
      </c>
      <c r="H712">
        <v>11.2</v>
      </c>
      <c r="I712" t="s">
        <v>1649</v>
      </c>
      <c r="J712">
        <v>448</v>
      </c>
      <c r="K712">
        <v>140</v>
      </c>
      <c r="L712" t="s">
        <v>141</v>
      </c>
      <c r="M712" t="s">
        <v>141</v>
      </c>
      <c r="N712" t="s">
        <v>141</v>
      </c>
      <c r="O712">
        <v>5</v>
      </c>
    </row>
    <row r="713" spans="1:15" x14ac:dyDescent="0.25">
      <c r="A713">
        <v>713</v>
      </c>
      <c r="B713" t="s">
        <v>1495</v>
      </c>
      <c r="D713" t="s">
        <v>1110</v>
      </c>
      <c r="E713" t="s">
        <v>386</v>
      </c>
      <c r="F713">
        <v>3</v>
      </c>
      <c r="G713" s="2">
        <v>43270</v>
      </c>
      <c r="H713">
        <v>8</v>
      </c>
      <c r="I713" t="s">
        <v>1650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O713">
        <v>5</v>
      </c>
    </row>
    <row r="714" spans="1:15" x14ac:dyDescent="0.25">
      <c r="A714">
        <v>714</v>
      </c>
      <c r="B714" t="s">
        <v>1496</v>
      </c>
      <c r="D714" t="s">
        <v>1110</v>
      </c>
      <c r="E714" t="s">
        <v>386</v>
      </c>
      <c r="F714">
        <v>4</v>
      </c>
      <c r="G714" s="2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141</v>
      </c>
      <c r="M714" t="s">
        <v>141</v>
      </c>
      <c r="N714" t="s">
        <v>141</v>
      </c>
      <c r="O714">
        <v>5</v>
      </c>
    </row>
    <row r="715" spans="1:15" x14ac:dyDescent="0.25">
      <c r="A715">
        <v>715</v>
      </c>
      <c r="B715" t="s">
        <v>1497</v>
      </c>
      <c r="D715" t="s">
        <v>1110</v>
      </c>
      <c r="E715" t="s">
        <v>386</v>
      </c>
      <c r="F715">
        <v>5</v>
      </c>
      <c r="G715" s="2">
        <v>43270</v>
      </c>
      <c r="H715">
        <v>18</v>
      </c>
      <c r="I715" t="s">
        <v>1651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O715">
        <v>5</v>
      </c>
    </row>
    <row r="716" spans="1:15" x14ac:dyDescent="0.25">
      <c r="A716">
        <v>716</v>
      </c>
      <c r="B716" t="s">
        <v>1498</v>
      </c>
      <c r="D716" t="s">
        <v>1110</v>
      </c>
      <c r="E716" t="s">
        <v>440</v>
      </c>
      <c r="F716">
        <v>1</v>
      </c>
      <c r="G716" s="2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O716">
        <v>5</v>
      </c>
    </row>
    <row r="717" spans="1:15" x14ac:dyDescent="0.25">
      <c r="A717">
        <v>717</v>
      </c>
      <c r="B717" t="s">
        <v>1499</v>
      </c>
      <c r="D717" t="s">
        <v>1110</v>
      </c>
      <c r="E717" t="s">
        <v>440</v>
      </c>
      <c r="F717">
        <v>2</v>
      </c>
      <c r="G717" s="2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O717">
        <v>4</v>
      </c>
    </row>
    <row r="718" spans="1:15" x14ac:dyDescent="0.25">
      <c r="A718">
        <v>718</v>
      </c>
      <c r="B718" t="s">
        <v>1500</v>
      </c>
      <c r="D718" t="s">
        <v>1110</v>
      </c>
      <c r="E718" t="s">
        <v>440</v>
      </c>
      <c r="F718">
        <v>3</v>
      </c>
      <c r="G718" s="2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O718">
        <v>4</v>
      </c>
    </row>
    <row r="719" spans="1:15" x14ac:dyDescent="0.25">
      <c r="A719">
        <v>719</v>
      </c>
      <c r="B719" t="s">
        <v>1501</v>
      </c>
      <c r="D719" t="s">
        <v>1110</v>
      </c>
      <c r="E719" t="s">
        <v>440</v>
      </c>
      <c r="F719">
        <v>4</v>
      </c>
      <c r="G719" s="2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O719">
        <v>3</v>
      </c>
    </row>
    <row r="720" spans="1:15" x14ac:dyDescent="0.25">
      <c r="A720">
        <v>720</v>
      </c>
      <c r="B720" t="s">
        <v>1502</v>
      </c>
      <c r="D720" t="s">
        <v>1110</v>
      </c>
      <c r="E720" t="s">
        <v>440</v>
      </c>
      <c r="F720">
        <v>5</v>
      </c>
      <c r="G720" s="2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O720">
        <v>4</v>
      </c>
    </row>
    <row r="721" spans="1:15" x14ac:dyDescent="0.25">
      <c r="A721">
        <v>721</v>
      </c>
      <c r="B721" t="s">
        <v>1503</v>
      </c>
      <c r="D721" t="s">
        <v>1110</v>
      </c>
      <c r="E721" t="s">
        <v>392</v>
      </c>
      <c r="F721">
        <v>1</v>
      </c>
      <c r="G721" s="2">
        <v>43248</v>
      </c>
      <c r="H721">
        <v>3</v>
      </c>
      <c r="I721">
        <v>2</v>
      </c>
      <c r="J721">
        <v>311</v>
      </c>
      <c r="K721">
        <v>183</v>
      </c>
      <c r="L721" t="s">
        <v>141</v>
      </c>
      <c r="M721" t="s">
        <v>141</v>
      </c>
      <c r="N721" t="s">
        <v>141</v>
      </c>
      <c r="O721">
        <v>2</v>
      </c>
    </row>
    <row r="722" spans="1:15" x14ac:dyDescent="0.25">
      <c r="A722">
        <v>722</v>
      </c>
      <c r="B722" t="s">
        <v>1505</v>
      </c>
      <c r="D722" t="s">
        <v>1110</v>
      </c>
      <c r="E722" t="s">
        <v>392</v>
      </c>
      <c r="F722">
        <v>11</v>
      </c>
      <c r="G722" s="2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O722">
        <v>4</v>
      </c>
    </row>
    <row r="723" spans="1:15" x14ac:dyDescent="0.25">
      <c r="A723">
        <v>723</v>
      </c>
      <c r="B723" t="s">
        <v>1506</v>
      </c>
      <c r="D723" t="s">
        <v>1110</v>
      </c>
      <c r="E723" t="s">
        <v>392</v>
      </c>
      <c r="F723">
        <v>10</v>
      </c>
      <c r="G723" s="2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141</v>
      </c>
      <c r="M723" t="s">
        <v>141</v>
      </c>
      <c r="N723" t="s">
        <v>141</v>
      </c>
      <c r="O723">
        <v>4</v>
      </c>
    </row>
    <row r="724" spans="1:15" x14ac:dyDescent="0.25">
      <c r="A724">
        <v>724</v>
      </c>
      <c r="B724" t="s">
        <v>1508</v>
      </c>
      <c r="D724" t="s">
        <v>1110</v>
      </c>
      <c r="E724" t="s">
        <v>392</v>
      </c>
      <c r="F724">
        <v>2</v>
      </c>
      <c r="G724" s="2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O724">
        <v>4</v>
      </c>
    </row>
    <row r="725" spans="1:15" x14ac:dyDescent="0.25">
      <c r="A725">
        <v>725</v>
      </c>
      <c r="B725" t="s">
        <v>1509</v>
      </c>
      <c r="D725" t="s">
        <v>1110</v>
      </c>
      <c r="E725" t="s">
        <v>392</v>
      </c>
      <c r="F725">
        <v>3</v>
      </c>
      <c r="G725" s="2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O725">
        <v>5</v>
      </c>
    </row>
    <row r="726" spans="1:15" x14ac:dyDescent="0.25">
      <c r="A726">
        <v>726</v>
      </c>
      <c r="B726" t="s">
        <v>1510</v>
      </c>
      <c r="D726" t="s">
        <v>1110</v>
      </c>
      <c r="E726" t="s">
        <v>392</v>
      </c>
      <c r="F726">
        <v>4</v>
      </c>
      <c r="G726" s="2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O726">
        <v>4</v>
      </c>
    </row>
    <row r="727" spans="1:15" x14ac:dyDescent="0.25">
      <c r="A727">
        <v>727</v>
      </c>
      <c r="B727" t="s">
        <v>1511</v>
      </c>
      <c r="D727" t="s">
        <v>1110</v>
      </c>
      <c r="E727" t="s">
        <v>392</v>
      </c>
      <c r="F727">
        <v>5</v>
      </c>
      <c r="G727" s="2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O727">
        <v>4</v>
      </c>
    </row>
    <row r="728" spans="1:15" x14ac:dyDescent="0.25">
      <c r="A728">
        <v>728</v>
      </c>
      <c r="B728" t="s">
        <v>1512</v>
      </c>
      <c r="D728" t="s">
        <v>1110</v>
      </c>
      <c r="E728" t="s">
        <v>392</v>
      </c>
      <c r="F728">
        <v>6</v>
      </c>
      <c r="G728" s="2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O728">
        <v>3</v>
      </c>
    </row>
    <row r="729" spans="1:15" x14ac:dyDescent="0.25">
      <c r="A729">
        <v>729</v>
      </c>
      <c r="B729" t="s">
        <v>1514</v>
      </c>
      <c r="D729" t="s">
        <v>1110</v>
      </c>
      <c r="E729" t="s">
        <v>392</v>
      </c>
      <c r="F729">
        <v>7</v>
      </c>
      <c r="G729" s="2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O729">
        <v>4</v>
      </c>
    </row>
    <row r="730" spans="1:15" x14ac:dyDescent="0.25">
      <c r="A730">
        <v>730</v>
      </c>
      <c r="B730" t="s">
        <v>1516</v>
      </c>
      <c r="D730" t="s">
        <v>1110</v>
      </c>
      <c r="E730" t="s">
        <v>392</v>
      </c>
      <c r="F730">
        <v>8</v>
      </c>
      <c r="G730" s="2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O730">
        <v>3</v>
      </c>
    </row>
    <row r="731" spans="1:15" x14ac:dyDescent="0.25">
      <c r="A731">
        <v>731</v>
      </c>
      <c r="B731" t="s">
        <v>1518</v>
      </c>
      <c r="D731" t="s">
        <v>1110</v>
      </c>
      <c r="E731" t="s">
        <v>392</v>
      </c>
      <c r="F731">
        <v>9</v>
      </c>
      <c r="G731" s="2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O731">
        <v>3</v>
      </c>
    </row>
    <row r="732" spans="1:15" x14ac:dyDescent="0.25">
      <c r="A732">
        <v>732</v>
      </c>
      <c r="B732" t="s">
        <v>1520</v>
      </c>
      <c r="D732" t="s">
        <v>1110</v>
      </c>
      <c r="E732" t="s">
        <v>390</v>
      </c>
      <c r="G732" s="2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141</v>
      </c>
      <c r="N732" t="s">
        <v>141</v>
      </c>
      <c r="O732">
        <v>2</v>
      </c>
    </row>
    <row r="733" spans="1:15" x14ac:dyDescent="0.25">
      <c r="A733">
        <v>733</v>
      </c>
      <c r="B733" t="s">
        <v>1522</v>
      </c>
      <c r="D733" t="s">
        <v>1110</v>
      </c>
      <c r="E733" t="s">
        <v>390</v>
      </c>
      <c r="G733" s="2">
        <v>43308</v>
      </c>
      <c r="H733">
        <v>3.7</v>
      </c>
      <c r="I733" t="s">
        <v>1652</v>
      </c>
      <c r="J733">
        <v>306</v>
      </c>
      <c r="K733">
        <v>175</v>
      </c>
      <c r="L733">
        <v>1.94</v>
      </c>
      <c r="M733" t="s">
        <v>141</v>
      </c>
      <c r="N733" t="s">
        <v>141</v>
      </c>
      <c r="O733">
        <v>2</v>
      </c>
    </row>
    <row r="734" spans="1:15" x14ac:dyDescent="0.25">
      <c r="A734">
        <v>734</v>
      </c>
      <c r="B734" t="s">
        <v>1524</v>
      </c>
      <c r="D734" t="s">
        <v>1110</v>
      </c>
      <c r="E734" t="s">
        <v>390</v>
      </c>
      <c r="G734" s="2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141</v>
      </c>
      <c r="N734" t="s">
        <v>141</v>
      </c>
      <c r="O734">
        <v>2</v>
      </c>
    </row>
    <row r="735" spans="1:15" x14ac:dyDescent="0.25">
      <c r="A735">
        <v>735</v>
      </c>
      <c r="B735" t="s">
        <v>1526</v>
      </c>
      <c r="D735" t="s">
        <v>1110</v>
      </c>
      <c r="E735" t="s">
        <v>390</v>
      </c>
      <c r="G735" s="2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141</v>
      </c>
      <c r="N735" t="s">
        <v>141</v>
      </c>
      <c r="O735">
        <v>2</v>
      </c>
    </row>
    <row r="736" spans="1:15" x14ac:dyDescent="0.25">
      <c r="A736">
        <v>736</v>
      </c>
      <c r="B736" t="s">
        <v>1528</v>
      </c>
      <c r="D736" t="s">
        <v>1110</v>
      </c>
      <c r="E736" t="s">
        <v>390</v>
      </c>
      <c r="G736" s="2">
        <v>43309</v>
      </c>
      <c r="H736" t="s">
        <v>1653</v>
      </c>
      <c r="I736" t="s">
        <v>1654</v>
      </c>
      <c r="J736">
        <v>364</v>
      </c>
      <c r="K736">
        <v>0</v>
      </c>
      <c r="L736">
        <v>2.02</v>
      </c>
      <c r="M736" t="s">
        <v>141</v>
      </c>
      <c r="N736" t="s">
        <v>141</v>
      </c>
      <c r="O736">
        <v>2</v>
      </c>
    </row>
    <row r="737" spans="1:15" x14ac:dyDescent="0.25">
      <c r="A737">
        <v>737</v>
      </c>
      <c r="B737" t="s">
        <v>1530</v>
      </c>
      <c r="D737" t="s">
        <v>1110</v>
      </c>
      <c r="E737" t="s">
        <v>413</v>
      </c>
      <c r="G737" s="2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O737">
        <v>4</v>
      </c>
    </row>
    <row r="738" spans="1:15" x14ac:dyDescent="0.25">
      <c r="A738">
        <v>738</v>
      </c>
      <c r="B738" t="s">
        <v>1531</v>
      </c>
      <c r="D738" t="s">
        <v>1110</v>
      </c>
      <c r="E738" t="s">
        <v>413</v>
      </c>
      <c r="G738" s="2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O738">
        <v>4</v>
      </c>
    </row>
    <row r="739" spans="1:15" x14ac:dyDescent="0.25">
      <c r="A739">
        <v>739</v>
      </c>
      <c r="B739" t="s">
        <v>1532</v>
      </c>
      <c r="D739" t="s">
        <v>1110</v>
      </c>
      <c r="E739" t="s">
        <v>413</v>
      </c>
      <c r="G739" s="2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O739">
        <v>3</v>
      </c>
    </row>
    <row r="740" spans="1:15" x14ac:dyDescent="0.25">
      <c r="A740">
        <v>740</v>
      </c>
      <c r="B740" t="s">
        <v>1533</v>
      </c>
      <c r="D740" t="s">
        <v>1110</v>
      </c>
      <c r="E740" t="s">
        <v>413</v>
      </c>
      <c r="G740" s="2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O740">
        <v>3</v>
      </c>
    </row>
    <row r="741" spans="1:15" x14ac:dyDescent="0.25">
      <c r="A741">
        <v>741</v>
      </c>
      <c r="B741" t="s">
        <v>1534</v>
      </c>
      <c r="D741" t="s">
        <v>1110</v>
      </c>
      <c r="E741" t="s">
        <v>413</v>
      </c>
      <c r="G741" s="2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O741">
        <v>4</v>
      </c>
    </row>
    <row r="742" spans="1:15" x14ac:dyDescent="0.25">
      <c r="A742">
        <v>742</v>
      </c>
      <c r="B742" t="s">
        <v>1535</v>
      </c>
      <c r="D742" t="s">
        <v>1110</v>
      </c>
      <c r="E742" t="s">
        <v>378</v>
      </c>
      <c r="G742" s="2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O742">
        <v>3</v>
      </c>
    </row>
    <row r="743" spans="1:15" x14ac:dyDescent="0.25">
      <c r="A743">
        <v>743</v>
      </c>
      <c r="B743" t="s">
        <v>1536</v>
      </c>
      <c r="D743" t="s">
        <v>1110</v>
      </c>
      <c r="E743" t="s">
        <v>378</v>
      </c>
      <c r="G743" s="2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O743">
        <v>4</v>
      </c>
    </row>
    <row r="744" spans="1:15" x14ac:dyDescent="0.25">
      <c r="A744">
        <v>744</v>
      </c>
      <c r="B744" t="s">
        <v>1537</v>
      </c>
      <c r="D744" t="s">
        <v>1110</v>
      </c>
      <c r="E744" t="s">
        <v>378</v>
      </c>
      <c r="G744" s="2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O744">
        <v>3</v>
      </c>
    </row>
    <row r="745" spans="1:15" x14ac:dyDescent="0.25">
      <c r="A745">
        <v>745</v>
      </c>
      <c r="B745" t="s">
        <v>1538</v>
      </c>
      <c r="D745" t="s">
        <v>1110</v>
      </c>
      <c r="E745" t="s">
        <v>378</v>
      </c>
      <c r="G745" s="2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O745">
        <v>4</v>
      </c>
    </row>
    <row r="746" spans="1:15" x14ac:dyDescent="0.25">
      <c r="A746">
        <v>746</v>
      </c>
      <c r="B746" t="s">
        <v>1539</v>
      </c>
      <c r="D746" t="s">
        <v>1110</v>
      </c>
      <c r="E746" t="s">
        <v>378</v>
      </c>
      <c r="G746" s="2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O746">
        <v>4</v>
      </c>
    </row>
    <row r="747" spans="1:15" x14ac:dyDescent="0.25">
      <c r="A747">
        <v>747</v>
      </c>
      <c r="B747" t="s">
        <v>1540</v>
      </c>
      <c r="D747" t="s">
        <v>1110</v>
      </c>
      <c r="E747" t="s">
        <v>347</v>
      </c>
      <c r="G747" s="2">
        <v>43246</v>
      </c>
      <c r="H747">
        <v>1.5</v>
      </c>
      <c r="I747">
        <v>1</v>
      </c>
      <c r="J747">
        <v>170</v>
      </c>
      <c r="K747">
        <v>60</v>
      </c>
      <c r="L747" t="s">
        <v>141</v>
      </c>
      <c r="M747" t="s">
        <v>141</v>
      </c>
      <c r="N747" t="s">
        <v>141</v>
      </c>
      <c r="O747">
        <v>1</v>
      </c>
    </row>
    <row r="748" spans="1:15" x14ac:dyDescent="0.25">
      <c r="A748">
        <v>748</v>
      </c>
      <c r="B748" t="s">
        <v>1542</v>
      </c>
      <c r="D748" t="s">
        <v>1110</v>
      </c>
      <c r="E748" t="s">
        <v>347</v>
      </c>
      <c r="G748" s="2">
        <v>43271</v>
      </c>
      <c r="H748">
        <v>4.7</v>
      </c>
      <c r="I748" t="s">
        <v>1618</v>
      </c>
      <c r="J748">
        <v>257</v>
      </c>
      <c r="K748">
        <v>80</v>
      </c>
      <c r="L748" t="s">
        <v>141</v>
      </c>
      <c r="M748" t="s">
        <v>141</v>
      </c>
      <c r="N748" t="s">
        <v>141</v>
      </c>
      <c r="O748">
        <v>4</v>
      </c>
    </row>
    <row r="749" spans="1:15" x14ac:dyDescent="0.25">
      <c r="A749">
        <v>749</v>
      </c>
      <c r="B749" t="s">
        <v>1544</v>
      </c>
      <c r="D749" t="s">
        <v>1110</v>
      </c>
      <c r="E749" t="s">
        <v>347</v>
      </c>
      <c r="G749" s="2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141</v>
      </c>
      <c r="M749" t="s">
        <v>141</v>
      </c>
      <c r="N749" t="s">
        <v>141</v>
      </c>
      <c r="O749">
        <v>5</v>
      </c>
    </row>
    <row r="750" spans="1:15" x14ac:dyDescent="0.25">
      <c r="A750">
        <v>750</v>
      </c>
      <c r="B750" t="s">
        <v>1545</v>
      </c>
      <c r="D750" t="s">
        <v>1110</v>
      </c>
      <c r="E750" t="s">
        <v>347</v>
      </c>
      <c r="G750" s="2">
        <v>43251</v>
      </c>
      <c r="H750">
        <v>2.9</v>
      </c>
      <c r="I750" t="s">
        <v>1655</v>
      </c>
      <c r="J750">
        <v>185</v>
      </c>
      <c r="K750">
        <v>120</v>
      </c>
      <c r="L750" t="s">
        <v>141</v>
      </c>
      <c r="M750" t="s">
        <v>141</v>
      </c>
      <c r="N750" t="s">
        <v>141</v>
      </c>
      <c r="O750">
        <v>5</v>
      </c>
    </row>
    <row r="751" spans="1:15" x14ac:dyDescent="0.25">
      <c r="A751">
        <v>751</v>
      </c>
      <c r="B751" t="s">
        <v>1546</v>
      </c>
      <c r="D751" t="s">
        <v>1110</v>
      </c>
      <c r="E751" t="s">
        <v>347</v>
      </c>
      <c r="G751" s="2">
        <v>43251</v>
      </c>
      <c r="H751">
        <v>7.4</v>
      </c>
      <c r="I751" t="s">
        <v>1656</v>
      </c>
      <c r="J751">
        <v>245</v>
      </c>
      <c r="K751">
        <v>105</v>
      </c>
      <c r="L751" t="s">
        <v>141</v>
      </c>
      <c r="M751" t="s">
        <v>141</v>
      </c>
      <c r="N751" t="s">
        <v>141</v>
      </c>
      <c r="O751">
        <v>5</v>
      </c>
    </row>
    <row r="752" spans="1:15" x14ac:dyDescent="0.25">
      <c r="A752">
        <v>752</v>
      </c>
      <c r="B752" t="s">
        <v>1547</v>
      </c>
      <c r="D752" t="s">
        <v>1110</v>
      </c>
      <c r="E752" t="s">
        <v>347</v>
      </c>
      <c r="G752" s="2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141</v>
      </c>
      <c r="M752" t="s">
        <v>141</v>
      </c>
      <c r="N752" t="s">
        <v>141</v>
      </c>
      <c r="O752">
        <v>5</v>
      </c>
    </row>
    <row r="753" spans="1:15" x14ac:dyDescent="0.25">
      <c r="A753">
        <v>753</v>
      </c>
      <c r="B753" t="s">
        <v>1548</v>
      </c>
      <c r="D753" t="s">
        <v>1110</v>
      </c>
      <c r="E753" t="s">
        <v>347</v>
      </c>
      <c r="G753" s="2">
        <v>43271</v>
      </c>
      <c r="H753">
        <v>7.8</v>
      </c>
      <c r="I753">
        <v>7.6</v>
      </c>
      <c r="J753">
        <v>344</v>
      </c>
      <c r="K753">
        <v>160</v>
      </c>
      <c r="L753" t="s">
        <v>141</v>
      </c>
      <c r="M753" t="s">
        <v>141</v>
      </c>
      <c r="N753" t="s">
        <v>141</v>
      </c>
      <c r="O753">
        <v>5</v>
      </c>
    </row>
    <row r="754" spans="1:15" x14ac:dyDescent="0.25">
      <c r="A754">
        <v>754</v>
      </c>
      <c r="B754" t="s">
        <v>1549</v>
      </c>
      <c r="D754" t="s">
        <v>1110</v>
      </c>
      <c r="E754" t="s">
        <v>347</v>
      </c>
      <c r="G754" s="2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141</v>
      </c>
      <c r="M754" t="s">
        <v>141</v>
      </c>
      <c r="N754" t="s">
        <v>141</v>
      </c>
      <c r="O754">
        <v>5</v>
      </c>
    </row>
    <row r="755" spans="1:15" x14ac:dyDescent="0.25">
      <c r="A755">
        <v>755</v>
      </c>
      <c r="B755" t="s">
        <v>1550</v>
      </c>
      <c r="D755" t="s">
        <v>1110</v>
      </c>
      <c r="E755" t="s">
        <v>347</v>
      </c>
      <c r="G755" s="2">
        <v>43271</v>
      </c>
      <c r="H755">
        <v>7.8</v>
      </c>
      <c r="I755">
        <v>6.8</v>
      </c>
      <c r="J755">
        <v>456</v>
      </c>
      <c r="K755">
        <v>232</v>
      </c>
      <c r="L755" t="s">
        <v>141</v>
      </c>
      <c r="M755" t="s">
        <v>141</v>
      </c>
      <c r="N755" t="s">
        <v>141</v>
      </c>
      <c r="O755">
        <v>4</v>
      </c>
    </row>
    <row r="756" spans="1:15" x14ac:dyDescent="0.25">
      <c r="A756">
        <v>756</v>
      </c>
      <c r="B756" t="s">
        <v>1552</v>
      </c>
      <c r="D756" t="s">
        <v>1110</v>
      </c>
      <c r="E756" t="s">
        <v>347</v>
      </c>
      <c r="G756" s="2">
        <v>43271</v>
      </c>
      <c r="H756">
        <v>10</v>
      </c>
      <c r="I756">
        <v>8.1</v>
      </c>
      <c r="J756">
        <v>359</v>
      </c>
      <c r="K756">
        <v>130</v>
      </c>
      <c r="L756" t="s">
        <v>141</v>
      </c>
      <c r="M756" t="s">
        <v>141</v>
      </c>
      <c r="N756" t="s">
        <v>141</v>
      </c>
      <c r="O756">
        <v>4</v>
      </c>
    </row>
    <row r="757" spans="1:15" x14ac:dyDescent="0.25">
      <c r="A757">
        <v>757</v>
      </c>
      <c r="B757" t="s">
        <v>1554</v>
      </c>
      <c r="D757" t="s">
        <v>1110</v>
      </c>
      <c r="E757" t="s">
        <v>625</v>
      </c>
      <c r="G757" s="2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O757">
        <v>4</v>
      </c>
    </row>
    <row r="758" spans="1:15" x14ac:dyDescent="0.25">
      <c r="A758">
        <v>758</v>
      </c>
      <c r="B758" t="s">
        <v>1555</v>
      </c>
      <c r="D758" t="s">
        <v>1110</v>
      </c>
      <c r="E758" t="s">
        <v>625</v>
      </c>
      <c r="G758" s="2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O758">
        <v>3</v>
      </c>
    </row>
    <row r="759" spans="1:15" x14ac:dyDescent="0.25">
      <c r="A759">
        <v>759</v>
      </c>
      <c r="B759" t="s">
        <v>1556</v>
      </c>
      <c r="D759" t="s">
        <v>1110</v>
      </c>
      <c r="E759" t="s">
        <v>625</v>
      </c>
      <c r="G759" s="2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O759">
        <v>4</v>
      </c>
    </row>
    <row r="760" spans="1:15" x14ac:dyDescent="0.25">
      <c r="A760">
        <v>760</v>
      </c>
      <c r="B760" t="s">
        <v>1557</v>
      </c>
      <c r="D760" t="s">
        <v>1110</v>
      </c>
      <c r="E760" t="s">
        <v>625</v>
      </c>
      <c r="G760" s="2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O760">
        <v>4</v>
      </c>
    </row>
    <row r="761" spans="1:15" x14ac:dyDescent="0.25">
      <c r="A761">
        <v>761</v>
      </c>
      <c r="B761" t="s">
        <v>1558</v>
      </c>
      <c r="D761" t="s">
        <v>1110</v>
      </c>
      <c r="E761" t="s">
        <v>625</v>
      </c>
      <c r="G761" s="2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O761">
        <v>4</v>
      </c>
    </row>
    <row r="762" spans="1:15" x14ac:dyDescent="0.25">
      <c r="A762">
        <v>762</v>
      </c>
      <c r="B762" t="s">
        <v>1559</v>
      </c>
      <c r="D762" t="s">
        <v>1110</v>
      </c>
      <c r="E762" t="s">
        <v>362</v>
      </c>
      <c r="G762" s="2">
        <v>43271</v>
      </c>
      <c r="H762" t="s">
        <v>1657</v>
      </c>
      <c r="I762" t="s">
        <v>1658</v>
      </c>
      <c r="J762">
        <v>239</v>
      </c>
      <c r="K762">
        <v>110</v>
      </c>
      <c r="L762" t="s">
        <v>141</v>
      </c>
      <c r="M762" t="s">
        <v>141</v>
      </c>
      <c r="N762" t="s">
        <v>141</v>
      </c>
      <c r="O762">
        <v>4</v>
      </c>
    </row>
    <row r="763" spans="1:15" x14ac:dyDescent="0.25">
      <c r="A763">
        <v>763</v>
      </c>
      <c r="B763" t="s">
        <v>1560</v>
      </c>
      <c r="D763" t="s">
        <v>1110</v>
      </c>
      <c r="E763" t="s">
        <v>362</v>
      </c>
      <c r="G763" s="2">
        <v>43271</v>
      </c>
      <c r="H763" t="s">
        <v>1659</v>
      </c>
      <c r="I763" t="s">
        <v>1660</v>
      </c>
      <c r="J763">
        <v>358</v>
      </c>
      <c r="K763">
        <v>80</v>
      </c>
      <c r="L763" t="s">
        <v>141</v>
      </c>
      <c r="M763" t="s">
        <v>141</v>
      </c>
      <c r="N763" t="s">
        <v>141</v>
      </c>
      <c r="O763">
        <v>4</v>
      </c>
    </row>
    <row r="764" spans="1:15" x14ac:dyDescent="0.25">
      <c r="A764">
        <v>764</v>
      </c>
      <c r="B764" t="s">
        <v>1561</v>
      </c>
      <c r="D764" t="s">
        <v>1110</v>
      </c>
      <c r="E764" t="s">
        <v>362</v>
      </c>
      <c r="G764" s="2">
        <v>43271</v>
      </c>
      <c r="H764">
        <v>7.7</v>
      </c>
      <c r="I764">
        <v>6.2</v>
      </c>
      <c r="J764">
        <v>323</v>
      </c>
      <c r="K764">
        <v>50</v>
      </c>
      <c r="L764" t="s">
        <v>141</v>
      </c>
      <c r="M764" t="s">
        <v>141</v>
      </c>
      <c r="N764" t="s">
        <v>141</v>
      </c>
      <c r="O764">
        <v>4</v>
      </c>
    </row>
    <row r="765" spans="1:15" x14ac:dyDescent="0.25">
      <c r="A765">
        <v>765</v>
      </c>
      <c r="B765" t="s">
        <v>1562</v>
      </c>
      <c r="D765" t="s">
        <v>1110</v>
      </c>
      <c r="E765" t="s">
        <v>362</v>
      </c>
      <c r="G765" s="2">
        <v>43271</v>
      </c>
      <c r="H765">
        <v>11.5</v>
      </c>
      <c r="I765">
        <v>5.8</v>
      </c>
      <c r="J765">
        <v>344</v>
      </c>
      <c r="K765">
        <v>30</v>
      </c>
      <c r="L765" t="s">
        <v>141</v>
      </c>
      <c r="M765" t="s">
        <v>141</v>
      </c>
      <c r="N765" t="s">
        <v>141</v>
      </c>
      <c r="O765">
        <v>4</v>
      </c>
    </row>
    <row r="766" spans="1:15" x14ac:dyDescent="0.25">
      <c r="A766">
        <v>766</v>
      </c>
      <c r="B766" t="s">
        <v>1563</v>
      </c>
      <c r="D766" t="s">
        <v>1110</v>
      </c>
      <c r="E766" t="s">
        <v>362</v>
      </c>
      <c r="G766" s="2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O766">
        <v>5</v>
      </c>
    </row>
    <row r="767" spans="1:15" x14ac:dyDescent="0.25">
      <c r="A767">
        <v>767</v>
      </c>
      <c r="B767" t="s">
        <v>1564</v>
      </c>
      <c r="D767" t="s">
        <v>1110</v>
      </c>
      <c r="E767" t="s">
        <v>385</v>
      </c>
      <c r="G767" s="2">
        <v>43280</v>
      </c>
      <c r="H767" t="s">
        <v>1661</v>
      </c>
      <c r="I767" t="s">
        <v>1662</v>
      </c>
      <c r="J767">
        <v>515</v>
      </c>
      <c r="K767">
        <v>178</v>
      </c>
      <c r="L767">
        <v>3.85</v>
      </c>
      <c r="M767">
        <v>4.58</v>
      </c>
      <c r="N767">
        <v>4.32</v>
      </c>
      <c r="O767">
        <v>4</v>
      </c>
    </row>
    <row r="768" spans="1:15" x14ac:dyDescent="0.25">
      <c r="A768">
        <v>768</v>
      </c>
      <c r="B768" t="s">
        <v>1565</v>
      </c>
      <c r="D768" t="s">
        <v>1110</v>
      </c>
      <c r="E768" t="s">
        <v>385</v>
      </c>
      <c r="G768" s="2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O768">
        <v>4</v>
      </c>
    </row>
    <row r="769" spans="1:15" x14ac:dyDescent="0.25">
      <c r="A769">
        <v>769</v>
      </c>
      <c r="B769" t="s">
        <v>1566</v>
      </c>
      <c r="D769" t="s">
        <v>1110</v>
      </c>
      <c r="E769" t="s">
        <v>385</v>
      </c>
      <c r="G769" s="2">
        <v>43284</v>
      </c>
      <c r="H769">
        <v>2.4</v>
      </c>
      <c r="I769">
        <v>1.3</v>
      </c>
      <c r="J769">
        <v>218</v>
      </c>
      <c r="K769">
        <v>50</v>
      </c>
      <c r="L769" t="s">
        <v>141</v>
      </c>
      <c r="M769" t="s">
        <v>141</v>
      </c>
      <c r="N769" t="s">
        <v>141</v>
      </c>
      <c r="O769">
        <v>5</v>
      </c>
    </row>
    <row r="770" spans="1:15" x14ac:dyDescent="0.25">
      <c r="A770">
        <v>770</v>
      </c>
      <c r="B770" t="s">
        <v>1567</v>
      </c>
      <c r="D770" t="s">
        <v>1110</v>
      </c>
      <c r="E770" t="s">
        <v>385</v>
      </c>
      <c r="G770" s="2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O770">
        <v>5</v>
      </c>
    </row>
    <row r="771" spans="1:15" x14ac:dyDescent="0.25">
      <c r="A771">
        <v>771</v>
      </c>
      <c r="B771" t="s">
        <v>1569</v>
      </c>
      <c r="D771" t="s">
        <v>1110</v>
      </c>
      <c r="E771" t="s">
        <v>385</v>
      </c>
      <c r="G771" s="2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O771">
        <v>5</v>
      </c>
    </row>
    <row r="772" spans="1:15" x14ac:dyDescent="0.25">
      <c r="A772">
        <v>772</v>
      </c>
      <c r="B772" t="s">
        <v>1570</v>
      </c>
      <c r="D772" t="s">
        <v>1110</v>
      </c>
      <c r="E772" t="s">
        <v>502</v>
      </c>
      <c r="G772" t="s">
        <v>141</v>
      </c>
      <c r="H772">
        <v>12.5</v>
      </c>
      <c r="I772">
        <v>12</v>
      </c>
      <c r="J772">
        <v>469</v>
      </c>
      <c r="K772">
        <v>165</v>
      </c>
      <c r="L772" t="s">
        <v>141</v>
      </c>
      <c r="M772" t="s">
        <v>141</v>
      </c>
      <c r="N772" t="s">
        <v>141</v>
      </c>
      <c r="O772">
        <v>4</v>
      </c>
    </row>
    <row r="773" spans="1:15" x14ac:dyDescent="0.25">
      <c r="A773">
        <v>773</v>
      </c>
      <c r="B773" t="s">
        <v>1571</v>
      </c>
      <c r="D773" t="s">
        <v>1110</v>
      </c>
      <c r="E773" t="s">
        <v>502</v>
      </c>
      <c r="G773" s="2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O773">
        <v>5</v>
      </c>
    </row>
    <row r="774" spans="1:15" x14ac:dyDescent="0.25">
      <c r="A774">
        <v>774</v>
      </c>
      <c r="B774" t="s">
        <v>1572</v>
      </c>
      <c r="D774" t="s">
        <v>1110</v>
      </c>
      <c r="E774" t="s">
        <v>502</v>
      </c>
      <c r="G774" s="2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O774">
        <v>5</v>
      </c>
    </row>
    <row r="775" spans="1:15" x14ac:dyDescent="0.25">
      <c r="A775">
        <v>775</v>
      </c>
      <c r="B775" t="s">
        <v>1573</v>
      </c>
      <c r="D775" t="s">
        <v>1110</v>
      </c>
      <c r="E775" t="s">
        <v>502</v>
      </c>
      <c r="G775" s="2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O775">
        <v>5</v>
      </c>
    </row>
    <row r="776" spans="1:15" x14ac:dyDescent="0.25">
      <c r="A776">
        <v>776</v>
      </c>
      <c r="B776" t="s">
        <v>1574</v>
      </c>
      <c r="D776" t="s">
        <v>1110</v>
      </c>
      <c r="E776" t="s">
        <v>353</v>
      </c>
      <c r="G776" s="2">
        <v>43248</v>
      </c>
      <c r="H776">
        <v>6.4</v>
      </c>
      <c r="I776">
        <v>2.5</v>
      </c>
      <c r="J776">
        <v>360</v>
      </c>
      <c r="K776">
        <v>143</v>
      </c>
      <c r="L776" t="s">
        <v>141</v>
      </c>
      <c r="M776" t="s">
        <v>141</v>
      </c>
      <c r="N776" t="s">
        <v>141</v>
      </c>
      <c r="O776">
        <v>3</v>
      </c>
    </row>
    <row r="777" spans="1:15" x14ac:dyDescent="0.25">
      <c r="A777">
        <v>777</v>
      </c>
      <c r="B777" t="s">
        <v>1575</v>
      </c>
      <c r="D777" t="s">
        <v>1110</v>
      </c>
      <c r="E777" t="s">
        <v>353</v>
      </c>
      <c r="G777" s="2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O777">
        <v>4</v>
      </c>
    </row>
    <row r="778" spans="1:15" x14ac:dyDescent="0.25">
      <c r="A778">
        <v>778</v>
      </c>
      <c r="B778" t="s">
        <v>1577</v>
      </c>
      <c r="D778" t="s">
        <v>1110</v>
      </c>
      <c r="E778" t="s">
        <v>353</v>
      </c>
      <c r="G778"/>
      <c r="H778">
        <v>10.1</v>
      </c>
      <c r="I778" t="s">
        <v>1663</v>
      </c>
      <c r="J778">
        <v>330</v>
      </c>
      <c r="K778">
        <v>30</v>
      </c>
      <c r="L778" t="s">
        <v>141</v>
      </c>
      <c r="M778" t="s">
        <v>141</v>
      </c>
      <c r="N778" t="s">
        <v>141</v>
      </c>
      <c r="O778">
        <v>5</v>
      </c>
    </row>
    <row r="779" spans="1:15" x14ac:dyDescent="0.25">
      <c r="A779">
        <v>779</v>
      </c>
      <c r="B779" t="s">
        <v>1578</v>
      </c>
      <c r="D779" t="s">
        <v>1110</v>
      </c>
      <c r="E779" t="s">
        <v>353</v>
      </c>
      <c r="G779"/>
      <c r="H779">
        <v>8.1</v>
      </c>
      <c r="I779" t="s">
        <v>1664</v>
      </c>
      <c r="J779">
        <v>290</v>
      </c>
      <c r="K779">
        <v>50</v>
      </c>
      <c r="L779" t="s">
        <v>141</v>
      </c>
      <c r="M779" t="s">
        <v>141</v>
      </c>
      <c r="N779" t="s">
        <v>141</v>
      </c>
      <c r="O779">
        <v>5</v>
      </c>
    </row>
    <row r="780" spans="1:15" x14ac:dyDescent="0.25">
      <c r="A780">
        <v>780</v>
      </c>
      <c r="B780" t="s">
        <v>1579</v>
      </c>
      <c r="D780" t="s">
        <v>1110</v>
      </c>
      <c r="E780" t="s">
        <v>353</v>
      </c>
      <c r="G780"/>
      <c r="H780">
        <v>4</v>
      </c>
      <c r="I780">
        <v>2.8</v>
      </c>
      <c r="J780">
        <v>280</v>
      </c>
      <c r="K780">
        <v>40</v>
      </c>
      <c r="L780" t="s">
        <v>141</v>
      </c>
      <c r="M780" t="s">
        <v>141</v>
      </c>
      <c r="N780" t="s">
        <v>141</v>
      </c>
      <c r="O780">
        <v>5</v>
      </c>
    </row>
    <row r="781" spans="1:15" x14ac:dyDescent="0.25">
      <c r="A781">
        <v>781</v>
      </c>
      <c r="B781" t="s">
        <v>1580</v>
      </c>
      <c r="D781" t="s">
        <v>1110</v>
      </c>
      <c r="E781" t="s">
        <v>353</v>
      </c>
      <c r="G781"/>
      <c r="H781" t="s">
        <v>1665</v>
      </c>
      <c r="I781" t="s">
        <v>1666</v>
      </c>
      <c r="J781">
        <v>215</v>
      </c>
      <c r="K781">
        <v>30</v>
      </c>
      <c r="L781" t="s">
        <v>141</v>
      </c>
      <c r="M781" t="s">
        <v>141</v>
      </c>
      <c r="N781" t="s">
        <v>141</v>
      </c>
      <c r="O781">
        <v>5</v>
      </c>
    </row>
    <row r="782" spans="1:15" x14ac:dyDescent="0.25">
      <c r="A782">
        <v>782</v>
      </c>
      <c r="B782" t="s">
        <v>1581</v>
      </c>
      <c r="D782" t="s">
        <v>1110</v>
      </c>
      <c r="E782" t="s">
        <v>353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O782">
        <v>5</v>
      </c>
    </row>
    <row r="783" spans="1:15" x14ac:dyDescent="0.25">
      <c r="A783">
        <v>783</v>
      </c>
      <c r="B783" t="s">
        <v>1582</v>
      </c>
      <c r="D783" t="s">
        <v>1110</v>
      </c>
      <c r="E783" t="s">
        <v>353</v>
      </c>
      <c r="G783"/>
      <c r="H783" t="s">
        <v>1667</v>
      </c>
      <c r="I783" t="s">
        <v>1668</v>
      </c>
      <c r="J783">
        <v>687</v>
      </c>
      <c r="K783">
        <v>40</v>
      </c>
      <c r="L783" t="s">
        <v>141</v>
      </c>
      <c r="M783" t="s">
        <v>141</v>
      </c>
      <c r="N783" t="s">
        <v>141</v>
      </c>
      <c r="O783">
        <v>5</v>
      </c>
    </row>
    <row r="784" spans="1:15" x14ac:dyDescent="0.25">
      <c r="A784">
        <v>784</v>
      </c>
      <c r="B784" t="s">
        <v>1584</v>
      </c>
      <c r="D784" t="s">
        <v>1110</v>
      </c>
      <c r="E784" t="s">
        <v>353</v>
      </c>
      <c r="G784"/>
      <c r="H784">
        <v>60.5</v>
      </c>
      <c r="I784" t="s">
        <v>1669</v>
      </c>
      <c r="J784">
        <v>950</v>
      </c>
      <c r="K784">
        <v>185</v>
      </c>
      <c r="L784" t="s">
        <v>141</v>
      </c>
      <c r="M784" t="s">
        <v>141</v>
      </c>
      <c r="N784" t="s">
        <v>141</v>
      </c>
      <c r="O784">
        <v>5</v>
      </c>
    </row>
    <row r="785" spans="1:15" x14ac:dyDescent="0.25">
      <c r="A785">
        <v>785</v>
      </c>
      <c r="B785" t="s">
        <v>1586</v>
      </c>
      <c r="D785" t="s">
        <v>1110</v>
      </c>
      <c r="E785" t="s">
        <v>353</v>
      </c>
      <c r="G785"/>
      <c r="H785">
        <v>13.7</v>
      </c>
      <c r="I785">
        <v>11.6</v>
      </c>
      <c r="J785">
        <v>452</v>
      </c>
      <c r="K785">
        <v>70</v>
      </c>
      <c r="L785" t="s">
        <v>141</v>
      </c>
      <c r="M785" t="s">
        <v>141</v>
      </c>
      <c r="N785" t="s">
        <v>141</v>
      </c>
      <c r="O785">
        <v>5</v>
      </c>
    </row>
    <row r="786" spans="1:15" x14ac:dyDescent="0.25">
      <c r="B786" t="s">
        <v>1275</v>
      </c>
      <c r="D786" t="s">
        <v>1110</v>
      </c>
      <c r="E786" t="s">
        <v>1280</v>
      </c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5</v>
      </c>
    </row>
    <row r="787" spans="1:15" x14ac:dyDescent="0.25">
      <c r="B787" t="s">
        <v>1276</v>
      </c>
      <c r="D787" t="s">
        <v>1110</v>
      </c>
      <c r="E787" t="s">
        <v>1280</v>
      </c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4</v>
      </c>
    </row>
    <row r="788" spans="1:15" x14ac:dyDescent="0.25">
      <c r="B788" t="s">
        <v>1277</v>
      </c>
      <c r="D788" t="s">
        <v>1110</v>
      </c>
      <c r="E788" t="s">
        <v>1280</v>
      </c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4</v>
      </c>
    </row>
    <row r="789" spans="1:15" x14ac:dyDescent="0.25">
      <c r="B789" t="s">
        <v>1278</v>
      </c>
      <c r="D789" t="s">
        <v>1110</v>
      </c>
      <c r="E789" t="s">
        <v>1280</v>
      </c>
      <c r="H789">
        <v>8.6999999999999993</v>
      </c>
      <c r="I789" t="s">
        <v>1670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5</v>
      </c>
    </row>
    <row r="790" spans="1:15" x14ac:dyDescent="0.25">
      <c r="B790" t="s">
        <v>1279</v>
      </c>
      <c r="D790" t="s">
        <v>1110</v>
      </c>
      <c r="E790" t="s">
        <v>1280</v>
      </c>
      <c r="H790">
        <v>11.6</v>
      </c>
      <c r="I790" t="s">
        <v>1671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5</v>
      </c>
    </row>
  </sheetData>
  <autoFilter ref="A1:R545" xr:uid="{E14E5B95-E472-4B55-A592-5AB19C8C7C27}">
    <sortState ref="A2:R545">
      <sortCondition ref="B1:B54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1117</v>
      </c>
      <c r="B1" t="s">
        <v>1122</v>
      </c>
    </row>
    <row r="2" spans="1:2" x14ac:dyDescent="0.25">
      <c r="A2" t="s">
        <v>501</v>
      </c>
      <c r="B2" t="s">
        <v>802</v>
      </c>
    </row>
    <row r="3" spans="1:2" x14ac:dyDescent="0.25">
      <c r="A3" t="s">
        <v>519</v>
      </c>
      <c r="B3" t="s">
        <v>796</v>
      </c>
    </row>
    <row r="4" spans="1:2" x14ac:dyDescent="0.25">
      <c r="B4" t="s">
        <v>14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1000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ref="A1:B431">
    <sortCondition ref="B1:B43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5"/>
  <sheetViews>
    <sheetView workbookViewId="0">
      <selection activeCell="I9" sqref="I9"/>
    </sheetView>
  </sheetViews>
  <sheetFormatPr defaultRowHeight="15" x14ac:dyDescent="0.25"/>
  <cols>
    <col min="3" max="3" width="14.85546875" customWidth="1"/>
    <col min="4" max="4" width="24.85546875" bestFit="1" customWidth="1"/>
    <col min="5" max="7" width="24.85546875" customWidth="1"/>
    <col min="8" max="8" width="10.85546875" bestFit="1" customWidth="1"/>
    <col min="10" max="10" width="14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31</v>
      </c>
      <c r="E1" t="s">
        <v>146</v>
      </c>
      <c r="F1" t="s">
        <v>147</v>
      </c>
      <c r="G1" t="s">
        <v>148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408</v>
      </c>
      <c r="N1" t="s">
        <v>409</v>
      </c>
      <c r="O1" t="s">
        <v>410</v>
      </c>
      <c r="P1" t="s">
        <v>411</v>
      </c>
    </row>
    <row r="2" spans="1:16" x14ac:dyDescent="0.25">
      <c r="A2" t="s">
        <v>30</v>
      </c>
      <c r="C2">
        <v>25.667000000000002</v>
      </c>
      <c r="D2">
        <v>1.835</v>
      </c>
      <c r="E2">
        <v>1.048</v>
      </c>
      <c r="F2">
        <v>13.47</v>
      </c>
      <c r="G2">
        <f>E2+F2</f>
        <v>14.518000000000001</v>
      </c>
      <c r="H2">
        <v>6.64</v>
      </c>
      <c r="I2">
        <v>6.08</v>
      </c>
      <c r="J2">
        <v>5.18</v>
      </c>
      <c r="K2">
        <v>4.93</v>
      </c>
      <c r="L2">
        <v>1.57</v>
      </c>
    </row>
    <row r="3" spans="1:16" x14ac:dyDescent="0.25">
      <c r="A3" t="s">
        <v>29</v>
      </c>
      <c r="C3">
        <v>33.512</v>
      </c>
      <c r="D3">
        <v>14.85</v>
      </c>
      <c r="E3">
        <v>6.6660000000000004</v>
      </c>
      <c r="F3">
        <v>8.4659999999999993</v>
      </c>
      <c r="G3">
        <f t="shared" ref="G3:G13" si="0">E3+F3</f>
        <v>15.132</v>
      </c>
      <c r="H3">
        <v>9.31</v>
      </c>
      <c r="I3">
        <v>8.57</v>
      </c>
      <c r="J3">
        <v>8</v>
      </c>
      <c r="K3">
        <v>7.31</v>
      </c>
      <c r="L3">
        <v>3.09</v>
      </c>
    </row>
    <row r="4" spans="1:16" x14ac:dyDescent="0.25">
      <c r="A4" t="s">
        <v>13</v>
      </c>
      <c r="C4">
        <v>57.564</v>
      </c>
      <c r="D4">
        <v>17.48</v>
      </c>
      <c r="E4">
        <v>8.6</v>
      </c>
      <c r="F4">
        <v>18.856000000000002</v>
      </c>
      <c r="G4">
        <f t="shared" si="0"/>
        <v>27.456000000000003</v>
      </c>
      <c r="H4">
        <v>11.45</v>
      </c>
      <c r="I4">
        <v>10.96</v>
      </c>
      <c r="J4">
        <v>11.51</v>
      </c>
      <c r="K4">
        <v>10.67</v>
      </c>
      <c r="L4">
        <v>4.4800000000000004</v>
      </c>
    </row>
    <row r="5" spans="1:16" x14ac:dyDescent="0.25">
      <c r="A5" t="s">
        <v>9</v>
      </c>
      <c r="C5">
        <v>8.3770000000000007</v>
      </c>
      <c r="D5">
        <v>8.3770000000000007</v>
      </c>
      <c r="E5">
        <v>4.0880000000000001</v>
      </c>
      <c r="F5">
        <v>0</v>
      </c>
      <c r="G5">
        <f t="shared" si="0"/>
        <v>4.0880000000000001</v>
      </c>
      <c r="H5">
        <v>4.41</v>
      </c>
      <c r="I5">
        <v>3.82</v>
      </c>
      <c r="J5">
        <v>3.37</v>
      </c>
      <c r="K5">
        <v>3.17</v>
      </c>
      <c r="L5">
        <v>1</v>
      </c>
    </row>
    <row r="6" spans="1:16" x14ac:dyDescent="0.25">
      <c r="A6" t="s">
        <v>10</v>
      </c>
      <c r="C6">
        <v>11.975</v>
      </c>
      <c r="D6">
        <v>6.9820000000000002</v>
      </c>
      <c r="E6">
        <v>4.2770000000000001</v>
      </c>
      <c r="F6">
        <v>2.6549999999999998</v>
      </c>
      <c r="G6">
        <f t="shared" si="0"/>
        <v>6.9320000000000004</v>
      </c>
      <c r="H6">
        <v>5.86</v>
      </c>
      <c r="I6">
        <v>5.57</v>
      </c>
      <c r="J6">
        <v>4.71</v>
      </c>
      <c r="K6">
        <v>4.53</v>
      </c>
      <c r="L6">
        <v>1.69</v>
      </c>
    </row>
    <row r="7" spans="1:16" x14ac:dyDescent="0.25">
      <c r="A7" t="s">
        <v>88</v>
      </c>
      <c r="C7">
        <v>8.1150000000000002</v>
      </c>
      <c r="D7">
        <v>2.33</v>
      </c>
      <c r="E7">
        <v>1.06</v>
      </c>
      <c r="F7">
        <v>2.6240000000000001</v>
      </c>
      <c r="G7">
        <f t="shared" si="0"/>
        <v>3.6840000000000002</v>
      </c>
      <c r="H7">
        <v>5.29</v>
      </c>
      <c r="I7">
        <v>5.05</v>
      </c>
      <c r="J7">
        <v>4.97</v>
      </c>
      <c r="K7">
        <v>4.74</v>
      </c>
      <c r="L7">
        <v>1.49</v>
      </c>
    </row>
    <row r="8" spans="1:16" x14ac:dyDescent="0.25">
      <c r="A8" t="s">
        <v>84</v>
      </c>
      <c r="C8">
        <v>24.35</v>
      </c>
      <c r="D8">
        <v>10.1</v>
      </c>
      <c r="E8">
        <v>3.5680000000000001</v>
      </c>
      <c r="F8">
        <f>14.55-9.51</f>
        <v>5.0400000000000009</v>
      </c>
      <c r="G8">
        <f t="shared" si="0"/>
        <v>8.6080000000000005</v>
      </c>
      <c r="H8">
        <v>5.51</v>
      </c>
      <c r="I8">
        <v>5.55</v>
      </c>
      <c r="J8">
        <v>5.05</v>
      </c>
      <c r="K8">
        <v>5</v>
      </c>
      <c r="L8">
        <v>1.76</v>
      </c>
    </row>
    <row r="9" spans="1:16" x14ac:dyDescent="0.25">
      <c r="A9" t="s">
        <v>89</v>
      </c>
      <c r="C9">
        <v>16.079999999999998</v>
      </c>
      <c r="D9">
        <v>3.7469999999999999</v>
      </c>
      <c r="E9">
        <v>1.919</v>
      </c>
      <c r="F9">
        <f>14.632 - 8.333</f>
        <v>6.2989999999999995</v>
      </c>
      <c r="G9">
        <f t="shared" si="0"/>
        <v>8.218</v>
      </c>
      <c r="H9">
        <v>5.52</v>
      </c>
      <c r="I9">
        <v>5.51</v>
      </c>
      <c r="J9">
        <v>4.12</v>
      </c>
      <c r="K9">
        <v>3.77</v>
      </c>
      <c r="L9">
        <v>1.02</v>
      </c>
    </row>
    <row r="10" spans="1:16" x14ac:dyDescent="0.25">
      <c r="A10" t="s">
        <v>9</v>
      </c>
      <c r="C10">
        <v>20.143000000000001</v>
      </c>
      <c r="D10">
        <v>11.45</v>
      </c>
      <c r="E10">
        <v>5.7830000000000004</v>
      </c>
      <c r="F10">
        <v>4.4000000000000004</v>
      </c>
      <c r="G10">
        <f t="shared" si="0"/>
        <v>10.183</v>
      </c>
      <c r="H10">
        <v>6.54</v>
      </c>
      <c r="I10">
        <v>5.77</v>
      </c>
      <c r="J10">
        <v>4.8</v>
      </c>
      <c r="K10">
        <v>4.55</v>
      </c>
      <c r="L10">
        <v>1.76</v>
      </c>
    </row>
    <row r="11" spans="1:16" x14ac:dyDescent="0.25">
      <c r="A11" t="s">
        <v>108</v>
      </c>
      <c r="C11">
        <v>31.042999999999999</v>
      </c>
      <c r="D11">
        <v>7.351</v>
      </c>
      <c r="E11">
        <v>2.1619999999999999</v>
      </c>
      <c r="F11">
        <v>7.3849999999999998</v>
      </c>
      <c r="G11">
        <f t="shared" si="0"/>
        <v>9.5470000000000006</v>
      </c>
      <c r="H11">
        <v>4.76</v>
      </c>
      <c r="I11">
        <v>4.8899999999999997</v>
      </c>
      <c r="J11">
        <v>4.57</v>
      </c>
      <c r="K11">
        <v>4.3099999999999996</v>
      </c>
      <c r="L11">
        <v>0.88</v>
      </c>
    </row>
    <row r="12" spans="1:16" x14ac:dyDescent="0.25">
      <c r="A12" t="s">
        <v>117</v>
      </c>
      <c r="C12">
        <v>21.492999999999999</v>
      </c>
      <c r="D12">
        <v>11.63</v>
      </c>
      <c r="E12">
        <v>4.0229999999999997</v>
      </c>
      <c r="F12">
        <v>3.73</v>
      </c>
      <c r="G12">
        <f t="shared" si="0"/>
        <v>7.7530000000000001</v>
      </c>
      <c r="H12">
        <v>6.76</v>
      </c>
      <c r="I12">
        <v>5.44</v>
      </c>
      <c r="J12">
        <v>6.36</v>
      </c>
      <c r="K12">
        <v>5.2</v>
      </c>
      <c r="L12">
        <v>1.47</v>
      </c>
    </row>
    <row r="13" spans="1:16" x14ac:dyDescent="0.25">
      <c r="A13" t="s">
        <v>131</v>
      </c>
      <c r="C13">
        <v>59.953000000000003</v>
      </c>
      <c r="D13">
        <v>20.841000000000001</v>
      </c>
      <c r="E13">
        <v>8.7219999999999995</v>
      </c>
      <c r="F13">
        <f>26.7 - 8.15</f>
        <v>18.549999999999997</v>
      </c>
      <c r="G13">
        <f t="shared" si="0"/>
        <v>27.271999999999998</v>
      </c>
      <c r="H13">
        <v>13.4</v>
      </c>
      <c r="I13">
        <v>14.3</v>
      </c>
      <c r="J13">
        <v>12</v>
      </c>
      <c r="K13">
        <v>11.74</v>
      </c>
      <c r="L13">
        <v>3.8</v>
      </c>
    </row>
    <row r="14" spans="1:16" x14ac:dyDescent="0.25">
      <c r="A14" t="s">
        <v>93</v>
      </c>
      <c r="C14" t="s">
        <v>141</v>
      </c>
      <c r="D14" t="s">
        <v>141</v>
      </c>
      <c r="E14">
        <v>5.25</v>
      </c>
      <c r="F14">
        <v>0</v>
      </c>
      <c r="G14">
        <v>5.25</v>
      </c>
      <c r="H14">
        <v>4</v>
      </c>
      <c r="I14">
        <v>3.93</v>
      </c>
      <c r="J14">
        <v>2.72</v>
      </c>
      <c r="K14">
        <v>2.71</v>
      </c>
      <c r="L14">
        <v>1.1000000000000001</v>
      </c>
    </row>
    <row r="379" spans="1:12" x14ac:dyDescent="0.25">
      <c r="A379" t="s">
        <v>968</v>
      </c>
      <c r="B379" t="s">
        <v>952</v>
      </c>
      <c r="C379">
        <v>5</v>
      </c>
      <c r="D379" t="s">
        <v>953</v>
      </c>
      <c r="H379">
        <v>5.51</v>
      </c>
      <c r="I379">
        <v>4.3</v>
      </c>
      <c r="L379">
        <v>0.45300000000000001</v>
      </c>
    </row>
    <row r="380" spans="1:12" x14ac:dyDescent="0.25">
      <c r="A380" t="s">
        <v>966</v>
      </c>
      <c r="B380" t="s">
        <v>952</v>
      </c>
      <c r="C380">
        <v>2</v>
      </c>
      <c r="D380" t="s">
        <v>953</v>
      </c>
      <c r="H380">
        <v>5.92</v>
      </c>
      <c r="I380">
        <v>4.67</v>
      </c>
      <c r="L380">
        <v>0.47699999999999998</v>
      </c>
    </row>
    <row r="381" spans="1:12" x14ac:dyDescent="0.25">
      <c r="A381" t="s">
        <v>978</v>
      </c>
      <c r="B381" t="s">
        <v>979</v>
      </c>
      <c r="C381">
        <v>1</v>
      </c>
      <c r="D381" t="s">
        <v>980</v>
      </c>
      <c r="H381">
        <v>3.96</v>
      </c>
      <c r="I381">
        <v>3.33</v>
      </c>
      <c r="L381">
        <v>0.254</v>
      </c>
    </row>
    <row r="382" spans="1:12" x14ac:dyDescent="0.25">
      <c r="A382" t="s">
        <v>984</v>
      </c>
      <c r="B382" t="s">
        <v>979</v>
      </c>
      <c r="C382">
        <v>2</v>
      </c>
      <c r="D382" t="s">
        <v>980</v>
      </c>
      <c r="H382">
        <v>6.32</v>
      </c>
      <c r="I382">
        <v>5.14</v>
      </c>
      <c r="L382">
        <v>0.48599999999999999</v>
      </c>
    </row>
    <row r="383" spans="1:12" x14ac:dyDescent="0.25">
      <c r="A383" t="s">
        <v>975</v>
      </c>
      <c r="B383" t="s">
        <v>932</v>
      </c>
      <c r="C383">
        <v>3</v>
      </c>
      <c r="D383" t="s">
        <v>933</v>
      </c>
      <c r="H383">
        <v>6.06</v>
      </c>
      <c r="I383">
        <v>4.78</v>
      </c>
      <c r="L383">
        <v>0.38200000000000001</v>
      </c>
    </row>
    <row r="384" spans="1:12" x14ac:dyDescent="0.25">
      <c r="A384" t="s">
        <v>974</v>
      </c>
      <c r="B384" t="s">
        <v>952</v>
      </c>
      <c r="C384">
        <v>3</v>
      </c>
      <c r="D384" t="s">
        <v>953</v>
      </c>
      <c r="H384">
        <v>7.61</v>
      </c>
      <c r="I384">
        <v>6.01</v>
      </c>
      <c r="L384">
        <v>0.41699999999999998</v>
      </c>
    </row>
    <row r="385" spans="1:18" x14ac:dyDescent="0.25">
      <c r="A385" t="s">
        <v>973</v>
      </c>
      <c r="B385" t="s">
        <v>440</v>
      </c>
      <c r="C385">
        <v>3</v>
      </c>
      <c r="D385" t="s">
        <v>441</v>
      </c>
      <c r="H385">
        <v>7.32</v>
      </c>
      <c r="I385">
        <v>5.71</v>
      </c>
      <c r="L385">
        <v>0.56100000000000005</v>
      </c>
    </row>
    <row r="386" spans="1:18" x14ac:dyDescent="0.25">
      <c r="A386" t="s">
        <v>976</v>
      </c>
      <c r="B386" t="s">
        <v>911</v>
      </c>
      <c r="C386">
        <v>2</v>
      </c>
      <c r="D386" t="s">
        <v>949</v>
      </c>
      <c r="H386">
        <v>6.67</v>
      </c>
      <c r="I386">
        <v>5.38</v>
      </c>
      <c r="L386">
        <v>0.56699999999999995</v>
      </c>
    </row>
    <row r="387" spans="1:18" x14ac:dyDescent="0.25">
      <c r="A387" t="s">
        <v>985</v>
      </c>
      <c r="B387" t="s">
        <v>885</v>
      </c>
      <c r="C387">
        <v>2</v>
      </c>
      <c r="D387" t="s">
        <v>886</v>
      </c>
      <c r="H387">
        <v>6.88</v>
      </c>
      <c r="I387">
        <v>6.05</v>
      </c>
      <c r="L387">
        <v>0.72299999999999998</v>
      </c>
    </row>
    <row r="388" spans="1:18" x14ac:dyDescent="0.25">
      <c r="A388" t="s">
        <v>931</v>
      </c>
      <c r="B388" t="s">
        <v>932</v>
      </c>
      <c r="C388">
        <v>1</v>
      </c>
      <c r="D388" t="s">
        <v>933</v>
      </c>
      <c r="H388">
        <v>8.61</v>
      </c>
      <c r="I388">
        <v>6.46</v>
      </c>
      <c r="L388">
        <v>0.71299999999999997</v>
      </c>
    </row>
    <row r="389" spans="1:18" x14ac:dyDescent="0.25">
      <c r="A389" t="s">
        <v>958</v>
      </c>
      <c r="B389" t="s">
        <v>463</v>
      </c>
      <c r="C389">
        <v>5</v>
      </c>
      <c r="D389" t="s">
        <v>464</v>
      </c>
      <c r="H389">
        <v>10.28</v>
      </c>
      <c r="I389">
        <v>6.17</v>
      </c>
      <c r="L389">
        <v>0.377</v>
      </c>
    </row>
    <row r="390" spans="1:18" x14ac:dyDescent="0.25">
      <c r="A390" t="s">
        <v>935</v>
      </c>
      <c r="B390" t="s">
        <v>936</v>
      </c>
      <c r="C390">
        <v>1</v>
      </c>
      <c r="D390" t="s">
        <v>937</v>
      </c>
      <c r="H390">
        <v>6.55</v>
      </c>
      <c r="I390">
        <v>4.38</v>
      </c>
      <c r="L390">
        <v>0.56000000000000005</v>
      </c>
    </row>
    <row r="391" spans="1:18" x14ac:dyDescent="0.25">
      <c r="A391" t="s">
        <v>967</v>
      </c>
      <c r="B391" t="s">
        <v>911</v>
      </c>
      <c r="C391">
        <v>4</v>
      </c>
      <c r="D391" t="s">
        <v>949</v>
      </c>
      <c r="H391">
        <v>7.42</v>
      </c>
      <c r="I391">
        <v>5.93</v>
      </c>
      <c r="L391">
        <v>0.86099999999999999</v>
      </c>
    </row>
    <row r="392" spans="1:18" x14ac:dyDescent="0.25">
      <c r="A392" t="s">
        <v>938</v>
      </c>
      <c r="B392" t="s">
        <v>460</v>
      </c>
      <c r="C392">
        <v>3</v>
      </c>
      <c r="D392" t="s">
        <v>461</v>
      </c>
      <c r="H392">
        <v>6.05</v>
      </c>
      <c r="I392">
        <v>5.21</v>
      </c>
      <c r="L392">
        <v>0.38700000000000001</v>
      </c>
    </row>
    <row r="393" spans="1:18" x14ac:dyDescent="0.25">
      <c r="A393" t="s">
        <v>940</v>
      </c>
      <c r="B393" t="s">
        <v>535</v>
      </c>
      <c r="C393">
        <v>3</v>
      </c>
      <c r="D393" t="s">
        <v>780</v>
      </c>
      <c r="H393">
        <v>7.28</v>
      </c>
      <c r="I393">
        <v>4.9800000000000004</v>
      </c>
      <c r="L393">
        <v>0.60899999999999999</v>
      </c>
    </row>
    <row r="394" spans="1:18" x14ac:dyDescent="0.25">
      <c r="A394" t="s">
        <v>981</v>
      </c>
      <c r="B394" t="s">
        <v>952</v>
      </c>
      <c r="C394">
        <v>4</v>
      </c>
      <c r="D394" t="s">
        <v>953</v>
      </c>
      <c r="H394">
        <v>7.33</v>
      </c>
      <c r="I394">
        <v>5.48</v>
      </c>
      <c r="L394">
        <v>0.64</v>
      </c>
    </row>
    <row r="395" spans="1:18" x14ac:dyDescent="0.25">
      <c r="A395" t="s">
        <v>925</v>
      </c>
      <c r="B395" t="s">
        <v>920</v>
      </c>
      <c r="C395">
        <v>3</v>
      </c>
      <c r="D395" t="s">
        <v>921</v>
      </c>
      <c r="H395">
        <v>8.0299999999999994</v>
      </c>
      <c r="I395">
        <v>6.16</v>
      </c>
      <c r="L395">
        <v>0.438</v>
      </c>
    </row>
    <row r="396" spans="1:18" x14ac:dyDescent="0.25">
      <c r="A396" t="s">
        <v>927</v>
      </c>
      <c r="B396" t="s">
        <v>920</v>
      </c>
      <c r="C396">
        <v>4</v>
      </c>
      <c r="D396" t="s">
        <v>921</v>
      </c>
      <c r="H396">
        <v>6.67</v>
      </c>
      <c r="I396">
        <v>4.18</v>
      </c>
      <c r="L396">
        <v>0.47</v>
      </c>
    </row>
    <row r="397" spans="1:18" x14ac:dyDescent="0.25">
      <c r="A397" t="s">
        <v>929</v>
      </c>
      <c r="B397" t="s">
        <v>920</v>
      </c>
      <c r="C397">
        <v>5</v>
      </c>
      <c r="D397" t="s">
        <v>921</v>
      </c>
      <c r="H397">
        <v>10.78</v>
      </c>
      <c r="I397">
        <v>7.5</v>
      </c>
      <c r="L397">
        <v>1.4379999999999999</v>
      </c>
    </row>
    <row r="398" spans="1:18" x14ac:dyDescent="0.25">
      <c r="A398" t="s">
        <v>947</v>
      </c>
      <c r="B398" t="s">
        <v>430</v>
      </c>
      <c r="C398">
        <v>6</v>
      </c>
      <c r="D398" t="s">
        <v>431</v>
      </c>
      <c r="H398">
        <v>4.7300000000000004</v>
      </c>
      <c r="I398">
        <v>3.52</v>
      </c>
      <c r="L398">
        <v>0.27400000000000002</v>
      </c>
    </row>
    <row r="399" spans="1:18" x14ac:dyDescent="0.25">
      <c r="A399" t="s">
        <v>1001</v>
      </c>
      <c r="B399" t="s">
        <v>413</v>
      </c>
      <c r="C399">
        <v>6</v>
      </c>
      <c r="D399" t="s">
        <v>555</v>
      </c>
      <c r="H399">
        <v>7.21</v>
      </c>
      <c r="I399">
        <v>5.76</v>
      </c>
      <c r="L399">
        <v>0.39300000000000002</v>
      </c>
      <c r="R399" t="s">
        <v>1000</v>
      </c>
    </row>
    <row r="400" spans="1:18" x14ac:dyDescent="0.25">
      <c r="A400" t="s">
        <v>910</v>
      </c>
      <c r="B400" t="s">
        <v>911</v>
      </c>
      <c r="C400">
        <v>1</v>
      </c>
      <c r="D400" t="s">
        <v>949</v>
      </c>
      <c r="H400">
        <v>6.93</v>
      </c>
      <c r="I400">
        <v>5.53</v>
      </c>
      <c r="L400">
        <v>0.52600000000000002</v>
      </c>
    </row>
    <row r="401" spans="1:12" x14ac:dyDescent="0.25">
      <c r="A401" t="s">
        <v>950</v>
      </c>
      <c r="B401" t="s">
        <v>936</v>
      </c>
      <c r="C401">
        <v>4</v>
      </c>
      <c r="D401" t="s">
        <v>937</v>
      </c>
      <c r="H401">
        <v>7</v>
      </c>
      <c r="I401">
        <v>4.91</v>
      </c>
      <c r="L401">
        <v>0.35299999999999998</v>
      </c>
    </row>
    <row r="402" spans="1:12" x14ac:dyDescent="0.25">
      <c r="A402" t="s">
        <v>954</v>
      </c>
      <c r="B402" t="s">
        <v>430</v>
      </c>
      <c r="C402">
        <v>5</v>
      </c>
      <c r="D402" t="s">
        <v>431</v>
      </c>
      <c r="H402">
        <v>4.6100000000000003</v>
      </c>
      <c r="I402">
        <v>3.62</v>
      </c>
      <c r="L402">
        <v>0.21</v>
      </c>
    </row>
    <row r="403" spans="1:12" x14ac:dyDescent="0.25">
      <c r="A403" t="s">
        <v>951</v>
      </c>
      <c r="B403" t="s">
        <v>952</v>
      </c>
      <c r="C403">
        <v>1</v>
      </c>
      <c r="D403" t="s">
        <v>953</v>
      </c>
      <c r="H403">
        <v>4.93</v>
      </c>
      <c r="I403">
        <v>3.95</v>
      </c>
      <c r="L403">
        <v>0.443</v>
      </c>
    </row>
    <row r="404" spans="1:12" x14ac:dyDescent="0.25">
      <c r="A404" t="s">
        <v>956</v>
      </c>
      <c r="B404" t="s">
        <v>932</v>
      </c>
      <c r="C404">
        <v>2</v>
      </c>
      <c r="D404" t="s">
        <v>933</v>
      </c>
      <c r="H404">
        <v>5.79</v>
      </c>
      <c r="I404">
        <v>4.8099999999999996</v>
      </c>
      <c r="L404">
        <v>0.59799999999999998</v>
      </c>
    </row>
    <row r="405" spans="1:12" x14ac:dyDescent="0.25">
      <c r="A405" t="s">
        <v>957</v>
      </c>
      <c r="B405" t="s">
        <v>460</v>
      </c>
      <c r="C405">
        <v>5</v>
      </c>
      <c r="D405" t="s">
        <v>461</v>
      </c>
      <c r="H405">
        <v>6.78</v>
      </c>
      <c r="I405">
        <v>5.4</v>
      </c>
      <c r="L405">
        <v>0.745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leaf_traits</vt:lpstr>
      <vt:lpstr>twig_traits</vt:lpstr>
      <vt:lpstr>field_data</vt:lpstr>
      <vt:lpstr>Scrap sheet</vt:lpstr>
      <vt:lpstr>Huber value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2017-07-18T14:49:23Z</cp:lastPrinted>
  <dcterms:created xsi:type="dcterms:W3CDTF">2017-06-11T20:23:29Z</dcterms:created>
  <dcterms:modified xsi:type="dcterms:W3CDTF">2018-10-05T15:19:20Z</dcterms:modified>
</cp:coreProperties>
</file>