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Research\Savanna traits\raw data\"/>
    </mc:Choice>
  </mc:AlternateContent>
  <xr:revisionPtr revIDLastSave="0" documentId="13_ncr:1_{3FE851B4-05BE-4B34-85DA-3C9D5FFB1884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p_info_with_splink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18" i="1" l="1" a="1"/>
  <c r="P118" i="1"/>
  <c r="O118" i="1" a="1"/>
  <c r="O118" i="1"/>
  <c r="N118" i="1" a="1"/>
  <c r="N118" i="1"/>
  <c r="G123" i="1"/>
  <c r="G122" i="1"/>
  <c r="G121" i="1"/>
  <c r="O121" i="1"/>
  <c r="P121" i="1"/>
  <c r="O122" i="1"/>
  <c r="P122" i="1"/>
  <c r="O123" i="1"/>
  <c r="P123" i="1"/>
  <c r="N123" i="1"/>
  <c r="N122" i="1"/>
  <c r="N1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<sst xmlns="http://schemas.openxmlformats.org/spreadsheetml/2006/main" count="1637" uniqueCount="580">
  <si>
    <t>Genus</t>
  </si>
  <si>
    <t>Species</t>
  </si>
  <si>
    <t>Family</t>
  </si>
  <si>
    <t>Old.name</t>
  </si>
  <si>
    <t>Code</t>
  </si>
  <si>
    <t>FG</t>
  </si>
  <si>
    <t>Life.Form</t>
  </si>
  <si>
    <t>New.name</t>
  </si>
  <si>
    <t>NewCode</t>
  </si>
  <si>
    <t>Authority</t>
  </si>
  <si>
    <t>species.relative</t>
  </si>
  <si>
    <t>genus.relative</t>
  </si>
  <si>
    <t>classification80</t>
  </si>
  <si>
    <t>classification70</t>
  </si>
  <si>
    <t>classification66</t>
  </si>
  <si>
    <t>Lithraea</t>
  </si>
  <si>
    <t>molleoides</t>
  </si>
  <si>
    <t>Anacardiaceae</t>
  </si>
  <si>
    <t>Lithraea molleoides</t>
  </si>
  <si>
    <t>LIMO</t>
  </si>
  <si>
    <t>F</t>
  </si>
  <si>
    <t>tree</t>
  </si>
  <si>
    <t>(Vell.) Engl.</t>
  </si>
  <si>
    <t>NA</t>
  </si>
  <si>
    <t>G</t>
  </si>
  <si>
    <t>Tapirira</t>
  </si>
  <si>
    <t>guianensis</t>
  </si>
  <si>
    <t>Tapirira guianensis</t>
  </si>
  <si>
    <t>TAGU</t>
  </si>
  <si>
    <t>Aubl.</t>
  </si>
  <si>
    <t>Annona</t>
  </si>
  <si>
    <t>cacans</t>
  </si>
  <si>
    <t>Annonaceae</t>
  </si>
  <si>
    <t>Annona cacans</t>
  </si>
  <si>
    <t>ANCA</t>
  </si>
  <si>
    <t>Warm.</t>
  </si>
  <si>
    <t>coriacea</t>
  </si>
  <si>
    <t>Annona coriacea</t>
  </si>
  <si>
    <t>ANCO</t>
  </si>
  <si>
    <t>S</t>
  </si>
  <si>
    <t>Mart.</t>
  </si>
  <si>
    <t>crassiflora</t>
  </si>
  <si>
    <t>Annona crassiflora</t>
  </si>
  <si>
    <t>ANCR</t>
  </si>
  <si>
    <t>dioica</t>
  </si>
  <si>
    <t>Annona dioica</t>
  </si>
  <si>
    <t>ANDI</t>
  </si>
  <si>
    <t>shrub</t>
  </si>
  <si>
    <t>A. St.-Hil.</t>
  </si>
  <si>
    <t>Duguetia</t>
  </si>
  <si>
    <t>furfuracea</t>
  </si>
  <si>
    <t>Duguetia furfuracea</t>
  </si>
  <si>
    <t>DUFU</t>
  </si>
  <si>
    <t>(A.St.-Hil.) Saff.</t>
  </si>
  <si>
    <t>Guatteria</t>
  </si>
  <si>
    <t>nigrescens</t>
  </si>
  <si>
    <t>Guatteria nigrescens</t>
  </si>
  <si>
    <t>GUNI</t>
  </si>
  <si>
    <t>Xylopia</t>
  </si>
  <si>
    <t>aromatica</t>
  </si>
  <si>
    <t>Xylopia aromatica</t>
  </si>
  <si>
    <t>XYAR</t>
  </si>
  <si>
    <t>Aspidosperma</t>
  </si>
  <si>
    <t>tomentosum</t>
  </si>
  <si>
    <t>Apocynaceae</t>
  </si>
  <si>
    <t>Aspidosperma tomentosum</t>
  </si>
  <si>
    <t>ASTO</t>
  </si>
  <si>
    <t>Mart. &amp; Zucc.</t>
  </si>
  <si>
    <t>Tabernaemontana</t>
  </si>
  <si>
    <t>catharinensis</t>
  </si>
  <si>
    <t>Tabernaemontana catharinensis</t>
  </si>
  <si>
    <t>TACA</t>
  </si>
  <si>
    <t>A.DC.</t>
  </si>
  <si>
    <t>Araliaceae</t>
  </si>
  <si>
    <t>Schefflera</t>
  </si>
  <si>
    <t>vinosa</t>
  </si>
  <si>
    <t>Schefflera vinosa</t>
  </si>
  <si>
    <t>SCVI</t>
  </si>
  <si>
    <t>treelet</t>
  </si>
  <si>
    <t>(Cham. &amp; Schltdl.) Frodin &amp; Fiasch</t>
  </si>
  <si>
    <t>Baccharis</t>
  </si>
  <si>
    <t>dracunculifolia</t>
  </si>
  <si>
    <t>Asteraceae</t>
  </si>
  <si>
    <t>Baccharis dracunculifolia</t>
  </si>
  <si>
    <t>BADR</t>
  </si>
  <si>
    <t>DC.</t>
  </si>
  <si>
    <t>Gochnatia</t>
  </si>
  <si>
    <t>barrosii</t>
  </si>
  <si>
    <t>Gochnatia barrosii</t>
  </si>
  <si>
    <t>GOBA</t>
  </si>
  <si>
    <t>Moquiniastrum barrosoae</t>
  </si>
  <si>
    <t>MOBA</t>
  </si>
  <si>
    <t>(Cabrera) G. Sancho</t>
  </si>
  <si>
    <t>polymorpha</t>
  </si>
  <si>
    <t>Gochnatia polymorpha</t>
  </si>
  <si>
    <t>GOPO</t>
  </si>
  <si>
    <t>Moquiniastrum polymorphum</t>
  </si>
  <si>
    <t>MOPO</t>
  </si>
  <si>
    <t>(Less.) G. Sancho</t>
  </si>
  <si>
    <t>Piptocarpha</t>
  </si>
  <si>
    <t>axillaris</t>
  </si>
  <si>
    <t>Piptocarpha axillaris</t>
  </si>
  <si>
    <t>PIAX</t>
  </si>
  <si>
    <t xml:space="preserve"> (Less.) Baker</t>
  </si>
  <si>
    <t>rotundifolia</t>
  </si>
  <si>
    <t>Piptocarpha rotundifolia</t>
  </si>
  <si>
    <t>PIRO</t>
  </si>
  <si>
    <t>(Less.) Baker</t>
  </si>
  <si>
    <t>Bignoniaceae</t>
  </si>
  <si>
    <t>Jacaranda</t>
  </si>
  <si>
    <t>caroba</t>
  </si>
  <si>
    <t>Jacaranda caroba</t>
  </si>
  <si>
    <t>JACA</t>
  </si>
  <si>
    <t>(Vell.) DC.</t>
  </si>
  <si>
    <t>rufa</t>
  </si>
  <si>
    <t>Tabebuia</t>
  </si>
  <si>
    <t>ochracea</t>
  </si>
  <si>
    <t>Tabebuia ochracea</t>
  </si>
  <si>
    <t>TAOC</t>
  </si>
  <si>
    <t>Handroanthus ochraceus</t>
  </si>
  <si>
    <t>HAOC</t>
  </si>
  <si>
    <t>(Cham.) Mattos</t>
  </si>
  <si>
    <t>Zeyheria</t>
  </si>
  <si>
    <t>montana</t>
  </si>
  <si>
    <t>Zeyheria montana</t>
  </si>
  <si>
    <t>ZEMO</t>
  </si>
  <si>
    <t>tuberculosa</t>
  </si>
  <si>
    <t>Zeyheria tuberculosa</t>
  </si>
  <si>
    <t>ZETU</t>
  </si>
  <si>
    <t>(Vell.) Bureau ex Verl.</t>
  </si>
  <si>
    <t>aurea</t>
  </si>
  <si>
    <t>Tabebuia aurea</t>
  </si>
  <si>
    <t>TAAU</t>
  </si>
  <si>
    <t>(Silva Manso) Benth. &amp; Hook.f. ex S.Moore</t>
  </si>
  <si>
    <t>sellowiana</t>
  </si>
  <si>
    <t>Protium</t>
  </si>
  <si>
    <t>heptaphyllum</t>
  </si>
  <si>
    <t>Burseraceae</t>
  </si>
  <si>
    <t>Protium heptaphyllum</t>
  </si>
  <si>
    <t>PRHE</t>
  </si>
  <si>
    <t>(Aubl.) Marchand</t>
  </si>
  <si>
    <t>Kielmeyera</t>
  </si>
  <si>
    <t>Calophyllaceae</t>
  </si>
  <si>
    <t>Kielmeyera coriacea</t>
  </si>
  <si>
    <t>KICO</t>
  </si>
  <si>
    <t>Caryocar</t>
  </si>
  <si>
    <t>brasiliense</t>
  </si>
  <si>
    <t>Caryocaraceae</t>
  </si>
  <si>
    <t>Caryocar brasiliense</t>
  </si>
  <si>
    <t>CABR</t>
  </si>
  <si>
    <t>Cambess.</t>
  </si>
  <si>
    <t>Celastraceae</t>
  </si>
  <si>
    <t>Plenckia</t>
  </si>
  <si>
    <t>populnea</t>
  </si>
  <si>
    <t>Plenckia populnea</t>
  </si>
  <si>
    <t>PLPO</t>
  </si>
  <si>
    <t>Reissek</t>
  </si>
  <si>
    <t>Terminalia</t>
  </si>
  <si>
    <t>glabrescens</t>
  </si>
  <si>
    <t>Combretaceae</t>
  </si>
  <si>
    <t>Terminalia glabrescens</t>
  </si>
  <si>
    <t>TEGL</t>
  </si>
  <si>
    <t>Connarus</t>
  </si>
  <si>
    <t>suberosus</t>
  </si>
  <si>
    <t>Connaraceae</t>
  </si>
  <si>
    <t>Connarus suberosus</t>
  </si>
  <si>
    <t>COSU</t>
  </si>
  <si>
    <t>Planch.</t>
  </si>
  <si>
    <t>Davilla</t>
  </si>
  <si>
    <t>elliptica</t>
  </si>
  <si>
    <t>Dilleniaceae</t>
  </si>
  <si>
    <t>Davilla elliptica</t>
  </si>
  <si>
    <t>DAEL</t>
  </si>
  <si>
    <t>A.St.-Hil.</t>
  </si>
  <si>
    <t>Diospyros</t>
  </si>
  <si>
    <t>burchelli</t>
  </si>
  <si>
    <t>Ebenaceae</t>
  </si>
  <si>
    <t>Diospyros burchelli</t>
  </si>
  <si>
    <t>DIBU</t>
  </si>
  <si>
    <t>Diospyros hispida</t>
  </si>
  <si>
    <t>A. DC.</t>
  </si>
  <si>
    <t>Erythroxylum</t>
  </si>
  <si>
    <t>cuneifolium</t>
  </si>
  <si>
    <t>Erythroxylaceae</t>
  </si>
  <si>
    <t>Erythroxylum cuneifolium</t>
  </si>
  <si>
    <t>ERCU</t>
  </si>
  <si>
    <t>(Mart.) O.E.Schulz</t>
  </si>
  <si>
    <t>deciduum</t>
  </si>
  <si>
    <t>Erythroxylum deciduum</t>
  </si>
  <si>
    <t>ERDE</t>
  </si>
  <si>
    <t>suberosum</t>
  </si>
  <si>
    <t>Erythroxylum suberosum</t>
  </si>
  <si>
    <t>ERSU</t>
  </si>
  <si>
    <t>tortuosum</t>
  </si>
  <si>
    <t>Erythroxylum tortuosum</t>
  </si>
  <si>
    <t>ERTO</t>
  </si>
  <si>
    <t>Maprounea</t>
  </si>
  <si>
    <t>Euphorbiaceae</t>
  </si>
  <si>
    <t>Maprounea guianensis</t>
  </si>
  <si>
    <t>MAGU</t>
  </si>
  <si>
    <t>Croton</t>
  </si>
  <si>
    <t>floribundus</t>
  </si>
  <si>
    <t>Croton floribundus</t>
  </si>
  <si>
    <t>CRFL</t>
  </si>
  <si>
    <t>Spreng.</t>
  </si>
  <si>
    <t>Anadenanthera</t>
  </si>
  <si>
    <t>falcata</t>
  </si>
  <si>
    <t>Fabaceae</t>
  </si>
  <si>
    <t>Anadenanthera falcata</t>
  </si>
  <si>
    <t>ANFA</t>
  </si>
  <si>
    <t>Anadenanthera peregrina</t>
  </si>
  <si>
    <t>(Benth.) Altschul</t>
  </si>
  <si>
    <t>Bauhinia</t>
  </si>
  <si>
    <t>longifolia</t>
  </si>
  <si>
    <t>Bauhinia longifolia</t>
  </si>
  <si>
    <t>BALO</t>
  </si>
  <si>
    <t>(Bong.) Steud.</t>
  </si>
  <si>
    <t>Bauhinia rufa</t>
  </si>
  <si>
    <t>BARU</t>
  </si>
  <si>
    <t>Bowdichia</t>
  </si>
  <si>
    <t>virgilioides</t>
  </si>
  <si>
    <t>Bowdichia virgilioides</t>
  </si>
  <si>
    <t>BOVI</t>
  </si>
  <si>
    <t>Kunth</t>
  </si>
  <si>
    <t>Dimorphandra</t>
  </si>
  <si>
    <t>mollis</t>
  </si>
  <si>
    <t>Dimorphandra mollis</t>
  </si>
  <si>
    <t>DIMO</t>
  </si>
  <si>
    <t>Benth.</t>
  </si>
  <si>
    <t>Leptolobium</t>
  </si>
  <si>
    <t>elegans</t>
  </si>
  <si>
    <t>Leptolobium elegans</t>
  </si>
  <si>
    <t>LEEL</t>
  </si>
  <si>
    <t>Vogel</t>
  </si>
  <si>
    <t>Machaerium</t>
  </si>
  <si>
    <t>acutifolium</t>
  </si>
  <si>
    <t>Machaerium acutifolium</t>
  </si>
  <si>
    <t>MAAC</t>
  </si>
  <si>
    <t>Machaerium brasiliense</t>
  </si>
  <si>
    <t>MABR</t>
  </si>
  <si>
    <t>Plathymenia</t>
  </si>
  <si>
    <t>reticulata</t>
  </si>
  <si>
    <t>Plathymenia reticulata</t>
  </si>
  <si>
    <t>PLRE</t>
  </si>
  <si>
    <t>Platypodium</t>
  </si>
  <si>
    <t>Platypodium elegans</t>
  </si>
  <si>
    <t>PLEL</t>
  </si>
  <si>
    <t>Stryphnodendron</t>
  </si>
  <si>
    <t>adstringens</t>
  </si>
  <si>
    <t>Stryphnodendron adstringens</t>
  </si>
  <si>
    <t>STAD</t>
  </si>
  <si>
    <t>(Mart.) Coville</t>
  </si>
  <si>
    <t>rotundifolium</t>
  </si>
  <si>
    <t>Stryphnodendron rotundifolium</t>
  </si>
  <si>
    <t>STRO</t>
  </si>
  <si>
    <t>Copaifera</t>
  </si>
  <si>
    <t>langsdorffii</t>
  </si>
  <si>
    <t>Copaifera langsdorffii</t>
  </si>
  <si>
    <t>COLA</t>
  </si>
  <si>
    <t>Desf.</t>
  </si>
  <si>
    <t>Lacistema</t>
  </si>
  <si>
    <t>hasslerianum</t>
  </si>
  <si>
    <t>Lacistemataceae</t>
  </si>
  <si>
    <t>Lacistema hasslerianum</t>
  </si>
  <si>
    <t>LAHA</t>
  </si>
  <si>
    <t>Chodat</t>
  </si>
  <si>
    <t>Aegiphila</t>
  </si>
  <si>
    <t>verticillata</t>
  </si>
  <si>
    <t>Lamiaceae</t>
  </si>
  <si>
    <t>Aegiphila verticillata</t>
  </si>
  <si>
    <t>AEVE</t>
  </si>
  <si>
    <t>Vell.</t>
  </si>
  <si>
    <t>Aegiphila sellowiana</t>
  </si>
  <si>
    <t>AESE</t>
  </si>
  <si>
    <t>Cham.</t>
  </si>
  <si>
    <t>Nectandra</t>
  </si>
  <si>
    <t>cuspidata</t>
  </si>
  <si>
    <t>Lauraceae</t>
  </si>
  <si>
    <t>Nectandra cuspidata</t>
  </si>
  <si>
    <t>NECU</t>
  </si>
  <si>
    <t>Nees</t>
  </si>
  <si>
    <t>oppositifolia</t>
  </si>
  <si>
    <t>Nectandra oppositifolia</t>
  </si>
  <si>
    <t>NEOP</t>
  </si>
  <si>
    <t>Ocotea</t>
  </si>
  <si>
    <t>corymbosa</t>
  </si>
  <si>
    <t>Ocotea corymbosa</t>
  </si>
  <si>
    <t>OCCO</t>
  </si>
  <si>
    <t>(Meisn.) Mez</t>
  </si>
  <si>
    <t>minarum</t>
  </si>
  <si>
    <t>Ocotea minarum</t>
  </si>
  <si>
    <t>OCMI</t>
  </si>
  <si>
    <t>(Nees &amp; Mart.) Mez</t>
  </si>
  <si>
    <t>pulchella</t>
  </si>
  <si>
    <t>Ocotea pulchella</t>
  </si>
  <si>
    <t>OCPU</t>
  </si>
  <si>
    <t>velloziana</t>
  </si>
  <si>
    <t>Ocotea velloziana</t>
  </si>
  <si>
    <t>OCVE</t>
  </si>
  <si>
    <t>Persea</t>
  </si>
  <si>
    <t>willdenovii</t>
  </si>
  <si>
    <t>Persea willdenovii</t>
  </si>
  <si>
    <t>PEWI</t>
  </si>
  <si>
    <t>Kosterm.</t>
  </si>
  <si>
    <t>Malpighiaceae</t>
  </si>
  <si>
    <t>Byrsonima</t>
  </si>
  <si>
    <t>basiloba</t>
  </si>
  <si>
    <t>Byrsonima basiloba</t>
  </si>
  <si>
    <t>BYBA</t>
  </si>
  <si>
    <t>A.Juss.</t>
  </si>
  <si>
    <t>coccolobifolia</t>
  </si>
  <si>
    <t>Byrsonima coccolobifolia</t>
  </si>
  <si>
    <t>BYCO</t>
  </si>
  <si>
    <t>intermedia</t>
  </si>
  <si>
    <t>laxiflora</t>
  </si>
  <si>
    <t>Byrsonima laxiflora</t>
  </si>
  <si>
    <t>BYLA</t>
  </si>
  <si>
    <t>Griseb.</t>
  </si>
  <si>
    <t>Eriotheca</t>
  </si>
  <si>
    <t>gracilipes</t>
  </si>
  <si>
    <t>Malvaceae</t>
  </si>
  <si>
    <t>Eriotheca gracilipes</t>
  </si>
  <si>
    <t>ERGR</t>
  </si>
  <si>
    <t>(K.Schum.) A.Robyns</t>
  </si>
  <si>
    <t>Luehea</t>
  </si>
  <si>
    <t>candicans</t>
  </si>
  <si>
    <t>Luehea candicans</t>
  </si>
  <si>
    <t>LUCA</t>
  </si>
  <si>
    <t>grandiflora</t>
  </si>
  <si>
    <t>Luehea grandiflora</t>
  </si>
  <si>
    <t>LUGR</t>
  </si>
  <si>
    <t>Melastomataceae</t>
  </si>
  <si>
    <t>Miconia</t>
  </si>
  <si>
    <t>albicans</t>
  </si>
  <si>
    <t>Miconia albicans</t>
  </si>
  <si>
    <t>MIAL</t>
  </si>
  <si>
    <t>(Sw.) Steud</t>
  </si>
  <si>
    <t>ligustroides</t>
  </si>
  <si>
    <t>Miconia ligustroides</t>
  </si>
  <si>
    <t>MILI</t>
  </si>
  <si>
    <t>(DC.) Naudin</t>
  </si>
  <si>
    <t>Miconia sellowiana</t>
  </si>
  <si>
    <t>MISE</t>
  </si>
  <si>
    <t>Naudin</t>
  </si>
  <si>
    <t>Myrtaceae</t>
  </si>
  <si>
    <t>Calyptranthes</t>
  </si>
  <si>
    <t>lucida</t>
  </si>
  <si>
    <t>Calyptranthes lucida</t>
  </si>
  <si>
    <t>CALU</t>
  </si>
  <si>
    <t>Mart. ex DC.</t>
  </si>
  <si>
    <t>Campomanesia</t>
  </si>
  <si>
    <t>adamantium</t>
  </si>
  <si>
    <t>Campomanesia adamantium</t>
  </si>
  <si>
    <t>CAAD</t>
  </si>
  <si>
    <t>(Cambess.) O.Berg</t>
  </si>
  <si>
    <t>guazumifolia</t>
  </si>
  <si>
    <t>Campomanesia guazumifolia</t>
  </si>
  <si>
    <t>CAGU</t>
  </si>
  <si>
    <t>Eugenia</t>
  </si>
  <si>
    <t>myrcianthes</t>
  </si>
  <si>
    <t>Eugenia myrcianthes</t>
  </si>
  <si>
    <t>EUMY</t>
  </si>
  <si>
    <t>Nied.</t>
  </si>
  <si>
    <t>punicifolia</t>
  </si>
  <si>
    <t>Eugenia punicifolia</t>
  </si>
  <si>
    <t>EUPU</t>
  </si>
  <si>
    <t>Myrcia</t>
  </si>
  <si>
    <t>splendens</t>
  </si>
  <si>
    <t>Myrcia splendens</t>
  </si>
  <si>
    <t>MYFA</t>
  </si>
  <si>
    <t>MYRCSPL</t>
  </si>
  <si>
    <t>(Sw.) DC.</t>
  </si>
  <si>
    <t>lingua</t>
  </si>
  <si>
    <t>Myrcia lingua</t>
  </si>
  <si>
    <t>MYLI</t>
  </si>
  <si>
    <t>Myrcia guianensis</t>
  </si>
  <si>
    <t>MYRCGUI</t>
  </si>
  <si>
    <t>(Aubl.) DC.</t>
  </si>
  <si>
    <t>multiflora</t>
  </si>
  <si>
    <t>Myrcia multiflora</t>
  </si>
  <si>
    <t>MYMU</t>
  </si>
  <si>
    <t>MYRSMUL</t>
  </si>
  <si>
    <t>(Lam.) DC.</t>
  </si>
  <si>
    <t>tomentosa</t>
  </si>
  <si>
    <t>Myrcia tomentosa</t>
  </si>
  <si>
    <t>MYTO</t>
  </si>
  <si>
    <t>MYRCTOM</t>
  </si>
  <si>
    <t>venulosa</t>
  </si>
  <si>
    <t>Myrcia venulosa</t>
  </si>
  <si>
    <t>MYVE</t>
  </si>
  <si>
    <t>MYRCVEN</t>
  </si>
  <si>
    <t>Ouratea</t>
  </si>
  <si>
    <t>spectabilis</t>
  </si>
  <si>
    <t>Ochnaceae</t>
  </si>
  <si>
    <t>Ouratea spectabilis</t>
  </si>
  <si>
    <t>OUSP</t>
  </si>
  <si>
    <t>(Mart. ex Engl.) Engl.</t>
  </si>
  <si>
    <t>Pera</t>
  </si>
  <si>
    <t>obovata</t>
  </si>
  <si>
    <t>Peraceae</t>
  </si>
  <si>
    <t>Pera obovata</t>
  </si>
  <si>
    <t>PEOB</t>
  </si>
  <si>
    <t>Pera glabrata</t>
  </si>
  <si>
    <t>PEGL</t>
  </si>
  <si>
    <t>(Schott) Poepp. ex Baill.</t>
  </si>
  <si>
    <t>Rapanea</t>
  </si>
  <si>
    <t>ferruginea</t>
  </si>
  <si>
    <t>Primulaceae</t>
  </si>
  <si>
    <t>Rapanea ferruginea</t>
  </si>
  <si>
    <t>RAFE</t>
  </si>
  <si>
    <t>Myrsine coriacea</t>
  </si>
  <si>
    <t>MYRSCOR</t>
  </si>
  <si>
    <t>(Sw.) R.Br. ex Roem. &amp; Schult.</t>
  </si>
  <si>
    <t>Rapanea guianensis</t>
  </si>
  <si>
    <t>RAGU</t>
  </si>
  <si>
    <t>Myrsine guianensis</t>
  </si>
  <si>
    <t>MYRSGUI</t>
  </si>
  <si>
    <t>(Aubl.) Kuntze</t>
  </si>
  <si>
    <t>umbellata</t>
  </si>
  <si>
    <t>Rapanea umbellata</t>
  </si>
  <si>
    <t>RAUM</t>
  </si>
  <si>
    <t>Myrsine umbellata</t>
  </si>
  <si>
    <t>MYRSUMB</t>
  </si>
  <si>
    <t>lancifolia</t>
  </si>
  <si>
    <t>Rapanea lancifolia</t>
  </si>
  <si>
    <t>RALA</t>
  </si>
  <si>
    <t>Myrsine lancifolia</t>
  </si>
  <si>
    <t>MYRSLAN</t>
  </si>
  <si>
    <t>Roupala</t>
  </si>
  <si>
    <t>Proteaceae</t>
  </si>
  <si>
    <t>Roupala montana</t>
  </si>
  <si>
    <t>ROMO</t>
  </si>
  <si>
    <t>Prunus</t>
  </si>
  <si>
    <t>myrtifolia</t>
  </si>
  <si>
    <t>Rosaceae</t>
  </si>
  <si>
    <t>Prunus myrtifolia</t>
  </si>
  <si>
    <t>PRMY</t>
  </si>
  <si>
    <t>(L.) Urb.</t>
  </si>
  <si>
    <t>Alibertia</t>
  </si>
  <si>
    <t>edulis</t>
  </si>
  <si>
    <t>Rubiaceae</t>
  </si>
  <si>
    <t>Alibertia edulis</t>
  </si>
  <si>
    <t>ALED</t>
  </si>
  <si>
    <t>(Rich.) A.Rich. ex DC.</t>
  </si>
  <si>
    <t>Amaioua</t>
  </si>
  <si>
    <t>Amaioua intermedia</t>
  </si>
  <si>
    <t>AMIN</t>
  </si>
  <si>
    <t>Mart. ex Schult. &amp; Schult.f.</t>
  </si>
  <si>
    <t>Faramea</t>
  </si>
  <si>
    <t>montevidensis</t>
  </si>
  <si>
    <t>Faramea montevidensis</t>
  </si>
  <si>
    <t>FAMO</t>
  </si>
  <si>
    <t>(Cham. &amp; Schltdl.) DC.</t>
  </si>
  <si>
    <t>Tocoyena</t>
  </si>
  <si>
    <t>formosa</t>
  </si>
  <si>
    <t>Tocoyena formosa</t>
  </si>
  <si>
    <t>TOFO</t>
  </si>
  <si>
    <t>(Cham. &amp; Schltdl.) K.Schum.</t>
  </si>
  <si>
    <t>Guettarda</t>
  </si>
  <si>
    <t>viburnoides</t>
  </si>
  <si>
    <t>Guettarda viburnoides</t>
  </si>
  <si>
    <t>GUVI</t>
  </si>
  <si>
    <t>Rutaceae</t>
  </si>
  <si>
    <t>Helietta</t>
  </si>
  <si>
    <t>apiculata</t>
  </si>
  <si>
    <t>Helietta apiculata</t>
  </si>
  <si>
    <t>HEAP</t>
  </si>
  <si>
    <t>Zanthoxylum</t>
  </si>
  <si>
    <t>rhoifolium</t>
  </si>
  <si>
    <t>Zanthoxylum rhoifolium</t>
  </si>
  <si>
    <t>ZARH</t>
  </si>
  <si>
    <t>Lam.</t>
  </si>
  <si>
    <t>Casearia</t>
  </si>
  <si>
    <t>Salicaceae</t>
  </si>
  <si>
    <t>sylvestris</t>
  </si>
  <si>
    <t>Casearia sylvestris</t>
  </si>
  <si>
    <t>CASY</t>
  </si>
  <si>
    <t>Sw.</t>
  </si>
  <si>
    <t>Cupania</t>
  </si>
  <si>
    <t>tenuivalvis</t>
  </si>
  <si>
    <t>Sapindaceae</t>
  </si>
  <si>
    <t>Cupania tenuivalvis</t>
  </si>
  <si>
    <t>CUTE</t>
  </si>
  <si>
    <t>Radlk.</t>
  </si>
  <si>
    <t>vernalis</t>
  </si>
  <si>
    <t>Cupania vernalis</t>
  </si>
  <si>
    <t>CUVE</t>
  </si>
  <si>
    <t>Matayba</t>
  </si>
  <si>
    <t>elaeagnoides</t>
  </si>
  <si>
    <t>Matayba elaeagnoides</t>
  </si>
  <si>
    <t>MAEL</t>
  </si>
  <si>
    <t>Chrysophyllum</t>
  </si>
  <si>
    <t>marginatum</t>
  </si>
  <si>
    <t>Sapotaceae</t>
  </si>
  <si>
    <t>Chrysophyllum marginatum</t>
  </si>
  <si>
    <t>CHMA</t>
  </si>
  <si>
    <t>(Hook. &amp; Arn.) Radlk.</t>
  </si>
  <si>
    <t>Pouteria</t>
  </si>
  <si>
    <t>ramiflora</t>
  </si>
  <si>
    <t>Pouteria ramiflora</t>
  </si>
  <si>
    <t>PORA</t>
  </si>
  <si>
    <t>(Mart.) Radlk.</t>
  </si>
  <si>
    <t>torta</t>
  </si>
  <si>
    <t>Pouteria torta</t>
  </si>
  <si>
    <t>POTO</t>
  </si>
  <si>
    <t>Siparuna</t>
  </si>
  <si>
    <t>Siparunaceae</t>
  </si>
  <si>
    <t>Siparuna guianensis</t>
  </si>
  <si>
    <t>SIGU</t>
  </si>
  <si>
    <t>Cestrum</t>
  </si>
  <si>
    <t>mariquitense</t>
  </si>
  <si>
    <t>Solanaceae</t>
  </si>
  <si>
    <t>Cestrum mariquitense</t>
  </si>
  <si>
    <t>CESE</t>
  </si>
  <si>
    <t>CEMA</t>
  </si>
  <si>
    <t>Solanum</t>
  </si>
  <si>
    <t>lycocarpum</t>
  </si>
  <si>
    <t>Solanum lycocarpum</t>
  </si>
  <si>
    <t>SOLY</t>
  </si>
  <si>
    <t>Styrax</t>
  </si>
  <si>
    <t>camporum</t>
  </si>
  <si>
    <t>Styracaceae</t>
  </si>
  <si>
    <t>Styrax camporum</t>
  </si>
  <si>
    <t>STCA</t>
  </si>
  <si>
    <t>Pohl</t>
  </si>
  <si>
    <t>ferrugineus</t>
  </si>
  <si>
    <t>Styrax ferrugineus</t>
  </si>
  <si>
    <t>STFE</t>
  </si>
  <si>
    <t>Nees &amp; Mart.</t>
  </si>
  <si>
    <t>pohlii</t>
  </si>
  <si>
    <t>Styrax pohlii</t>
  </si>
  <si>
    <t>STPO</t>
  </si>
  <si>
    <t>Symplocos</t>
  </si>
  <si>
    <t>mosenii</t>
  </si>
  <si>
    <t>Symplocaceae</t>
  </si>
  <si>
    <t>Symplocos mosenii</t>
  </si>
  <si>
    <t>SYRE</t>
  </si>
  <si>
    <t>Symplocos revoluta</t>
  </si>
  <si>
    <t>Casar.</t>
  </si>
  <si>
    <t>pubescens</t>
  </si>
  <si>
    <t>Symplocos pubescens</t>
  </si>
  <si>
    <t>SYPU</t>
  </si>
  <si>
    <t>Klotzsch ex Benth.</t>
  </si>
  <si>
    <t>Daphnopsis</t>
  </si>
  <si>
    <t>fasciculata</t>
  </si>
  <si>
    <t>Thymelaeaceae</t>
  </si>
  <si>
    <t>Daphnopsis fasciculata</t>
  </si>
  <si>
    <t>DAFA</t>
  </si>
  <si>
    <t>(Meisn.) Nevling</t>
  </si>
  <si>
    <t>racemosa</t>
  </si>
  <si>
    <t>Daphnopsis racemosa</t>
  </si>
  <si>
    <t>DARA</t>
  </si>
  <si>
    <t>Cecropia</t>
  </si>
  <si>
    <t>pachystachya</t>
  </si>
  <si>
    <t>Urticaceae</t>
  </si>
  <si>
    <t>Cecropia pachystachya</t>
  </si>
  <si>
    <t>CEPA</t>
  </si>
  <si>
    <t>Verbenaceae</t>
  </si>
  <si>
    <t>Lippia</t>
  </si>
  <si>
    <t>salviifolia</t>
  </si>
  <si>
    <t>Lippia salviifolia</t>
  </si>
  <si>
    <t>LISA</t>
  </si>
  <si>
    <t>Lippia origanoides</t>
  </si>
  <si>
    <t>LIOR</t>
  </si>
  <si>
    <t>Qualea</t>
  </si>
  <si>
    <t>cordata</t>
  </si>
  <si>
    <t>Vochysiaceae</t>
  </si>
  <si>
    <t>Qualea cordata</t>
  </si>
  <si>
    <t>QUCO</t>
  </si>
  <si>
    <t>Qualea grandiflora</t>
  </si>
  <si>
    <t>QUGR</t>
  </si>
  <si>
    <t>Qualea multiflora</t>
  </si>
  <si>
    <t>QUMU</t>
  </si>
  <si>
    <t>Vochysia</t>
  </si>
  <si>
    <t>tucanorum</t>
  </si>
  <si>
    <t>Vochysia tucanorum</t>
  </si>
  <si>
    <t>VOTU</t>
  </si>
  <si>
    <t>Total S</t>
  </si>
  <si>
    <t>Total G</t>
  </si>
  <si>
    <t>Total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</si>
</sst>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tabSelected="1" topLeftCell="A100" workbookViewId="0">
      <selection activeCell="N110" sqref="N110"/>
    </sheetView>
  </sheetViews>
  <sheetFormatPr defaultRowHeight="15" x14ac:dyDescent="0.25"/>
  <cols>
    <col min="2" max="2" width="15.710937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90</v>
      </c>
      <c r="B2" t="s">
        <v>266</v>
      </c>
      <c r="C2" t="s">
        <v>134</v>
      </c>
      <c r="D2" t="s">
        <v>268</v>
      </c>
      <c r="E2" t="s">
        <v>272</v>
      </c>
      <c r="F2" t="s">
        <v>273</v>
      </c>
      <c r="G2" t="s">
        <v>20</v>
      </c>
      <c r="H2" t="s">
        <v>21</v>
      </c>
      <c r="I2" t="s">
        <v>272</v>
      </c>
      <c r="J2" t="s">
        <v>273</v>
      </c>
      <c r="K2" t="s">
        <v>274</v>
      </c>
      <c r="M2" t="s">
        <v>23</v>
      </c>
      <c r="N2" t="s">
        <v>24</v>
      </c>
      <c r="O2" t="s">
        <v>20</v>
      </c>
      <c r="P2" t="s">
        <v>20</v>
      </c>
    </row>
    <row r="3" spans="1:16" x14ac:dyDescent="0.25">
      <c r="A3">
        <v>176</v>
      </c>
      <c r="B3" t="s">
        <v>438</v>
      </c>
      <c r="C3" t="s">
        <v>439</v>
      </c>
      <c r="D3" t="s">
        <v>440</v>
      </c>
      <c r="E3" t="s">
        <v>441</v>
      </c>
      <c r="F3" t="s">
        <v>442</v>
      </c>
      <c r="G3" t="s">
        <v>20</v>
      </c>
      <c r="H3" t="s">
        <v>78</v>
      </c>
      <c r="I3" t="s">
        <v>441</v>
      </c>
      <c r="J3" t="s">
        <v>442</v>
      </c>
      <c r="K3" t="s">
        <v>443</v>
      </c>
      <c r="M3" t="s">
        <v>23</v>
      </c>
      <c r="N3" t="s">
        <v>20</v>
      </c>
      <c r="O3" t="s">
        <v>20</v>
      </c>
      <c r="P3" t="s">
        <v>20</v>
      </c>
    </row>
    <row r="4" spans="1:16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20</v>
      </c>
      <c r="H4" t="s">
        <v>21</v>
      </c>
      <c r="I4" t="s">
        <v>33</v>
      </c>
      <c r="J4" t="s">
        <v>34</v>
      </c>
      <c r="K4" t="s">
        <v>35</v>
      </c>
      <c r="M4" t="s">
        <v>23</v>
      </c>
      <c r="N4" t="s">
        <v>20</v>
      </c>
      <c r="O4" t="s">
        <v>20</v>
      </c>
      <c r="P4" t="s">
        <v>20</v>
      </c>
    </row>
    <row r="5" spans="1:16" x14ac:dyDescent="0.25">
      <c r="A5">
        <v>65</v>
      </c>
      <c r="B5" t="s">
        <v>212</v>
      </c>
      <c r="C5" t="s">
        <v>213</v>
      </c>
      <c r="D5" t="s">
        <v>207</v>
      </c>
      <c r="E5" t="s">
        <v>214</v>
      </c>
      <c r="F5" t="s">
        <v>215</v>
      </c>
      <c r="G5" t="s">
        <v>20</v>
      </c>
      <c r="H5" t="s">
        <v>21</v>
      </c>
      <c r="I5" t="s">
        <v>214</v>
      </c>
      <c r="J5" t="s">
        <v>215</v>
      </c>
      <c r="K5" t="s">
        <v>216</v>
      </c>
      <c r="L5" t="s">
        <v>217</v>
      </c>
      <c r="M5" t="s">
        <v>23</v>
      </c>
      <c r="N5" t="s">
        <v>20</v>
      </c>
      <c r="O5" t="s">
        <v>20</v>
      </c>
      <c r="P5" t="s">
        <v>20</v>
      </c>
    </row>
    <row r="6" spans="1:16" x14ac:dyDescent="0.25">
      <c r="A6">
        <v>133</v>
      </c>
      <c r="B6" t="s">
        <v>345</v>
      </c>
      <c r="C6" t="s">
        <v>346</v>
      </c>
      <c r="D6" t="s">
        <v>344</v>
      </c>
      <c r="E6" t="s">
        <v>347</v>
      </c>
      <c r="F6" t="s">
        <v>348</v>
      </c>
      <c r="G6" t="s">
        <v>20</v>
      </c>
      <c r="H6" t="s">
        <v>21</v>
      </c>
      <c r="I6" t="s">
        <v>347</v>
      </c>
      <c r="J6" t="s">
        <v>348</v>
      </c>
      <c r="K6" t="s">
        <v>349</v>
      </c>
      <c r="M6" t="s">
        <v>23</v>
      </c>
      <c r="N6" t="s">
        <v>20</v>
      </c>
      <c r="O6" t="s">
        <v>20</v>
      </c>
      <c r="P6" t="s">
        <v>20</v>
      </c>
    </row>
    <row r="7" spans="1:16" x14ac:dyDescent="0.25">
      <c r="A7">
        <v>136</v>
      </c>
      <c r="B7" t="s">
        <v>350</v>
      </c>
      <c r="C7" t="s">
        <v>355</v>
      </c>
      <c r="D7" t="s">
        <v>344</v>
      </c>
      <c r="E7" t="s">
        <v>356</v>
      </c>
      <c r="F7" t="s">
        <v>357</v>
      </c>
      <c r="G7" t="s">
        <v>20</v>
      </c>
      <c r="H7" t="s">
        <v>21</v>
      </c>
      <c r="I7" t="s">
        <v>356</v>
      </c>
      <c r="J7" t="s">
        <v>357</v>
      </c>
      <c r="K7" t="s">
        <v>354</v>
      </c>
      <c r="M7" t="s">
        <v>23</v>
      </c>
      <c r="N7" t="s">
        <v>20</v>
      </c>
      <c r="O7" t="s">
        <v>20</v>
      </c>
      <c r="P7" t="s">
        <v>20</v>
      </c>
    </row>
    <row r="8" spans="1:16" x14ac:dyDescent="0.25">
      <c r="A8">
        <v>196</v>
      </c>
      <c r="B8" t="s">
        <v>472</v>
      </c>
      <c r="C8" t="s">
        <v>474</v>
      </c>
      <c r="D8" t="s">
        <v>473</v>
      </c>
      <c r="E8" t="s">
        <v>475</v>
      </c>
      <c r="F8" t="s">
        <v>476</v>
      </c>
      <c r="G8" t="s">
        <v>20</v>
      </c>
      <c r="H8" t="s">
        <v>21</v>
      </c>
      <c r="I8" t="s">
        <v>475</v>
      </c>
      <c r="J8" t="s">
        <v>476</v>
      </c>
      <c r="K8" t="s">
        <v>477</v>
      </c>
      <c r="M8" t="s">
        <v>23</v>
      </c>
      <c r="N8" t="s">
        <v>24</v>
      </c>
      <c r="O8" t="s">
        <v>20</v>
      </c>
      <c r="P8" t="s">
        <v>20</v>
      </c>
    </row>
    <row r="9" spans="1:16" x14ac:dyDescent="0.25">
      <c r="A9">
        <v>205</v>
      </c>
      <c r="B9" t="s">
        <v>509</v>
      </c>
      <c r="C9" t="s">
        <v>510</v>
      </c>
      <c r="D9" t="s">
        <v>511</v>
      </c>
      <c r="E9" t="s">
        <v>512</v>
      </c>
      <c r="F9" t="s">
        <v>513</v>
      </c>
      <c r="G9" t="s">
        <v>20</v>
      </c>
      <c r="H9" t="s">
        <v>47</v>
      </c>
      <c r="I9" t="s">
        <v>512</v>
      </c>
      <c r="J9" t="s">
        <v>514</v>
      </c>
      <c r="K9" t="s">
        <v>223</v>
      </c>
      <c r="M9" t="s">
        <v>23</v>
      </c>
      <c r="N9" t="s">
        <v>20</v>
      </c>
      <c r="O9" t="s">
        <v>20</v>
      </c>
      <c r="P9" t="s">
        <v>20</v>
      </c>
    </row>
    <row r="10" spans="1:16" x14ac:dyDescent="0.25">
      <c r="A10">
        <v>63</v>
      </c>
      <c r="B10" t="s">
        <v>200</v>
      </c>
      <c r="C10" t="s">
        <v>201</v>
      </c>
      <c r="D10" t="s">
        <v>197</v>
      </c>
      <c r="E10" t="s">
        <v>202</v>
      </c>
      <c r="F10" t="s">
        <v>203</v>
      </c>
      <c r="G10" t="s">
        <v>20</v>
      </c>
      <c r="H10" t="s">
        <v>21</v>
      </c>
      <c r="I10" t="s">
        <v>202</v>
      </c>
      <c r="J10" t="s">
        <v>203</v>
      </c>
      <c r="K10" t="s">
        <v>204</v>
      </c>
      <c r="M10" t="s">
        <v>23</v>
      </c>
      <c r="N10" t="s">
        <v>20</v>
      </c>
      <c r="O10" t="s">
        <v>20</v>
      </c>
      <c r="P10" t="s">
        <v>20</v>
      </c>
    </row>
    <row r="11" spans="1:16" x14ac:dyDescent="0.25">
      <c r="A11">
        <v>198</v>
      </c>
      <c r="B11" t="s">
        <v>478</v>
      </c>
      <c r="C11" t="s">
        <v>484</v>
      </c>
      <c r="D11" t="s">
        <v>480</v>
      </c>
      <c r="E11" t="s">
        <v>485</v>
      </c>
      <c r="F11" t="s">
        <v>486</v>
      </c>
      <c r="G11" t="s">
        <v>20</v>
      </c>
      <c r="H11" t="s">
        <v>21</v>
      </c>
      <c r="I11" t="s">
        <v>485</v>
      </c>
      <c r="J11" t="s">
        <v>486</v>
      </c>
      <c r="K11" t="s">
        <v>150</v>
      </c>
      <c r="M11" t="s">
        <v>23</v>
      </c>
      <c r="N11" t="s">
        <v>20</v>
      </c>
      <c r="O11" t="s">
        <v>20</v>
      </c>
      <c r="P11" t="s">
        <v>20</v>
      </c>
    </row>
    <row r="12" spans="1:16" x14ac:dyDescent="0.25">
      <c r="A12">
        <v>9</v>
      </c>
      <c r="B12" t="s">
        <v>54</v>
      </c>
      <c r="C12" t="s">
        <v>55</v>
      </c>
      <c r="D12" t="s">
        <v>32</v>
      </c>
      <c r="E12" t="s">
        <v>56</v>
      </c>
      <c r="F12" t="s">
        <v>57</v>
      </c>
      <c r="G12" t="s">
        <v>20</v>
      </c>
      <c r="H12" t="s">
        <v>21</v>
      </c>
      <c r="I12" t="s">
        <v>56</v>
      </c>
      <c r="J12" t="s">
        <v>57</v>
      </c>
      <c r="K12" t="s">
        <v>40</v>
      </c>
      <c r="M12" t="s">
        <v>23</v>
      </c>
      <c r="N12" t="s">
        <v>20</v>
      </c>
      <c r="O12" t="s">
        <v>20</v>
      </c>
      <c r="P12" t="s">
        <v>20</v>
      </c>
    </row>
    <row r="13" spans="1:16" x14ac:dyDescent="0.25">
      <c r="A13">
        <v>188</v>
      </c>
      <c r="B13" t="s">
        <v>458</v>
      </c>
      <c r="C13" t="s">
        <v>459</v>
      </c>
      <c r="D13" t="s">
        <v>440</v>
      </c>
      <c r="E13" t="s">
        <v>460</v>
      </c>
      <c r="F13" t="s">
        <v>461</v>
      </c>
      <c r="G13" t="s">
        <v>20</v>
      </c>
      <c r="H13" t="s">
        <v>21</v>
      </c>
      <c r="I13" t="s">
        <v>460</v>
      </c>
      <c r="J13" t="s">
        <v>461</v>
      </c>
      <c r="M13" t="s">
        <v>23</v>
      </c>
      <c r="N13" t="s">
        <v>24</v>
      </c>
      <c r="O13" t="s">
        <v>20</v>
      </c>
      <c r="P13" t="s">
        <v>20</v>
      </c>
    </row>
    <row r="14" spans="1:16" x14ac:dyDescent="0.25">
      <c r="A14">
        <v>191</v>
      </c>
      <c r="B14" t="s">
        <v>463</v>
      </c>
      <c r="C14" t="s">
        <v>464</v>
      </c>
      <c r="D14" t="s">
        <v>462</v>
      </c>
      <c r="E14" t="s">
        <v>465</v>
      </c>
      <c r="F14" t="s">
        <v>466</v>
      </c>
      <c r="G14" t="s">
        <v>20</v>
      </c>
      <c r="H14" t="s">
        <v>21</v>
      </c>
      <c r="I14" t="s">
        <v>465</v>
      </c>
      <c r="J14" t="s">
        <v>466</v>
      </c>
      <c r="K14" t="s">
        <v>228</v>
      </c>
      <c r="M14" t="s">
        <v>23</v>
      </c>
      <c r="N14" t="s">
        <v>20</v>
      </c>
      <c r="O14" t="s">
        <v>20</v>
      </c>
      <c r="P14" t="s">
        <v>20</v>
      </c>
    </row>
    <row r="15" spans="1:16" x14ac:dyDescent="0.25">
      <c r="A15">
        <v>91</v>
      </c>
      <c r="B15" t="s">
        <v>275</v>
      </c>
      <c r="C15" t="s">
        <v>276</v>
      </c>
      <c r="D15" t="s">
        <v>277</v>
      </c>
      <c r="E15" t="s">
        <v>278</v>
      </c>
      <c r="F15" t="s">
        <v>279</v>
      </c>
      <c r="G15" t="s">
        <v>20</v>
      </c>
      <c r="H15" t="s">
        <v>21</v>
      </c>
      <c r="I15" t="s">
        <v>278</v>
      </c>
      <c r="J15" t="s">
        <v>279</v>
      </c>
      <c r="K15" t="s">
        <v>280</v>
      </c>
      <c r="M15" t="s">
        <v>23</v>
      </c>
      <c r="N15" t="s">
        <v>24</v>
      </c>
      <c r="O15" t="s">
        <v>20</v>
      </c>
      <c r="P15" t="s">
        <v>20</v>
      </c>
    </row>
    <row r="16" spans="1:16" x14ac:dyDescent="0.25">
      <c r="A16">
        <v>93</v>
      </c>
      <c r="B16" t="s">
        <v>275</v>
      </c>
      <c r="C16" t="s">
        <v>281</v>
      </c>
      <c r="D16" t="s">
        <v>277</v>
      </c>
      <c r="E16" t="s">
        <v>282</v>
      </c>
      <c r="F16" t="s">
        <v>283</v>
      </c>
      <c r="G16" t="s">
        <v>20</v>
      </c>
      <c r="H16" t="s">
        <v>21</v>
      </c>
      <c r="I16" t="s">
        <v>282</v>
      </c>
      <c r="J16" t="s">
        <v>283</v>
      </c>
      <c r="K16" t="s">
        <v>280</v>
      </c>
      <c r="M16" t="s">
        <v>23</v>
      </c>
      <c r="N16" t="s">
        <v>20</v>
      </c>
      <c r="O16" t="s">
        <v>20</v>
      </c>
      <c r="P16" t="s">
        <v>20</v>
      </c>
    </row>
    <row r="17" spans="1:16" x14ac:dyDescent="0.25">
      <c r="A17">
        <v>27</v>
      </c>
      <c r="B17" t="s">
        <v>99</v>
      </c>
      <c r="C17" t="s">
        <v>100</v>
      </c>
      <c r="D17" t="s">
        <v>82</v>
      </c>
      <c r="E17" t="s">
        <v>101</v>
      </c>
      <c r="F17" t="s">
        <v>102</v>
      </c>
      <c r="G17" t="s">
        <v>20</v>
      </c>
      <c r="H17" t="s">
        <v>21</v>
      </c>
      <c r="I17" t="s">
        <v>101</v>
      </c>
      <c r="J17" t="s">
        <v>102</v>
      </c>
      <c r="K17" t="s">
        <v>103</v>
      </c>
      <c r="M17" t="s">
        <v>23</v>
      </c>
      <c r="N17" t="s">
        <v>24</v>
      </c>
      <c r="O17" t="s">
        <v>20</v>
      </c>
      <c r="P17" t="s">
        <v>20</v>
      </c>
    </row>
    <row r="18" spans="1:16" x14ac:dyDescent="0.25">
      <c r="A18">
        <v>209</v>
      </c>
      <c r="B18" t="s">
        <v>519</v>
      </c>
      <c r="C18" t="s">
        <v>529</v>
      </c>
      <c r="D18" t="s">
        <v>521</v>
      </c>
      <c r="E18" t="s">
        <v>530</v>
      </c>
      <c r="F18" t="s">
        <v>531</v>
      </c>
      <c r="G18" t="s">
        <v>20</v>
      </c>
      <c r="H18" t="s">
        <v>21</v>
      </c>
      <c r="I18" t="s">
        <v>530</v>
      </c>
      <c r="J18" t="s">
        <v>531</v>
      </c>
      <c r="K18" t="s">
        <v>180</v>
      </c>
      <c r="M18" t="s">
        <v>23</v>
      </c>
      <c r="N18" t="s">
        <v>20</v>
      </c>
      <c r="O18" t="s">
        <v>20</v>
      </c>
      <c r="P18" t="s">
        <v>20</v>
      </c>
    </row>
    <row r="19" spans="1:16" x14ac:dyDescent="0.25">
      <c r="A19">
        <v>177</v>
      </c>
      <c r="B19" t="s">
        <v>444</v>
      </c>
      <c r="C19" t="s">
        <v>313</v>
      </c>
      <c r="D19" t="s">
        <v>440</v>
      </c>
      <c r="E19" t="s">
        <v>445</v>
      </c>
      <c r="F19" t="s">
        <v>446</v>
      </c>
      <c r="G19" t="s">
        <v>24</v>
      </c>
      <c r="H19" t="s">
        <v>21</v>
      </c>
      <c r="I19" t="s">
        <v>445</v>
      </c>
      <c r="J19" t="s">
        <v>446</v>
      </c>
      <c r="K19" t="s">
        <v>447</v>
      </c>
      <c r="M19" t="s">
        <v>23</v>
      </c>
      <c r="N19" t="s">
        <v>24</v>
      </c>
      <c r="O19" t="s">
        <v>20</v>
      </c>
      <c r="P19" t="s">
        <v>20</v>
      </c>
    </row>
    <row r="20" spans="1:16" x14ac:dyDescent="0.25">
      <c r="A20">
        <v>111</v>
      </c>
      <c r="B20" t="s">
        <v>305</v>
      </c>
      <c r="C20" t="s">
        <v>314</v>
      </c>
      <c r="D20" t="s">
        <v>304</v>
      </c>
      <c r="E20" t="s">
        <v>315</v>
      </c>
      <c r="F20" t="s">
        <v>316</v>
      </c>
      <c r="G20" t="s">
        <v>24</v>
      </c>
      <c r="H20" t="s">
        <v>21</v>
      </c>
      <c r="I20" t="s">
        <v>315</v>
      </c>
      <c r="J20" t="s">
        <v>316</v>
      </c>
      <c r="K20" t="s">
        <v>317</v>
      </c>
      <c r="M20" t="s">
        <v>23</v>
      </c>
      <c r="N20" t="s">
        <v>24</v>
      </c>
      <c r="O20" t="s">
        <v>20</v>
      </c>
      <c r="P20" t="s">
        <v>20</v>
      </c>
    </row>
    <row r="21" spans="1:16" x14ac:dyDescent="0.25">
      <c r="A21">
        <v>214</v>
      </c>
      <c r="B21" t="s">
        <v>552</v>
      </c>
      <c r="C21" t="s">
        <v>553</v>
      </c>
      <c r="D21" t="s">
        <v>554</v>
      </c>
      <c r="E21" t="s">
        <v>555</v>
      </c>
      <c r="F21" t="s">
        <v>556</v>
      </c>
      <c r="G21" t="s">
        <v>24</v>
      </c>
      <c r="H21" t="s">
        <v>21</v>
      </c>
      <c r="I21" t="s">
        <v>555</v>
      </c>
      <c r="J21" t="s">
        <v>556</v>
      </c>
      <c r="M21" t="s">
        <v>23</v>
      </c>
      <c r="N21" t="s">
        <v>20</v>
      </c>
      <c r="O21" t="s">
        <v>20</v>
      </c>
      <c r="P21" t="s">
        <v>20</v>
      </c>
    </row>
    <row r="22" spans="1:16" x14ac:dyDescent="0.25">
      <c r="A22">
        <v>200</v>
      </c>
      <c r="B22" t="s">
        <v>491</v>
      </c>
      <c r="C22" t="s">
        <v>492</v>
      </c>
      <c r="D22" t="s">
        <v>493</v>
      </c>
      <c r="E22" t="s">
        <v>494</v>
      </c>
      <c r="F22" t="s">
        <v>495</v>
      </c>
      <c r="G22" t="s">
        <v>24</v>
      </c>
      <c r="H22" t="s">
        <v>21</v>
      </c>
      <c r="I22" t="s">
        <v>494</v>
      </c>
      <c r="J22" t="s">
        <v>495</v>
      </c>
      <c r="K22" t="s">
        <v>496</v>
      </c>
      <c r="M22" t="s">
        <v>23</v>
      </c>
      <c r="N22" t="s">
        <v>24</v>
      </c>
      <c r="O22" t="s">
        <v>20</v>
      </c>
      <c r="P22" t="s">
        <v>20</v>
      </c>
    </row>
    <row r="23" spans="1:16" x14ac:dyDescent="0.25">
      <c r="A23">
        <v>197</v>
      </c>
      <c r="B23" t="s">
        <v>478</v>
      </c>
      <c r="C23" t="s">
        <v>479</v>
      </c>
      <c r="D23" t="s">
        <v>480</v>
      </c>
      <c r="E23" t="s">
        <v>481</v>
      </c>
      <c r="F23" t="s">
        <v>482</v>
      </c>
      <c r="G23" t="s">
        <v>24</v>
      </c>
      <c r="H23" t="s">
        <v>78</v>
      </c>
      <c r="I23" t="s">
        <v>481</v>
      </c>
      <c r="J23" t="s">
        <v>482</v>
      </c>
      <c r="K23" t="s">
        <v>483</v>
      </c>
      <c r="M23" t="s">
        <v>23</v>
      </c>
      <c r="N23" t="s">
        <v>20</v>
      </c>
      <c r="O23" t="s">
        <v>20</v>
      </c>
      <c r="P23" t="s">
        <v>20</v>
      </c>
    </row>
    <row r="24" spans="1:16" x14ac:dyDescent="0.25">
      <c r="A24">
        <v>212</v>
      </c>
      <c r="B24" t="s">
        <v>543</v>
      </c>
      <c r="C24" t="s">
        <v>544</v>
      </c>
      <c r="D24" t="s">
        <v>545</v>
      </c>
      <c r="E24" t="s">
        <v>546</v>
      </c>
      <c r="F24" t="s">
        <v>547</v>
      </c>
      <c r="G24" t="s">
        <v>24</v>
      </c>
      <c r="H24" t="s">
        <v>21</v>
      </c>
      <c r="I24" t="s">
        <v>546</v>
      </c>
      <c r="J24" t="s">
        <v>547</v>
      </c>
      <c r="K24" t="s">
        <v>548</v>
      </c>
      <c r="M24" t="s">
        <v>23</v>
      </c>
      <c r="N24" t="s">
        <v>20</v>
      </c>
      <c r="O24" t="s">
        <v>20</v>
      </c>
      <c r="P24" t="s">
        <v>20</v>
      </c>
    </row>
    <row r="25" spans="1:16" x14ac:dyDescent="0.25">
      <c r="A25">
        <v>181</v>
      </c>
      <c r="B25" t="s">
        <v>448</v>
      </c>
      <c r="C25" t="s">
        <v>449</v>
      </c>
      <c r="D25" t="s">
        <v>440</v>
      </c>
      <c r="E25" t="s">
        <v>450</v>
      </c>
      <c r="F25" t="s">
        <v>451</v>
      </c>
      <c r="G25" t="s">
        <v>24</v>
      </c>
      <c r="H25" t="s">
        <v>21</v>
      </c>
      <c r="I25" t="s">
        <v>450</v>
      </c>
      <c r="J25" t="s">
        <v>451</v>
      </c>
      <c r="K25" t="s">
        <v>452</v>
      </c>
      <c r="M25" t="s">
        <v>23</v>
      </c>
      <c r="N25" t="s">
        <v>20</v>
      </c>
      <c r="O25" t="s">
        <v>20</v>
      </c>
      <c r="P25" t="s">
        <v>20</v>
      </c>
    </row>
    <row r="26" spans="1:16" x14ac:dyDescent="0.25">
      <c r="A26">
        <v>74</v>
      </c>
      <c r="B26" t="s">
        <v>234</v>
      </c>
      <c r="C26" t="s">
        <v>146</v>
      </c>
      <c r="D26" t="s">
        <v>207</v>
      </c>
      <c r="E26" t="s">
        <v>238</v>
      </c>
      <c r="F26" t="s">
        <v>239</v>
      </c>
      <c r="G26" t="s">
        <v>24</v>
      </c>
      <c r="H26" t="s">
        <v>21</v>
      </c>
      <c r="I26" t="s">
        <v>238</v>
      </c>
      <c r="J26" t="s">
        <v>239</v>
      </c>
      <c r="K26" t="s">
        <v>233</v>
      </c>
      <c r="M26" t="s">
        <v>23</v>
      </c>
      <c r="N26" t="s">
        <v>20</v>
      </c>
      <c r="O26" t="s">
        <v>20</v>
      </c>
      <c r="P26" t="s">
        <v>20</v>
      </c>
    </row>
    <row r="27" spans="1:16" x14ac:dyDescent="0.25">
      <c r="A27">
        <v>61</v>
      </c>
      <c r="B27" t="s">
        <v>196</v>
      </c>
      <c r="C27" t="s">
        <v>26</v>
      </c>
      <c r="D27" t="s">
        <v>197</v>
      </c>
      <c r="E27" t="s">
        <v>198</v>
      </c>
      <c r="F27" t="s">
        <v>199</v>
      </c>
      <c r="G27" t="s">
        <v>24</v>
      </c>
      <c r="H27" t="s">
        <v>21</v>
      </c>
      <c r="I27" t="s">
        <v>198</v>
      </c>
      <c r="J27" t="s">
        <v>199</v>
      </c>
      <c r="K27" t="s">
        <v>29</v>
      </c>
      <c r="M27" t="s">
        <v>23</v>
      </c>
      <c r="N27" t="s">
        <v>24</v>
      </c>
      <c r="O27" t="s">
        <v>20</v>
      </c>
      <c r="P27" t="s">
        <v>20</v>
      </c>
    </row>
    <row r="28" spans="1:16" x14ac:dyDescent="0.25">
      <c r="A28">
        <v>199</v>
      </c>
      <c r="B28" t="s">
        <v>487</v>
      </c>
      <c r="C28" t="s">
        <v>488</v>
      </c>
      <c r="D28" t="s">
        <v>480</v>
      </c>
      <c r="E28" t="s">
        <v>489</v>
      </c>
      <c r="F28" t="s">
        <v>490</v>
      </c>
      <c r="G28" t="s">
        <v>24</v>
      </c>
      <c r="H28" t="s">
        <v>21</v>
      </c>
      <c r="I28" t="s">
        <v>489</v>
      </c>
      <c r="J28" t="s">
        <v>490</v>
      </c>
      <c r="K28" t="s">
        <v>483</v>
      </c>
      <c r="M28" t="s">
        <v>23</v>
      </c>
      <c r="N28" t="s">
        <v>24</v>
      </c>
      <c r="O28" t="s">
        <v>20</v>
      </c>
      <c r="P28" t="s">
        <v>20</v>
      </c>
    </row>
    <row r="29" spans="1:16" x14ac:dyDescent="0.25">
      <c r="A29">
        <v>149</v>
      </c>
      <c r="B29" t="s">
        <v>366</v>
      </c>
      <c r="C29" t="s">
        <v>367</v>
      </c>
      <c r="D29" t="s">
        <v>344</v>
      </c>
      <c r="E29" t="s">
        <v>368</v>
      </c>
      <c r="F29" t="s">
        <v>369</v>
      </c>
      <c r="G29" t="s">
        <v>24</v>
      </c>
      <c r="H29" t="s">
        <v>21</v>
      </c>
      <c r="I29" t="s">
        <v>368</v>
      </c>
      <c r="J29" t="s">
        <v>370</v>
      </c>
      <c r="K29" t="s">
        <v>371</v>
      </c>
      <c r="M29" t="s">
        <v>23</v>
      </c>
      <c r="N29" t="s">
        <v>24</v>
      </c>
      <c r="O29" t="s">
        <v>20</v>
      </c>
      <c r="P29" t="s">
        <v>20</v>
      </c>
    </row>
    <row r="30" spans="1:16" x14ac:dyDescent="0.25">
      <c r="A30">
        <v>46</v>
      </c>
      <c r="B30" t="s">
        <v>135</v>
      </c>
      <c r="C30" t="s">
        <v>136</v>
      </c>
      <c r="D30" t="s">
        <v>137</v>
      </c>
      <c r="E30" t="s">
        <v>138</v>
      </c>
      <c r="F30" t="s">
        <v>139</v>
      </c>
      <c r="G30" t="s">
        <v>24</v>
      </c>
      <c r="H30" t="s">
        <v>21</v>
      </c>
      <c r="I30" t="s">
        <v>138</v>
      </c>
      <c r="J30" t="s">
        <v>139</v>
      </c>
      <c r="K30" t="s">
        <v>140</v>
      </c>
      <c r="M30" t="s">
        <v>23</v>
      </c>
      <c r="N30" t="s">
        <v>24</v>
      </c>
      <c r="O30" t="s">
        <v>20</v>
      </c>
      <c r="P30" t="s">
        <v>20</v>
      </c>
    </row>
    <row r="31" spans="1:16" x14ac:dyDescent="0.25">
      <c r="A31">
        <v>175</v>
      </c>
      <c r="B31" t="s">
        <v>432</v>
      </c>
      <c r="C31" t="s">
        <v>433</v>
      </c>
      <c r="D31" t="s">
        <v>434</v>
      </c>
      <c r="E31" t="s">
        <v>435</v>
      </c>
      <c r="F31" t="s">
        <v>436</v>
      </c>
      <c r="G31" t="s">
        <v>24</v>
      </c>
      <c r="H31" t="s">
        <v>21</v>
      </c>
      <c r="I31" t="s">
        <v>435</v>
      </c>
      <c r="J31" t="s">
        <v>436</v>
      </c>
      <c r="K31" t="s">
        <v>437</v>
      </c>
      <c r="M31" t="s">
        <v>23</v>
      </c>
      <c r="N31" t="s">
        <v>20</v>
      </c>
      <c r="O31" t="s">
        <v>20</v>
      </c>
      <c r="P31" t="s">
        <v>20</v>
      </c>
    </row>
    <row r="32" spans="1:16" x14ac:dyDescent="0.25">
      <c r="A32">
        <v>169</v>
      </c>
      <c r="B32" t="s">
        <v>405</v>
      </c>
      <c r="C32" t="s">
        <v>406</v>
      </c>
      <c r="D32" t="s">
        <v>407</v>
      </c>
      <c r="E32" t="s">
        <v>408</v>
      </c>
      <c r="F32" t="s">
        <v>409</v>
      </c>
      <c r="G32" t="s">
        <v>24</v>
      </c>
      <c r="H32" t="s">
        <v>21</v>
      </c>
      <c r="I32" t="s">
        <v>410</v>
      </c>
      <c r="J32" t="s">
        <v>411</v>
      </c>
      <c r="K32" t="s">
        <v>412</v>
      </c>
      <c r="M32" t="s">
        <v>23</v>
      </c>
      <c r="N32" t="s">
        <v>24</v>
      </c>
      <c r="O32" t="s">
        <v>20</v>
      </c>
      <c r="P32" t="s">
        <v>20</v>
      </c>
    </row>
    <row r="33" spans="1:16" x14ac:dyDescent="0.25">
      <c r="A33">
        <v>210</v>
      </c>
      <c r="B33" t="s">
        <v>532</v>
      </c>
      <c r="C33" t="s">
        <v>533</v>
      </c>
      <c r="D33" t="s">
        <v>534</v>
      </c>
      <c r="E33" t="s">
        <v>535</v>
      </c>
      <c r="F33" t="s">
        <v>536</v>
      </c>
      <c r="G33" t="s">
        <v>24</v>
      </c>
      <c r="H33" t="s">
        <v>21</v>
      </c>
      <c r="I33" t="s">
        <v>537</v>
      </c>
      <c r="J33" t="s">
        <v>536</v>
      </c>
      <c r="K33" t="s">
        <v>538</v>
      </c>
      <c r="M33" t="s">
        <v>23</v>
      </c>
      <c r="N33" t="s">
        <v>20</v>
      </c>
      <c r="O33" t="s">
        <v>20</v>
      </c>
      <c r="P33" t="s">
        <v>20</v>
      </c>
    </row>
    <row r="34" spans="1:16" x14ac:dyDescent="0.25">
      <c r="A34">
        <v>2</v>
      </c>
      <c r="B34" t="s">
        <v>25</v>
      </c>
      <c r="C34" t="s">
        <v>26</v>
      </c>
      <c r="D34" t="s">
        <v>17</v>
      </c>
      <c r="E34" t="s">
        <v>27</v>
      </c>
      <c r="F34" t="s">
        <v>28</v>
      </c>
      <c r="G34" t="s">
        <v>24</v>
      </c>
      <c r="H34" t="s">
        <v>21</v>
      </c>
      <c r="I34" t="s">
        <v>27</v>
      </c>
      <c r="J34" t="s">
        <v>28</v>
      </c>
      <c r="K34" t="s">
        <v>29</v>
      </c>
      <c r="M34" t="s">
        <v>23</v>
      </c>
      <c r="N34" t="s">
        <v>24</v>
      </c>
      <c r="O34" t="s">
        <v>20</v>
      </c>
      <c r="P34" t="s">
        <v>20</v>
      </c>
    </row>
    <row r="35" spans="1:16" x14ac:dyDescent="0.25">
      <c r="A35">
        <v>51</v>
      </c>
      <c r="B35" t="s">
        <v>157</v>
      </c>
      <c r="C35" t="s">
        <v>158</v>
      </c>
      <c r="D35" t="s">
        <v>159</v>
      </c>
      <c r="E35" t="s">
        <v>160</v>
      </c>
      <c r="F35" t="s">
        <v>161</v>
      </c>
      <c r="G35" t="s">
        <v>24</v>
      </c>
      <c r="H35" t="s">
        <v>21</v>
      </c>
      <c r="I35" t="s">
        <v>160</v>
      </c>
      <c r="J35" t="s">
        <v>161</v>
      </c>
      <c r="K35" t="s">
        <v>40</v>
      </c>
      <c r="M35" t="s">
        <v>23</v>
      </c>
      <c r="N35" t="s">
        <v>20</v>
      </c>
      <c r="O35" t="s">
        <v>20</v>
      </c>
      <c r="P35" t="s">
        <v>20</v>
      </c>
    </row>
    <row r="36" spans="1:16" x14ac:dyDescent="0.25">
      <c r="A36">
        <v>192</v>
      </c>
      <c r="B36" t="s">
        <v>467</v>
      </c>
      <c r="C36" t="s">
        <v>468</v>
      </c>
      <c r="D36" t="s">
        <v>462</v>
      </c>
      <c r="E36" t="s">
        <v>469</v>
      </c>
      <c r="F36" t="s">
        <v>470</v>
      </c>
      <c r="G36" t="s">
        <v>24</v>
      </c>
      <c r="H36" t="s">
        <v>21</v>
      </c>
      <c r="I36" t="s">
        <v>469</v>
      </c>
      <c r="J36" t="s">
        <v>470</v>
      </c>
      <c r="K36" t="s">
        <v>471</v>
      </c>
      <c r="M36" t="s">
        <v>23</v>
      </c>
      <c r="N36" t="s">
        <v>24</v>
      </c>
      <c r="O36" t="s">
        <v>20</v>
      </c>
      <c r="P36" t="s">
        <v>20</v>
      </c>
    </row>
    <row r="37" spans="1:16" x14ac:dyDescent="0.25">
      <c r="A37">
        <v>42</v>
      </c>
      <c r="B37" t="s">
        <v>122</v>
      </c>
      <c r="C37" t="s">
        <v>126</v>
      </c>
      <c r="D37" t="s">
        <v>108</v>
      </c>
      <c r="E37" t="s">
        <v>127</v>
      </c>
      <c r="F37" t="s">
        <v>128</v>
      </c>
      <c r="G37" t="s">
        <v>24</v>
      </c>
      <c r="H37" t="s">
        <v>21</v>
      </c>
      <c r="I37" t="s">
        <v>127</v>
      </c>
      <c r="J37" t="s">
        <v>128</v>
      </c>
      <c r="K37" t="s">
        <v>129</v>
      </c>
      <c r="M37" t="s">
        <v>23</v>
      </c>
      <c r="N37" t="s">
        <v>20</v>
      </c>
      <c r="O37" t="s">
        <v>20</v>
      </c>
      <c r="P37" t="s">
        <v>20</v>
      </c>
    </row>
    <row r="38" spans="1:16" x14ac:dyDescent="0.25">
      <c r="A38">
        <v>102</v>
      </c>
      <c r="B38" t="s">
        <v>299</v>
      </c>
      <c r="C38" t="s">
        <v>300</v>
      </c>
      <c r="D38" t="s">
        <v>277</v>
      </c>
      <c r="E38" t="s">
        <v>301</v>
      </c>
      <c r="F38" t="s">
        <v>302</v>
      </c>
      <c r="G38" t="s">
        <v>20</v>
      </c>
      <c r="H38" t="s">
        <v>21</v>
      </c>
      <c r="I38" t="s">
        <v>301</v>
      </c>
      <c r="J38" t="s">
        <v>302</v>
      </c>
      <c r="K38" t="s">
        <v>303</v>
      </c>
      <c r="M38" t="s">
        <v>23</v>
      </c>
      <c r="N38" t="s">
        <v>24</v>
      </c>
      <c r="O38" t="s">
        <v>24</v>
      </c>
      <c r="P38" t="s">
        <v>20</v>
      </c>
    </row>
    <row r="39" spans="1:16" x14ac:dyDescent="0.25">
      <c r="A39">
        <v>172</v>
      </c>
      <c r="B39" t="s">
        <v>405</v>
      </c>
      <c r="C39" t="s">
        <v>423</v>
      </c>
      <c r="D39" t="s">
        <v>407</v>
      </c>
      <c r="E39" t="s">
        <v>424</v>
      </c>
      <c r="F39" t="s">
        <v>425</v>
      </c>
      <c r="G39" t="s">
        <v>20</v>
      </c>
      <c r="H39" t="s">
        <v>21</v>
      </c>
      <c r="I39" t="s">
        <v>426</v>
      </c>
      <c r="J39" t="s">
        <v>427</v>
      </c>
      <c r="K39" t="s">
        <v>40</v>
      </c>
      <c r="M39" t="s">
        <v>23</v>
      </c>
      <c r="N39" t="s">
        <v>24</v>
      </c>
      <c r="O39" t="s">
        <v>24</v>
      </c>
      <c r="P39" t="s">
        <v>20</v>
      </c>
    </row>
    <row r="40" spans="1:16" x14ac:dyDescent="0.25">
      <c r="A40">
        <v>1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  <c r="H40" t="s">
        <v>21</v>
      </c>
      <c r="I40" t="s">
        <v>18</v>
      </c>
      <c r="J40" t="s">
        <v>19</v>
      </c>
      <c r="K40" t="s">
        <v>22</v>
      </c>
      <c r="M40" t="s">
        <v>23</v>
      </c>
      <c r="N40" t="s">
        <v>24</v>
      </c>
      <c r="O40" t="s">
        <v>24</v>
      </c>
      <c r="P40" t="s">
        <v>24</v>
      </c>
    </row>
    <row r="41" spans="1:16" x14ac:dyDescent="0.25">
      <c r="A41">
        <v>100</v>
      </c>
      <c r="B41" t="s">
        <v>284</v>
      </c>
      <c r="C41" t="s">
        <v>296</v>
      </c>
      <c r="D41" t="s">
        <v>277</v>
      </c>
      <c r="E41" t="s">
        <v>297</v>
      </c>
      <c r="F41" t="s">
        <v>298</v>
      </c>
      <c r="G41" t="s">
        <v>20</v>
      </c>
      <c r="H41" t="s">
        <v>21</v>
      </c>
      <c r="I41" t="s">
        <v>297</v>
      </c>
      <c r="J41" t="s">
        <v>298</v>
      </c>
      <c r="K41" t="s">
        <v>288</v>
      </c>
      <c r="M41" t="s">
        <v>23</v>
      </c>
      <c r="N41" t="s">
        <v>24</v>
      </c>
      <c r="O41" t="s">
        <v>24</v>
      </c>
      <c r="P41" t="s">
        <v>24</v>
      </c>
    </row>
    <row r="42" spans="1:16" x14ac:dyDescent="0.25">
      <c r="A42">
        <v>80</v>
      </c>
      <c r="B42" t="s">
        <v>244</v>
      </c>
      <c r="C42" t="s">
        <v>230</v>
      </c>
      <c r="D42" t="s">
        <v>207</v>
      </c>
      <c r="E42" t="s">
        <v>245</v>
      </c>
      <c r="F42" t="s">
        <v>246</v>
      </c>
      <c r="G42" t="s">
        <v>20</v>
      </c>
      <c r="H42" t="s">
        <v>21</v>
      </c>
      <c r="I42" t="s">
        <v>245</v>
      </c>
      <c r="J42" t="s">
        <v>246</v>
      </c>
      <c r="K42" t="s">
        <v>233</v>
      </c>
      <c r="M42" t="s">
        <v>23</v>
      </c>
      <c r="N42" t="s">
        <v>24</v>
      </c>
      <c r="O42" t="s">
        <v>24</v>
      </c>
      <c r="P42" t="s">
        <v>24</v>
      </c>
    </row>
    <row r="43" spans="1:16" x14ac:dyDescent="0.25">
      <c r="A43">
        <v>87</v>
      </c>
      <c r="B43" t="s">
        <v>260</v>
      </c>
      <c r="C43" t="s">
        <v>261</v>
      </c>
      <c r="D43" t="s">
        <v>262</v>
      </c>
      <c r="E43" t="s">
        <v>263</v>
      </c>
      <c r="F43" t="s">
        <v>264</v>
      </c>
      <c r="G43" t="s">
        <v>24</v>
      </c>
      <c r="H43" t="s">
        <v>78</v>
      </c>
      <c r="I43" t="s">
        <v>263</v>
      </c>
      <c r="J43" t="s">
        <v>264</v>
      </c>
      <c r="K43" t="s">
        <v>265</v>
      </c>
      <c r="M43" t="s">
        <v>23</v>
      </c>
      <c r="N43" t="s">
        <v>24</v>
      </c>
      <c r="O43" t="s">
        <v>24</v>
      </c>
      <c r="P43" t="s">
        <v>20</v>
      </c>
    </row>
    <row r="44" spans="1:16" x14ac:dyDescent="0.25">
      <c r="A44">
        <v>121</v>
      </c>
      <c r="B44" t="s">
        <v>332</v>
      </c>
      <c r="C44" t="s">
        <v>134</v>
      </c>
      <c r="D44" t="s">
        <v>331</v>
      </c>
      <c r="E44" t="s">
        <v>341</v>
      </c>
      <c r="F44" t="s">
        <v>342</v>
      </c>
      <c r="G44" t="s">
        <v>24</v>
      </c>
      <c r="H44" t="s">
        <v>21</v>
      </c>
      <c r="I44" t="s">
        <v>341</v>
      </c>
      <c r="J44" t="s">
        <v>342</v>
      </c>
      <c r="K44" t="s">
        <v>343</v>
      </c>
      <c r="M44" t="s">
        <v>23</v>
      </c>
      <c r="N44" t="s">
        <v>24</v>
      </c>
      <c r="O44" t="s">
        <v>24</v>
      </c>
      <c r="P44" t="s">
        <v>20</v>
      </c>
    </row>
    <row r="45" spans="1:16" x14ac:dyDescent="0.25">
      <c r="A45">
        <v>152</v>
      </c>
      <c r="B45" t="s">
        <v>366</v>
      </c>
      <c r="C45" t="s">
        <v>378</v>
      </c>
      <c r="D45" t="s">
        <v>344</v>
      </c>
      <c r="E45" t="s">
        <v>379</v>
      </c>
      <c r="F45" t="s">
        <v>380</v>
      </c>
      <c r="G45" t="s">
        <v>24</v>
      </c>
      <c r="H45" t="s">
        <v>21</v>
      </c>
      <c r="I45" t="s">
        <v>379</v>
      </c>
      <c r="J45" t="s">
        <v>381</v>
      </c>
      <c r="K45" t="s">
        <v>382</v>
      </c>
      <c r="M45" t="s">
        <v>23</v>
      </c>
      <c r="N45" t="s">
        <v>24</v>
      </c>
      <c r="O45" t="s">
        <v>24</v>
      </c>
      <c r="P45" t="s">
        <v>20</v>
      </c>
    </row>
    <row r="46" spans="1:16" x14ac:dyDescent="0.25">
      <c r="A46">
        <v>96</v>
      </c>
      <c r="B46" t="s">
        <v>284</v>
      </c>
      <c r="C46" t="s">
        <v>289</v>
      </c>
      <c r="D46" t="s">
        <v>277</v>
      </c>
      <c r="E46" t="s">
        <v>290</v>
      </c>
      <c r="F46" t="s">
        <v>291</v>
      </c>
      <c r="G46" t="s">
        <v>24</v>
      </c>
      <c r="H46" t="s">
        <v>21</v>
      </c>
      <c r="I46" t="s">
        <v>290</v>
      </c>
      <c r="J46" t="s">
        <v>291</v>
      </c>
      <c r="K46" t="s">
        <v>292</v>
      </c>
      <c r="M46" t="s">
        <v>23</v>
      </c>
      <c r="N46" t="s">
        <v>24</v>
      </c>
      <c r="O46" t="s">
        <v>24</v>
      </c>
      <c r="P46" t="s">
        <v>20</v>
      </c>
    </row>
    <row r="47" spans="1:16" x14ac:dyDescent="0.25">
      <c r="A47">
        <v>166</v>
      </c>
      <c r="B47" t="s">
        <v>397</v>
      </c>
      <c r="C47" t="s">
        <v>398</v>
      </c>
      <c r="D47" t="s">
        <v>399</v>
      </c>
      <c r="E47" t="s">
        <v>400</v>
      </c>
      <c r="F47" t="s">
        <v>401</v>
      </c>
      <c r="G47" t="s">
        <v>24</v>
      </c>
      <c r="H47" t="s">
        <v>21</v>
      </c>
      <c r="I47" t="s">
        <v>402</v>
      </c>
      <c r="J47" t="s">
        <v>403</v>
      </c>
      <c r="K47" t="s">
        <v>404</v>
      </c>
      <c r="M47" t="s">
        <v>23</v>
      </c>
      <c r="N47" t="s">
        <v>24</v>
      </c>
      <c r="O47" t="s">
        <v>24</v>
      </c>
      <c r="P47" t="s">
        <v>20</v>
      </c>
    </row>
    <row r="48" spans="1:16" x14ac:dyDescent="0.25">
      <c r="A48">
        <v>14</v>
      </c>
      <c r="B48" t="s">
        <v>68</v>
      </c>
      <c r="C48" t="s">
        <v>69</v>
      </c>
      <c r="D48" t="s">
        <v>64</v>
      </c>
      <c r="E48" t="s">
        <v>70</v>
      </c>
      <c r="F48" t="s">
        <v>71</v>
      </c>
      <c r="G48" t="s">
        <v>24</v>
      </c>
      <c r="H48" t="s">
        <v>21</v>
      </c>
      <c r="I48" t="s">
        <v>70</v>
      </c>
      <c r="J48" t="s">
        <v>71</v>
      </c>
      <c r="K48" t="s">
        <v>72</v>
      </c>
      <c r="M48" t="s">
        <v>23</v>
      </c>
      <c r="N48" t="s">
        <v>24</v>
      </c>
      <c r="O48" t="s">
        <v>24</v>
      </c>
      <c r="P48" t="s">
        <v>20</v>
      </c>
    </row>
    <row r="49" spans="1:16" x14ac:dyDescent="0.25">
      <c r="A49">
        <v>64</v>
      </c>
      <c r="B49" t="s">
        <v>205</v>
      </c>
      <c r="C49" t="s">
        <v>206</v>
      </c>
      <c r="D49" t="s">
        <v>207</v>
      </c>
      <c r="E49" t="s">
        <v>208</v>
      </c>
      <c r="F49" t="s">
        <v>209</v>
      </c>
      <c r="G49" t="s">
        <v>24</v>
      </c>
      <c r="H49" t="s">
        <v>21</v>
      </c>
      <c r="I49" t="s">
        <v>210</v>
      </c>
      <c r="J49" t="s">
        <v>209</v>
      </c>
      <c r="K49" t="s">
        <v>211</v>
      </c>
      <c r="M49" t="s">
        <v>23</v>
      </c>
      <c r="N49" t="s">
        <v>24</v>
      </c>
      <c r="O49" t="s">
        <v>24</v>
      </c>
      <c r="P49" t="s">
        <v>24</v>
      </c>
    </row>
    <row r="50" spans="1:16" x14ac:dyDescent="0.25">
      <c r="A50">
        <v>17</v>
      </c>
      <c r="B50" t="s">
        <v>80</v>
      </c>
      <c r="C50" t="s">
        <v>81</v>
      </c>
      <c r="D50" t="s">
        <v>82</v>
      </c>
      <c r="E50" t="s">
        <v>83</v>
      </c>
      <c r="F50" t="s">
        <v>84</v>
      </c>
      <c r="G50" t="s">
        <v>24</v>
      </c>
      <c r="H50" t="s">
        <v>78</v>
      </c>
      <c r="I50" t="s">
        <v>83</v>
      </c>
      <c r="J50" t="s">
        <v>84</v>
      </c>
      <c r="K50" t="s">
        <v>85</v>
      </c>
      <c r="M50" t="s">
        <v>23</v>
      </c>
      <c r="N50" t="s">
        <v>24</v>
      </c>
      <c r="O50" t="s">
        <v>24</v>
      </c>
      <c r="P50" t="s">
        <v>24</v>
      </c>
    </row>
    <row r="51" spans="1:16" x14ac:dyDescent="0.25">
      <c r="A51">
        <v>86</v>
      </c>
      <c r="B51" t="s">
        <v>255</v>
      </c>
      <c r="C51" t="s">
        <v>256</v>
      </c>
      <c r="D51" t="s">
        <v>207</v>
      </c>
      <c r="E51" t="s">
        <v>257</v>
      </c>
      <c r="F51" t="s">
        <v>258</v>
      </c>
      <c r="G51" t="s">
        <v>24</v>
      </c>
      <c r="H51" t="s">
        <v>21</v>
      </c>
      <c r="I51" t="s">
        <v>257</v>
      </c>
      <c r="J51" t="s">
        <v>258</v>
      </c>
      <c r="K51" t="s">
        <v>259</v>
      </c>
      <c r="M51" t="s">
        <v>23</v>
      </c>
      <c r="N51" t="s">
        <v>24</v>
      </c>
      <c r="O51" t="s">
        <v>24</v>
      </c>
      <c r="P51" t="s">
        <v>24</v>
      </c>
    </row>
    <row r="52" spans="1:16" x14ac:dyDescent="0.25">
      <c r="A52">
        <v>213</v>
      </c>
      <c r="B52" t="s">
        <v>543</v>
      </c>
      <c r="C52" t="s">
        <v>549</v>
      </c>
      <c r="D52" t="s">
        <v>545</v>
      </c>
      <c r="E52" t="s">
        <v>550</v>
      </c>
      <c r="F52" t="s">
        <v>551</v>
      </c>
      <c r="G52" t="s">
        <v>24</v>
      </c>
      <c r="H52" t="s">
        <v>21</v>
      </c>
      <c r="I52" t="s">
        <v>550</v>
      </c>
      <c r="J52" t="s">
        <v>551</v>
      </c>
      <c r="K52" t="s">
        <v>317</v>
      </c>
      <c r="M52" t="s">
        <v>23</v>
      </c>
      <c r="N52" t="s">
        <v>24</v>
      </c>
      <c r="O52" t="s">
        <v>24</v>
      </c>
      <c r="P52" t="s">
        <v>24</v>
      </c>
    </row>
    <row r="53" spans="1:16" x14ac:dyDescent="0.25">
      <c r="A53">
        <v>57</v>
      </c>
      <c r="B53" t="s">
        <v>181</v>
      </c>
      <c r="C53" t="s">
        <v>187</v>
      </c>
      <c r="D53" t="s">
        <v>183</v>
      </c>
      <c r="E53" t="s">
        <v>188</v>
      </c>
      <c r="F53" t="s">
        <v>189</v>
      </c>
      <c r="G53" t="s">
        <v>24</v>
      </c>
      <c r="H53" t="s">
        <v>21</v>
      </c>
      <c r="I53" t="s">
        <v>188</v>
      </c>
      <c r="J53" t="s">
        <v>189</v>
      </c>
      <c r="K53" t="s">
        <v>173</v>
      </c>
      <c r="M53" t="s">
        <v>23</v>
      </c>
      <c r="N53" t="s">
        <v>24</v>
      </c>
      <c r="O53" t="s">
        <v>24</v>
      </c>
      <c r="P53" t="s">
        <v>24</v>
      </c>
    </row>
    <row r="54" spans="1:16" x14ac:dyDescent="0.25">
      <c r="A54">
        <v>142</v>
      </c>
      <c r="B54" t="s">
        <v>358</v>
      </c>
      <c r="C54" t="s">
        <v>359</v>
      </c>
      <c r="D54" t="s">
        <v>344</v>
      </c>
      <c r="E54" t="s">
        <v>360</v>
      </c>
      <c r="F54" t="s">
        <v>361</v>
      </c>
      <c r="G54" t="s">
        <v>24</v>
      </c>
      <c r="H54" t="s">
        <v>21</v>
      </c>
      <c r="I54" t="s">
        <v>360</v>
      </c>
      <c r="J54" t="s">
        <v>361</v>
      </c>
      <c r="K54" t="s">
        <v>362</v>
      </c>
      <c r="M54" t="s">
        <v>23</v>
      </c>
      <c r="N54" t="s">
        <v>24</v>
      </c>
      <c r="O54" t="s">
        <v>24</v>
      </c>
      <c r="P54" t="s">
        <v>24</v>
      </c>
    </row>
    <row r="55" spans="1:16" x14ac:dyDescent="0.25">
      <c r="A55">
        <v>23</v>
      </c>
      <c r="B55" t="s">
        <v>86</v>
      </c>
      <c r="C55" t="s">
        <v>93</v>
      </c>
      <c r="D55" t="s">
        <v>82</v>
      </c>
      <c r="E55" t="s">
        <v>94</v>
      </c>
      <c r="F55" t="s">
        <v>95</v>
      </c>
      <c r="G55" t="s">
        <v>24</v>
      </c>
      <c r="H55" t="s">
        <v>21</v>
      </c>
      <c r="I55" t="s">
        <v>96</v>
      </c>
      <c r="J55" t="s">
        <v>97</v>
      </c>
      <c r="K55" t="s">
        <v>98</v>
      </c>
      <c r="M55" t="s">
        <v>23</v>
      </c>
      <c r="N55" t="s">
        <v>24</v>
      </c>
      <c r="O55" t="s">
        <v>24</v>
      </c>
      <c r="P55" t="s">
        <v>24</v>
      </c>
    </row>
    <row r="56" spans="1:16" x14ac:dyDescent="0.25">
      <c r="A56">
        <v>114</v>
      </c>
      <c r="B56" t="s">
        <v>324</v>
      </c>
      <c r="C56" t="s">
        <v>325</v>
      </c>
      <c r="D56" t="s">
        <v>320</v>
      </c>
      <c r="E56" t="s">
        <v>326</v>
      </c>
      <c r="F56" t="s">
        <v>327</v>
      </c>
      <c r="G56" t="s">
        <v>24</v>
      </c>
      <c r="H56" t="s">
        <v>21</v>
      </c>
      <c r="I56" t="s">
        <v>326</v>
      </c>
      <c r="J56" t="s">
        <v>327</v>
      </c>
      <c r="K56" t="s">
        <v>40</v>
      </c>
      <c r="M56" t="s">
        <v>23</v>
      </c>
      <c r="N56" t="s">
        <v>24</v>
      </c>
      <c r="O56" t="s">
        <v>24</v>
      </c>
      <c r="P56" t="s">
        <v>24</v>
      </c>
    </row>
    <row r="57" spans="1:16" x14ac:dyDescent="0.25">
      <c r="A57">
        <v>115</v>
      </c>
      <c r="B57" t="s">
        <v>324</v>
      </c>
      <c r="C57" t="s">
        <v>328</v>
      </c>
      <c r="D57" t="s">
        <v>320</v>
      </c>
      <c r="E57" t="s">
        <v>329</v>
      </c>
      <c r="F57" t="s">
        <v>330</v>
      </c>
      <c r="G57" t="s">
        <v>24</v>
      </c>
      <c r="H57" t="s">
        <v>21</v>
      </c>
      <c r="I57" t="s">
        <v>329</v>
      </c>
      <c r="J57" t="s">
        <v>330</v>
      </c>
      <c r="K57" t="s">
        <v>40</v>
      </c>
      <c r="M57" t="s">
        <v>23</v>
      </c>
      <c r="N57" t="s">
        <v>24</v>
      </c>
      <c r="O57" t="s">
        <v>24</v>
      </c>
      <c r="P57" t="s">
        <v>24</v>
      </c>
    </row>
    <row r="58" spans="1:16" x14ac:dyDescent="0.25">
      <c r="A58">
        <v>94</v>
      </c>
      <c r="B58" t="s">
        <v>284</v>
      </c>
      <c r="C58" t="s">
        <v>285</v>
      </c>
      <c r="D58" t="s">
        <v>277</v>
      </c>
      <c r="E58" t="s">
        <v>286</v>
      </c>
      <c r="F58" t="s">
        <v>287</v>
      </c>
      <c r="G58" t="s">
        <v>24</v>
      </c>
      <c r="H58" t="s">
        <v>21</v>
      </c>
      <c r="I58" t="s">
        <v>286</v>
      </c>
      <c r="J58" t="s">
        <v>287</v>
      </c>
      <c r="K58" t="s">
        <v>288</v>
      </c>
      <c r="M58" t="s">
        <v>23</v>
      </c>
      <c r="N58" t="s">
        <v>24</v>
      </c>
      <c r="O58" t="s">
        <v>24</v>
      </c>
      <c r="P58" t="s">
        <v>24</v>
      </c>
    </row>
    <row r="59" spans="1:16" x14ac:dyDescent="0.25">
      <c r="A59">
        <v>98</v>
      </c>
      <c r="B59" t="s">
        <v>284</v>
      </c>
      <c r="C59" t="s">
        <v>293</v>
      </c>
      <c r="D59" t="s">
        <v>277</v>
      </c>
      <c r="E59" t="s">
        <v>294</v>
      </c>
      <c r="F59" t="s">
        <v>295</v>
      </c>
      <c r="G59" t="s">
        <v>24</v>
      </c>
      <c r="H59" t="s">
        <v>21</v>
      </c>
      <c r="I59" t="s">
        <v>294</v>
      </c>
      <c r="J59" t="s">
        <v>295</v>
      </c>
      <c r="K59" t="s">
        <v>292</v>
      </c>
      <c r="M59" t="s">
        <v>23</v>
      </c>
      <c r="N59" t="s">
        <v>24</v>
      </c>
      <c r="O59" t="s">
        <v>24</v>
      </c>
      <c r="P59" t="s">
        <v>24</v>
      </c>
    </row>
    <row r="60" spans="1:16" x14ac:dyDescent="0.25">
      <c r="A60">
        <v>171</v>
      </c>
      <c r="B60" t="s">
        <v>405</v>
      </c>
      <c r="C60" t="s">
        <v>418</v>
      </c>
      <c r="D60" t="s">
        <v>407</v>
      </c>
      <c r="E60" t="s">
        <v>419</v>
      </c>
      <c r="F60" t="s">
        <v>420</v>
      </c>
      <c r="G60" t="s">
        <v>24</v>
      </c>
      <c r="H60" t="s">
        <v>21</v>
      </c>
      <c r="I60" t="s">
        <v>421</v>
      </c>
      <c r="J60" t="s">
        <v>422</v>
      </c>
      <c r="K60" t="s">
        <v>40</v>
      </c>
      <c r="M60" t="s">
        <v>23</v>
      </c>
      <c r="N60" t="s">
        <v>24</v>
      </c>
      <c r="O60" t="s">
        <v>24</v>
      </c>
      <c r="P60" t="s">
        <v>24</v>
      </c>
    </row>
    <row r="61" spans="1:16" x14ac:dyDescent="0.25">
      <c r="A61">
        <v>204</v>
      </c>
      <c r="B61" t="s">
        <v>505</v>
      </c>
      <c r="C61" t="s">
        <v>26</v>
      </c>
      <c r="D61" t="s">
        <v>506</v>
      </c>
      <c r="E61" t="s">
        <v>507</v>
      </c>
      <c r="F61" t="s">
        <v>508</v>
      </c>
      <c r="G61" t="s">
        <v>24</v>
      </c>
      <c r="H61" t="s">
        <v>21</v>
      </c>
      <c r="I61" t="s">
        <v>507</v>
      </c>
      <c r="J61" t="s">
        <v>508</v>
      </c>
      <c r="K61" t="s">
        <v>29</v>
      </c>
      <c r="M61" t="s">
        <v>23</v>
      </c>
      <c r="N61" t="s">
        <v>24</v>
      </c>
      <c r="O61" t="s">
        <v>24</v>
      </c>
      <c r="P61" t="s">
        <v>24</v>
      </c>
    </row>
    <row r="62" spans="1:16" x14ac:dyDescent="0.25">
      <c r="A62">
        <v>220</v>
      </c>
      <c r="B62" t="s">
        <v>573</v>
      </c>
      <c r="C62" t="s">
        <v>574</v>
      </c>
      <c r="D62" t="s">
        <v>566</v>
      </c>
      <c r="E62" t="s">
        <v>575</v>
      </c>
      <c r="F62" t="s">
        <v>576</v>
      </c>
      <c r="G62" t="s">
        <v>24</v>
      </c>
      <c r="H62" t="s">
        <v>21</v>
      </c>
      <c r="I62" t="s">
        <v>575</v>
      </c>
      <c r="J62" t="s">
        <v>576</v>
      </c>
      <c r="M62" t="s">
        <v>23</v>
      </c>
      <c r="N62" t="s">
        <v>24</v>
      </c>
      <c r="O62" t="s">
        <v>24</v>
      </c>
      <c r="P62" t="s">
        <v>24</v>
      </c>
    </row>
    <row r="63" spans="1:16" x14ac:dyDescent="0.25">
      <c r="A63">
        <v>11</v>
      </c>
      <c r="B63" t="s">
        <v>58</v>
      </c>
      <c r="C63" t="s">
        <v>59</v>
      </c>
      <c r="D63" t="s">
        <v>32</v>
      </c>
      <c r="E63" t="s">
        <v>60</v>
      </c>
      <c r="F63" t="s">
        <v>61</v>
      </c>
      <c r="G63" t="s">
        <v>24</v>
      </c>
      <c r="H63" t="s">
        <v>21</v>
      </c>
      <c r="I63" t="s">
        <v>60</v>
      </c>
      <c r="J63" t="s">
        <v>61</v>
      </c>
      <c r="M63" t="s">
        <v>23</v>
      </c>
      <c r="N63" t="s">
        <v>24</v>
      </c>
      <c r="O63" t="s">
        <v>24</v>
      </c>
      <c r="P63" t="s">
        <v>39</v>
      </c>
    </row>
    <row r="64" spans="1:16" x14ac:dyDescent="0.25">
      <c r="A64">
        <v>56</v>
      </c>
      <c r="B64" t="s">
        <v>181</v>
      </c>
      <c r="C64" t="s">
        <v>182</v>
      </c>
      <c r="D64" t="s">
        <v>183</v>
      </c>
      <c r="E64" t="s">
        <v>184</v>
      </c>
      <c r="F64" t="s">
        <v>185</v>
      </c>
      <c r="G64" t="s">
        <v>39</v>
      </c>
      <c r="H64" t="s">
        <v>47</v>
      </c>
      <c r="I64" t="s">
        <v>184</v>
      </c>
      <c r="J64" t="s">
        <v>185</v>
      </c>
      <c r="K64" t="s">
        <v>186</v>
      </c>
      <c r="M64" t="s">
        <v>23</v>
      </c>
      <c r="N64" t="s">
        <v>24</v>
      </c>
      <c r="O64" t="s">
        <v>24</v>
      </c>
      <c r="P64" t="s">
        <v>24</v>
      </c>
    </row>
    <row r="65" spans="1:16" x14ac:dyDescent="0.25">
      <c r="A65">
        <v>119</v>
      </c>
      <c r="B65" t="s">
        <v>332</v>
      </c>
      <c r="C65" t="s">
        <v>337</v>
      </c>
      <c r="D65" t="s">
        <v>331</v>
      </c>
      <c r="E65" t="s">
        <v>338</v>
      </c>
      <c r="F65" t="s">
        <v>339</v>
      </c>
      <c r="G65" t="s">
        <v>39</v>
      </c>
      <c r="H65" t="s">
        <v>78</v>
      </c>
      <c r="I65" t="s">
        <v>338</v>
      </c>
      <c r="J65" t="s">
        <v>339</v>
      </c>
      <c r="K65" t="s">
        <v>340</v>
      </c>
      <c r="M65" t="s">
        <v>23</v>
      </c>
      <c r="N65" t="s">
        <v>24</v>
      </c>
      <c r="O65" t="s">
        <v>24</v>
      </c>
      <c r="P65" t="s">
        <v>24</v>
      </c>
    </row>
    <row r="66" spans="1:16" x14ac:dyDescent="0.25">
      <c r="A66">
        <v>151</v>
      </c>
      <c r="B66" t="s">
        <v>366</v>
      </c>
      <c r="C66" t="s">
        <v>372</v>
      </c>
      <c r="D66" t="s">
        <v>344</v>
      </c>
      <c r="E66" t="s">
        <v>373</v>
      </c>
      <c r="F66" t="s">
        <v>374</v>
      </c>
      <c r="G66" t="s">
        <v>39</v>
      </c>
      <c r="H66" t="s">
        <v>21</v>
      </c>
      <c r="I66" t="s">
        <v>375</v>
      </c>
      <c r="J66" t="s">
        <v>376</v>
      </c>
      <c r="K66" t="s">
        <v>377</v>
      </c>
      <c r="M66" t="s">
        <v>23</v>
      </c>
      <c r="N66" t="s">
        <v>24</v>
      </c>
      <c r="O66" t="s">
        <v>24</v>
      </c>
      <c r="P66" t="s">
        <v>24</v>
      </c>
    </row>
    <row r="67" spans="1:16" x14ac:dyDescent="0.25">
      <c r="A67">
        <v>153</v>
      </c>
      <c r="B67" t="s">
        <v>366</v>
      </c>
      <c r="C67" t="s">
        <v>383</v>
      </c>
      <c r="D67" t="s">
        <v>344</v>
      </c>
      <c r="E67" t="s">
        <v>384</v>
      </c>
      <c r="F67" t="s">
        <v>385</v>
      </c>
      <c r="G67" t="s">
        <v>39</v>
      </c>
      <c r="H67" t="s">
        <v>21</v>
      </c>
      <c r="I67" t="s">
        <v>384</v>
      </c>
      <c r="J67" t="s">
        <v>386</v>
      </c>
      <c r="K67" t="s">
        <v>377</v>
      </c>
      <c r="M67" t="s">
        <v>23</v>
      </c>
      <c r="N67" t="s">
        <v>24</v>
      </c>
      <c r="O67" t="s">
        <v>24</v>
      </c>
      <c r="P67" t="s">
        <v>24</v>
      </c>
    </row>
    <row r="68" spans="1:16" x14ac:dyDescent="0.25">
      <c r="A68">
        <v>154</v>
      </c>
      <c r="B68" t="s">
        <v>366</v>
      </c>
      <c r="C68" t="s">
        <v>387</v>
      </c>
      <c r="D68" t="s">
        <v>344</v>
      </c>
      <c r="E68" t="s">
        <v>388</v>
      </c>
      <c r="F68" t="s">
        <v>389</v>
      </c>
      <c r="G68" t="s">
        <v>39</v>
      </c>
      <c r="H68" t="s">
        <v>21</v>
      </c>
      <c r="I68" t="s">
        <v>388</v>
      </c>
      <c r="J68" t="s">
        <v>390</v>
      </c>
      <c r="K68" t="s">
        <v>85</v>
      </c>
      <c r="M68" t="s">
        <v>23</v>
      </c>
      <c r="N68" t="s">
        <v>24</v>
      </c>
      <c r="O68" t="s">
        <v>24</v>
      </c>
      <c r="P68" t="s">
        <v>24</v>
      </c>
    </row>
    <row r="69" spans="1:16" x14ac:dyDescent="0.25">
      <c r="A69">
        <v>217</v>
      </c>
      <c r="B69" t="s">
        <v>564</v>
      </c>
      <c r="C69" t="s">
        <v>565</v>
      </c>
      <c r="D69" t="s">
        <v>566</v>
      </c>
      <c r="E69" t="s">
        <v>567</v>
      </c>
      <c r="F69" t="s">
        <v>568</v>
      </c>
      <c r="G69" t="s">
        <v>39</v>
      </c>
      <c r="H69" t="s">
        <v>21</v>
      </c>
      <c r="I69" t="s">
        <v>567</v>
      </c>
      <c r="J69" t="s">
        <v>568</v>
      </c>
      <c r="M69" t="s">
        <v>23</v>
      </c>
      <c r="N69" t="s">
        <v>24</v>
      </c>
      <c r="O69" t="s">
        <v>24</v>
      </c>
      <c r="P69" t="s">
        <v>24</v>
      </c>
    </row>
    <row r="70" spans="1:16" x14ac:dyDescent="0.25">
      <c r="A70">
        <v>170</v>
      </c>
      <c r="B70" t="s">
        <v>405</v>
      </c>
      <c r="C70" t="s">
        <v>26</v>
      </c>
      <c r="D70" t="s">
        <v>407</v>
      </c>
      <c r="E70" t="s">
        <v>413</v>
      </c>
      <c r="F70" t="s">
        <v>414</v>
      </c>
      <c r="G70" t="s">
        <v>39</v>
      </c>
      <c r="H70" t="s">
        <v>21</v>
      </c>
      <c r="I70" t="s">
        <v>415</v>
      </c>
      <c r="J70" t="s">
        <v>416</v>
      </c>
      <c r="K70" t="s">
        <v>417</v>
      </c>
      <c r="M70" t="s">
        <v>23</v>
      </c>
      <c r="N70" t="s">
        <v>24</v>
      </c>
      <c r="O70" t="s">
        <v>24</v>
      </c>
      <c r="P70" t="s">
        <v>24</v>
      </c>
    </row>
    <row r="71" spans="1:16" x14ac:dyDescent="0.25">
      <c r="A71">
        <v>43</v>
      </c>
      <c r="B71" t="s">
        <v>115</v>
      </c>
      <c r="C71" t="s">
        <v>130</v>
      </c>
      <c r="D71" t="s">
        <v>108</v>
      </c>
      <c r="E71" t="s">
        <v>131</v>
      </c>
      <c r="F71" t="s">
        <v>132</v>
      </c>
      <c r="G71" t="s">
        <v>39</v>
      </c>
      <c r="H71" t="s">
        <v>21</v>
      </c>
      <c r="I71" t="s">
        <v>131</v>
      </c>
      <c r="J71" t="s">
        <v>132</v>
      </c>
      <c r="K71" t="s">
        <v>133</v>
      </c>
      <c r="M71" t="s">
        <v>23</v>
      </c>
      <c r="N71" t="s">
        <v>24</v>
      </c>
      <c r="O71" t="s">
        <v>24</v>
      </c>
      <c r="P71" t="s">
        <v>24</v>
      </c>
    </row>
    <row r="72" spans="1:16" x14ac:dyDescent="0.25">
      <c r="A72">
        <v>40</v>
      </c>
      <c r="B72" t="s">
        <v>115</v>
      </c>
      <c r="C72" t="s">
        <v>116</v>
      </c>
      <c r="D72" t="s">
        <v>108</v>
      </c>
      <c r="E72" t="s">
        <v>117</v>
      </c>
      <c r="F72" t="s">
        <v>118</v>
      </c>
      <c r="G72" t="s">
        <v>39</v>
      </c>
      <c r="H72" t="s">
        <v>21</v>
      </c>
      <c r="I72" t="s">
        <v>119</v>
      </c>
      <c r="J72" t="s">
        <v>120</v>
      </c>
      <c r="K72" t="s">
        <v>121</v>
      </c>
      <c r="M72" t="s">
        <v>23</v>
      </c>
      <c r="N72" t="s">
        <v>24</v>
      </c>
      <c r="O72" t="s">
        <v>24</v>
      </c>
      <c r="P72" t="s">
        <v>24</v>
      </c>
    </row>
    <row r="73" spans="1:16" x14ac:dyDescent="0.25">
      <c r="A73">
        <v>22</v>
      </c>
      <c r="B73" t="s">
        <v>86</v>
      </c>
      <c r="C73" t="s">
        <v>87</v>
      </c>
      <c r="D73" t="s">
        <v>82</v>
      </c>
      <c r="E73" t="s">
        <v>88</v>
      </c>
      <c r="F73" t="s">
        <v>89</v>
      </c>
      <c r="G73" t="s">
        <v>39</v>
      </c>
      <c r="H73" t="s">
        <v>47</v>
      </c>
      <c r="I73" t="s">
        <v>90</v>
      </c>
      <c r="J73" t="s">
        <v>91</v>
      </c>
      <c r="K73" t="s">
        <v>92</v>
      </c>
      <c r="M73" t="s">
        <v>23</v>
      </c>
      <c r="N73" t="s">
        <v>24</v>
      </c>
      <c r="O73" t="s">
        <v>24</v>
      </c>
      <c r="P73" t="s">
        <v>39</v>
      </c>
    </row>
    <row r="74" spans="1:16" x14ac:dyDescent="0.25">
      <c r="A74">
        <v>219</v>
      </c>
      <c r="B74" t="s">
        <v>564</v>
      </c>
      <c r="C74" t="s">
        <v>378</v>
      </c>
      <c r="D74" t="s">
        <v>566</v>
      </c>
      <c r="E74" t="s">
        <v>571</v>
      </c>
      <c r="F74" t="s">
        <v>572</v>
      </c>
      <c r="G74" t="s">
        <v>39</v>
      </c>
      <c r="H74" t="s">
        <v>21</v>
      </c>
      <c r="I74" t="s">
        <v>571</v>
      </c>
      <c r="J74" t="s">
        <v>572</v>
      </c>
      <c r="M74" t="s">
        <v>23</v>
      </c>
      <c r="N74" t="s">
        <v>24</v>
      </c>
      <c r="O74" t="s">
        <v>24</v>
      </c>
      <c r="P74" t="s">
        <v>39</v>
      </c>
    </row>
    <row r="75" spans="1:16" x14ac:dyDescent="0.25">
      <c r="A75">
        <v>173</v>
      </c>
      <c r="B75" t="s">
        <v>428</v>
      </c>
      <c r="C75" t="s">
        <v>123</v>
      </c>
      <c r="D75" t="s">
        <v>429</v>
      </c>
      <c r="E75" t="s">
        <v>430</v>
      </c>
      <c r="F75" t="s">
        <v>431</v>
      </c>
      <c r="G75" t="s">
        <v>39</v>
      </c>
      <c r="H75" t="s">
        <v>21</v>
      </c>
      <c r="I75" t="s">
        <v>430</v>
      </c>
      <c r="J75" t="s">
        <v>431</v>
      </c>
      <c r="K75" t="s">
        <v>29</v>
      </c>
      <c r="M75" t="s">
        <v>23</v>
      </c>
      <c r="N75" t="s">
        <v>24</v>
      </c>
      <c r="O75" t="s">
        <v>24</v>
      </c>
      <c r="P75" t="s">
        <v>39</v>
      </c>
    </row>
    <row r="76" spans="1:16" x14ac:dyDescent="0.25">
      <c r="A76">
        <v>207</v>
      </c>
      <c r="B76" t="s">
        <v>519</v>
      </c>
      <c r="C76" t="s">
        <v>520</v>
      </c>
      <c r="D76" t="s">
        <v>521</v>
      </c>
      <c r="E76" t="s">
        <v>522</v>
      </c>
      <c r="F76" t="s">
        <v>523</v>
      </c>
      <c r="G76" t="s">
        <v>39</v>
      </c>
      <c r="H76" t="s">
        <v>21</v>
      </c>
      <c r="I76" t="s">
        <v>522</v>
      </c>
      <c r="J76" t="s">
        <v>523</v>
      </c>
      <c r="K76" t="s">
        <v>524</v>
      </c>
      <c r="M76" t="s">
        <v>23</v>
      </c>
      <c r="N76" t="s">
        <v>24</v>
      </c>
      <c r="O76" t="s">
        <v>24</v>
      </c>
      <c r="P76" t="s">
        <v>39</v>
      </c>
    </row>
    <row r="77" spans="1:16" x14ac:dyDescent="0.25">
      <c r="A77">
        <v>211</v>
      </c>
      <c r="B77" t="s">
        <v>532</v>
      </c>
      <c r="C77" t="s">
        <v>539</v>
      </c>
      <c r="D77" t="s">
        <v>534</v>
      </c>
      <c r="E77" t="s">
        <v>540</v>
      </c>
      <c r="F77" t="s">
        <v>541</v>
      </c>
      <c r="G77" t="s">
        <v>39</v>
      </c>
      <c r="H77" t="s">
        <v>78</v>
      </c>
      <c r="I77" t="s">
        <v>540</v>
      </c>
      <c r="J77" t="s">
        <v>541</v>
      </c>
      <c r="K77" t="s">
        <v>542</v>
      </c>
      <c r="M77" t="s">
        <v>23</v>
      </c>
      <c r="N77" t="s">
        <v>24</v>
      </c>
      <c r="O77" t="s">
        <v>24</v>
      </c>
      <c r="P77" t="s">
        <v>39</v>
      </c>
    </row>
    <row r="78" spans="1:16" x14ac:dyDescent="0.25">
      <c r="A78">
        <v>201</v>
      </c>
      <c r="B78" t="s">
        <v>497</v>
      </c>
      <c r="C78" t="s">
        <v>498</v>
      </c>
      <c r="D78" t="s">
        <v>493</v>
      </c>
      <c r="E78" t="s">
        <v>499</v>
      </c>
      <c r="F78" t="s">
        <v>500</v>
      </c>
      <c r="G78" t="s">
        <v>24</v>
      </c>
      <c r="H78" t="s">
        <v>21</v>
      </c>
      <c r="I78" t="s">
        <v>499</v>
      </c>
      <c r="J78" t="s">
        <v>500</v>
      </c>
      <c r="K78" t="s">
        <v>501</v>
      </c>
      <c r="M78" t="s">
        <v>23</v>
      </c>
      <c r="N78" t="s">
        <v>39</v>
      </c>
      <c r="O78" t="s">
        <v>39</v>
      </c>
      <c r="P78" t="s">
        <v>39</v>
      </c>
    </row>
    <row r="79" spans="1:16" x14ac:dyDescent="0.25">
      <c r="A79">
        <v>88</v>
      </c>
      <c r="B79" t="s">
        <v>266</v>
      </c>
      <c r="C79" t="s">
        <v>267</v>
      </c>
      <c r="D79" t="s">
        <v>268</v>
      </c>
      <c r="E79" t="s">
        <v>269</v>
      </c>
      <c r="F79" t="s">
        <v>270</v>
      </c>
      <c r="G79" t="s">
        <v>39</v>
      </c>
      <c r="H79" t="s">
        <v>21</v>
      </c>
      <c r="I79" t="s">
        <v>269</v>
      </c>
      <c r="J79" t="s">
        <v>270</v>
      </c>
      <c r="K79" t="s">
        <v>271</v>
      </c>
      <c r="M79" t="s">
        <v>23</v>
      </c>
      <c r="N79" t="s">
        <v>39</v>
      </c>
      <c r="O79" t="s">
        <v>39</v>
      </c>
      <c r="P79" t="s">
        <v>39</v>
      </c>
    </row>
    <row r="80" spans="1:16" x14ac:dyDescent="0.25">
      <c r="A80">
        <v>4</v>
      </c>
      <c r="B80" t="s">
        <v>30</v>
      </c>
      <c r="C80" t="s">
        <v>36</v>
      </c>
      <c r="D80" t="s">
        <v>32</v>
      </c>
      <c r="E80" t="s">
        <v>37</v>
      </c>
      <c r="F80" t="s">
        <v>38</v>
      </c>
      <c r="G80" t="s">
        <v>39</v>
      </c>
      <c r="H80" t="s">
        <v>21</v>
      </c>
      <c r="I80" t="s">
        <v>37</v>
      </c>
      <c r="J80" t="s">
        <v>38</v>
      </c>
      <c r="K80" t="s">
        <v>40</v>
      </c>
      <c r="M80" t="s">
        <v>23</v>
      </c>
      <c r="N80" t="s">
        <v>39</v>
      </c>
      <c r="O80" t="s">
        <v>39</v>
      </c>
      <c r="P80" t="s">
        <v>39</v>
      </c>
    </row>
    <row r="81" spans="1:16" x14ac:dyDescent="0.25">
      <c r="A81">
        <v>5</v>
      </c>
      <c r="B81" t="s">
        <v>30</v>
      </c>
      <c r="C81" t="s">
        <v>41</v>
      </c>
      <c r="D81" t="s">
        <v>32</v>
      </c>
      <c r="E81" t="s">
        <v>42</v>
      </c>
      <c r="F81" t="s">
        <v>43</v>
      </c>
      <c r="G81" t="s">
        <v>39</v>
      </c>
      <c r="H81" t="s">
        <v>21</v>
      </c>
      <c r="I81" t="s">
        <v>42</v>
      </c>
      <c r="J81" t="s">
        <v>43</v>
      </c>
      <c r="K81" t="s">
        <v>40</v>
      </c>
      <c r="M81" t="s">
        <v>23</v>
      </c>
      <c r="N81" t="s">
        <v>39</v>
      </c>
      <c r="O81" t="s">
        <v>39</v>
      </c>
      <c r="P81" t="s">
        <v>39</v>
      </c>
    </row>
    <row r="82" spans="1:16" x14ac:dyDescent="0.25">
      <c r="A82">
        <v>6</v>
      </c>
      <c r="B82" t="s">
        <v>30</v>
      </c>
      <c r="C82" t="s">
        <v>44</v>
      </c>
      <c r="D82" t="s">
        <v>32</v>
      </c>
      <c r="E82" t="s">
        <v>45</v>
      </c>
      <c r="F82" t="s">
        <v>46</v>
      </c>
      <c r="G82" t="s">
        <v>39</v>
      </c>
      <c r="H82" t="s">
        <v>47</v>
      </c>
      <c r="I82" t="s">
        <v>45</v>
      </c>
      <c r="J82" t="s">
        <v>46</v>
      </c>
      <c r="K82" t="s">
        <v>48</v>
      </c>
      <c r="M82" t="s">
        <v>23</v>
      </c>
      <c r="N82" t="s">
        <v>39</v>
      </c>
      <c r="O82" t="s">
        <v>39</v>
      </c>
      <c r="P82" t="s">
        <v>39</v>
      </c>
    </row>
    <row r="83" spans="1:16" x14ac:dyDescent="0.25">
      <c r="A83">
        <v>12</v>
      </c>
      <c r="B83" t="s">
        <v>62</v>
      </c>
      <c r="C83" t="s">
        <v>63</v>
      </c>
      <c r="D83" t="s">
        <v>64</v>
      </c>
      <c r="E83" t="s">
        <v>65</v>
      </c>
      <c r="F83" t="s">
        <v>66</v>
      </c>
      <c r="G83" t="s">
        <v>39</v>
      </c>
      <c r="H83" t="s">
        <v>21</v>
      </c>
      <c r="I83" t="s">
        <v>65</v>
      </c>
      <c r="J83" t="s">
        <v>66</v>
      </c>
      <c r="K83" t="s">
        <v>67</v>
      </c>
      <c r="M83" t="s">
        <v>23</v>
      </c>
      <c r="N83" t="s">
        <v>39</v>
      </c>
      <c r="O83" t="s">
        <v>39</v>
      </c>
      <c r="P83" t="s">
        <v>39</v>
      </c>
    </row>
    <row r="84" spans="1:16" x14ac:dyDescent="0.25">
      <c r="A84">
        <v>66</v>
      </c>
      <c r="B84" t="s">
        <v>212</v>
      </c>
      <c r="C84" t="s">
        <v>114</v>
      </c>
      <c r="D84" t="s">
        <v>207</v>
      </c>
      <c r="E84" t="s">
        <v>217</v>
      </c>
      <c r="F84" t="s">
        <v>218</v>
      </c>
      <c r="G84" t="s">
        <v>39</v>
      </c>
      <c r="H84" t="s">
        <v>47</v>
      </c>
      <c r="I84" t="s">
        <v>217</v>
      </c>
      <c r="J84" t="s">
        <v>218</v>
      </c>
      <c r="K84" t="s">
        <v>216</v>
      </c>
      <c r="M84" t="s">
        <v>23</v>
      </c>
      <c r="N84" t="s">
        <v>39</v>
      </c>
      <c r="O84" t="s">
        <v>39</v>
      </c>
      <c r="P84" t="s">
        <v>39</v>
      </c>
    </row>
    <row r="85" spans="1:16" x14ac:dyDescent="0.25">
      <c r="A85">
        <v>67</v>
      </c>
      <c r="B85" t="s">
        <v>219</v>
      </c>
      <c r="C85" t="s">
        <v>220</v>
      </c>
      <c r="D85" t="s">
        <v>207</v>
      </c>
      <c r="E85" t="s">
        <v>221</v>
      </c>
      <c r="F85" t="s">
        <v>222</v>
      </c>
      <c r="G85" t="s">
        <v>39</v>
      </c>
      <c r="H85" t="s">
        <v>21</v>
      </c>
      <c r="I85" t="s">
        <v>221</v>
      </c>
      <c r="J85" t="s">
        <v>222</v>
      </c>
      <c r="K85" t="s">
        <v>223</v>
      </c>
      <c r="M85" t="s">
        <v>23</v>
      </c>
      <c r="N85" t="s">
        <v>39</v>
      </c>
      <c r="O85" t="s">
        <v>39</v>
      </c>
      <c r="P85" t="s">
        <v>39</v>
      </c>
    </row>
    <row r="86" spans="1:16" x14ac:dyDescent="0.25">
      <c r="A86">
        <v>108</v>
      </c>
      <c r="B86" t="s">
        <v>305</v>
      </c>
      <c r="C86" t="s">
        <v>306</v>
      </c>
      <c r="D86" t="s">
        <v>304</v>
      </c>
      <c r="E86" t="s">
        <v>307</v>
      </c>
      <c r="F86" t="s">
        <v>308</v>
      </c>
      <c r="G86" t="s">
        <v>39</v>
      </c>
      <c r="H86" t="s">
        <v>21</v>
      </c>
      <c r="I86" t="s">
        <v>307</v>
      </c>
      <c r="J86" t="s">
        <v>308</v>
      </c>
      <c r="K86" t="s">
        <v>309</v>
      </c>
      <c r="M86" t="s">
        <v>23</v>
      </c>
      <c r="N86" t="s">
        <v>39</v>
      </c>
      <c r="O86" t="s">
        <v>39</v>
      </c>
      <c r="P86" t="s">
        <v>39</v>
      </c>
    </row>
    <row r="87" spans="1:16" x14ac:dyDescent="0.25">
      <c r="A87">
        <v>109</v>
      </c>
      <c r="B87" t="s">
        <v>305</v>
      </c>
      <c r="C87" t="s">
        <v>310</v>
      </c>
      <c r="D87" t="s">
        <v>304</v>
      </c>
      <c r="E87" t="s">
        <v>311</v>
      </c>
      <c r="F87" t="s">
        <v>312</v>
      </c>
      <c r="G87" t="s">
        <v>39</v>
      </c>
      <c r="H87" t="s">
        <v>21</v>
      </c>
      <c r="I87" t="s">
        <v>311</v>
      </c>
      <c r="J87" t="s">
        <v>312</v>
      </c>
      <c r="K87" t="s">
        <v>223</v>
      </c>
      <c r="M87" t="s">
        <v>23</v>
      </c>
      <c r="N87" t="s">
        <v>39</v>
      </c>
      <c r="O87" t="s">
        <v>39</v>
      </c>
      <c r="P87" t="s">
        <v>39</v>
      </c>
    </row>
    <row r="88" spans="1:16" x14ac:dyDescent="0.25">
      <c r="A88">
        <v>134</v>
      </c>
      <c r="B88" t="s">
        <v>350</v>
      </c>
      <c r="C88" t="s">
        <v>351</v>
      </c>
      <c r="D88" t="s">
        <v>344</v>
      </c>
      <c r="E88" t="s">
        <v>352</v>
      </c>
      <c r="F88" t="s">
        <v>353</v>
      </c>
      <c r="G88" t="s">
        <v>39</v>
      </c>
      <c r="H88" t="s">
        <v>47</v>
      </c>
      <c r="I88" t="s">
        <v>352</v>
      </c>
      <c r="J88" t="s">
        <v>353</v>
      </c>
      <c r="K88" t="s">
        <v>354</v>
      </c>
      <c r="M88" t="s">
        <v>23</v>
      </c>
      <c r="N88" t="s">
        <v>39</v>
      </c>
      <c r="O88" t="s">
        <v>39</v>
      </c>
      <c r="P88" t="s">
        <v>39</v>
      </c>
    </row>
    <row r="89" spans="1:16" x14ac:dyDescent="0.25">
      <c r="A89">
        <v>48</v>
      </c>
      <c r="B89" t="s">
        <v>145</v>
      </c>
      <c r="C89" t="s">
        <v>146</v>
      </c>
      <c r="D89" t="s">
        <v>147</v>
      </c>
      <c r="E89" t="s">
        <v>148</v>
      </c>
      <c r="F89" t="s">
        <v>149</v>
      </c>
      <c r="G89" t="s">
        <v>39</v>
      </c>
      <c r="H89" t="s">
        <v>21</v>
      </c>
      <c r="I89" t="s">
        <v>148</v>
      </c>
      <c r="J89" t="s">
        <v>149</v>
      </c>
      <c r="K89" t="s">
        <v>150</v>
      </c>
      <c r="M89" t="s">
        <v>23</v>
      </c>
      <c r="N89" t="s">
        <v>39</v>
      </c>
      <c r="O89" t="s">
        <v>39</v>
      </c>
      <c r="P89" t="s">
        <v>39</v>
      </c>
    </row>
    <row r="90" spans="1:16" x14ac:dyDescent="0.25">
      <c r="A90">
        <v>52</v>
      </c>
      <c r="B90" t="s">
        <v>162</v>
      </c>
      <c r="C90" t="s">
        <v>163</v>
      </c>
      <c r="D90" t="s">
        <v>164</v>
      </c>
      <c r="E90" t="s">
        <v>165</v>
      </c>
      <c r="F90" t="s">
        <v>166</v>
      </c>
      <c r="G90" t="s">
        <v>39</v>
      </c>
      <c r="H90" t="s">
        <v>78</v>
      </c>
      <c r="I90" t="s">
        <v>165</v>
      </c>
      <c r="J90" t="s">
        <v>166</v>
      </c>
      <c r="K90" t="s">
        <v>167</v>
      </c>
      <c r="M90" t="s">
        <v>23</v>
      </c>
      <c r="N90" t="s">
        <v>39</v>
      </c>
      <c r="O90" t="s">
        <v>39</v>
      </c>
      <c r="P90" t="s">
        <v>39</v>
      </c>
    </row>
    <row r="91" spans="1:16" x14ac:dyDescent="0.25">
      <c r="A91">
        <v>54</v>
      </c>
      <c r="B91" t="s">
        <v>168</v>
      </c>
      <c r="C91" t="s">
        <v>169</v>
      </c>
      <c r="D91" t="s">
        <v>170</v>
      </c>
      <c r="E91" t="s">
        <v>171</v>
      </c>
      <c r="F91" t="s">
        <v>172</v>
      </c>
      <c r="G91" t="s">
        <v>39</v>
      </c>
      <c r="H91" t="s">
        <v>47</v>
      </c>
      <c r="I91" t="s">
        <v>171</v>
      </c>
      <c r="J91" t="s">
        <v>172</v>
      </c>
      <c r="K91" t="s">
        <v>173</v>
      </c>
      <c r="M91" t="s">
        <v>23</v>
      </c>
      <c r="N91" t="s">
        <v>39</v>
      </c>
      <c r="O91" t="s">
        <v>39</v>
      </c>
      <c r="P91" t="s">
        <v>39</v>
      </c>
    </row>
    <row r="92" spans="1:16" x14ac:dyDescent="0.25">
      <c r="A92">
        <v>70</v>
      </c>
      <c r="B92" t="s">
        <v>224</v>
      </c>
      <c r="C92" t="s">
        <v>225</v>
      </c>
      <c r="D92" t="s">
        <v>207</v>
      </c>
      <c r="E92" t="s">
        <v>226</v>
      </c>
      <c r="F92" t="s">
        <v>227</v>
      </c>
      <c r="G92" t="s">
        <v>39</v>
      </c>
      <c r="H92" t="s">
        <v>21</v>
      </c>
      <c r="I92" t="s">
        <v>226</v>
      </c>
      <c r="J92" t="s">
        <v>227</v>
      </c>
      <c r="K92" t="s">
        <v>228</v>
      </c>
      <c r="M92" t="s">
        <v>23</v>
      </c>
      <c r="N92" t="s">
        <v>24</v>
      </c>
      <c r="O92" t="s">
        <v>39</v>
      </c>
      <c r="P92" t="s">
        <v>39</v>
      </c>
    </row>
    <row r="93" spans="1:16" x14ac:dyDescent="0.25">
      <c r="A93">
        <v>55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39</v>
      </c>
      <c r="H93" t="s">
        <v>21</v>
      </c>
      <c r="I93" t="s">
        <v>179</v>
      </c>
      <c r="J93" t="s">
        <v>178</v>
      </c>
      <c r="K93" t="s">
        <v>180</v>
      </c>
      <c r="M93" t="s">
        <v>23</v>
      </c>
      <c r="N93" t="s">
        <v>39</v>
      </c>
      <c r="O93" t="s">
        <v>39</v>
      </c>
      <c r="P93" t="s">
        <v>39</v>
      </c>
    </row>
    <row r="94" spans="1:16" x14ac:dyDescent="0.25">
      <c r="A94">
        <v>8</v>
      </c>
      <c r="B94" t="s">
        <v>49</v>
      </c>
      <c r="C94" t="s">
        <v>50</v>
      </c>
      <c r="D94" t="s">
        <v>32</v>
      </c>
      <c r="E94" t="s">
        <v>51</v>
      </c>
      <c r="F94" t="s">
        <v>52</v>
      </c>
      <c r="G94" t="s">
        <v>39</v>
      </c>
      <c r="H94" t="s">
        <v>47</v>
      </c>
      <c r="I94" t="s">
        <v>51</v>
      </c>
      <c r="J94" t="s">
        <v>52</v>
      </c>
      <c r="K94" t="s">
        <v>53</v>
      </c>
      <c r="M94" t="s">
        <v>23</v>
      </c>
      <c r="N94" t="s">
        <v>39</v>
      </c>
      <c r="O94" t="s">
        <v>39</v>
      </c>
      <c r="P94" t="s">
        <v>39</v>
      </c>
    </row>
    <row r="95" spans="1:16" x14ac:dyDescent="0.25">
      <c r="A95">
        <v>112</v>
      </c>
      <c r="B95" t="s">
        <v>318</v>
      </c>
      <c r="C95" t="s">
        <v>319</v>
      </c>
      <c r="D95" t="s">
        <v>320</v>
      </c>
      <c r="E95" t="s">
        <v>321</v>
      </c>
      <c r="F95" t="s">
        <v>322</v>
      </c>
      <c r="G95" t="s">
        <v>39</v>
      </c>
      <c r="H95" t="s">
        <v>21</v>
      </c>
      <c r="I95" t="s">
        <v>321</v>
      </c>
      <c r="J95" t="s">
        <v>322</v>
      </c>
      <c r="K95" t="s">
        <v>323</v>
      </c>
      <c r="M95" t="s">
        <v>23</v>
      </c>
      <c r="N95" t="s">
        <v>39</v>
      </c>
      <c r="O95" t="s">
        <v>39</v>
      </c>
      <c r="P95" t="s">
        <v>39</v>
      </c>
    </row>
    <row r="96" spans="1:16" x14ac:dyDescent="0.25">
      <c r="A96">
        <v>59</v>
      </c>
      <c r="B96" t="s">
        <v>181</v>
      </c>
      <c r="C96" t="s">
        <v>190</v>
      </c>
      <c r="D96" t="s">
        <v>183</v>
      </c>
      <c r="E96" t="s">
        <v>191</v>
      </c>
      <c r="F96" t="s">
        <v>192</v>
      </c>
      <c r="G96" t="s">
        <v>39</v>
      </c>
      <c r="H96" t="s">
        <v>78</v>
      </c>
      <c r="I96" t="s">
        <v>191</v>
      </c>
      <c r="J96" t="s">
        <v>192</v>
      </c>
      <c r="K96" t="s">
        <v>173</v>
      </c>
      <c r="M96" t="s">
        <v>23</v>
      </c>
      <c r="N96" t="s">
        <v>39</v>
      </c>
      <c r="O96" t="s">
        <v>39</v>
      </c>
      <c r="P96" t="s">
        <v>39</v>
      </c>
    </row>
    <row r="97" spans="1:16" x14ac:dyDescent="0.25">
      <c r="A97">
        <v>60</v>
      </c>
      <c r="B97" t="s">
        <v>181</v>
      </c>
      <c r="C97" t="s">
        <v>193</v>
      </c>
      <c r="D97" t="s">
        <v>183</v>
      </c>
      <c r="E97" t="s">
        <v>194</v>
      </c>
      <c r="F97" t="s">
        <v>195</v>
      </c>
      <c r="G97" t="s">
        <v>39</v>
      </c>
      <c r="H97" t="s">
        <v>78</v>
      </c>
      <c r="I97" t="s">
        <v>194</v>
      </c>
      <c r="J97" t="s">
        <v>195</v>
      </c>
      <c r="M97" t="s">
        <v>23</v>
      </c>
      <c r="N97" t="s">
        <v>39</v>
      </c>
      <c r="O97" t="s">
        <v>39</v>
      </c>
      <c r="P97" t="s">
        <v>39</v>
      </c>
    </row>
    <row r="98" spans="1:16" x14ac:dyDescent="0.25">
      <c r="A98">
        <v>143</v>
      </c>
      <c r="B98" t="s">
        <v>358</v>
      </c>
      <c r="C98" t="s">
        <v>363</v>
      </c>
      <c r="D98" t="s">
        <v>344</v>
      </c>
      <c r="E98" t="s">
        <v>364</v>
      </c>
      <c r="F98" t="s">
        <v>365</v>
      </c>
      <c r="G98" t="s">
        <v>39</v>
      </c>
      <c r="H98" t="s">
        <v>78</v>
      </c>
      <c r="I98" t="s">
        <v>364</v>
      </c>
      <c r="J98" t="s">
        <v>365</v>
      </c>
      <c r="M98" t="s">
        <v>23</v>
      </c>
      <c r="N98" t="s">
        <v>39</v>
      </c>
      <c r="O98" t="s">
        <v>39</v>
      </c>
      <c r="P98" t="s">
        <v>39</v>
      </c>
    </row>
    <row r="99" spans="1:16" x14ac:dyDescent="0.25">
      <c r="A99">
        <v>35</v>
      </c>
      <c r="B99" t="s">
        <v>109</v>
      </c>
      <c r="C99" t="s">
        <v>110</v>
      </c>
      <c r="D99" t="s">
        <v>108</v>
      </c>
      <c r="E99" t="s">
        <v>111</v>
      </c>
      <c r="F99" t="s">
        <v>112</v>
      </c>
      <c r="G99" t="s">
        <v>39</v>
      </c>
      <c r="H99" t="s">
        <v>47</v>
      </c>
      <c r="I99" t="s">
        <v>111</v>
      </c>
      <c r="J99" t="s">
        <v>112</v>
      </c>
      <c r="K99" t="s">
        <v>113</v>
      </c>
      <c r="M99" t="s">
        <v>23</v>
      </c>
      <c r="N99" t="s">
        <v>39</v>
      </c>
      <c r="O99" t="s">
        <v>39</v>
      </c>
      <c r="P99" t="s">
        <v>39</v>
      </c>
    </row>
    <row r="100" spans="1:16" x14ac:dyDescent="0.25">
      <c r="A100">
        <v>47</v>
      </c>
      <c r="B100" t="s">
        <v>141</v>
      </c>
      <c r="C100" t="s">
        <v>36</v>
      </c>
      <c r="D100" t="s">
        <v>142</v>
      </c>
      <c r="E100" t="s">
        <v>143</v>
      </c>
      <c r="F100" t="s">
        <v>144</v>
      </c>
      <c r="G100" t="s">
        <v>39</v>
      </c>
      <c r="H100" t="s">
        <v>21</v>
      </c>
      <c r="I100" t="s">
        <v>143</v>
      </c>
      <c r="J100" t="s">
        <v>144</v>
      </c>
      <c r="K100" t="s">
        <v>67</v>
      </c>
      <c r="M100" t="s">
        <v>23</v>
      </c>
      <c r="N100" t="s">
        <v>39</v>
      </c>
      <c r="O100" t="s">
        <v>39</v>
      </c>
      <c r="P100" t="s">
        <v>39</v>
      </c>
    </row>
    <row r="101" spans="1:16" x14ac:dyDescent="0.25">
      <c r="A101">
        <v>72</v>
      </c>
      <c r="B101" t="s">
        <v>229</v>
      </c>
      <c r="C101" t="s">
        <v>230</v>
      </c>
      <c r="D101" t="s">
        <v>207</v>
      </c>
      <c r="E101" t="s">
        <v>231</v>
      </c>
      <c r="F101" t="s">
        <v>232</v>
      </c>
      <c r="G101" t="s">
        <v>39</v>
      </c>
      <c r="H101" t="s">
        <v>21</v>
      </c>
      <c r="I101" t="s">
        <v>231</v>
      </c>
      <c r="J101" t="s">
        <v>232</v>
      </c>
      <c r="K101" t="s">
        <v>233</v>
      </c>
      <c r="M101" t="s">
        <v>23</v>
      </c>
      <c r="N101" t="s">
        <v>39</v>
      </c>
      <c r="O101" t="s">
        <v>39</v>
      </c>
      <c r="P101" t="s">
        <v>39</v>
      </c>
    </row>
    <row r="102" spans="1:16" x14ac:dyDescent="0.25">
      <c r="A102">
        <v>216</v>
      </c>
      <c r="B102" t="s">
        <v>558</v>
      </c>
      <c r="C102" t="s">
        <v>559</v>
      </c>
      <c r="D102" t="s">
        <v>557</v>
      </c>
      <c r="E102" t="s">
        <v>560</v>
      </c>
      <c r="F102" t="s">
        <v>561</v>
      </c>
      <c r="G102" t="s">
        <v>39</v>
      </c>
      <c r="H102" t="s">
        <v>47</v>
      </c>
      <c r="I102" t="s">
        <v>562</v>
      </c>
      <c r="J102" t="s">
        <v>563</v>
      </c>
      <c r="K102" t="s">
        <v>274</v>
      </c>
      <c r="M102" t="s">
        <v>23</v>
      </c>
      <c r="N102" t="s">
        <v>39</v>
      </c>
      <c r="O102" t="s">
        <v>39</v>
      </c>
      <c r="P102" t="s">
        <v>39</v>
      </c>
    </row>
    <row r="103" spans="1:16" x14ac:dyDescent="0.25">
      <c r="A103">
        <v>73</v>
      </c>
      <c r="B103" t="s">
        <v>234</v>
      </c>
      <c r="C103" t="s">
        <v>235</v>
      </c>
      <c r="D103" t="s">
        <v>207</v>
      </c>
      <c r="E103" t="s">
        <v>236</v>
      </c>
      <c r="F103" t="s">
        <v>237</v>
      </c>
      <c r="G103" t="s">
        <v>39</v>
      </c>
      <c r="H103" t="s">
        <v>21</v>
      </c>
      <c r="I103" t="s">
        <v>236</v>
      </c>
      <c r="J103" t="s">
        <v>237</v>
      </c>
      <c r="K103" t="s">
        <v>233</v>
      </c>
      <c r="M103" t="s">
        <v>23</v>
      </c>
      <c r="N103" t="s">
        <v>24</v>
      </c>
      <c r="O103" t="s">
        <v>39</v>
      </c>
      <c r="P103" t="s">
        <v>39</v>
      </c>
    </row>
    <row r="104" spans="1:16" x14ac:dyDescent="0.25">
      <c r="A104">
        <v>117</v>
      </c>
      <c r="B104" t="s">
        <v>332</v>
      </c>
      <c r="C104" t="s">
        <v>333</v>
      </c>
      <c r="D104" t="s">
        <v>331</v>
      </c>
      <c r="E104" t="s">
        <v>334</v>
      </c>
      <c r="F104" t="s">
        <v>335</v>
      </c>
      <c r="G104" t="s">
        <v>39</v>
      </c>
      <c r="H104" t="s">
        <v>78</v>
      </c>
      <c r="I104" t="s">
        <v>334</v>
      </c>
      <c r="J104" t="s">
        <v>335</v>
      </c>
      <c r="K104" t="s">
        <v>336</v>
      </c>
      <c r="M104" t="s">
        <v>23</v>
      </c>
      <c r="N104" t="s">
        <v>24</v>
      </c>
      <c r="O104" t="s">
        <v>39</v>
      </c>
      <c r="P104" t="s">
        <v>39</v>
      </c>
    </row>
    <row r="105" spans="1:16" x14ac:dyDescent="0.25">
      <c r="A105">
        <v>165</v>
      </c>
      <c r="B105" t="s">
        <v>391</v>
      </c>
      <c r="C105" t="s">
        <v>392</v>
      </c>
      <c r="D105" t="s">
        <v>393</v>
      </c>
      <c r="E105" t="s">
        <v>394</v>
      </c>
      <c r="F105" t="s">
        <v>395</v>
      </c>
      <c r="G105" t="s">
        <v>39</v>
      </c>
      <c r="H105" t="s">
        <v>21</v>
      </c>
      <c r="I105" t="s">
        <v>394</v>
      </c>
      <c r="J105" t="s">
        <v>395</v>
      </c>
      <c r="K105" t="s">
        <v>396</v>
      </c>
      <c r="M105" t="s">
        <v>23</v>
      </c>
      <c r="N105" t="s">
        <v>39</v>
      </c>
      <c r="O105" t="s">
        <v>39</v>
      </c>
      <c r="P105" t="s">
        <v>39</v>
      </c>
    </row>
    <row r="106" spans="1:16" x14ac:dyDescent="0.25">
      <c r="A106">
        <v>28</v>
      </c>
      <c r="B106" t="s">
        <v>99</v>
      </c>
      <c r="C106" t="s">
        <v>104</v>
      </c>
      <c r="D106" t="s">
        <v>82</v>
      </c>
      <c r="E106" t="s">
        <v>105</v>
      </c>
      <c r="F106" t="s">
        <v>106</v>
      </c>
      <c r="G106" t="s">
        <v>39</v>
      </c>
      <c r="H106" t="s">
        <v>78</v>
      </c>
      <c r="I106" t="s">
        <v>105</v>
      </c>
      <c r="J106" t="s">
        <v>106</v>
      </c>
      <c r="K106" t="s">
        <v>107</v>
      </c>
      <c r="M106" t="s">
        <v>23</v>
      </c>
      <c r="N106" t="s">
        <v>39</v>
      </c>
      <c r="O106" t="s">
        <v>39</v>
      </c>
      <c r="P106" t="s">
        <v>39</v>
      </c>
    </row>
    <row r="107" spans="1:16" x14ac:dyDescent="0.25">
      <c r="A107">
        <v>79</v>
      </c>
      <c r="B107" t="s">
        <v>240</v>
      </c>
      <c r="C107" t="s">
        <v>241</v>
      </c>
      <c r="D107" t="s">
        <v>207</v>
      </c>
      <c r="E107" t="s">
        <v>242</v>
      </c>
      <c r="F107" t="s">
        <v>243</v>
      </c>
      <c r="G107" t="s">
        <v>39</v>
      </c>
      <c r="H107" t="s">
        <v>21</v>
      </c>
      <c r="I107" t="s">
        <v>242</v>
      </c>
      <c r="J107" t="s">
        <v>243</v>
      </c>
      <c r="K107" t="s">
        <v>228</v>
      </c>
      <c r="M107" t="s">
        <v>23</v>
      </c>
      <c r="N107" t="s">
        <v>24</v>
      </c>
      <c r="O107" t="s">
        <v>39</v>
      </c>
      <c r="P107" t="s">
        <v>39</v>
      </c>
    </row>
    <row r="108" spans="1:16" x14ac:dyDescent="0.25">
      <c r="A108">
        <v>50</v>
      </c>
      <c r="B108" t="s">
        <v>152</v>
      </c>
      <c r="C108" t="s">
        <v>153</v>
      </c>
      <c r="D108" t="s">
        <v>151</v>
      </c>
      <c r="E108" t="s">
        <v>154</v>
      </c>
      <c r="F108" t="s">
        <v>155</v>
      </c>
      <c r="G108" t="s">
        <v>39</v>
      </c>
      <c r="H108" t="s">
        <v>21</v>
      </c>
      <c r="I108" t="s">
        <v>154</v>
      </c>
      <c r="J108" t="s">
        <v>155</v>
      </c>
      <c r="K108" t="s">
        <v>156</v>
      </c>
      <c r="M108" t="s">
        <v>23</v>
      </c>
      <c r="N108" t="s">
        <v>39</v>
      </c>
      <c r="O108" t="s">
        <v>39</v>
      </c>
      <c r="P108" t="s">
        <v>39</v>
      </c>
    </row>
    <row r="109" spans="1:16" x14ac:dyDescent="0.25">
      <c r="A109">
        <v>203</v>
      </c>
      <c r="B109" t="s">
        <v>497</v>
      </c>
      <c r="C109" t="s">
        <v>502</v>
      </c>
      <c r="D109" t="s">
        <v>493</v>
      </c>
      <c r="E109" t="s">
        <v>503</v>
      </c>
      <c r="F109" t="s">
        <v>504</v>
      </c>
      <c r="G109" t="s">
        <v>39</v>
      </c>
      <c r="H109" t="s">
        <v>21</v>
      </c>
      <c r="I109" t="s">
        <v>503</v>
      </c>
      <c r="J109" t="s">
        <v>504</v>
      </c>
      <c r="K109" t="s">
        <v>501</v>
      </c>
      <c r="M109" t="s">
        <v>23</v>
      </c>
      <c r="N109" t="s">
        <v>39</v>
      </c>
      <c r="O109" t="s">
        <v>39</v>
      </c>
      <c r="P109" t="s">
        <v>39</v>
      </c>
    </row>
    <row r="110" spans="1:16" x14ac:dyDescent="0.25">
      <c r="A110">
        <v>218</v>
      </c>
      <c r="B110" t="s">
        <v>564</v>
      </c>
      <c r="C110" t="s">
        <v>328</v>
      </c>
      <c r="D110" t="s">
        <v>566</v>
      </c>
      <c r="E110" t="s">
        <v>569</v>
      </c>
      <c r="F110" t="s">
        <v>570</v>
      </c>
      <c r="G110" t="s">
        <v>39</v>
      </c>
      <c r="H110" t="s">
        <v>21</v>
      </c>
      <c r="I110" t="s">
        <v>569</v>
      </c>
      <c r="J110" t="s">
        <v>570</v>
      </c>
      <c r="M110" t="s">
        <v>23</v>
      </c>
      <c r="N110" t="s">
        <v>39</v>
      </c>
      <c r="O110" t="s">
        <v>39</v>
      </c>
      <c r="P110" t="s">
        <v>39</v>
      </c>
    </row>
    <row r="111" spans="1:16" x14ac:dyDescent="0.25">
      <c r="A111">
        <v>16</v>
      </c>
      <c r="B111" t="s">
        <v>74</v>
      </c>
      <c r="C111" t="s">
        <v>75</v>
      </c>
      <c r="D111" t="s">
        <v>73</v>
      </c>
      <c r="E111" t="s">
        <v>76</v>
      </c>
      <c r="F111" t="s">
        <v>77</v>
      </c>
      <c r="G111" t="s">
        <v>39</v>
      </c>
      <c r="H111" t="s">
        <v>78</v>
      </c>
      <c r="I111" t="s">
        <v>76</v>
      </c>
      <c r="J111" t="s">
        <v>77</v>
      </c>
      <c r="K111" t="s">
        <v>79</v>
      </c>
      <c r="M111" t="s">
        <v>23</v>
      </c>
      <c r="N111" t="s">
        <v>24</v>
      </c>
      <c r="O111" t="s">
        <v>39</v>
      </c>
      <c r="P111" t="s">
        <v>39</v>
      </c>
    </row>
    <row r="112" spans="1:16" x14ac:dyDescent="0.25">
      <c r="A112">
        <v>206</v>
      </c>
      <c r="B112" t="s">
        <v>515</v>
      </c>
      <c r="C112" t="s">
        <v>516</v>
      </c>
      <c r="D112" t="s">
        <v>511</v>
      </c>
      <c r="E112" t="s">
        <v>517</v>
      </c>
      <c r="F112" t="s">
        <v>518</v>
      </c>
      <c r="G112" t="s">
        <v>39</v>
      </c>
      <c r="H112" t="s">
        <v>47</v>
      </c>
      <c r="I112" t="s">
        <v>517</v>
      </c>
      <c r="J112" t="s">
        <v>518</v>
      </c>
      <c r="K112" t="s">
        <v>173</v>
      </c>
      <c r="M112" t="s">
        <v>23</v>
      </c>
      <c r="N112" t="s">
        <v>39</v>
      </c>
      <c r="O112" t="s">
        <v>39</v>
      </c>
      <c r="P112" t="s">
        <v>39</v>
      </c>
    </row>
    <row r="113" spans="1:16" x14ac:dyDescent="0.25">
      <c r="A113">
        <v>83</v>
      </c>
      <c r="B113" t="s">
        <v>247</v>
      </c>
      <c r="C113" t="s">
        <v>248</v>
      </c>
      <c r="D113" t="s">
        <v>207</v>
      </c>
      <c r="E113" t="s">
        <v>249</v>
      </c>
      <c r="F113" t="s">
        <v>250</v>
      </c>
      <c r="G113" t="s">
        <v>39</v>
      </c>
      <c r="H113" t="s">
        <v>21</v>
      </c>
      <c r="I113" t="s">
        <v>249</v>
      </c>
      <c r="J113" t="s">
        <v>250</v>
      </c>
      <c r="K113" t="s">
        <v>251</v>
      </c>
      <c r="M113" t="s">
        <v>23</v>
      </c>
      <c r="N113" t="s">
        <v>39</v>
      </c>
      <c r="O113" t="s">
        <v>39</v>
      </c>
      <c r="P113" t="s">
        <v>39</v>
      </c>
    </row>
    <row r="114" spans="1:16" x14ac:dyDescent="0.25">
      <c r="A114">
        <v>84</v>
      </c>
      <c r="B114" t="s">
        <v>247</v>
      </c>
      <c r="C114" t="s">
        <v>252</v>
      </c>
      <c r="D114" t="s">
        <v>207</v>
      </c>
      <c r="E114" t="s">
        <v>253</v>
      </c>
      <c r="F114" t="s">
        <v>254</v>
      </c>
      <c r="G114" t="s">
        <v>39</v>
      </c>
      <c r="H114" t="s">
        <v>21</v>
      </c>
      <c r="I114" t="s">
        <v>253</v>
      </c>
      <c r="J114" t="s">
        <v>254</v>
      </c>
      <c r="K114" t="s">
        <v>40</v>
      </c>
      <c r="M114" t="s">
        <v>23</v>
      </c>
      <c r="N114" t="s">
        <v>24</v>
      </c>
      <c r="O114" t="s">
        <v>39</v>
      </c>
      <c r="P114" t="s">
        <v>39</v>
      </c>
    </row>
    <row r="115" spans="1:16" x14ac:dyDescent="0.25">
      <c r="A115">
        <v>208</v>
      </c>
      <c r="B115" t="s">
        <v>519</v>
      </c>
      <c r="C115" t="s">
        <v>525</v>
      </c>
      <c r="D115" t="s">
        <v>521</v>
      </c>
      <c r="E115" t="s">
        <v>526</v>
      </c>
      <c r="F115" t="s">
        <v>527</v>
      </c>
      <c r="G115" t="s">
        <v>39</v>
      </c>
      <c r="H115" t="s">
        <v>21</v>
      </c>
      <c r="I115" t="s">
        <v>526</v>
      </c>
      <c r="J115" t="s">
        <v>527</v>
      </c>
      <c r="K115" t="s">
        <v>528</v>
      </c>
      <c r="M115" t="s">
        <v>23</v>
      </c>
      <c r="N115" t="s">
        <v>24</v>
      </c>
      <c r="O115" t="s">
        <v>39</v>
      </c>
      <c r="P115" t="s">
        <v>39</v>
      </c>
    </row>
    <row r="116" spans="1:16" x14ac:dyDescent="0.25">
      <c r="A116">
        <v>187</v>
      </c>
      <c r="B116" t="s">
        <v>453</v>
      </c>
      <c r="C116" t="s">
        <v>454</v>
      </c>
      <c r="D116" t="s">
        <v>440</v>
      </c>
      <c r="E116" t="s">
        <v>455</v>
      </c>
      <c r="F116" t="s">
        <v>456</v>
      </c>
      <c r="G116" t="s">
        <v>39</v>
      </c>
      <c r="H116" t="s">
        <v>47</v>
      </c>
      <c r="I116" t="s">
        <v>455</v>
      </c>
      <c r="J116" t="s">
        <v>456</v>
      </c>
      <c r="K116" t="s">
        <v>457</v>
      </c>
      <c r="M116" t="s">
        <v>23</v>
      </c>
      <c r="N116" t="s">
        <v>39</v>
      </c>
      <c r="O116" t="s">
        <v>39</v>
      </c>
      <c r="P116" t="s">
        <v>39</v>
      </c>
    </row>
    <row r="117" spans="1:16" x14ac:dyDescent="0.25">
      <c r="A117">
        <v>41</v>
      </c>
      <c r="B117" t="s">
        <v>122</v>
      </c>
      <c r="C117" t="s">
        <v>123</v>
      </c>
      <c r="D117" t="s">
        <v>108</v>
      </c>
      <c r="E117" t="s">
        <v>124</v>
      </c>
      <c r="F117" t="s">
        <v>125</v>
      </c>
      <c r="G117" t="s">
        <v>39</v>
      </c>
      <c r="H117" t="s">
        <v>47</v>
      </c>
      <c r="I117" t="s">
        <v>124</v>
      </c>
      <c r="J117" t="s">
        <v>125</v>
      </c>
      <c r="K117" t="s">
        <v>40</v>
      </c>
      <c r="M117" t="s">
        <v>23</v>
      </c>
      <c r="N117" t="s">
        <v>39</v>
      </c>
      <c r="O117" t="s">
        <v>39</v>
      </c>
      <c r="P117" t="s">
        <v>39</v>
      </c>
    </row>
    <row r="118" spans="1:16" x14ac:dyDescent="0.25">
      <c r="N118" cm="1">
        <f t="array" ref="N118">SUMPRODUCT(--(G2:G117 = $N$2:$N$117))</f>
        <v>75</v>
      </c>
      <c r="O118" cm="1">
        <f t="array" ref="O118">SUMPRODUCT(--(G2:G117 = $O$2:$O$117))</f>
        <v>77</v>
      </c>
      <c r="P118" cm="1">
        <f t="array" ref="P118">SUMPRODUCT(--(G2:G117 = $P$2:$P$117))</f>
        <v>77</v>
      </c>
    </row>
    <row r="121" spans="1:16" x14ac:dyDescent="0.25">
      <c r="F121" t="s">
        <v>577</v>
      </c>
      <c r="G121">
        <f>COUNTIF(G2:G117, "S")</f>
        <v>53</v>
      </c>
      <c r="M121" t="s">
        <v>577</v>
      </c>
      <c r="N121">
        <f>COUNTIF(N2:N117, "S")</f>
        <v>33</v>
      </c>
      <c r="O121">
        <f t="shared" ref="O121:P121" si="0">COUNTIF(O2:O117, "S")</f>
        <v>40</v>
      </c>
      <c r="P121">
        <f t="shared" si="0"/>
        <v>46</v>
      </c>
    </row>
    <row r="122" spans="1:16" x14ac:dyDescent="0.25">
      <c r="F122" t="s">
        <v>578</v>
      </c>
      <c r="G122">
        <f>COUNTIF(G2:G117, "G")</f>
        <v>41</v>
      </c>
      <c r="M122" t="s">
        <v>578</v>
      </c>
      <c r="N122">
        <f>COUNTIF(N2:N117, "G")</f>
        <v>62</v>
      </c>
      <c r="O122">
        <f t="shared" ref="O122:P122" si="1">COUNTIF(O2:O117, "G")</f>
        <v>40</v>
      </c>
      <c r="P122">
        <f t="shared" si="1"/>
        <v>26</v>
      </c>
    </row>
    <row r="123" spans="1:16" x14ac:dyDescent="0.25">
      <c r="F123" t="s">
        <v>579</v>
      </c>
      <c r="G123">
        <f>COUNTIF(G2:G117, "F")</f>
        <v>22</v>
      </c>
      <c r="M123" t="s">
        <v>579</v>
      </c>
      <c r="N123">
        <f>COUNTIF(N2:N117, "F")</f>
        <v>21</v>
      </c>
      <c r="O123">
        <f t="shared" ref="O123:P123" si="2">COUNTIF(O2:O117, "F")</f>
        <v>36</v>
      </c>
      <c r="P123">
        <f t="shared" si="2"/>
        <v>44</v>
      </c>
    </row>
  </sheetData>
  <sortState xmlns:xlrd2="http://schemas.microsoft.com/office/spreadsheetml/2017/richdata2" ref="A2:P117">
    <sortCondition ref="O2:O117"/>
  </sortState>
  <conditionalFormatting sqref="N2:N117">
    <cfRule type="expression" dxfId="2" priority="3">
      <formula xml:space="preserve"> G2 &lt;&gt; N2</formula>
    </cfRule>
  </conditionalFormatting>
  <conditionalFormatting sqref="O2:O117">
    <cfRule type="expression" dxfId="1" priority="2">
      <formula xml:space="preserve"> G2 &lt;&gt; O2</formula>
    </cfRule>
  </conditionalFormatting>
  <conditionalFormatting sqref="P2:P117">
    <cfRule type="expression" dxfId="0" priority="1">
      <formula xml:space="preserve"> G2 &lt;&gt; P2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sp_info_with_splink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Flake</cp:lastModifiedBy>
  <dcterms:created xsi:type="dcterms:W3CDTF">2020-05-06T15:37:36Z</dcterms:created>
  <dcterms:modified xsi:type="dcterms:W3CDTF">2020-05-08T15:34:49Z</dcterms:modified>
</cp:coreProperties>
</file>